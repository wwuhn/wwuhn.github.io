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00" windowWidth="15580" windowHeight="9820"/>
  </bookViews>
  <sheets>
    <sheet name="620mm品丝位置计算" sheetId="5" r:id="rId1"/>
    <sheet name="五度与12" sheetId="1" r:id="rId2"/>
    <sheet name="12声音阶排序" sheetId="3" r:id="rId3"/>
  </sheets>
  <calcPr calcId="124519"/>
</workbook>
</file>

<file path=xl/calcChain.xml><?xml version="1.0" encoding="utf-8"?>
<calcChain xmlns="http://schemas.openxmlformats.org/spreadsheetml/2006/main">
  <c r="I5" i="5"/>
  <c r="I2"/>
  <c r="I14" i="3"/>
  <c r="J13"/>
  <c r="J22" i="1"/>
  <c r="F19"/>
  <c r="F22"/>
  <c r="G22"/>
  <c r="H22"/>
  <c r="R8"/>
  <c r="R7"/>
  <c r="R6"/>
  <c r="Q8"/>
  <c r="Q7"/>
  <c r="Q6"/>
  <c r="I3" i="5"/>
  <c r="B24" s="1"/>
  <c r="F24" s="1"/>
  <c r="I2" i="3"/>
  <c r="D8"/>
  <c r="P9" i="1"/>
  <c r="O9"/>
  <c r="M9"/>
  <c r="K9"/>
  <c r="I9"/>
  <c r="H9"/>
  <c r="F9"/>
  <c r="G28"/>
  <c r="F13"/>
  <c r="N22"/>
  <c r="M22"/>
  <c r="L22"/>
  <c r="K22"/>
  <c r="J19"/>
  <c r="K19"/>
  <c r="L19"/>
  <c r="M19"/>
  <c r="N19"/>
  <c r="F28"/>
  <c r="F29" s="1"/>
  <c r="E28"/>
  <c r="E29" s="1"/>
  <c r="E21"/>
  <c r="E23" s="1"/>
  <c r="D28"/>
  <c r="D29" s="1"/>
  <c r="F8"/>
  <c r="G29"/>
  <c r="H28"/>
  <c r="H29" s="1"/>
  <c r="I28"/>
  <c r="I29" s="1"/>
  <c r="J28"/>
  <c r="J29" s="1"/>
  <c r="K28"/>
  <c r="K29" s="1"/>
  <c r="L28"/>
  <c r="L29" s="1"/>
  <c r="M28"/>
  <c r="M29" s="1"/>
  <c r="N28"/>
  <c r="N29" s="1"/>
  <c r="O28"/>
  <c r="O29" s="1"/>
  <c r="P28"/>
  <c r="P29" s="1"/>
  <c r="I22"/>
  <c r="G19"/>
  <c r="H19"/>
  <c r="I19"/>
  <c r="P14"/>
  <c r="O14"/>
  <c r="M14"/>
  <c r="K14"/>
  <c r="I14"/>
  <c r="H14"/>
  <c r="F14"/>
  <c r="D14"/>
  <c r="D8"/>
  <c r="F11" s="1"/>
  <c r="H13"/>
  <c r="H15" s="1"/>
  <c r="I13"/>
  <c r="K13"/>
  <c r="K15" s="1"/>
  <c r="M13"/>
  <c r="O13"/>
  <c r="O15" s="1"/>
  <c r="P13"/>
  <c r="D13"/>
  <c r="H8"/>
  <c r="H10" s="1"/>
  <c r="I8"/>
  <c r="K8"/>
  <c r="M8"/>
  <c r="O8"/>
  <c r="P8"/>
  <c r="B12" i="5" l="1"/>
  <c r="F12" s="1"/>
  <c r="B20"/>
  <c r="F20" s="1"/>
  <c r="B28"/>
  <c r="F28" s="1"/>
  <c r="B7"/>
  <c r="F7" s="1"/>
  <c r="B15"/>
  <c r="H15" s="1"/>
  <c r="B23"/>
  <c r="H23" s="1"/>
  <c r="B6"/>
  <c r="H6" s="1"/>
  <c r="B14"/>
  <c r="F14" s="1"/>
  <c r="B22"/>
  <c r="H22" s="1"/>
  <c r="B5"/>
  <c r="F5" s="1"/>
  <c r="B13"/>
  <c r="H13" s="1"/>
  <c r="B21"/>
  <c r="H21" s="1"/>
  <c r="B29"/>
  <c r="H29" s="1"/>
  <c r="B11"/>
  <c r="F11" s="1"/>
  <c r="B19"/>
  <c r="F19" s="1"/>
  <c r="B27"/>
  <c r="F27" s="1"/>
  <c r="B10"/>
  <c r="F10" s="1"/>
  <c r="B18"/>
  <c r="F18" s="1"/>
  <c r="B26"/>
  <c r="H26" s="1"/>
  <c r="B9"/>
  <c r="H9" s="1"/>
  <c r="B17"/>
  <c r="H17" s="1"/>
  <c r="B25"/>
  <c r="H25" s="1"/>
  <c r="B8"/>
  <c r="F8" s="1"/>
  <c r="B16"/>
  <c r="F16" s="1"/>
  <c r="H24"/>
  <c r="H16"/>
  <c r="F21" i="1"/>
  <c r="F23" s="1"/>
  <c r="F15" i="5"/>
  <c r="C15"/>
  <c r="C27"/>
  <c r="F9"/>
  <c r="F29"/>
  <c r="P15" i="1"/>
  <c r="M15"/>
  <c r="I15"/>
  <c r="F10"/>
  <c r="F15"/>
  <c r="P11"/>
  <c r="H11"/>
  <c r="O10"/>
  <c r="K10"/>
  <c r="P10"/>
  <c r="M10"/>
  <c r="I10"/>
  <c r="O11"/>
  <c r="K11"/>
  <c r="M11"/>
  <c r="I11"/>
  <c r="I9" i="3"/>
  <c r="I10"/>
  <c r="I6"/>
  <c r="I4"/>
  <c r="I3"/>
  <c r="I13"/>
  <c r="I12"/>
  <c r="I8"/>
  <c r="I7"/>
  <c r="I5"/>
  <c r="I11"/>
  <c r="B10"/>
  <c r="D10" s="1"/>
  <c r="D2"/>
  <c r="B11"/>
  <c r="D11" s="1"/>
  <c r="B5"/>
  <c r="D5" s="1"/>
  <c r="B3"/>
  <c r="D3" s="1"/>
  <c r="B13"/>
  <c r="D13" s="1"/>
  <c r="B4"/>
  <c r="D4" s="1"/>
  <c r="B9"/>
  <c r="D9" s="1"/>
  <c r="B7"/>
  <c r="D7"/>
  <c r="B6"/>
  <c r="D6" s="1"/>
  <c r="B12"/>
  <c r="D12" s="1"/>
  <c r="H14" i="5" l="1"/>
  <c r="G15"/>
  <c r="F23"/>
  <c r="G24" s="1"/>
  <c r="H7"/>
  <c r="G9"/>
  <c r="F21"/>
  <c r="H19"/>
  <c r="H20"/>
  <c r="F17"/>
  <c r="G18" s="1"/>
  <c r="C12"/>
  <c r="E12" s="1"/>
  <c r="F22"/>
  <c r="G22" s="1"/>
  <c r="C21"/>
  <c r="G11"/>
  <c r="H18"/>
  <c r="C18"/>
  <c r="D18" s="1"/>
  <c r="C22"/>
  <c r="E22" s="1"/>
  <c r="G8"/>
  <c r="G19"/>
  <c r="H12"/>
  <c r="C10"/>
  <c r="C11"/>
  <c r="C16"/>
  <c r="E16" s="1"/>
  <c r="C28"/>
  <c r="H27"/>
  <c r="F25"/>
  <c r="G25" s="1"/>
  <c r="H11"/>
  <c r="C20"/>
  <c r="D21" s="1"/>
  <c r="G29"/>
  <c r="C19"/>
  <c r="C6"/>
  <c r="C8"/>
  <c r="C25"/>
  <c r="E26" s="1"/>
  <c r="F6"/>
  <c r="G6" s="1"/>
  <c r="C23"/>
  <c r="C14"/>
  <c r="E15" s="1"/>
  <c r="C13"/>
  <c r="H28"/>
  <c r="H8"/>
  <c r="F13"/>
  <c r="G13" s="1"/>
  <c r="C26"/>
  <c r="D27" s="1"/>
  <c r="C9"/>
  <c r="C7"/>
  <c r="C24"/>
  <c r="H10"/>
  <c r="F26"/>
  <c r="C17"/>
  <c r="C29"/>
  <c r="G23"/>
  <c r="G20"/>
  <c r="G21" i="1"/>
  <c r="H21" s="1"/>
  <c r="I21" s="1"/>
  <c r="J21" s="1"/>
  <c r="E11" i="5"/>
  <c r="E19"/>
  <c r="G12"/>
  <c r="G16"/>
  <c r="D15"/>
  <c r="G21"/>
  <c r="G28"/>
  <c r="G10"/>
  <c r="G14"/>
  <c r="E21" l="1"/>
  <c r="D16"/>
  <c r="D26"/>
  <c r="D13"/>
  <c r="D11"/>
  <c r="G17"/>
  <c r="D12"/>
  <c r="D14"/>
  <c r="E20"/>
  <c r="G26"/>
  <c r="E7"/>
  <c r="E29"/>
  <c r="D25"/>
  <c r="E18"/>
  <c r="D19"/>
  <c r="D28"/>
  <c r="D23"/>
  <c r="D22"/>
  <c r="D17"/>
  <c r="D8"/>
  <c r="D9"/>
  <c r="G7"/>
  <c r="G27"/>
  <c r="E28"/>
  <c r="E27"/>
  <c r="E25"/>
  <c r="D24"/>
  <c r="E23"/>
  <c r="E14"/>
  <c r="E13"/>
  <c r="D10"/>
  <c r="D20"/>
  <c r="E24"/>
  <c r="E9"/>
  <c r="E8"/>
  <c r="E17"/>
  <c r="D7"/>
  <c r="E10"/>
  <c r="D29"/>
  <c r="I23" i="1"/>
  <c r="G23"/>
  <c r="K21"/>
  <c r="J23"/>
  <c r="H23"/>
  <c r="L21" l="1"/>
  <c r="K23"/>
  <c r="M21" l="1"/>
  <c r="L23"/>
  <c r="N21" l="1"/>
  <c r="M23"/>
  <c r="N23" l="1"/>
  <c r="P23" l="1"/>
  <c r="O23"/>
  <c r="E9" i="3"/>
  <c r="E4"/>
  <c r="E5"/>
  <c r="E6"/>
  <c r="E11"/>
  <c r="E10"/>
  <c r="E12"/>
  <c r="E13"/>
  <c r="E7"/>
  <c r="E3"/>
</calcChain>
</file>

<file path=xl/sharedStrings.xml><?xml version="1.0" encoding="utf-8"?>
<sst xmlns="http://schemas.openxmlformats.org/spreadsheetml/2006/main" count="137" uniqueCount="116">
  <si>
    <t>do</t>
    <phoneticPr fontId="2" type="noConversion"/>
  </si>
  <si>
    <t>re</t>
    <phoneticPr fontId="2" type="noConversion"/>
  </si>
  <si>
    <t>mi</t>
    <phoneticPr fontId="2" type="noConversion"/>
  </si>
  <si>
    <t>fa</t>
    <phoneticPr fontId="2" type="noConversion"/>
  </si>
  <si>
    <t>so</t>
    <phoneticPr fontId="2" type="noConversion"/>
  </si>
  <si>
    <t>la</t>
    <phoneticPr fontId="2" type="noConversion"/>
  </si>
  <si>
    <t>si</t>
    <phoneticPr fontId="2" type="noConversion"/>
  </si>
  <si>
    <t>十二平均律</t>
    <phoneticPr fontId="2" type="noConversion"/>
  </si>
  <si>
    <r>
      <t>（3/2）</t>
    </r>
    <r>
      <rPr>
        <vertAlign val="superscript"/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2"/>
        <charset val="134"/>
        <scheme val="minor"/>
      </rPr>
      <t>≈7.59，和2</t>
    </r>
    <r>
      <rPr>
        <vertAlign val="superscript"/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2"/>
        <charset val="134"/>
        <scheme val="minor"/>
      </rPr>
      <t>＝8</t>
    </r>
    <phoneticPr fontId="2" type="noConversion"/>
  </si>
  <si>
    <t>12声音阶:（3/2)^12≈129.7，和2^7=128</t>
    <phoneticPr fontId="2" type="noConversion"/>
  </si>
  <si>
    <t>分子x</t>
    <phoneticPr fontId="2" type="noConversion"/>
  </si>
  <si>
    <t>分母y</t>
    <phoneticPr fontId="2" type="noConversion"/>
  </si>
  <si>
    <t>x/y</t>
    <phoneticPr fontId="2" type="noConversion"/>
  </si>
  <si>
    <t>n</t>
    <phoneticPr fontId="2" type="noConversion"/>
  </si>
  <si>
    <t>n/(n+1)</t>
    <phoneticPr fontId="2" type="noConversion"/>
  </si>
  <si>
    <t>(n+1)/n</t>
    <phoneticPr fontId="2" type="noConversion"/>
  </si>
  <si>
    <r>
      <t>2</t>
    </r>
    <r>
      <rPr>
        <vertAlign val="superscript"/>
        <sz val="10"/>
        <color theme="1"/>
        <rFont val="宋体"/>
        <family val="3"/>
        <charset val="134"/>
        <scheme val="minor"/>
      </rPr>
      <t>n</t>
    </r>
    <phoneticPr fontId="2" type="noConversion"/>
  </si>
  <si>
    <r>
      <t>2</t>
    </r>
    <r>
      <rPr>
        <vertAlign val="superscript"/>
        <sz val="10"/>
        <color theme="1"/>
        <rFont val="宋体"/>
        <family val="3"/>
        <charset val="134"/>
        <scheme val="minor"/>
      </rPr>
      <t>n/12</t>
    </r>
    <phoneticPr fontId="2" type="noConversion"/>
  </si>
  <si>
    <t>y/2</t>
    <phoneticPr fontId="2" type="noConversion"/>
  </si>
  <si>
    <t>C</t>
    <phoneticPr fontId="2" type="noConversion"/>
  </si>
  <si>
    <t>#C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</si>
  <si>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</si>
  <si>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</si>
  <si>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</si>
  <si>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</si>
  <si>
    <t>A</t>
    <phoneticPr fontId="2" type="noConversion"/>
  </si>
  <si>
    <t>B</t>
    <phoneticPr fontId="2" type="noConversion"/>
  </si>
  <si>
    <t>#F</t>
    <phoneticPr fontId="2" type="noConversion"/>
  </si>
  <si>
    <t>#G</t>
    <phoneticPr fontId="2" type="noConversion"/>
  </si>
  <si>
    <t>#D</t>
    <phoneticPr fontId="2" type="noConversion"/>
  </si>
  <si>
    <t>#A</t>
    <phoneticPr fontId="2" type="noConversion"/>
  </si>
  <si>
    <t>顺序</t>
    <phoneticPr fontId="2" type="noConversion"/>
  </si>
  <si>
    <t>音名</t>
    <phoneticPr fontId="2" type="noConversion"/>
  </si>
  <si>
    <t>等比回一个8度内</t>
    <phoneticPr fontId="2" type="noConversion"/>
  </si>
  <si>
    <t>五度相生律(7声音阶)</t>
    <phoneticPr fontId="2" type="noConversion"/>
  </si>
  <si>
    <t>五度相生律的修正</t>
    <phoneticPr fontId="2" type="noConversion"/>
  </si>
  <si>
    <t>相邻值差</t>
    <phoneticPr fontId="2" type="noConversion"/>
  </si>
  <si>
    <t>n</t>
    <phoneticPr fontId="2" type="noConversion"/>
  </si>
  <si>
    <t>等比回一个8度内</t>
    <phoneticPr fontId="2" type="noConversion"/>
  </si>
  <si>
    <t>分子x</t>
    <phoneticPr fontId="2" type="noConversion"/>
  </si>
  <si>
    <t>x/y</t>
    <phoneticPr fontId="2" type="noConversion"/>
  </si>
  <si>
    <t>音名</t>
    <phoneticPr fontId="2" type="noConversion"/>
  </si>
  <si>
    <t>顺序</t>
    <phoneticPr fontId="2" type="noConversion"/>
  </si>
  <si>
    <r>
      <t>2</t>
    </r>
    <r>
      <rPr>
        <b/>
        <vertAlign val="superscript"/>
        <sz val="10"/>
        <color theme="0"/>
        <rFont val="宋体"/>
        <family val="3"/>
        <charset val="134"/>
        <scheme val="minor"/>
      </rPr>
      <t>n</t>
    </r>
    <phoneticPr fontId="2" type="noConversion"/>
  </si>
  <si>
    <t>#C</t>
    <phoneticPr fontId="2" type="noConversion"/>
  </si>
  <si>
    <t>D</t>
    <phoneticPr fontId="2" type="noConversion"/>
  </si>
  <si>
    <t>#D</t>
    <phoneticPr fontId="2" type="noConversion"/>
  </si>
  <si>
    <t>E</t>
    <phoneticPr fontId="2" type="noConversion"/>
  </si>
  <si>
    <t>F</t>
    <phoneticPr fontId="2" type="noConversion"/>
  </si>
  <si>
    <t>#F</t>
    <phoneticPr fontId="2" type="noConversion"/>
  </si>
  <si>
    <t>G</t>
    <phoneticPr fontId="2" type="noConversion"/>
  </si>
  <si>
    <t>#G</t>
    <phoneticPr fontId="2" type="noConversion"/>
  </si>
  <si>
    <t>A</t>
    <phoneticPr fontId="2" type="noConversion"/>
  </si>
  <si>
    <t>#A</t>
    <phoneticPr fontId="2" type="noConversion"/>
  </si>
  <si>
    <t>B</t>
    <phoneticPr fontId="2" type="noConversion"/>
  </si>
  <si>
    <t>C</t>
    <phoneticPr fontId="2" type="noConversion"/>
  </si>
  <si>
    <t>品号</t>
  </si>
  <si>
    <t>-</t>
  </si>
  <si>
    <t>距上弦枕距离(mm)</t>
  </si>
  <si>
    <t>品格宽度(mm)</t>
  </si>
  <si>
    <t>品距公比(后/前)</t>
  </si>
  <si>
    <t>品距公比(前/后)</t>
  </si>
  <si>
    <t>距下琴桥剩余弦长(mm)</t>
  </si>
  <si>
    <t>剩余弦长公比(后/前)</t>
  </si>
  <si>
    <r>
      <t xml:space="preserve">5:4 </t>
    </r>
    <r>
      <rPr>
        <sz val="11"/>
        <color rgb="FF000000"/>
        <rFont val="宋体"/>
        <family val="3"/>
        <charset val="134"/>
      </rPr>
      <t>→</t>
    </r>
    <r>
      <rPr>
        <sz val="11"/>
        <color rgb="FF000000"/>
        <rFont val="Calibri"/>
        <family val="2"/>
        <charset val="1"/>
      </rPr>
      <t xml:space="preserve"> </t>
    </r>
    <r>
      <rPr>
        <sz val="11"/>
        <color rgb="FF000000"/>
        <rFont val="宋体"/>
        <family val="3"/>
        <charset val="134"/>
      </rPr>
      <t>大三度</t>
    </r>
  </si>
  <si>
    <r>
      <t xml:space="preserve">6:5 </t>
    </r>
    <r>
      <rPr>
        <sz val="11"/>
        <color rgb="FF000000"/>
        <rFont val="宋体"/>
        <family val="3"/>
        <charset val="134"/>
      </rPr>
      <t>→</t>
    </r>
    <r>
      <rPr>
        <sz val="11"/>
        <color rgb="FF000000"/>
        <rFont val="Calibri"/>
        <family val="2"/>
        <charset val="1"/>
      </rPr>
      <t xml:space="preserve"> </t>
    </r>
    <r>
      <rPr>
        <sz val="11"/>
        <color rgb="FF000000"/>
        <rFont val="宋体"/>
        <family val="3"/>
        <charset val="134"/>
      </rPr>
      <t>小三度</t>
    </r>
  </si>
  <si>
    <t>①</t>
    <phoneticPr fontId="2" type="noConversion"/>
  </si>
  <si>
    <t>①*4/3</t>
    <phoneticPr fontId="2" type="noConversion"/>
  </si>
  <si>
    <t>②</t>
    <phoneticPr fontId="2" type="noConversion"/>
  </si>
  <si>
    <t>1*2/3</t>
    <phoneticPr fontId="2" type="noConversion"/>
  </si>
  <si>
    <t>③</t>
    <phoneticPr fontId="2" type="noConversion"/>
  </si>
  <si>
    <t>②*2/3</t>
    <phoneticPr fontId="2" type="noConversion"/>
  </si>
  <si>
    <t>④</t>
    <phoneticPr fontId="2" type="noConversion"/>
  </si>
  <si>
    <t>③*4/3</t>
    <phoneticPr fontId="2" type="noConversion"/>
  </si>
  <si>
    <t>⑤</t>
    <phoneticPr fontId="2" type="noConversion"/>
  </si>
  <si>
    <t>④*2/3</t>
    <phoneticPr fontId="2" type="noConversion"/>
  </si>
  <si>
    <t>12个纯五度叠加起来，并不等于7个八度,转调有问题</t>
    <phoneticPr fontId="2" type="noConversion"/>
  </si>
  <si>
    <t>5个纯五度叠加起来，并不等于3个八度,转调有问题</t>
    <phoneticPr fontId="2" type="noConversion"/>
  </si>
  <si>
    <t>五度比3/2</t>
    <phoneticPr fontId="2" type="noConversion"/>
  </si>
  <si>
    <t>叠加5次</t>
    <phoneticPr fontId="2" type="noConversion"/>
  </si>
  <si>
    <t>超过2度时减度</t>
    <phoneticPr fontId="2" type="noConversion"/>
  </si>
  <si>
    <t>损一</t>
    <phoneticPr fontId="2" type="noConversion"/>
  </si>
  <si>
    <t>*(1-1/3)</t>
    <phoneticPr fontId="2" type="noConversion"/>
  </si>
  <si>
    <t>益一</t>
    <phoneticPr fontId="2" type="noConversion"/>
  </si>
  <si>
    <t>*(1+1/3)</t>
    <phoneticPr fontId="2" type="noConversion"/>
  </si>
  <si>
    <t>交替合计5次</t>
    <phoneticPr fontId="2" type="noConversion"/>
  </si>
  <si>
    <t>交替合计12次</t>
    <phoneticPr fontId="2" type="noConversion"/>
  </si>
  <si>
    <t>使比值在0.5-1之间</t>
    <phoneticPr fontId="2" type="noConversion"/>
  </si>
  <si>
    <t>吉他品丝位置精确计算表</t>
    <phoneticPr fontId="2" type="noConversion"/>
  </si>
  <si>
    <t>第12品 = 弦长中点(310mm)，第24品 = 3/4弦长(465mm)</t>
    <phoneticPr fontId="2" type="noConversion"/>
  </si>
  <si>
    <t>距上弦枕/弦长</t>
    <phoneticPr fontId="2" type="noConversion"/>
  </si>
  <si>
    <r>
      <t xml:space="preserve">3:2 </t>
    </r>
    <r>
      <rPr>
        <b/>
        <sz val="11"/>
        <color rgb="FF0070C0"/>
        <rFont val="宋体"/>
        <family val="3"/>
        <charset val="134"/>
      </rPr>
      <t>→</t>
    </r>
    <r>
      <rPr>
        <b/>
        <sz val="11"/>
        <color rgb="FF0070C0"/>
        <rFont val="Calibri"/>
        <family val="2"/>
        <charset val="1"/>
      </rPr>
      <t xml:space="preserve"> </t>
    </r>
    <r>
      <rPr>
        <b/>
        <sz val="11"/>
        <color rgb="FF0070C0"/>
        <rFont val="宋体"/>
        <family val="3"/>
        <charset val="134"/>
      </rPr>
      <t>纯五度</t>
    </r>
  </si>
  <si>
    <t>备注：</t>
    <phoneticPr fontId="2" type="noConversion"/>
  </si>
  <si>
    <t>1 品格宽度、距下琴桥剩余弦长均为严格等比数列。</t>
    <phoneticPr fontId="2" type="noConversion"/>
  </si>
  <si>
    <t>2 品距公比(后/前)恒为 r ≈ 0.943874（递减）；品距公比(前/后)恒为 1/r ≈ 1.059463（递增）。</t>
    <phoneticPr fontId="2" type="noConversion"/>
  </si>
  <si>
    <t>3 弦长6200mm时，第12品距上弦枕 = 310.0000mm，恰为弦长一半（高八度）；第24品 = 465.0000mm（两个八度）。</t>
    <phoneticPr fontId="2" type="noConversion"/>
  </si>
  <si>
    <t>4 实际制琴：下琴桥会后移 1~3mm 做音准补偿，高把位品丝另做 0.1~0.5mm 微调。</t>
    <phoneticPr fontId="2" type="noConversion"/>
  </si>
  <si>
    <r>
      <t xml:space="preserve">4:3 </t>
    </r>
    <r>
      <rPr>
        <b/>
        <sz val="11"/>
        <color rgb="FF00B050"/>
        <rFont val="宋体"/>
        <family val="3"/>
        <charset val="134"/>
      </rPr>
      <t>→</t>
    </r>
    <r>
      <rPr>
        <b/>
        <sz val="11"/>
        <color rgb="FF00B050"/>
        <rFont val="Calibri"/>
        <family val="2"/>
        <charset val="1"/>
      </rPr>
      <t xml:space="preserve"> </t>
    </r>
    <r>
      <rPr>
        <b/>
        <sz val="11"/>
        <color rgb="FF00B050"/>
        <rFont val="宋体"/>
        <family val="3"/>
        <charset val="134"/>
      </rPr>
      <t>纯四度</t>
    </r>
  </si>
  <si>
    <r>
      <t xml:space="preserve">2:1 </t>
    </r>
    <r>
      <rPr>
        <sz val="11"/>
        <color rgb="FFFF0000"/>
        <rFont val="宋体"/>
        <family val="3"/>
        <charset val="134"/>
      </rPr>
      <t>→</t>
    </r>
    <r>
      <rPr>
        <sz val="11"/>
        <color rgb="FFFF0000"/>
        <rFont val="Calibri"/>
        <family val="2"/>
        <charset val="1"/>
      </rPr>
      <t xml:space="preserve"> </t>
    </r>
    <r>
      <rPr>
        <sz val="11"/>
        <color rgb="FFFF0000"/>
        <rFont val="宋体"/>
        <family val="3"/>
        <charset val="134"/>
      </rPr>
      <t>纯八度</t>
    </r>
  </si>
  <si>
    <t>有效弦长 L (mm)：</t>
    <phoneticPr fontId="2" type="noConversion"/>
  </si>
  <si>
    <t>← 修改 B3，全表自动重算</t>
    <phoneticPr fontId="2" type="noConversion"/>
  </si>
  <si>
    <t>半音系数 r：</t>
    <phoneticPr fontId="2" type="noConversion"/>
  </si>
  <si>
    <t>(9/8)*(10/9)=5/4，一个大三度</t>
  </si>
  <si>
    <t>二者叠加得到纯律大三度386.31</t>
    <phoneticPr fontId="2" type="noConversion"/>
  </si>
  <si>
    <r>
      <t>计算基准：第n品距上弦枕距离 = L × (1 − r</t>
    </r>
    <r>
      <rPr>
        <i/>
        <sz val="11"/>
        <color rgb="FF595959"/>
        <rFont val="Arial Unicode MS"/>
        <family val="2"/>
        <charset val="134"/>
      </rPr>
      <t>ⁿ</t>
    </r>
    <r>
      <rPr>
        <i/>
        <sz val="11"/>
        <color rgb="FF595959"/>
        <rFont val="微软雅黑"/>
        <family val="2"/>
        <charset val="134"/>
      </rPr>
      <t>)，r = 2^(−1/12) ≈ 0.9438743；</t>
    </r>
    <phoneticPr fontId="2" type="noConversion"/>
  </si>
  <si>
    <t>16/15 纯律</t>
    <phoneticPr fontId="2" type="noConversion"/>
  </si>
  <si>
    <r>
      <t>‌</t>
    </r>
    <r>
      <rPr>
        <sz val="11"/>
        <color rgb="FF000000"/>
        <rFont val="宋体"/>
        <family val="3"/>
        <charset val="134"/>
      </rPr>
      <t>五度相生律</t>
    </r>
    <r>
      <rPr>
        <sz val="11"/>
        <color rgb="FF000000"/>
        <rFont val="Calibri"/>
        <family val="2"/>
        <charset val="1"/>
      </rPr>
      <t>‌</t>
    </r>
    <r>
      <rPr>
        <sz val="11"/>
        <color rgb="FF000000"/>
        <rFont val="宋体"/>
        <family val="3"/>
        <charset val="134"/>
      </rPr>
      <t>它的半音（</t>
    </r>
    <r>
      <rPr>
        <sz val="11"/>
        <color rgb="FF000000"/>
        <rFont val="Calibri"/>
        <family val="2"/>
        <charset val="1"/>
      </rPr>
      <t>256/243</t>
    </r>
    <r>
      <rPr>
        <sz val="11"/>
        <color rgb="FF000000"/>
        <rFont val="宋体"/>
        <family val="3"/>
        <charset val="134"/>
      </rPr>
      <t>）只有约</t>
    </r>
    <r>
      <rPr>
        <sz val="11"/>
        <color rgb="FF000000"/>
        <rFont val="Calibri"/>
        <family val="2"/>
        <charset val="1"/>
      </rPr>
      <t>90.2</t>
    </r>
    <r>
      <rPr>
        <sz val="11"/>
        <color rgb="FF000000"/>
        <rFont val="宋体"/>
        <family val="3"/>
        <charset val="134"/>
      </rPr>
      <t>音分</t>
    </r>
    <r>
      <rPr>
        <sz val="11"/>
        <color rgb="FF000000"/>
        <rFont val="Calibri"/>
        <family val="2"/>
        <charset val="1"/>
      </rPr>
      <t xml:space="preserve">
</t>
    </r>
    <r>
      <rPr>
        <sz val="11"/>
        <color rgb="FF000000"/>
        <rFont val="宋体"/>
        <family val="3"/>
        <charset val="134"/>
      </rPr>
      <t/>
    </r>
    <phoneticPr fontId="2" type="noConversion"/>
  </si>
  <si>
    <r>
      <t xml:space="preserve">纯律的标准半音比值是 </t>
    </r>
    <r>
      <rPr>
        <sz val="12"/>
        <color rgb="FF000000"/>
        <rFont val="宋体"/>
        <family val="1"/>
        <scheme val="minor"/>
      </rPr>
      <t>‌</t>
    </r>
    <r>
      <rPr>
        <sz val="12"/>
        <color rgb="FF333333"/>
        <rFont val="宋体"/>
        <family val="3"/>
        <charset val="134"/>
        <scheme val="minor"/>
      </rPr>
      <t>16/15</t>
    </r>
    <r>
      <rPr>
        <sz val="12"/>
        <color rgb="FF333333"/>
        <rFont val="宋体"/>
        <family val="2"/>
        <scheme val="minor"/>
      </rPr>
      <t>‌</t>
    </r>
    <r>
      <rPr>
        <sz val="12"/>
        <color rgb="FF333333"/>
        <rFont val="宋体"/>
        <family val="3"/>
        <charset val="134"/>
        <scheme val="minor"/>
      </rPr>
      <t>，约等于1.0667，对应约111.7音分，</t>
    </r>
    <phoneticPr fontId="2" type="noConversion"/>
  </si>
  <si>
    <r>
      <t>12</t>
    </r>
    <r>
      <rPr>
        <sz val="12"/>
        <color rgb="FF333333"/>
        <rFont val="宋体"/>
        <family val="3"/>
        <charset val="134"/>
      </rPr>
      <t>平均率每个半音</t>
    </r>
    <r>
      <rPr>
        <sz val="12"/>
        <color rgb="FF333333"/>
        <rFont val="Arial"/>
        <family val="2"/>
      </rPr>
      <t>100</t>
    </r>
    <r>
      <rPr>
        <sz val="12"/>
        <color rgb="FF333333"/>
        <rFont val="宋体"/>
        <family val="3"/>
        <charset val="134"/>
      </rPr>
      <t>音分，</t>
    </r>
    <r>
      <rPr>
        <sz val="12"/>
        <color rgb="FF333333"/>
        <rFont val="Arial"/>
        <family val="2"/>
      </rPr>
      <t>3</t>
    </r>
    <r>
      <rPr>
        <sz val="12"/>
        <color rgb="FF333333"/>
        <rFont val="宋体"/>
        <family val="3"/>
        <charset val="134"/>
      </rPr>
      <t>个半音相加</t>
    </r>
    <r>
      <rPr>
        <sz val="12"/>
        <color rgb="FF333333"/>
        <rFont val="Arial"/>
        <family val="2"/>
      </rPr>
      <t>300</t>
    </r>
    <r>
      <rPr>
        <sz val="12"/>
        <color rgb="FF333333"/>
        <rFont val="宋体"/>
        <family val="3"/>
        <charset val="134"/>
      </rPr>
      <t>音分，构成小三度</t>
    </r>
    <phoneticPr fontId="2" type="noConversion"/>
  </si>
  <si>
    <t>11/10*12/11=6/5，一个小三度</t>
    <phoneticPr fontId="2" type="noConversion"/>
  </si>
  <si>
    <t xml:space="preserve"> 11/10约为165音分，</t>
    <phoneticPr fontId="2" type="noConversion"/>
  </si>
  <si>
    <t>10/9是纯律小全音（约182.4音分），</t>
    <phoneticPr fontId="2" type="noConversion"/>
  </si>
  <si>
    <t xml:space="preserve"> 12/11约为150.6音分</t>
    <phoneticPr fontId="2" type="noConversion"/>
  </si>
  <si>
    <t>​二者叠加得到纯律小三度315.64</t>
    <phoneticPr fontId="2" type="noConversion"/>
  </si>
  <si>
    <r>
      <t>9/8​是纯律大全音（约203.9音分），</t>
    </r>
    <r>
      <rPr>
        <sz val="13.3"/>
        <color rgb="FF333333"/>
        <rFont val="Times New Roman"/>
        <family val="1"/>
      </rPr>
      <t/>
    </r>
    <phoneticPr fontId="2" type="noConversion"/>
  </si>
  <si>
    <t>纯律不能用标准半音去构成三度音；</t>
    <phoneticPr fontId="2" type="noConversion"/>
  </si>
</sst>
</file>

<file path=xl/styles.xml><?xml version="1.0" encoding="utf-8"?>
<styleSheet xmlns="http://schemas.openxmlformats.org/spreadsheetml/2006/main">
  <numFmts count="6">
    <numFmt numFmtId="176" formatCode="0.00_ "/>
    <numFmt numFmtId="177" formatCode="0.00_);[Red]\(0.00\)"/>
    <numFmt numFmtId="178" formatCode="0.0000000"/>
    <numFmt numFmtId="179" formatCode="0.0000"/>
    <numFmt numFmtId="180" formatCode="0.000000"/>
    <numFmt numFmtId="181" formatCode="0.0000_);[Red]\(0.0000\)"/>
  </numFmts>
  <fonts count="41">
    <font>
      <sz val="11"/>
      <color theme="1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vertAlign val="superscript"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vertAlign val="superscript"/>
      <sz val="10"/>
      <color theme="1"/>
      <name val="宋体"/>
      <family val="3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theme="0"/>
      <name val="宋体"/>
      <family val="3"/>
      <charset val="134"/>
      <scheme val="minor"/>
    </font>
    <font>
      <b/>
      <vertAlign val="superscript"/>
      <sz val="10"/>
      <color theme="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</font>
    <font>
      <b/>
      <sz val="14"/>
      <name val="微软雅黑"/>
      <family val="2"/>
      <charset val="134"/>
    </font>
    <font>
      <i/>
      <sz val="9"/>
      <color rgb="FF595959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rgb="FF0000FF"/>
      <name val="微软雅黑"/>
      <family val="2"/>
      <charset val="134"/>
    </font>
    <font>
      <sz val="11"/>
      <name val="微软雅黑"/>
      <family val="2"/>
      <charset val="134"/>
    </font>
    <font>
      <sz val="10"/>
      <name val="微软雅黑"/>
      <family val="2"/>
      <charset val="134"/>
    </font>
    <font>
      <sz val="11"/>
      <color rgb="FFFF0000"/>
      <name val="宋体"/>
      <family val="2"/>
      <charset val="134"/>
      <scheme val="minor"/>
    </font>
    <font>
      <sz val="11"/>
      <color rgb="FFFF0000"/>
      <name val="微软雅黑"/>
      <family val="2"/>
      <charset val="134"/>
    </font>
    <font>
      <sz val="11"/>
      <color rgb="FF000000"/>
      <name val="宋体"/>
      <family val="3"/>
      <charset val="134"/>
    </font>
    <font>
      <sz val="11"/>
      <color rgb="FFFF0000"/>
      <name val="Calibri"/>
      <family val="2"/>
      <charset val="1"/>
    </font>
    <font>
      <b/>
      <sz val="11"/>
      <color rgb="FFFFFFFF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1"/>
      <color rgb="FF0070C0"/>
      <name val="微软雅黑"/>
      <family val="2"/>
      <charset val="134"/>
    </font>
    <font>
      <b/>
      <sz val="11"/>
      <color rgb="FF0070C0"/>
      <name val="宋体"/>
      <family val="3"/>
      <charset val="134"/>
    </font>
    <font>
      <b/>
      <sz val="11"/>
      <color rgb="FF0070C0"/>
      <name val="Calibri"/>
      <family val="2"/>
      <charset val="1"/>
    </font>
    <font>
      <b/>
      <sz val="11"/>
      <color rgb="FF00B050"/>
      <name val="微软雅黑"/>
      <family val="2"/>
      <charset val="134"/>
    </font>
    <font>
      <b/>
      <sz val="11"/>
      <color rgb="FF00B050"/>
      <name val="宋体"/>
      <family val="3"/>
      <charset val="134"/>
    </font>
    <font>
      <b/>
      <sz val="11"/>
      <color rgb="FF00B050"/>
      <name val="Calibri"/>
      <family val="2"/>
      <charset val="1"/>
    </font>
    <font>
      <sz val="11"/>
      <color rgb="FFFF0000"/>
      <name val="宋体"/>
      <family val="3"/>
      <charset val="134"/>
    </font>
    <font>
      <sz val="13.3"/>
      <color rgb="FF333333"/>
      <name val="Times New Roman"/>
      <family val="1"/>
    </font>
    <font>
      <sz val="12"/>
      <color rgb="FF333333"/>
      <name val="Arial"/>
      <family val="2"/>
    </font>
    <font>
      <sz val="12"/>
      <color rgb="FF333333"/>
      <name val="宋体"/>
      <family val="3"/>
      <charset val="134"/>
    </font>
    <font>
      <sz val="12"/>
      <color rgb="FF000000"/>
      <name val="宋体"/>
      <family val="3"/>
      <charset val="134"/>
      <scheme val="minor"/>
    </font>
    <font>
      <sz val="12"/>
      <color rgb="FF000000"/>
      <name val="宋体"/>
      <family val="1"/>
      <scheme val="minor"/>
    </font>
    <font>
      <sz val="12"/>
      <color rgb="FF333333"/>
      <name val="宋体"/>
      <family val="3"/>
      <charset val="134"/>
      <scheme val="minor"/>
    </font>
    <font>
      <sz val="12"/>
      <color rgb="FF333333"/>
      <name val="宋体"/>
      <family val="2"/>
      <scheme val="minor"/>
    </font>
    <font>
      <i/>
      <sz val="11"/>
      <color rgb="FF595959"/>
      <name val="微软雅黑"/>
      <family val="2"/>
      <charset val="134"/>
    </font>
    <font>
      <i/>
      <sz val="11"/>
      <color rgb="FF595959"/>
      <name val="Arial Unicode MS"/>
      <family val="2"/>
      <charset val="134"/>
    </font>
    <font>
      <sz val="11"/>
      <color rgb="FF333333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1454817346722"/>
        <bgColor indexed="64"/>
      </patternFill>
    </fill>
    <fill>
      <patternFill patternType="solid">
        <fgColor rgb="FFFFF2CC"/>
        <bgColor rgb="FFFFFFFF"/>
      </patternFill>
    </fill>
    <fill>
      <patternFill patternType="solid">
        <fgColor rgb="FF4472C4"/>
        <bgColor rgb="FF0066CC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>
      <alignment vertical="center"/>
    </xf>
    <xf numFmtId="0" fontId="10" fillId="0" borderId="0"/>
    <xf numFmtId="0" fontId="11" fillId="0" borderId="0"/>
  </cellStyleXfs>
  <cellXfs count="9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5" borderId="0" xfId="0" applyFill="1" applyBorder="1">
      <alignment vertical="center"/>
    </xf>
    <xf numFmtId="0" fontId="0" fillId="0" borderId="0" xfId="0" applyFill="1" applyBorder="1">
      <alignment vertical="center"/>
    </xf>
    <xf numFmtId="0" fontId="0" fillId="3" borderId="0" xfId="0" applyFill="1" applyBorder="1">
      <alignment vertical="center"/>
    </xf>
    <xf numFmtId="0" fontId="0" fillId="7" borderId="0" xfId="0" applyFill="1" applyBorder="1">
      <alignment vertical="center"/>
    </xf>
    <xf numFmtId="0" fontId="0" fillId="6" borderId="0" xfId="0" applyFill="1" applyBorder="1">
      <alignment vertical="center"/>
    </xf>
    <xf numFmtId="0" fontId="0" fillId="4" borderId="0" xfId="0" applyFill="1" applyBorder="1">
      <alignment vertical="center"/>
    </xf>
    <xf numFmtId="0" fontId="0" fillId="2" borderId="0" xfId="0" applyFill="1" applyBorder="1">
      <alignment vertical="center"/>
    </xf>
    <xf numFmtId="0" fontId="0" fillId="8" borderId="0" xfId="0" applyFill="1" applyBorder="1">
      <alignment vertical="center"/>
    </xf>
    <xf numFmtId="176" fontId="0" fillId="5" borderId="0" xfId="0" applyNumberFormat="1" applyFill="1" applyBorder="1">
      <alignment vertical="center"/>
    </xf>
    <xf numFmtId="176" fontId="0" fillId="0" borderId="0" xfId="0" applyNumberFormat="1" applyFill="1" applyBorder="1">
      <alignment vertical="center"/>
    </xf>
    <xf numFmtId="176" fontId="0" fillId="3" borderId="0" xfId="0" applyNumberFormat="1" applyFill="1" applyBorder="1">
      <alignment vertical="center"/>
    </xf>
    <xf numFmtId="176" fontId="0" fillId="7" borderId="0" xfId="0" applyNumberFormat="1" applyFill="1" applyBorder="1">
      <alignment vertical="center"/>
    </xf>
    <xf numFmtId="176" fontId="0" fillId="6" borderId="0" xfId="0" applyNumberFormat="1" applyFill="1" applyBorder="1">
      <alignment vertical="center"/>
    </xf>
    <xf numFmtId="176" fontId="0" fillId="4" borderId="0" xfId="0" applyNumberFormat="1" applyFill="1" applyBorder="1">
      <alignment vertical="center"/>
    </xf>
    <xf numFmtId="176" fontId="0" fillId="2" borderId="0" xfId="0" applyNumberFormat="1" applyFill="1" applyBorder="1">
      <alignment vertical="center"/>
    </xf>
    <xf numFmtId="176" fontId="0" fillId="0" borderId="0" xfId="0" applyNumberForma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4" fillId="0" borderId="0" xfId="0" applyFont="1" applyBorder="1">
      <alignment vertical="center"/>
    </xf>
    <xf numFmtId="176" fontId="0" fillId="8" borderId="0" xfId="0" applyNumberFormat="1" applyFill="1" applyBorder="1">
      <alignment vertical="center"/>
    </xf>
    <xf numFmtId="0" fontId="0" fillId="0" borderId="7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5" xfId="0" applyBorder="1" applyAlignment="1">
      <alignment horizontal="right" vertical="center"/>
    </xf>
    <xf numFmtId="0" fontId="0" fillId="8" borderId="5" xfId="0" applyFill="1" applyBorder="1">
      <alignment vertical="center"/>
    </xf>
    <xf numFmtId="176" fontId="0" fillId="0" borderId="5" xfId="0" applyNumberFormat="1" applyBorder="1">
      <alignment vertical="center"/>
    </xf>
    <xf numFmtId="0" fontId="0" fillId="7" borderId="2" xfId="0" applyFill="1" applyBorder="1">
      <alignment vertical="center"/>
    </xf>
    <xf numFmtId="0" fontId="0" fillId="6" borderId="2" xfId="0" applyFill="1" applyBorder="1">
      <alignment vertical="center"/>
    </xf>
    <xf numFmtId="0" fontId="0" fillId="0" borderId="7" xfId="0" applyBorder="1" applyAlignment="1">
      <alignment horizontal="right" vertical="center"/>
    </xf>
    <xf numFmtId="0" fontId="0" fillId="7" borderId="7" xfId="0" applyFill="1" applyBorder="1" applyAlignment="1">
      <alignment horizontal="right" vertical="center"/>
    </xf>
    <xf numFmtId="0" fontId="0" fillId="6" borderId="7" xfId="0" applyFill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176" fontId="6" fillId="7" borderId="0" xfId="0" applyNumberFormat="1" applyFont="1" applyFill="1" applyBorder="1">
      <alignment vertical="center"/>
    </xf>
    <xf numFmtId="176" fontId="6" fillId="8" borderId="5" xfId="0" applyNumberFormat="1" applyFont="1" applyFill="1" applyBorder="1">
      <alignment vertical="center"/>
    </xf>
    <xf numFmtId="0" fontId="7" fillId="9" borderId="9" xfId="0" applyFont="1" applyFill="1" applyBorder="1" applyAlignment="1">
      <alignment horizontal="center" vertical="center"/>
    </xf>
    <xf numFmtId="177" fontId="0" fillId="0" borderId="9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76" fontId="1" fillId="0" borderId="9" xfId="0" applyNumberFormat="1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177" fontId="9" fillId="0" borderId="9" xfId="0" applyNumberFormat="1" applyFont="1" applyFill="1" applyBorder="1" applyAlignment="1">
      <alignment horizontal="center" vertical="center"/>
    </xf>
    <xf numFmtId="176" fontId="9" fillId="0" borderId="9" xfId="0" applyNumberFormat="1" applyFont="1" applyFill="1" applyBorder="1" applyAlignment="1">
      <alignment horizontal="center" vertical="center"/>
    </xf>
    <xf numFmtId="0" fontId="11" fillId="0" borderId="0" xfId="2"/>
    <xf numFmtId="0" fontId="14" fillId="0" borderId="0" xfId="2" applyFont="1"/>
    <xf numFmtId="0" fontId="15" fillId="10" borderId="10" xfId="2" applyFont="1" applyFill="1" applyBorder="1" applyAlignment="1">
      <alignment horizontal="center" vertical="center"/>
    </xf>
    <xf numFmtId="178" fontId="15" fillId="10" borderId="10" xfId="2" applyNumberFormat="1" applyFont="1" applyFill="1" applyBorder="1" applyAlignment="1">
      <alignment horizontal="center" vertical="center"/>
    </xf>
    <xf numFmtId="0" fontId="13" fillId="0" borderId="0" xfId="2" applyFont="1"/>
    <xf numFmtId="0" fontId="14" fillId="0" borderId="10" xfId="2" applyFont="1" applyBorder="1" applyAlignment="1">
      <alignment horizontal="center" vertical="center"/>
    </xf>
    <xf numFmtId="179" fontId="16" fillId="0" borderId="10" xfId="2" applyNumberFormat="1" applyFont="1" applyBorder="1" applyAlignment="1">
      <alignment horizontal="center" vertical="center"/>
    </xf>
    <xf numFmtId="179" fontId="11" fillId="0" borderId="10" xfId="2" applyNumberForma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180" fontId="16" fillId="0" borderId="10" xfId="2" applyNumberFormat="1" applyFont="1" applyBorder="1" applyAlignment="1">
      <alignment horizontal="center" vertical="center"/>
    </xf>
    <xf numFmtId="0" fontId="17" fillId="0" borderId="0" xfId="2" applyFont="1"/>
    <xf numFmtId="179" fontId="19" fillId="0" borderId="10" xfId="2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176" fontId="18" fillId="0" borderId="0" xfId="0" applyNumberFormat="1" applyFont="1" applyFill="1" applyBorder="1">
      <alignment vertical="center"/>
    </xf>
    <xf numFmtId="176" fontId="18" fillId="5" borderId="0" xfId="0" applyNumberFormat="1" applyFont="1" applyFill="1" applyBorder="1">
      <alignment vertical="center"/>
    </xf>
    <xf numFmtId="176" fontId="18" fillId="3" borderId="0" xfId="0" applyNumberFormat="1" applyFont="1" applyFill="1" applyBorder="1">
      <alignment vertical="center"/>
    </xf>
    <xf numFmtId="176" fontId="18" fillId="7" borderId="0" xfId="0" applyNumberFormat="1" applyFont="1" applyFill="1" applyBorder="1">
      <alignment vertical="center"/>
    </xf>
    <xf numFmtId="176" fontId="18" fillId="6" borderId="0" xfId="0" applyNumberFormat="1" applyFont="1" applyFill="1" applyBorder="1">
      <alignment vertical="center"/>
    </xf>
    <xf numFmtId="176" fontId="18" fillId="4" borderId="0" xfId="0" applyNumberFormat="1" applyFont="1" applyFill="1" applyBorder="1">
      <alignment vertical="center"/>
    </xf>
    <xf numFmtId="176" fontId="18" fillId="2" borderId="0" xfId="0" applyNumberFormat="1" applyFont="1" applyFill="1" applyBorder="1">
      <alignment vertical="center"/>
    </xf>
    <xf numFmtId="181" fontId="0" fillId="0" borderId="0" xfId="0" applyNumberFormat="1" applyFill="1" applyAlignment="1">
      <alignment horizontal="center" vertical="center"/>
    </xf>
    <xf numFmtId="0" fontId="12" fillId="0" borderId="0" xfId="2" applyFont="1" applyBorder="1" applyAlignment="1">
      <alignment vertical="center"/>
    </xf>
    <xf numFmtId="0" fontId="13" fillId="0" borderId="0" xfId="2" applyFont="1" applyBorder="1" applyAlignment="1">
      <alignment vertical="center"/>
    </xf>
    <xf numFmtId="0" fontId="22" fillId="11" borderId="10" xfId="2" applyFont="1" applyFill="1" applyBorder="1" applyAlignment="1">
      <alignment horizontal="center" vertical="center" wrapText="1"/>
    </xf>
    <xf numFmtId="0" fontId="23" fillId="0" borderId="0" xfId="2" applyFont="1"/>
    <xf numFmtId="181" fontId="22" fillId="11" borderId="10" xfId="2" applyNumberFormat="1" applyFont="1" applyFill="1" applyBorder="1" applyAlignment="1">
      <alignment horizontal="center" vertical="center" wrapText="1"/>
    </xf>
    <xf numFmtId="181" fontId="11" fillId="0" borderId="10" xfId="2" applyNumberFormat="1" applyFont="1" applyBorder="1" applyAlignment="1">
      <alignment horizontal="center" vertical="center"/>
    </xf>
    <xf numFmtId="181" fontId="16" fillId="0" borderId="10" xfId="2" applyNumberFormat="1" applyFont="1" applyBorder="1" applyAlignment="1">
      <alignment horizontal="center" vertical="center"/>
    </xf>
    <xf numFmtId="181" fontId="19" fillId="0" borderId="10" xfId="2" applyNumberFormat="1" applyFont="1" applyBorder="1" applyAlignment="1">
      <alignment horizontal="center" vertical="center"/>
    </xf>
    <xf numFmtId="179" fontId="24" fillId="0" borderId="10" xfId="2" applyNumberFormat="1" applyFont="1" applyBorder="1" applyAlignment="1">
      <alignment horizontal="center" vertical="center"/>
    </xf>
    <xf numFmtId="180" fontId="24" fillId="0" borderId="10" xfId="2" applyNumberFormat="1" applyFont="1" applyBorder="1" applyAlignment="1">
      <alignment horizontal="center" vertical="center"/>
    </xf>
    <xf numFmtId="0" fontId="20" fillId="0" borderId="0" xfId="2" applyFont="1"/>
    <xf numFmtId="180" fontId="27" fillId="0" borderId="10" xfId="2" applyNumberFormat="1" applyFont="1" applyBorder="1" applyAlignment="1">
      <alignment horizontal="center" vertical="center"/>
    </xf>
    <xf numFmtId="179" fontId="27" fillId="0" borderId="10" xfId="2" applyNumberFormat="1" applyFont="1" applyBorder="1" applyAlignment="1">
      <alignment horizontal="center" vertical="center"/>
    </xf>
    <xf numFmtId="181" fontId="27" fillId="0" borderId="10" xfId="2" applyNumberFormat="1" applyFont="1" applyBorder="1" applyAlignment="1">
      <alignment horizontal="center" vertical="center"/>
    </xf>
    <xf numFmtId="181" fontId="24" fillId="0" borderId="10" xfId="2" applyNumberFormat="1" applyFont="1" applyBorder="1" applyAlignment="1">
      <alignment horizontal="center" vertical="center"/>
    </xf>
    <xf numFmtId="180" fontId="19" fillId="0" borderId="10" xfId="2" applyNumberFormat="1" applyFont="1" applyBorder="1" applyAlignment="1">
      <alignment horizontal="center" vertical="center"/>
    </xf>
    <xf numFmtId="0" fontId="34" fillId="0" borderId="0" xfId="2" applyFont="1"/>
    <xf numFmtId="0" fontId="38" fillId="0" borderId="0" xfId="2" applyFont="1" applyBorder="1" applyAlignment="1">
      <alignment vertical="center"/>
    </xf>
    <xf numFmtId="0" fontId="40" fillId="0" borderId="0" xfId="0" applyFont="1">
      <alignment vertical="center"/>
    </xf>
    <xf numFmtId="0" fontId="0" fillId="0" borderId="0" xfId="0" applyBorder="1" applyAlignment="1">
      <alignment horizontal="center" vertical="center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品格宽度随品号变化（等比递减）</a:t>
            </a:r>
          </a:p>
        </c:rich>
      </c:tx>
      <c:layout>
        <c:manualLayout>
          <c:xMode val="edge"/>
          <c:yMode val="edge"/>
          <c:x val="9.1888297872340402E-2"/>
          <c:y val="2.7027027027027039E-2"/>
        </c:manualLayout>
      </c:layout>
      <c:spPr>
        <a:noFill/>
        <a:ln w="0">
          <a:noFill/>
        </a:ln>
      </c:spPr>
    </c:title>
    <c:plotArea>
      <c:layout>
        <c:manualLayout>
          <c:layoutTarget val="inner"/>
          <c:xMode val="edge"/>
          <c:yMode val="edge"/>
          <c:x val="0.22646506952588374"/>
          <c:y val="0.19792376037454776"/>
          <c:w val="0.77087535600603141"/>
          <c:h val="0.5876138540114918"/>
        </c:manualLayout>
      </c:layout>
      <c:lineChart>
        <c:grouping val="standard"/>
        <c:ser>
          <c:idx val="0"/>
          <c:order val="0"/>
          <c:tx>
            <c:strRef>
              <c:f>'620mm品丝位置计算'!$C$4</c:f>
              <c:strCache>
                <c:ptCount val="1"/>
                <c:pt idx="0">
                  <c:v>品格宽度(mm)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cat>
            <c:numRef>
              <c:f>'620mm品丝位置计算'!$A$5:$A$29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'620mm品丝位置计算'!$C$5:$C$29</c:f>
              <c:numCache>
                <c:formatCode>0.0000</c:formatCode>
                <c:ptCount val="25"/>
                <c:pt idx="0">
                  <c:v>0</c:v>
                </c:pt>
                <c:pt idx="1">
                  <c:v>34.797926137350082</c:v>
                </c:pt>
                <c:pt idx="2">
                  <c:v>32.844868615639633</c:v>
                </c:pt>
                <c:pt idx="3">
                  <c:v>31.001427789707364</c:v>
                </c:pt>
                <c:pt idx="4">
                  <c:v>29.261451347161255</c:v>
                </c:pt>
                <c:pt idx="5">
                  <c:v>27.6191322783706</c:v>
                </c:pt>
                <c:pt idx="6">
                  <c:v>26.06898949611184</c:v>
                </c:pt>
                <c:pt idx="7">
                  <c:v>24.605849542948789</c:v>
                </c:pt>
                <c:pt idx="8">
                  <c:v>23.224829325300021</c:v>
                </c:pt>
                <c:pt idx="9">
                  <c:v>21.921319816567177</c:v>
                </c:pt>
                <c:pt idx="10">
                  <c:v>20.690970674937859</c:v>
                </c:pt>
                <c:pt idx="11">
                  <c:v>19.529675724524111</c:v>
                </c:pt>
                <c:pt idx="12">
                  <c:v>18.433559251381553</c:v>
                </c:pt>
                <c:pt idx="13">
                  <c:v>17.398963068675073</c:v>
                </c:pt>
                <c:pt idx="14">
                  <c:v>16.422434307819799</c:v>
                </c:pt>
                <c:pt idx="15">
                  <c:v>15.500713894853675</c:v>
                </c:pt>
                <c:pt idx="16">
                  <c:v>14.630725673580571</c:v>
                </c:pt>
                <c:pt idx="17">
                  <c:v>13.809566139185279</c:v>
                </c:pt>
                <c:pt idx="18">
                  <c:v>13.034494748055863</c:v>
                </c:pt>
                <c:pt idx="19">
                  <c:v>12.302924771474466</c:v>
                </c:pt>
                <c:pt idx="20">
                  <c:v>11.612414662649996</c:v>
                </c:pt>
                <c:pt idx="21">
                  <c:v>10.96065990828356</c:v>
                </c:pt>
                <c:pt idx="22">
                  <c:v>10.345485337468972</c:v>
                </c:pt>
                <c:pt idx="23">
                  <c:v>9.7648378622620271</c:v>
                </c:pt>
                <c:pt idx="24">
                  <c:v>9.2167796256907195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84373248"/>
        <c:axId val="184375168"/>
      </c:lineChart>
      <c:catAx>
        <c:axId val="184373248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品号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zh-CN"/>
          </a:p>
        </c:txPr>
        <c:crossAx val="184375168"/>
        <c:crosses val="autoZero"/>
        <c:auto val="1"/>
        <c:lblAlgn val="ctr"/>
        <c:lblOffset val="100"/>
      </c:catAx>
      <c:valAx>
        <c:axId val="184375168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品格宽度 (mm)</a:t>
                </a:r>
              </a:p>
            </c:rich>
          </c:tx>
          <c:layout/>
          <c:spPr>
            <a:noFill/>
            <a:ln w="0">
              <a:noFill/>
            </a:ln>
          </c:spPr>
        </c:title>
        <c:numFmt formatCode="0.0000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zh-CN"/>
          </a:p>
        </c:txPr>
        <c:crossAx val="184373248"/>
        <c:crosses val="autoZero"/>
        <c:crossBetween val="between"/>
      </c:valAx>
    </c:plotArea>
    <c:legend>
      <c:legendPos val="t"/>
      <c:layout/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31750</xdr:colOff>
      <xdr:row>4</xdr:row>
      <xdr:rowOff>44450</xdr:rowOff>
    </xdr:from>
    <xdr:to>
      <xdr:col>16</xdr:col>
      <xdr:colOff>539750</xdr:colOff>
      <xdr:row>22</xdr:row>
      <xdr:rowOff>31750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0</xdr:row>
      <xdr:rowOff>19053</xdr:rowOff>
    </xdr:from>
    <xdr:to>
      <xdr:col>13</xdr:col>
      <xdr:colOff>261600</xdr:colOff>
      <xdr:row>3</xdr:row>
      <xdr:rowOff>343115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4950" y="19053"/>
          <a:ext cx="2700000" cy="9971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4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6" sqref="I6"/>
    </sheetView>
  </sheetViews>
  <sheetFormatPr defaultColWidth="8.7265625" defaultRowHeight="14.5"/>
  <cols>
    <col min="1" max="1" width="4" style="54" customWidth="1"/>
    <col min="2" max="3" width="10.36328125" style="54" customWidth="1"/>
    <col min="4" max="4" width="11.54296875" style="54" customWidth="1"/>
    <col min="5" max="5" width="10.36328125" style="54" customWidth="1"/>
    <col min="6" max="6" width="11.7265625" style="54" customWidth="1"/>
    <col min="7" max="7" width="12" style="54" customWidth="1"/>
    <col min="8" max="8" width="11" style="54" bestFit="1" customWidth="1"/>
    <col min="9" max="9" width="12.90625" style="54" customWidth="1"/>
    <col min="10" max="16384" width="8.7265625" style="54"/>
  </cols>
  <sheetData>
    <row r="1" spans="1:9" ht="20">
      <c r="B1" s="76" t="s">
        <v>88</v>
      </c>
      <c r="C1" s="76"/>
      <c r="D1" s="76"/>
      <c r="E1" s="93" t="s">
        <v>89</v>
      </c>
      <c r="F1" s="76"/>
      <c r="G1" s="76"/>
    </row>
    <row r="2" spans="1:9" ht="16.5">
      <c r="B2" s="93" t="s">
        <v>104</v>
      </c>
      <c r="C2" s="77"/>
      <c r="D2" s="77"/>
      <c r="E2" s="77"/>
      <c r="F2" s="77"/>
      <c r="G2" s="77"/>
      <c r="I2" s="54">
        <f>2^(1/12)</f>
        <v>1.0594630943592953</v>
      </c>
    </row>
    <row r="3" spans="1:9" ht="16.5">
      <c r="B3" s="55" t="s">
        <v>99</v>
      </c>
      <c r="D3" s="56">
        <v>620</v>
      </c>
      <c r="E3" s="58" t="s">
        <v>100</v>
      </c>
      <c r="H3" s="55" t="s">
        <v>101</v>
      </c>
      <c r="I3" s="57">
        <f>2^(-1/12)</f>
        <v>0.94387431268169342</v>
      </c>
    </row>
    <row r="4" spans="1:9" ht="28">
      <c r="A4" s="78" t="s">
        <v>56</v>
      </c>
      <c r="B4" s="78" t="s">
        <v>58</v>
      </c>
      <c r="C4" s="78" t="s">
        <v>59</v>
      </c>
      <c r="D4" s="78" t="s">
        <v>60</v>
      </c>
      <c r="E4" s="78" t="s">
        <v>61</v>
      </c>
      <c r="F4" s="78" t="s">
        <v>62</v>
      </c>
      <c r="G4" s="78" t="s">
        <v>63</v>
      </c>
      <c r="H4" s="80" t="s">
        <v>90</v>
      </c>
      <c r="I4" s="78"/>
    </row>
    <row r="5" spans="1:9" ht="16.5">
      <c r="A5" s="59">
        <v>0</v>
      </c>
      <c r="B5" s="60">
        <f t="shared" ref="B5:B29" si="0">$D$3*(1-$I$3^A5)</f>
        <v>0</v>
      </c>
      <c r="C5" s="61">
        <v>0</v>
      </c>
      <c r="D5" s="62" t="s">
        <v>57</v>
      </c>
      <c r="E5" s="62" t="s">
        <v>57</v>
      </c>
      <c r="F5" s="60">
        <f t="shared" ref="F5:F29" si="1">$D$3-B5</f>
        <v>620</v>
      </c>
      <c r="G5" s="62" t="s">
        <v>57</v>
      </c>
      <c r="H5" s="81"/>
      <c r="I5" s="62">
        <f>16/15</f>
        <v>1.0666666666666667</v>
      </c>
    </row>
    <row r="6" spans="1:9" ht="16.5">
      <c r="A6" s="59">
        <v>1</v>
      </c>
      <c r="B6" s="60">
        <f t="shared" si="0"/>
        <v>34.797926137350082</v>
      </c>
      <c r="C6" s="60">
        <f t="shared" ref="C6:C29" si="2">B6-B5</f>
        <v>34.797926137350082</v>
      </c>
      <c r="D6" s="62" t="s">
        <v>57</v>
      </c>
      <c r="E6" s="62" t="s">
        <v>57</v>
      </c>
      <c r="F6" s="60">
        <f t="shared" si="1"/>
        <v>585.20207386264997</v>
      </c>
      <c r="G6" s="63">
        <f t="shared" ref="G6:G29" si="3">F6/F5</f>
        <v>0.94387431268169353</v>
      </c>
      <c r="H6" s="82">
        <f t="shared" ref="H6:H29" si="4">+B6/$D$3</f>
        <v>5.6125687318306583E-2</v>
      </c>
      <c r="I6" s="63" t="s">
        <v>105</v>
      </c>
    </row>
    <row r="7" spans="1:9" ht="16.5">
      <c r="A7" s="59">
        <v>2</v>
      </c>
      <c r="B7" s="60">
        <f t="shared" si="0"/>
        <v>67.642794752989715</v>
      </c>
      <c r="C7" s="60">
        <f t="shared" si="2"/>
        <v>32.844868615639633</v>
      </c>
      <c r="D7" s="63">
        <f t="shared" ref="D7:D29" si="5">C7/C6</f>
        <v>0.94387431268169308</v>
      </c>
      <c r="E7" s="63">
        <f t="shared" ref="E7:E29" si="6">C6/C7</f>
        <v>1.0594630943592958</v>
      </c>
      <c r="F7" s="60">
        <f t="shared" si="1"/>
        <v>552.35720524701026</v>
      </c>
      <c r="G7" s="63">
        <f t="shared" si="3"/>
        <v>0.94387431268169331</v>
      </c>
      <c r="H7" s="82">
        <f t="shared" si="4"/>
        <v>0.10910128185966084</v>
      </c>
      <c r="I7" s="63"/>
    </row>
    <row r="8" spans="1:9" ht="16.5">
      <c r="A8" s="59">
        <v>3</v>
      </c>
      <c r="B8" s="60">
        <f t="shared" si="0"/>
        <v>98.644222542697079</v>
      </c>
      <c r="C8" s="60">
        <f t="shared" si="2"/>
        <v>31.001427789707364</v>
      </c>
      <c r="D8" s="63">
        <f t="shared" si="5"/>
        <v>0.94387431268169286</v>
      </c>
      <c r="E8" s="63">
        <f t="shared" si="6"/>
        <v>1.059463094359296</v>
      </c>
      <c r="F8" s="60">
        <f t="shared" si="1"/>
        <v>521.35577745730291</v>
      </c>
      <c r="G8" s="63">
        <f t="shared" si="3"/>
        <v>0.94387431268169353</v>
      </c>
      <c r="H8" s="82">
        <f t="shared" si="4"/>
        <v>0.15910358474628561</v>
      </c>
      <c r="I8" s="63" t="s">
        <v>65</v>
      </c>
    </row>
    <row r="9" spans="1:9" ht="16.5">
      <c r="A9" s="59">
        <v>4</v>
      </c>
      <c r="B9" s="60">
        <f t="shared" si="0"/>
        <v>127.90567388985833</v>
      </c>
      <c r="C9" s="60">
        <f t="shared" si="2"/>
        <v>29.261451347161255</v>
      </c>
      <c r="D9" s="63">
        <f t="shared" si="5"/>
        <v>0.94387431268169564</v>
      </c>
      <c r="E9" s="63">
        <f t="shared" si="6"/>
        <v>1.0594630943592929</v>
      </c>
      <c r="F9" s="60">
        <f t="shared" si="1"/>
        <v>492.09432611014165</v>
      </c>
      <c r="G9" s="63">
        <f t="shared" si="3"/>
        <v>0.94387431268169331</v>
      </c>
      <c r="H9" s="82">
        <f t="shared" si="4"/>
        <v>0.20629947401590054</v>
      </c>
      <c r="I9" s="63" t="s">
        <v>64</v>
      </c>
    </row>
    <row r="10" spans="1:9" ht="16.5">
      <c r="A10" s="59">
        <v>5</v>
      </c>
      <c r="B10" s="88">
        <f t="shared" si="0"/>
        <v>155.52480616822893</v>
      </c>
      <c r="C10" s="60">
        <f t="shared" si="2"/>
        <v>27.6191322783706</v>
      </c>
      <c r="D10" s="63">
        <f t="shared" si="5"/>
        <v>0.94387431268169197</v>
      </c>
      <c r="E10" s="63">
        <f t="shared" si="6"/>
        <v>1.0594630943592969</v>
      </c>
      <c r="F10" s="60">
        <f t="shared" si="1"/>
        <v>464.47519383177109</v>
      </c>
      <c r="G10" s="63">
        <f t="shared" si="3"/>
        <v>0.94387431268169353</v>
      </c>
      <c r="H10" s="89">
        <f t="shared" si="4"/>
        <v>0.25084646156165957</v>
      </c>
      <c r="I10" s="87" t="s">
        <v>97</v>
      </c>
    </row>
    <row r="11" spans="1:9" ht="16.5">
      <c r="A11" s="59">
        <v>6</v>
      </c>
      <c r="B11" s="60">
        <f t="shared" si="0"/>
        <v>181.59379566434077</v>
      </c>
      <c r="C11" s="60">
        <f t="shared" si="2"/>
        <v>26.06898949611184</v>
      </c>
      <c r="D11" s="63">
        <f t="shared" si="5"/>
        <v>0.94387431268169397</v>
      </c>
      <c r="E11" s="63">
        <f t="shared" si="6"/>
        <v>1.0594630943592946</v>
      </c>
      <c r="F11" s="60">
        <f t="shared" si="1"/>
        <v>438.40620433565925</v>
      </c>
      <c r="G11" s="63">
        <f t="shared" si="3"/>
        <v>0.94387431268169342</v>
      </c>
      <c r="H11" s="82">
        <f t="shared" si="4"/>
        <v>0.29289321881345287</v>
      </c>
      <c r="I11" s="63"/>
    </row>
    <row r="12" spans="1:9" ht="16.5">
      <c r="A12" s="59">
        <v>7</v>
      </c>
      <c r="B12" s="84">
        <f t="shared" si="0"/>
        <v>206.19964520728956</v>
      </c>
      <c r="C12" s="60">
        <f t="shared" si="2"/>
        <v>24.605849542948789</v>
      </c>
      <c r="D12" s="63">
        <f t="shared" si="5"/>
        <v>0.9438743126816912</v>
      </c>
      <c r="E12" s="63">
        <f t="shared" si="6"/>
        <v>1.059463094359298</v>
      </c>
      <c r="F12" s="60">
        <f t="shared" si="1"/>
        <v>413.80035479271044</v>
      </c>
      <c r="G12" s="63">
        <f t="shared" si="3"/>
        <v>0.94387431268169342</v>
      </c>
      <c r="H12" s="90">
        <f t="shared" si="4"/>
        <v>0.33258007291498315</v>
      </c>
      <c r="I12" s="85" t="s">
        <v>91</v>
      </c>
    </row>
    <row r="13" spans="1:9" ht="16.5">
      <c r="A13" s="59">
        <v>8</v>
      </c>
      <c r="B13" s="60">
        <f t="shared" si="0"/>
        <v>229.42447453258958</v>
      </c>
      <c r="C13" s="60">
        <f t="shared" si="2"/>
        <v>23.224829325300021</v>
      </c>
      <c r="D13" s="63">
        <f t="shared" si="5"/>
        <v>0.94387431268169641</v>
      </c>
      <c r="E13" s="63">
        <f t="shared" si="6"/>
        <v>1.059463094359292</v>
      </c>
      <c r="F13" s="60">
        <f t="shared" si="1"/>
        <v>390.57552546741044</v>
      </c>
      <c r="G13" s="63">
        <f t="shared" si="3"/>
        <v>0.94387431268169342</v>
      </c>
      <c r="H13" s="82">
        <f t="shared" si="4"/>
        <v>0.37003947505256385</v>
      </c>
      <c r="I13" s="63"/>
    </row>
    <row r="14" spans="1:9" ht="16.5">
      <c r="A14" s="59">
        <v>9</v>
      </c>
      <c r="B14" s="60">
        <f t="shared" si="0"/>
        <v>251.34579434915676</v>
      </c>
      <c r="C14" s="60">
        <f t="shared" si="2"/>
        <v>21.921319816567177</v>
      </c>
      <c r="D14" s="63">
        <f t="shared" si="5"/>
        <v>0.94387431268169264</v>
      </c>
      <c r="E14" s="63">
        <f t="shared" si="6"/>
        <v>1.0594630943592962</v>
      </c>
      <c r="F14" s="60">
        <f t="shared" si="1"/>
        <v>368.65420565084321</v>
      </c>
      <c r="G14" s="63">
        <f t="shared" si="3"/>
        <v>0.94387431268169319</v>
      </c>
      <c r="H14" s="82">
        <f t="shared" si="4"/>
        <v>0.40539644249863993</v>
      </c>
      <c r="I14" s="63"/>
    </row>
    <row r="15" spans="1:9" ht="16.5">
      <c r="A15" s="59">
        <v>10</v>
      </c>
      <c r="B15" s="60">
        <f t="shared" si="0"/>
        <v>272.03676502409462</v>
      </c>
      <c r="C15" s="60">
        <f t="shared" si="2"/>
        <v>20.690970674937859</v>
      </c>
      <c r="D15" s="63">
        <f t="shared" si="5"/>
        <v>0.9438743126816902</v>
      </c>
      <c r="E15" s="63">
        <f t="shared" si="6"/>
        <v>1.0594630943592991</v>
      </c>
      <c r="F15" s="60">
        <f t="shared" si="1"/>
        <v>347.96323497590538</v>
      </c>
      <c r="G15" s="63">
        <f t="shared" si="3"/>
        <v>0.94387431268169364</v>
      </c>
      <c r="H15" s="82">
        <f t="shared" si="4"/>
        <v>0.43876897584531388</v>
      </c>
      <c r="I15" s="63"/>
    </row>
    <row r="16" spans="1:9" ht="16.5">
      <c r="A16" s="59">
        <v>11</v>
      </c>
      <c r="B16" s="60">
        <f t="shared" si="0"/>
        <v>291.56644074861873</v>
      </c>
      <c r="C16" s="60">
        <f t="shared" si="2"/>
        <v>19.529675724524111</v>
      </c>
      <c r="D16" s="63">
        <f t="shared" si="5"/>
        <v>0.94387431268169664</v>
      </c>
      <c r="E16" s="63">
        <f t="shared" si="6"/>
        <v>1.0594630943592918</v>
      </c>
      <c r="F16" s="60">
        <f t="shared" si="1"/>
        <v>328.43355925138127</v>
      </c>
      <c r="G16" s="63">
        <f t="shared" si="3"/>
        <v>0.94387431268169342</v>
      </c>
      <c r="H16" s="82">
        <f t="shared" si="4"/>
        <v>0.47026845282035279</v>
      </c>
      <c r="I16" s="63"/>
    </row>
    <row r="17" spans="1:15" ht="16.5">
      <c r="A17" s="59">
        <v>12</v>
      </c>
      <c r="B17" s="65">
        <f t="shared" si="0"/>
        <v>310.00000000000028</v>
      </c>
      <c r="C17" s="60">
        <f t="shared" si="2"/>
        <v>18.433559251381553</v>
      </c>
      <c r="D17" s="63">
        <f t="shared" si="5"/>
        <v>0.94387431268169364</v>
      </c>
      <c r="E17" s="63">
        <f t="shared" si="6"/>
        <v>1.0594630943592951</v>
      </c>
      <c r="F17" s="60">
        <f t="shared" si="1"/>
        <v>309.99999999999972</v>
      </c>
      <c r="G17" s="63">
        <f t="shared" si="3"/>
        <v>0.94387431268169342</v>
      </c>
      <c r="H17" s="83">
        <f t="shared" si="4"/>
        <v>0.50000000000000044</v>
      </c>
      <c r="I17" s="91" t="s">
        <v>98</v>
      </c>
    </row>
    <row r="18" spans="1:15" ht="16.5">
      <c r="A18" s="59">
        <v>13</v>
      </c>
      <c r="B18" s="60">
        <f t="shared" si="0"/>
        <v>327.39896306867536</v>
      </c>
      <c r="C18" s="60">
        <f t="shared" si="2"/>
        <v>17.398963068675073</v>
      </c>
      <c r="D18" s="63">
        <f t="shared" si="5"/>
        <v>0.94387431268169553</v>
      </c>
      <c r="E18" s="63">
        <f t="shared" si="6"/>
        <v>1.0594630943592931</v>
      </c>
      <c r="F18" s="60">
        <f t="shared" si="1"/>
        <v>292.60103693132464</v>
      </c>
      <c r="G18" s="63">
        <f t="shared" si="3"/>
        <v>0.94387431268169331</v>
      </c>
      <c r="H18" s="82">
        <f t="shared" si="4"/>
        <v>0.52806284365915379</v>
      </c>
      <c r="I18" s="63"/>
    </row>
    <row r="19" spans="1:15" ht="16.5">
      <c r="A19" s="59">
        <v>14</v>
      </c>
      <c r="B19" s="60">
        <f t="shared" si="0"/>
        <v>343.82139737649516</v>
      </c>
      <c r="C19" s="60">
        <f t="shared" si="2"/>
        <v>16.422434307819799</v>
      </c>
      <c r="D19" s="63">
        <f t="shared" si="5"/>
        <v>0.94387431268169042</v>
      </c>
      <c r="E19" s="63">
        <f t="shared" si="6"/>
        <v>1.0594630943592989</v>
      </c>
      <c r="F19" s="60">
        <f t="shared" si="1"/>
        <v>276.17860262350484</v>
      </c>
      <c r="G19" s="63">
        <f t="shared" si="3"/>
        <v>0.94387431268169342</v>
      </c>
      <c r="H19" s="82">
        <f t="shared" si="4"/>
        <v>0.55455064092983086</v>
      </c>
      <c r="I19" s="63"/>
    </row>
    <row r="20" spans="1:15" ht="16.5">
      <c r="A20" s="59">
        <v>15</v>
      </c>
      <c r="B20" s="60">
        <f t="shared" si="0"/>
        <v>359.32211127134883</v>
      </c>
      <c r="C20" s="60">
        <f t="shared" si="2"/>
        <v>15.500713894853675</v>
      </c>
      <c r="D20" s="63">
        <f t="shared" si="5"/>
        <v>0.94387431268169342</v>
      </c>
      <c r="E20" s="63">
        <f t="shared" si="6"/>
        <v>1.0594630943592953</v>
      </c>
      <c r="F20" s="60">
        <f t="shared" si="1"/>
        <v>260.67788872865117</v>
      </c>
      <c r="G20" s="63">
        <f t="shared" si="3"/>
        <v>0.94387431268169342</v>
      </c>
      <c r="H20" s="82">
        <f t="shared" si="4"/>
        <v>0.57955179237314325</v>
      </c>
      <c r="I20" s="63"/>
    </row>
    <row r="21" spans="1:15" ht="16.5">
      <c r="A21" s="59">
        <v>16</v>
      </c>
      <c r="B21" s="60">
        <f t="shared" si="0"/>
        <v>373.9528369449294</v>
      </c>
      <c r="C21" s="60">
        <f t="shared" si="2"/>
        <v>14.630725673580571</v>
      </c>
      <c r="D21" s="63">
        <f t="shared" si="5"/>
        <v>0.94387431268169231</v>
      </c>
      <c r="E21" s="63">
        <f t="shared" si="6"/>
        <v>1.0594630943592966</v>
      </c>
      <c r="F21" s="60">
        <f t="shared" si="1"/>
        <v>246.0471630550706</v>
      </c>
      <c r="G21" s="63">
        <f t="shared" si="3"/>
        <v>0.94387431268169353</v>
      </c>
      <c r="H21" s="82">
        <f t="shared" si="4"/>
        <v>0.6031497370079506</v>
      </c>
      <c r="I21" s="63"/>
    </row>
    <row r="22" spans="1:15" ht="16.5">
      <c r="A22" s="59">
        <v>17</v>
      </c>
      <c r="B22" s="60">
        <f t="shared" si="0"/>
        <v>387.76240308411468</v>
      </c>
      <c r="C22" s="60">
        <f t="shared" si="2"/>
        <v>13.809566139185279</v>
      </c>
      <c r="D22" s="63">
        <f t="shared" si="5"/>
        <v>0.94387431268169419</v>
      </c>
      <c r="E22" s="63">
        <f t="shared" si="6"/>
        <v>1.0594630943592944</v>
      </c>
      <c r="F22" s="60">
        <f t="shared" si="1"/>
        <v>232.23759691588532</v>
      </c>
      <c r="G22" s="63">
        <f t="shared" si="3"/>
        <v>0.94387431268169342</v>
      </c>
      <c r="H22" s="82">
        <f t="shared" si="4"/>
        <v>0.62542323078083017</v>
      </c>
      <c r="I22" s="63"/>
    </row>
    <row r="23" spans="1:15" ht="16.5">
      <c r="A23" s="59">
        <v>18</v>
      </c>
      <c r="B23" s="60">
        <f t="shared" si="0"/>
        <v>400.79689783217054</v>
      </c>
      <c r="C23" s="60">
        <f t="shared" si="2"/>
        <v>13.034494748055863</v>
      </c>
      <c r="D23" s="63">
        <f t="shared" si="5"/>
        <v>0.94387431268169131</v>
      </c>
      <c r="E23" s="63">
        <f t="shared" si="6"/>
        <v>1.0594630943592978</v>
      </c>
      <c r="F23" s="60">
        <f t="shared" si="1"/>
        <v>219.20310216782946</v>
      </c>
      <c r="G23" s="63">
        <f t="shared" si="3"/>
        <v>0.94387431268169353</v>
      </c>
      <c r="H23" s="82">
        <f t="shared" si="4"/>
        <v>0.64644660940672671</v>
      </c>
      <c r="I23" s="63"/>
    </row>
    <row r="24" spans="1:15" ht="16.5">
      <c r="A24" s="59">
        <v>19</v>
      </c>
      <c r="B24" s="60">
        <f t="shared" si="0"/>
        <v>413.09982260364501</v>
      </c>
      <c r="C24" s="60">
        <f t="shared" si="2"/>
        <v>12.302924771474466</v>
      </c>
      <c r="D24" s="63">
        <f t="shared" si="5"/>
        <v>0.94387431268170074</v>
      </c>
      <c r="E24" s="63">
        <f t="shared" si="6"/>
        <v>1.0594630943592871</v>
      </c>
      <c r="F24" s="60">
        <f t="shared" si="1"/>
        <v>206.90017739635499</v>
      </c>
      <c r="G24" s="63">
        <f t="shared" si="3"/>
        <v>0.94387431268169319</v>
      </c>
      <c r="H24" s="82">
        <f t="shared" si="4"/>
        <v>0.66629003645749196</v>
      </c>
      <c r="I24" s="63"/>
      <c r="J24" s="79" t="s">
        <v>102</v>
      </c>
      <c r="K24" s="79"/>
      <c r="L24" s="79"/>
      <c r="M24" s="79"/>
      <c r="N24" s="79" t="s">
        <v>109</v>
      </c>
      <c r="O24" s="79"/>
    </row>
    <row r="25" spans="1:15" ht="17.5">
      <c r="A25" s="59">
        <v>20</v>
      </c>
      <c r="B25" s="60">
        <f t="shared" si="0"/>
        <v>424.71223726629501</v>
      </c>
      <c r="C25" s="60">
        <f t="shared" si="2"/>
        <v>11.612414662649996</v>
      </c>
      <c r="D25" s="63">
        <f t="shared" si="5"/>
        <v>0.94387431268168975</v>
      </c>
      <c r="E25" s="63">
        <f t="shared" si="6"/>
        <v>1.0594630943592995</v>
      </c>
      <c r="F25" s="60">
        <f t="shared" si="1"/>
        <v>195.28776273370499</v>
      </c>
      <c r="G25" s="63">
        <f t="shared" si="3"/>
        <v>0.94387431268169331</v>
      </c>
      <c r="H25" s="82">
        <f t="shared" si="4"/>
        <v>0.68501973752628231</v>
      </c>
      <c r="I25" s="63"/>
      <c r="J25" s="94" t="s">
        <v>114</v>
      </c>
      <c r="K25" s="79"/>
      <c r="L25" s="79"/>
      <c r="M25" s="79"/>
      <c r="N25" s="79" t="s">
        <v>110</v>
      </c>
      <c r="O25" s="79"/>
    </row>
    <row r="26" spans="1:15" ht="16.5">
      <c r="A26" s="59">
        <v>21</v>
      </c>
      <c r="B26" s="60">
        <f t="shared" si="0"/>
        <v>435.67289717457857</v>
      </c>
      <c r="C26" s="60">
        <f t="shared" si="2"/>
        <v>10.96065990828356</v>
      </c>
      <c r="D26" s="63">
        <f t="shared" si="5"/>
        <v>0.94387431268169131</v>
      </c>
      <c r="E26" s="63">
        <f t="shared" si="6"/>
        <v>1.0594630943592978</v>
      </c>
      <c r="F26" s="60">
        <f t="shared" si="1"/>
        <v>184.32710282542143</v>
      </c>
      <c r="G26" s="63">
        <f t="shared" si="3"/>
        <v>0.94387431268169353</v>
      </c>
      <c r="H26" s="82">
        <f t="shared" si="4"/>
        <v>0.70269822124932024</v>
      </c>
      <c r="I26" s="63"/>
      <c r="J26" s="79" t="s">
        <v>111</v>
      </c>
      <c r="K26" s="79"/>
      <c r="L26" s="79"/>
      <c r="M26" s="79"/>
      <c r="N26" s="79" t="s">
        <v>112</v>
      </c>
      <c r="O26" s="79"/>
    </row>
    <row r="27" spans="1:15" ht="16.5">
      <c r="A27" s="59">
        <v>22</v>
      </c>
      <c r="B27" s="60">
        <f t="shared" si="0"/>
        <v>446.01838251204754</v>
      </c>
      <c r="C27" s="60">
        <f t="shared" si="2"/>
        <v>10.345485337468972</v>
      </c>
      <c r="D27" s="63">
        <f t="shared" si="5"/>
        <v>0.94387431268169653</v>
      </c>
      <c r="E27" s="63">
        <f t="shared" si="6"/>
        <v>1.059463094359292</v>
      </c>
      <c r="F27" s="60">
        <f t="shared" si="1"/>
        <v>173.98161748795246</v>
      </c>
      <c r="G27" s="63">
        <f t="shared" si="3"/>
        <v>0.94387431268169331</v>
      </c>
      <c r="H27" s="82">
        <f t="shared" si="4"/>
        <v>0.7193844879226573</v>
      </c>
      <c r="I27" s="63"/>
      <c r="J27" s="79" t="s">
        <v>103</v>
      </c>
      <c r="K27" s="79"/>
      <c r="L27" s="79"/>
      <c r="M27" s="79"/>
      <c r="N27" s="79" t="s">
        <v>113</v>
      </c>
      <c r="O27" s="79"/>
    </row>
    <row r="28" spans="1:15" ht="16.5">
      <c r="A28" s="59">
        <v>23</v>
      </c>
      <c r="B28" s="60">
        <f t="shared" si="0"/>
        <v>455.78322037430956</v>
      </c>
      <c r="C28" s="60">
        <f t="shared" si="2"/>
        <v>9.7648378622620271</v>
      </c>
      <c r="D28" s="63">
        <f t="shared" si="5"/>
        <v>0.94387431268168998</v>
      </c>
      <c r="E28" s="63">
        <f t="shared" si="6"/>
        <v>1.0594630943592993</v>
      </c>
      <c r="F28" s="60">
        <f t="shared" si="1"/>
        <v>164.21677962569044</v>
      </c>
      <c r="G28" s="63">
        <f t="shared" si="3"/>
        <v>0.94387431268169353</v>
      </c>
      <c r="H28" s="82">
        <f t="shared" si="4"/>
        <v>0.73513422641017667</v>
      </c>
      <c r="I28" s="63"/>
      <c r="J28" s="86" t="s">
        <v>115</v>
      </c>
    </row>
    <row r="29" spans="1:15" ht="16.5">
      <c r="A29" s="59">
        <v>24</v>
      </c>
      <c r="B29" s="60">
        <f t="shared" si="0"/>
        <v>465.00000000000028</v>
      </c>
      <c r="C29" s="60">
        <f t="shared" si="2"/>
        <v>9.2167796256907195</v>
      </c>
      <c r="D29" s="63">
        <f t="shared" si="5"/>
        <v>0.94387431268169053</v>
      </c>
      <c r="E29" s="63">
        <f t="shared" si="6"/>
        <v>1.0594630943592986</v>
      </c>
      <c r="F29" s="60">
        <f t="shared" si="1"/>
        <v>154.99999999999972</v>
      </c>
      <c r="G29" s="63">
        <f t="shared" si="3"/>
        <v>0.94387431268169364</v>
      </c>
      <c r="H29" s="83">
        <f t="shared" si="4"/>
        <v>0.75000000000000044</v>
      </c>
      <c r="I29" s="63"/>
      <c r="J29" s="92" t="s">
        <v>107</v>
      </c>
    </row>
    <row r="30" spans="1:15" ht="16">
      <c r="A30" s="86" t="s">
        <v>92</v>
      </c>
      <c r="J30" s="92" t="s">
        <v>108</v>
      </c>
    </row>
    <row r="31" spans="1:15" ht="16.5">
      <c r="B31" s="64" t="s">
        <v>93</v>
      </c>
      <c r="J31" s="92" t="s">
        <v>106</v>
      </c>
    </row>
    <row r="32" spans="1:15" ht="15">
      <c r="B32" s="64" t="s">
        <v>94</v>
      </c>
    </row>
    <row r="33" spans="2:2" ht="15">
      <c r="B33" s="64" t="s">
        <v>95</v>
      </c>
    </row>
    <row r="34" spans="2:2" ht="15">
      <c r="B34" s="64" t="s">
        <v>96</v>
      </c>
    </row>
  </sheetData>
  <phoneticPr fontId="2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S30"/>
  <sheetViews>
    <sheetView showGridLines="0" topLeftCell="A7" workbookViewId="0">
      <selection activeCell="K22" sqref="K22"/>
    </sheetView>
  </sheetViews>
  <sheetFormatPr defaultColWidth="8.90625" defaultRowHeight="12.65" customHeight="1"/>
  <cols>
    <col min="1" max="1" width="2.90625" style="9" customWidth="1"/>
    <col min="2" max="2" width="11.6328125" style="9" bestFit="1" customWidth="1"/>
    <col min="3" max="3" width="17" style="9" customWidth="1"/>
    <col min="4" max="16" width="6.81640625" style="9" customWidth="1"/>
    <col min="17" max="17" width="10.26953125" style="9" bestFit="1" customWidth="1"/>
    <col min="18" max="18" width="9.26953125" style="9" bestFit="1" customWidth="1"/>
    <col min="19" max="19" width="14.6328125" style="9" bestFit="1" customWidth="1"/>
    <col min="20" max="16384" width="8.90625" style="9"/>
  </cols>
  <sheetData>
    <row r="1" spans="2:19" ht="7.25" customHeight="1"/>
    <row r="2" spans="2:19" ht="14">
      <c r="F2" s="9" t="s">
        <v>68</v>
      </c>
      <c r="H2" s="9" t="s">
        <v>72</v>
      </c>
      <c r="K2" s="66" t="s">
        <v>66</v>
      </c>
      <c r="M2" s="9" t="s">
        <v>70</v>
      </c>
      <c r="O2" s="9" t="s">
        <v>74</v>
      </c>
    </row>
    <row r="3" spans="2:19" ht="12.65" customHeight="1">
      <c r="B3" s="9" t="s">
        <v>34</v>
      </c>
      <c r="F3" s="9" t="s">
        <v>67</v>
      </c>
      <c r="H3" s="9" t="s">
        <v>73</v>
      </c>
      <c r="K3" s="9" t="s">
        <v>69</v>
      </c>
      <c r="M3" s="9" t="s">
        <v>71</v>
      </c>
      <c r="O3" s="9" t="s">
        <v>75</v>
      </c>
      <c r="Q3" s="9" t="s">
        <v>78</v>
      </c>
      <c r="R3" s="11" t="s">
        <v>79</v>
      </c>
      <c r="S3" s="11" t="s">
        <v>80</v>
      </c>
    </row>
    <row r="4" spans="2:19" ht="12.65" customHeight="1">
      <c r="B4" s="1"/>
      <c r="C4" s="2" t="s">
        <v>13</v>
      </c>
      <c r="D4" s="2">
        <v>1</v>
      </c>
      <c r="E4" s="2"/>
      <c r="F4" s="2">
        <v>2</v>
      </c>
      <c r="G4" s="3"/>
      <c r="H4" s="2">
        <v>3</v>
      </c>
      <c r="I4" s="3">
        <v>4</v>
      </c>
      <c r="J4" s="3"/>
      <c r="K4" s="3">
        <v>5</v>
      </c>
      <c r="L4" s="3"/>
      <c r="M4" s="3">
        <v>6</v>
      </c>
      <c r="N4" s="3"/>
      <c r="O4" s="2">
        <v>7</v>
      </c>
      <c r="P4" s="4">
        <v>8</v>
      </c>
      <c r="Q4" s="9" t="s">
        <v>81</v>
      </c>
      <c r="R4" s="9" t="s">
        <v>82</v>
      </c>
      <c r="S4" s="95" t="s">
        <v>85</v>
      </c>
    </row>
    <row r="5" spans="2:19" ht="12.65" customHeight="1">
      <c r="B5" s="5"/>
      <c r="D5" s="6" t="s">
        <v>0</v>
      </c>
      <c r="E5" s="6"/>
      <c r="F5" s="6" t="s">
        <v>1</v>
      </c>
      <c r="G5" s="7"/>
      <c r="H5" s="6" t="s">
        <v>2</v>
      </c>
      <c r="I5" s="7" t="s">
        <v>3</v>
      </c>
      <c r="J5" s="7"/>
      <c r="K5" s="7" t="s">
        <v>4</v>
      </c>
      <c r="L5" s="7"/>
      <c r="M5" s="7" t="s">
        <v>5</v>
      </c>
      <c r="N5" s="7"/>
      <c r="O5" s="6" t="s">
        <v>6</v>
      </c>
      <c r="P5" s="34" t="s">
        <v>0</v>
      </c>
      <c r="Q5" s="67" t="s">
        <v>83</v>
      </c>
      <c r="R5" s="9" t="s">
        <v>84</v>
      </c>
      <c r="S5" s="95"/>
    </row>
    <row r="6" spans="2:19" ht="12.65" customHeight="1">
      <c r="B6" s="5"/>
      <c r="C6" s="9" t="s">
        <v>10</v>
      </c>
      <c r="D6" s="9">
        <v>1</v>
      </c>
      <c r="F6" s="10">
        <v>8</v>
      </c>
      <c r="G6" s="11"/>
      <c r="H6" s="12">
        <v>64</v>
      </c>
      <c r="I6" s="13">
        <v>3</v>
      </c>
      <c r="J6" s="11"/>
      <c r="K6" s="14">
        <v>2</v>
      </c>
      <c r="L6" s="11"/>
      <c r="M6" s="15">
        <v>16</v>
      </c>
      <c r="N6" s="11"/>
      <c r="O6" s="16">
        <v>128</v>
      </c>
      <c r="P6" s="35">
        <v>1</v>
      </c>
      <c r="Q6" s="9">
        <f>+O6*4</f>
        <v>512</v>
      </c>
      <c r="R6" s="9">
        <f>+Q6*2</f>
        <v>1024</v>
      </c>
    </row>
    <row r="7" spans="2:19" ht="12.65" customHeight="1">
      <c r="B7" s="5"/>
      <c r="C7" s="9" t="s">
        <v>11</v>
      </c>
      <c r="D7" s="9">
        <v>1</v>
      </c>
      <c r="F7" s="10">
        <v>9</v>
      </c>
      <c r="G7" s="11"/>
      <c r="H7" s="12">
        <v>81</v>
      </c>
      <c r="I7" s="13">
        <v>4</v>
      </c>
      <c r="J7" s="11"/>
      <c r="K7" s="14">
        <v>3</v>
      </c>
      <c r="L7" s="11"/>
      <c r="M7" s="15">
        <v>27</v>
      </c>
      <c r="N7" s="11"/>
      <c r="O7" s="16">
        <v>243</v>
      </c>
      <c r="P7" s="35">
        <v>2</v>
      </c>
      <c r="Q7" s="9">
        <f>+O7*3</f>
        <v>729</v>
      </c>
      <c r="R7" s="9">
        <f>+Q7*3</f>
        <v>2187</v>
      </c>
    </row>
    <row r="8" spans="2:19" ht="12.65" customHeight="1">
      <c r="B8" s="5"/>
      <c r="C8" s="9" t="s">
        <v>12</v>
      </c>
      <c r="D8" s="9">
        <f>D6/D7</f>
        <v>1</v>
      </c>
      <c r="F8" s="18">
        <f>F6/F7</f>
        <v>0.88888888888888884</v>
      </c>
      <c r="G8" s="19"/>
      <c r="H8" s="20">
        <f t="shared" ref="H8:P8" si="0">H6/H7</f>
        <v>0.79012345679012341</v>
      </c>
      <c r="I8" s="21">
        <f t="shared" si="0"/>
        <v>0.75</v>
      </c>
      <c r="J8" s="19"/>
      <c r="K8" s="22">
        <f t="shared" si="0"/>
        <v>0.66666666666666663</v>
      </c>
      <c r="L8" s="19"/>
      <c r="M8" s="23">
        <f t="shared" si="0"/>
        <v>0.59259259259259256</v>
      </c>
      <c r="N8" s="19"/>
      <c r="O8" s="24">
        <f t="shared" si="0"/>
        <v>0.52674897119341568</v>
      </c>
      <c r="P8" s="35">
        <f t="shared" si="0"/>
        <v>0.5</v>
      </c>
      <c r="Q8" s="24">
        <f>Q6/Q7</f>
        <v>0.7023319615912208</v>
      </c>
      <c r="R8" s="24">
        <f>R6/R7</f>
        <v>0.46822130772748055</v>
      </c>
    </row>
    <row r="9" spans="2:19" ht="12.65" customHeight="1">
      <c r="B9" s="5"/>
      <c r="C9" s="9" t="s">
        <v>36</v>
      </c>
      <c r="F9" s="18">
        <f>D8-F8</f>
        <v>0.11111111111111116</v>
      </c>
      <c r="G9" s="19"/>
      <c r="H9" s="20">
        <f>F8-H8</f>
        <v>9.8765432098765427E-2</v>
      </c>
      <c r="I9" s="43">
        <f>H8-I8</f>
        <v>4.0123456790123413E-2</v>
      </c>
      <c r="J9" s="19"/>
      <c r="K9" s="22">
        <f>I8-K8</f>
        <v>8.333333333333337E-2</v>
      </c>
      <c r="L9" s="19"/>
      <c r="M9" s="23">
        <f>K8-M8</f>
        <v>7.407407407407407E-2</v>
      </c>
      <c r="N9" s="19"/>
      <c r="O9" s="24">
        <f>M8-O8</f>
        <v>6.5843621399176877E-2</v>
      </c>
      <c r="P9" s="44">
        <f>O8-P8</f>
        <v>2.6748971193415683E-2</v>
      </c>
    </row>
    <row r="10" spans="2:19" ht="16.75" customHeight="1">
      <c r="B10" s="5"/>
      <c r="C10" s="9" t="s">
        <v>14</v>
      </c>
      <c r="F10" s="25">
        <f>F8/D8</f>
        <v>0.88888888888888884</v>
      </c>
      <c r="G10" s="19"/>
      <c r="H10" s="25">
        <f>H8/F8</f>
        <v>0.88888888888888884</v>
      </c>
      <c r="I10" s="25">
        <f t="shared" ref="I10:P10" si="1">I8/H8</f>
        <v>0.94921875</v>
      </c>
      <c r="J10" s="19"/>
      <c r="K10" s="25">
        <f>K8/I8</f>
        <v>0.88888888888888884</v>
      </c>
      <c r="L10" s="19"/>
      <c r="M10" s="25">
        <f>M8/K8</f>
        <v>0.88888888888888884</v>
      </c>
      <c r="N10" s="19"/>
      <c r="O10" s="25">
        <f>O8/M8</f>
        <v>0.88888888888888906</v>
      </c>
      <c r="P10" s="36">
        <f t="shared" si="1"/>
        <v>0.94921874999999989</v>
      </c>
    </row>
    <row r="11" spans="2:19" ht="12.65" customHeight="1">
      <c r="B11" s="5"/>
      <c r="C11" s="9" t="s">
        <v>15</v>
      </c>
      <c r="F11" s="25">
        <f>D8/F8</f>
        <v>1.125</v>
      </c>
      <c r="G11" s="19"/>
      <c r="H11" s="25">
        <f>F8/H8</f>
        <v>1.125</v>
      </c>
      <c r="I11" s="25">
        <f t="shared" ref="I11:P11" si="2">H8/I8</f>
        <v>1.0534979423868311</v>
      </c>
      <c r="J11" s="19"/>
      <c r="K11" s="25">
        <f>I8/K8</f>
        <v>1.125</v>
      </c>
      <c r="L11" s="19"/>
      <c r="M11" s="25">
        <f>K8/M8</f>
        <v>1.125</v>
      </c>
      <c r="N11" s="19"/>
      <c r="O11" s="25">
        <f>M8/O8</f>
        <v>1.1249999999999998</v>
      </c>
      <c r="P11" s="36">
        <f t="shared" si="2"/>
        <v>1.0534979423868314</v>
      </c>
    </row>
    <row r="12" spans="2:19" ht="16.5">
      <c r="B12" s="5" t="s">
        <v>8</v>
      </c>
      <c r="F12" s="9" t="s">
        <v>77</v>
      </c>
      <c r="G12" s="11"/>
      <c r="J12" s="11"/>
      <c r="L12" s="11"/>
      <c r="N12" s="11"/>
      <c r="P12" s="8"/>
    </row>
    <row r="13" spans="2:19" ht="12.65" customHeight="1">
      <c r="B13" s="5"/>
      <c r="C13" s="9" t="s">
        <v>10</v>
      </c>
      <c r="D13" s="9">
        <f>972/D7*D6</f>
        <v>972</v>
      </c>
      <c r="F13" s="9">
        <f>972/F7*F6</f>
        <v>864</v>
      </c>
      <c r="G13" s="11"/>
      <c r="H13" s="9">
        <f t="shared" ref="H13:P13" si="3">972/H7*H6</f>
        <v>768</v>
      </c>
      <c r="I13" s="9">
        <f t="shared" si="3"/>
        <v>729</v>
      </c>
      <c r="J13" s="11"/>
      <c r="K13" s="9">
        <f t="shared" si="3"/>
        <v>648</v>
      </c>
      <c r="L13" s="11"/>
      <c r="M13" s="9">
        <f t="shared" si="3"/>
        <v>576</v>
      </c>
      <c r="N13" s="11"/>
      <c r="O13" s="9">
        <f t="shared" si="3"/>
        <v>512</v>
      </c>
      <c r="P13" s="8">
        <f t="shared" si="3"/>
        <v>486</v>
      </c>
    </row>
    <row r="14" spans="2:19" ht="12.65" customHeight="1">
      <c r="B14" s="5"/>
      <c r="C14" s="9" t="s">
        <v>11</v>
      </c>
      <c r="D14" s="9">
        <f>972</f>
        <v>972</v>
      </c>
      <c r="F14" s="9">
        <f>972</f>
        <v>972</v>
      </c>
      <c r="G14" s="11"/>
      <c r="H14" s="9">
        <f>972</f>
        <v>972</v>
      </c>
      <c r="I14" s="9">
        <f>972</f>
        <v>972</v>
      </c>
      <c r="J14" s="11"/>
      <c r="K14" s="9">
        <f>972</f>
        <v>972</v>
      </c>
      <c r="L14" s="11"/>
      <c r="M14" s="9">
        <f>972</f>
        <v>972</v>
      </c>
      <c r="N14" s="11"/>
      <c r="O14" s="9">
        <f>972</f>
        <v>972</v>
      </c>
      <c r="P14" s="8">
        <f>972</f>
        <v>972</v>
      </c>
    </row>
    <row r="15" spans="2:19" ht="12.65" customHeight="1">
      <c r="B15" s="26"/>
      <c r="C15" s="27"/>
      <c r="D15" s="27"/>
      <c r="E15" s="27"/>
      <c r="F15" s="27">
        <f>F13-D13</f>
        <v>-108</v>
      </c>
      <c r="G15" s="31"/>
      <c r="H15" s="27">
        <f>H13-F13</f>
        <v>-96</v>
      </c>
      <c r="I15" s="27">
        <f>I13-H13</f>
        <v>-39</v>
      </c>
      <c r="J15" s="31"/>
      <c r="K15" s="27">
        <f>K13-I13</f>
        <v>-81</v>
      </c>
      <c r="L15" s="31"/>
      <c r="M15" s="27">
        <f>M13-K13</f>
        <v>-72</v>
      </c>
      <c r="N15" s="31"/>
      <c r="O15" s="27">
        <f>O13-M13</f>
        <v>-64</v>
      </c>
      <c r="P15" s="28">
        <f>P13-O13</f>
        <v>-26</v>
      </c>
    </row>
    <row r="16" spans="2:19" ht="12.65" customHeight="1">
      <c r="B16" s="9" t="s">
        <v>35</v>
      </c>
      <c r="G16" s="11"/>
      <c r="J16" s="11"/>
      <c r="L16" s="11"/>
      <c r="N16" s="11"/>
      <c r="S16" s="95" t="s">
        <v>86</v>
      </c>
    </row>
    <row r="17" spans="2:19" ht="12.65" customHeight="1">
      <c r="B17" s="1" t="s">
        <v>9</v>
      </c>
      <c r="C17" s="2"/>
      <c r="D17" s="2"/>
      <c r="E17" s="2"/>
      <c r="F17" s="9" t="s">
        <v>76</v>
      </c>
      <c r="G17" s="3"/>
      <c r="H17" s="2"/>
      <c r="I17" s="2"/>
      <c r="J17" s="3"/>
      <c r="K17" s="2"/>
      <c r="L17" s="2"/>
      <c r="M17" s="2"/>
      <c r="N17" s="3"/>
      <c r="O17" s="2"/>
      <c r="P17" s="4"/>
      <c r="S17" s="95"/>
    </row>
    <row r="18" spans="2:19" ht="12.65" customHeight="1">
      <c r="B18" s="5"/>
      <c r="C18" s="9" t="s">
        <v>13</v>
      </c>
      <c r="E18" s="9">
        <v>1</v>
      </c>
      <c r="F18" s="9">
        <v>2</v>
      </c>
      <c r="G18" s="9">
        <v>3</v>
      </c>
      <c r="H18" s="9">
        <v>4</v>
      </c>
      <c r="I18" s="9">
        <v>5</v>
      </c>
      <c r="J18" s="11">
        <v>6</v>
      </c>
      <c r="K18" s="11">
        <v>7</v>
      </c>
      <c r="L18" s="11">
        <v>8</v>
      </c>
      <c r="M18" s="11">
        <v>9</v>
      </c>
      <c r="N18" s="11">
        <v>10</v>
      </c>
      <c r="O18" s="11"/>
      <c r="P18" s="11"/>
    </row>
    <row r="19" spans="2:19" ht="12.65" customHeight="1">
      <c r="B19" s="5"/>
      <c r="C19" s="9" t="s">
        <v>16</v>
      </c>
      <c r="E19" s="9">
        <v>2</v>
      </c>
      <c r="F19" s="9">
        <f t="shared" ref="F19:N19" si="4">$E$19^F18</f>
        <v>4</v>
      </c>
      <c r="G19" s="9">
        <f t="shared" si="4"/>
        <v>8</v>
      </c>
      <c r="H19" s="9">
        <f t="shared" si="4"/>
        <v>16</v>
      </c>
      <c r="I19" s="9">
        <f t="shared" si="4"/>
        <v>32</v>
      </c>
      <c r="J19" s="9">
        <f t="shared" si="4"/>
        <v>64</v>
      </c>
      <c r="K19" s="9">
        <f t="shared" si="4"/>
        <v>128</v>
      </c>
      <c r="L19" s="9">
        <f t="shared" si="4"/>
        <v>256</v>
      </c>
      <c r="M19" s="9">
        <f t="shared" si="4"/>
        <v>512</v>
      </c>
      <c r="N19" s="9">
        <f t="shared" si="4"/>
        <v>1024</v>
      </c>
    </row>
    <row r="20" spans="2:19" ht="12.65" customHeight="1">
      <c r="B20" s="5"/>
      <c r="C20" s="9" t="s">
        <v>33</v>
      </c>
      <c r="E20" s="9">
        <v>1</v>
      </c>
      <c r="F20" s="9">
        <v>4</v>
      </c>
      <c r="G20" s="9">
        <v>2</v>
      </c>
      <c r="H20" s="9">
        <v>4</v>
      </c>
      <c r="I20" s="9">
        <v>2</v>
      </c>
      <c r="J20" s="11">
        <v>4</v>
      </c>
      <c r="K20" s="11">
        <v>4</v>
      </c>
      <c r="L20" s="11">
        <v>2</v>
      </c>
      <c r="M20" s="11">
        <v>4</v>
      </c>
      <c r="N20" s="11">
        <v>2</v>
      </c>
      <c r="O20" s="11"/>
      <c r="P20" s="11" t="s">
        <v>87</v>
      </c>
    </row>
    <row r="21" spans="2:19" ht="12.65" customHeight="1">
      <c r="B21" s="5"/>
      <c r="C21" s="9" t="s">
        <v>10</v>
      </c>
      <c r="D21" s="9">
        <v>1</v>
      </c>
      <c r="E21" s="14">
        <f t="shared" ref="E21" si="5">E19*E20</f>
        <v>2</v>
      </c>
      <c r="F21" s="10">
        <f>E21*F20</f>
        <v>8</v>
      </c>
      <c r="G21" s="15">
        <f t="shared" ref="G21:N21" si="6">F21*G20</f>
        <v>16</v>
      </c>
      <c r="H21" s="12">
        <f t="shared" si="6"/>
        <v>64</v>
      </c>
      <c r="I21" s="16">
        <f t="shared" si="6"/>
        <v>128</v>
      </c>
      <c r="J21" s="11">
        <f t="shared" si="6"/>
        <v>512</v>
      </c>
      <c r="K21" s="11">
        <f t="shared" si="6"/>
        <v>2048</v>
      </c>
      <c r="L21" s="11">
        <f t="shared" si="6"/>
        <v>4096</v>
      </c>
      <c r="M21" s="11">
        <f t="shared" si="6"/>
        <v>16384</v>
      </c>
      <c r="N21" s="11">
        <f t="shared" si="6"/>
        <v>32768</v>
      </c>
      <c r="O21" s="13">
        <v>3</v>
      </c>
      <c r="P21" s="17">
        <v>1</v>
      </c>
      <c r="Q21" s="29"/>
    </row>
    <row r="22" spans="2:19" ht="12.65" customHeight="1">
      <c r="B22" s="5"/>
      <c r="C22" s="9" t="s">
        <v>11</v>
      </c>
      <c r="D22" s="9">
        <v>1</v>
      </c>
      <c r="E22" s="14">
        <v>3</v>
      </c>
      <c r="F22" s="10">
        <f t="shared" ref="F22:N22" si="7">$E$22^F18</f>
        <v>9</v>
      </c>
      <c r="G22" s="15">
        <f t="shared" si="7"/>
        <v>27</v>
      </c>
      <c r="H22" s="12">
        <f t="shared" si="7"/>
        <v>81</v>
      </c>
      <c r="I22" s="16">
        <f t="shared" si="7"/>
        <v>243</v>
      </c>
      <c r="J22" s="11">
        <f t="shared" si="7"/>
        <v>729</v>
      </c>
      <c r="K22" s="11">
        <f t="shared" si="7"/>
        <v>2187</v>
      </c>
      <c r="L22" s="11">
        <f t="shared" si="7"/>
        <v>6561</v>
      </c>
      <c r="M22" s="11">
        <f t="shared" si="7"/>
        <v>19683</v>
      </c>
      <c r="N22" s="11">
        <f t="shared" si="7"/>
        <v>59049</v>
      </c>
      <c r="O22" s="13">
        <v>4</v>
      </c>
      <c r="P22" s="17">
        <v>2</v>
      </c>
      <c r="Q22" s="29"/>
    </row>
    <row r="23" spans="2:19" ht="12.65" customHeight="1">
      <c r="B23" s="32"/>
      <c r="C23" s="9" t="s">
        <v>12</v>
      </c>
      <c r="E23" s="72">
        <f>E21/E22</f>
        <v>0.66666666666666663</v>
      </c>
      <c r="F23" s="69">
        <f>F21/F22</f>
        <v>0.88888888888888884</v>
      </c>
      <c r="G23" s="73">
        <f t="shared" ref="G23:P23" si="8">G21/G22</f>
        <v>0.59259259259259256</v>
      </c>
      <c r="H23" s="70">
        <f>H21/H22</f>
        <v>0.79012345679012341</v>
      </c>
      <c r="I23" s="74">
        <f t="shared" si="8"/>
        <v>0.52674897119341568</v>
      </c>
      <c r="J23" s="68">
        <f t="shared" si="8"/>
        <v>0.7023319615912208</v>
      </c>
      <c r="K23" s="68">
        <f t="shared" si="8"/>
        <v>0.9364426154549611</v>
      </c>
      <c r="L23" s="68">
        <f t="shared" si="8"/>
        <v>0.62429507696997411</v>
      </c>
      <c r="M23" s="68">
        <f t="shared" si="8"/>
        <v>0.8323934359599654</v>
      </c>
      <c r="N23" s="68">
        <f t="shared" si="8"/>
        <v>0.5549289573066436</v>
      </c>
      <c r="O23" s="71">
        <f t="shared" si="8"/>
        <v>0.75</v>
      </c>
      <c r="P23" s="30">
        <f t="shared" si="8"/>
        <v>0.5</v>
      </c>
      <c r="Q23" s="11"/>
      <c r="R23" s="11"/>
    </row>
    <row r="24" spans="2:19" ht="12.65" customHeight="1">
      <c r="B24" s="32"/>
      <c r="C24" s="11" t="s">
        <v>32</v>
      </c>
      <c r="E24" s="7" t="s">
        <v>24</v>
      </c>
      <c r="F24" s="7" t="s">
        <v>21</v>
      </c>
      <c r="G24" s="7" t="s">
        <v>25</v>
      </c>
      <c r="H24" s="7" t="s">
        <v>22</v>
      </c>
      <c r="I24" s="7" t="s">
        <v>26</v>
      </c>
      <c r="J24" s="7" t="s">
        <v>27</v>
      </c>
      <c r="K24" s="7" t="s">
        <v>20</v>
      </c>
      <c r="L24" s="7" t="s">
        <v>28</v>
      </c>
      <c r="M24" s="7" t="s">
        <v>29</v>
      </c>
      <c r="N24" s="7" t="s">
        <v>30</v>
      </c>
      <c r="O24" s="7" t="s">
        <v>23</v>
      </c>
      <c r="P24" s="7" t="s">
        <v>19</v>
      </c>
      <c r="Q24" s="11"/>
      <c r="R24" s="11"/>
    </row>
    <row r="25" spans="2:19" ht="12.65" customHeight="1">
      <c r="B25" s="33"/>
      <c r="C25" s="27" t="s">
        <v>31</v>
      </c>
      <c r="E25" s="31">
        <v>7</v>
      </c>
      <c r="F25" s="31">
        <v>2</v>
      </c>
      <c r="G25" s="31">
        <v>9</v>
      </c>
      <c r="H25" s="31">
        <v>4</v>
      </c>
      <c r="I25" s="31">
        <v>11</v>
      </c>
      <c r="J25" s="31">
        <v>6</v>
      </c>
      <c r="K25" s="31">
        <v>1</v>
      </c>
      <c r="L25" s="31">
        <v>8</v>
      </c>
      <c r="M25" s="31">
        <v>3</v>
      </c>
      <c r="N25" s="31">
        <v>10</v>
      </c>
      <c r="O25" s="31">
        <v>5</v>
      </c>
      <c r="P25" s="31">
        <v>12</v>
      </c>
      <c r="Q25" s="11"/>
      <c r="R25" s="11"/>
    </row>
    <row r="27" spans="2:19" ht="12.65" customHeight="1">
      <c r="B27" s="1" t="s">
        <v>7</v>
      </c>
      <c r="C27" s="2" t="s">
        <v>13</v>
      </c>
      <c r="D27" s="2">
        <v>12</v>
      </c>
      <c r="E27" s="2">
        <v>11</v>
      </c>
      <c r="F27" s="2">
        <v>10</v>
      </c>
      <c r="G27" s="2">
        <v>9</v>
      </c>
      <c r="H27" s="2">
        <v>8</v>
      </c>
      <c r="I27" s="37">
        <v>7</v>
      </c>
      <c r="J27" s="2">
        <v>6</v>
      </c>
      <c r="K27" s="38">
        <v>5</v>
      </c>
      <c r="L27" s="2">
        <v>4</v>
      </c>
      <c r="M27" s="2">
        <v>3</v>
      </c>
      <c r="N27" s="2">
        <v>2</v>
      </c>
      <c r="O27" s="2">
        <v>1</v>
      </c>
      <c r="P27" s="4">
        <v>0</v>
      </c>
    </row>
    <row r="28" spans="2:19" ht="12.65" customHeight="1">
      <c r="B28" s="5"/>
      <c r="C28" s="9" t="s">
        <v>17</v>
      </c>
      <c r="D28" s="9">
        <f>2^(D27/12)</f>
        <v>2</v>
      </c>
      <c r="E28" s="25">
        <f>2^(E27/12)</f>
        <v>1.8877486253633868</v>
      </c>
      <c r="F28" s="25">
        <f>2^(F27/12)</f>
        <v>1.7817974362806785</v>
      </c>
      <c r="G28" s="25">
        <f>2^(G27/12)</f>
        <v>1.681792830507429</v>
      </c>
      <c r="H28" s="25">
        <f t="shared" ref="H28:P28" si="9">2^(H27/12)</f>
        <v>1.5874010519681994</v>
      </c>
      <c r="I28" s="21">
        <f t="shared" si="9"/>
        <v>1.4983070768766815</v>
      </c>
      <c r="J28" s="25">
        <f t="shared" si="9"/>
        <v>1.4142135623730951</v>
      </c>
      <c r="K28" s="22">
        <f t="shared" si="9"/>
        <v>1.3348398541700344</v>
      </c>
      <c r="L28" s="25">
        <f t="shared" si="9"/>
        <v>1.2599210498948732</v>
      </c>
      <c r="M28" s="25">
        <f t="shared" si="9"/>
        <v>1.189207115002721</v>
      </c>
      <c r="N28" s="25">
        <f t="shared" si="9"/>
        <v>1.122462048309373</v>
      </c>
      <c r="O28" s="25">
        <f t="shared" si="9"/>
        <v>1.0594630943592953</v>
      </c>
      <c r="P28" s="8">
        <f t="shared" si="9"/>
        <v>1</v>
      </c>
    </row>
    <row r="29" spans="2:19" ht="12.65" customHeight="1">
      <c r="B29" s="5"/>
      <c r="C29" s="9" t="s">
        <v>18</v>
      </c>
      <c r="D29" s="9">
        <f>D28/2</f>
        <v>1</v>
      </c>
      <c r="E29" s="25">
        <f t="shared" ref="E29:P29" si="10">E28/2</f>
        <v>0.94387431268169342</v>
      </c>
      <c r="F29" s="25">
        <f t="shared" si="10"/>
        <v>0.89089871814033927</v>
      </c>
      <c r="G29" s="25">
        <f t="shared" si="10"/>
        <v>0.8408964152537145</v>
      </c>
      <c r="H29" s="25">
        <f t="shared" si="10"/>
        <v>0.79370052598409968</v>
      </c>
      <c r="I29" s="21">
        <f t="shared" si="10"/>
        <v>0.74915353843834076</v>
      </c>
      <c r="J29" s="25">
        <f t="shared" si="10"/>
        <v>0.70710678118654757</v>
      </c>
      <c r="K29" s="22">
        <f t="shared" si="10"/>
        <v>0.66741992708501718</v>
      </c>
      <c r="L29" s="25">
        <f t="shared" si="10"/>
        <v>0.6299605249474366</v>
      </c>
      <c r="M29" s="25">
        <f t="shared" si="10"/>
        <v>0.59460355750136051</v>
      </c>
      <c r="N29" s="25">
        <f t="shared" si="10"/>
        <v>0.56123102415468651</v>
      </c>
      <c r="O29" s="25">
        <f t="shared" si="10"/>
        <v>0.52973154717964765</v>
      </c>
      <c r="P29" s="8">
        <f t="shared" si="10"/>
        <v>0.5</v>
      </c>
    </row>
    <row r="30" spans="2:19" ht="12.65" customHeight="1">
      <c r="B30" s="26"/>
      <c r="C30" s="27"/>
      <c r="D30" s="39" t="s">
        <v>0</v>
      </c>
      <c r="E30" s="39"/>
      <c r="F30" s="39" t="s">
        <v>1</v>
      </c>
      <c r="G30" s="39"/>
      <c r="H30" s="39" t="s">
        <v>2</v>
      </c>
      <c r="I30" s="40" t="s">
        <v>3</v>
      </c>
      <c r="J30" s="39"/>
      <c r="K30" s="41" t="s">
        <v>4</v>
      </c>
      <c r="L30" s="39"/>
      <c r="M30" s="39" t="s">
        <v>5</v>
      </c>
      <c r="N30" s="39"/>
      <c r="O30" s="39" t="s">
        <v>6</v>
      </c>
      <c r="P30" s="42" t="s">
        <v>0</v>
      </c>
    </row>
  </sheetData>
  <mergeCells count="2">
    <mergeCell ref="S4:S5"/>
    <mergeCell ref="S16:S17"/>
  </mergeCells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4"/>
  <sheetViews>
    <sheetView showGridLines="0" workbookViewId="0">
      <pane ySplit="1" topLeftCell="A2" activePane="bottomLeft" state="frozen"/>
      <selection pane="bottomLeft" activeCell="I14" sqref="I14"/>
    </sheetView>
  </sheetViews>
  <sheetFormatPr defaultColWidth="8.90625" defaultRowHeight="14"/>
  <cols>
    <col min="1" max="2" width="8.90625" style="47"/>
    <col min="3" max="3" width="19.08984375" style="47" customWidth="1"/>
    <col min="4" max="4" width="8.90625" style="47"/>
    <col min="5" max="5" width="18.54296875" style="47" customWidth="1"/>
    <col min="6" max="8" width="8.90625" style="47"/>
    <col min="9" max="9" width="8.90625" style="48"/>
    <col min="10" max="16384" width="8.90625" style="47"/>
  </cols>
  <sheetData>
    <row r="1" spans="1:10" ht="15">
      <c r="A1" s="45" t="s">
        <v>37</v>
      </c>
      <c r="B1" s="45" t="s">
        <v>43</v>
      </c>
      <c r="C1" s="45" t="s">
        <v>38</v>
      </c>
      <c r="D1" s="45" t="s">
        <v>39</v>
      </c>
      <c r="E1" s="45" t="s">
        <v>11</v>
      </c>
      <c r="F1" s="45" t="s">
        <v>40</v>
      </c>
      <c r="G1" s="45" t="s">
        <v>41</v>
      </c>
      <c r="H1" s="45" t="s">
        <v>42</v>
      </c>
      <c r="I1" s="46"/>
    </row>
    <row r="2" spans="1:10" ht="15">
      <c r="A2" s="49">
        <v>7</v>
      </c>
      <c r="B2" s="49">
        <v>2</v>
      </c>
      <c r="C2" s="49">
        <v>16</v>
      </c>
      <c r="D2" s="49">
        <f t="shared" ref="D2:D13" si="0">B2*C2</f>
        <v>32</v>
      </c>
      <c r="E2" s="49">
        <v>2048</v>
      </c>
      <c r="F2" s="50">
        <v>0.9364426154549611</v>
      </c>
      <c r="G2" s="49" t="s">
        <v>44</v>
      </c>
      <c r="H2" s="51">
        <v>1</v>
      </c>
      <c r="I2" s="52">
        <f>1-F2</f>
        <v>6.3557384545038897E-2</v>
      </c>
    </row>
    <row r="3" spans="1:10" ht="15">
      <c r="A3" s="51">
        <v>2</v>
      </c>
      <c r="B3" s="51">
        <f t="shared" ref="B3:B7" si="1">$B$2^A3</f>
        <v>4</v>
      </c>
      <c r="C3" s="51">
        <v>2</v>
      </c>
      <c r="D3" s="51">
        <f t="shared" si="0"/>
        <v>8</v>
      </c>
      <c r="E3" s="51">
        <f t="shared" ref="E3:E7" si="2">$E$2^A3</f>
        <v>4194304</v>
      </c>
      <c r="F3" s="53">
        <v>0.88888888888888884</v>
      </c>
      <c r="G3" s="51" t="s">
        <v>45</v>
      </c>
      <c r="H3" s="51">
        <v>2</v>
      </c>
      <c r="I3" s="52">
        <f>F2-F3</f>
        <v>4.7553726566072263E-2</v>
      </c>
    </row>
    <row r="4" spans="1:10" ht="15">
      <c r="A4" s="51">
        <v>9</v>
      </c>
      <c r="B4" s="51">
        <f t="shared" si="1"/>
        <v>512</v>
      </c>
      <c r="C4" s="51">
        <v>32</v>
      </c>
      <c r="D4" s="51">
        <f t="shared" si="0"/>
        <v>16384</v>
      </c>
      <c r="E4" s="51">
        <f t="shared" si="2"/>
        <v>6.338253001141147E+29</v>
      </c>
      <c r="F4" s="53">
        <v>0.8323934359599654</v>
      </c>
      <c r="G4" s="51" t="s">
        <v>46</v>
      </c>
      <c r="H4" s="51">
        <v>3</v>
      </c>
      <c r="I4" s="52">
        <f t="shared" ref="I4:I13" si="3">F3-F4</f>
        <v>5.649545292892344E-2</v>
      </c>
    </row>
    <row r="5" spans="1:10" ht="15">
      <c r="A5" s="51">
        <v>4</v>
      </c>
      <c r="B5" s="51">
        <f t="shared" si="1"/>
        <v>16</v>
      </c>
      <c r="C5" s="51">
        <v>4</v>
      </c>
      <c r="D5" s="51">
        <f t="shared" si="0"/>
        <v>64</v>
      </c>
      <c r="E5" s="51">
        <f t="shared" si="2"/>
        <v>17592186044416</v>
      </c>
      <c r="F5" s="53">
        <v>0.79012345679012341</v>
      </c>
      <c r="G5" s="51" t="s">
        <v>47</v>
      </c>
      <c r="H5" s="51">
        <v>4</v>
      </c>
      <c r="I5" s="52">
        <f t="shared" si="3"/>
        <v>4.2269979169841987E-2</v>
      </c>
    </row>
    <row r="6" spans="1:10" ht="15">
      <c r="A6" s="51">
        <v>11</v>
      </c>
      <c r="B6" s="51">
        <f t="shared" si="1"/>
        <v>2048</v>
      </c>
      <c r="C6" s="51">
        <v>64</v>
      </c>
      <c r="D6" s="51">
        <f t="shared" si="0"/>
        <v>131072</v>
      </c>
      <c r="E6" s="51">
        <f t="shared" si="2"/>
        <v>2.6584559915698317E+36</v>
      </c>
      <c r="F6" s="53">
        <v>0.73990527640885817</v>
      </c>
      <c r="G6" s="51" t="s">
        <v>48</v>
      </c>
      <c r="H6" s="51">
        <v>5</v>
      </c>
      <c r="I6" s="52">
        <f t="shared" si="3"/>
        <v>5.0218180381265243E-2</v>
      </c>
    </row>
    <row r="7" spans="1:10" ht="15">
      <c r="A7" s="51">
        <v>6</v>
      </c>
      <c r="B7" s="51">
        <f t="shared" si="1"/>
        <v>64</v>
      </c>
      <c r="C7" s="51">
        <v>8</v>
      </c>
      <c r="D7" s="51">
        <f t="shared" si="0"/>
        <v>512</v>
      </c>
      <c r="E7" s="51">
        <f t="shared" si="2"/>
        <v>7.3786976294838206E+19</v>
      </c>
      <c r="F7" s="53">
        <v>0.7023319615912208</v>
      </c>
      <c r="G7" s="51" t="s">
        <v>49</v>
      </c>
      <c r="H7" s="51">
        <v>6</v>
      </c>
      <c r="I7" s="52">
        <f t="shared" si="3"/>
        <v>3.7573314817637371E-2</v>
      </c>
    </row>
    <row r="8" spans="1:10" ht="15">
      <c r="A8" s="51">
        <v>1</v>
      </c>
      <c r="B8" s="51">
        <v>2</v>
      </c>
      <c r="C8" s="51">
        <v>1</v>
      </c>
      <c r="D8" s="51">
        <f t="shared" si="0"/>
        <v>2</v>
      </c>
      <c r="E8" s="51">
        <v>3</v>
      </c>
      <c r="F8" s="53">
        <v>0.66666666666666663</v>
      </c>
      <c r="G8" s="51" t="s">
        <v>50</v>
      </c>
      <c r="H8" s="51">
        <v>7</v>
      </c>
      <c r="I8" s="52">
        <f t="shared" si="3"/>
        <v>3.5665294924554169E-2</v>
      </c>
    </row>
    <row r="9" spans="1:10" ht="15">
      <c r="A9" s="51">
        <v>8</v>
      </c>
      <c r="B9" s="51">
        <f>$B$2^A9</f>
        <v>256</v>
      </c>
      <c r="C9" s="51">
        <v>16</v>
      </c>
      <c r="D9" s="51">
        <f t="shared" si="0"/>
        <v>4096</v>
      </c>
      <c r="E9" s="51">
        <f>$E$2^A9</f>
        <v>3.0948500982134507E+26</v>
      </c>
      <c r="F9" s="53">
        <v>0.62429507696997411</v>
      </c>
      <c r="G9" s="51" t="s">
        <v>51</v>
      </c>
      <c r="H9" s="51">
        <v>8</v>
      </c>
      <c r="I9" s="52">
        <f t="shared" si="3"/>
        <v>4.2371589696692524E-2</v>
      </c>
    </row>
    <row r="10" spans="1:10" ht="15">
      <c r="A10" s="51">
        <v>3</v>
      </c>
      <c r="B10" s="51">
        <f>$B$2^A10</f>
        <v>8</v>
      </c>
      <c r="C10" s="51">
        <v>2</v>
      </c>
      <c r="D10" s="51">
        <f t="shared" si="0"/>
        <v>16</v>
      </c>
      <c r="E10" s="51">
        <f>$E$2^A10</f>
        <v>8589934592</v>
      </c>
      <c r="F10" s="53">
        <v>0.59259259259259256</v>
      </c>
      <c r="G10" s="51" t="s">
        <v>52</v>
      </c>
      <c r="H10" s="51">
        <v>9</v>
      </c>
      <c r="I10" s="52">
        <f t="shared" si="3"/>
        <v>3.1702484377381546E-2</v>
      </c>
    </row>
    <row r="11" spans="1:10" ht="15">
      <c r="A11" s="51">
        <v>10</v>
      </c>
      <c r="B11" s="51">
        <f>$B$2^A11</f>
        <v>1024</v>
      </c>
      <c r="C11" s="51">
        <v>32</v>
      </c>
      <c r="D11" s="51">
        <f t="shared" si="0"/>
        <v>32768</v>
      </c>
      <c r="E11" s="51">
        <f>$E$2^A11</f>
        <v>1.2980742146337069E+33</v>
      </c>
      <c r="F11" s="53">
        <v>0.5549289573066436</v>
      </c>
      <c r="G11" s="51" t="s">
        <v>53</v>
      </c>
      <c r="H11" s="51">
        <v>10</v>
      </c>
      <c r="I11" s="52">
        <f t="shared" si="3"/>
        <v>3.766363528594896E-2</v>
      </c>
    </row>
    <row r="12" spans="1:10" ht="15">
      <c r="A12" s="51">
        <v>5</v>
      </c>
      <c r="B12" s="51">
        <f>$B$2^A12</f>
        <v>32</v>
      </c>
      <c r="C12" s="51">
        <v>4</v>
      </c>
      <c r="D12" s="51">
        <f t="shared" si="0"/>
        <v>128</v>
      </c>
      <c r="E12" s="51">
        <f>$E$2^A12</f>
        <v>3.6028797018963968E+16</v>
      </c>
      <c r="F12" s="53">
        <v>0.52674897119341568</v>
      </c>
      <c r="G12" s="51" t="s">
        <v>54</v>
      </c>
      <c r="H12" s="51">
        <v>11</v>
      </c>
      <c r="I12" s="52">
        <f t="shared" si="3"/>
        <v>2.8179986113227917E-2</v>
      </c>
    </row>
    <row r="13" spans="1:10" ht="15">
      <c r="A13" s="51">
        <v>12</v>
      </c>
      <c r="B13" s="51">
        <f>$B$2^A13</f>
        <v>4096</v>
      </c>
      <c r="C13" s="51">
        <v>64</v>
      </c>
      <c r="D13" s="51">
        <f t="shared" si="0"/>
        <v>262144</v>
      </c>
      <c r="E13" s="51">
        <f>$E$2^A13</f>
        <v>5.4445178707350154E+39</v>
      </c>
      <c r="F13" s="53">
        <v>0.49327018427257213</v>
      </c>
      <c r="G13" s="51" t="s">
        <v>55</v>
      </c>
      <c r="H13" s="51">
        <v>12</v>
      </c>
      <c r="I13" s="52">
        <f t="shared" si="3"/>
        <v>3.3478786920843551E-2</v>
      </c>
      <c r="J13" s="75">
        <f>0.5/12</f>
        <v>4.1666666666666664E-2</v>
      </c>
    </row>
    <row r="14" spans="1:10">
      <c r="I14" s="48">
        <f>+SUM(I2:I13)</f>
        <v>0.50672981572742781</v>
      </c>
    </row>
  </sheetData>
  <sortState ref="A2:H13">
    <sortCondition ref="H2:H13"/>
  </sortState>
  <phoneticPr fontId="2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620mm品丝位置计算</vt:lpstr>
      <vt:lpstr>五度与12</vt:lpstr>
      <vt:lpstr>12声音阶排序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2026-10-27T23:59:17Z</dcterms:modified>
</cp:coreProperties>
</file>