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108" windowWidth="15576" windowHeight="9636"/>
  </bookViews>
  <sheets>
    <sheet name="Sheet3" sheetId="3" r:id="rId1"/>
    <sheet name="Sheet1" sheetId="4" r:id="rId2"/>
  </sheets>
  <externalReferences>
    <externalReference r:id="rId3"/>
  </externalReferences>
  <calcPr calcId="124519"/>
</workbook>
</file>

<file path=xl/calcChain.xml><?xml version="1.0" encoding="utf-8"?>
<calcChain xmlns="http://schemas.openxmlformats.org/spreadsheetml/2006/main">
  <c r="M671" i="3"/>
  <c r="I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I640"/>
  <c r="M639"/>
  <c r="I639"/>
  <c r="M638"/>
  <c r="I638"/>
  <c r="M637"/>
  <c r="I637"/>
  <c r="M636"/>
  <c r="I636"/>
  <c r="M635"/>
  <c r="I635"/>
  <c r="M634"/>
  <c r="I634"/>
  <c r="M633"/>
  <c r="I633"/>
  <c r="M632"/>
  <c r="I632"/>
  <c r="M631"/>
  <c r="I631"/>
  <c r="M630"/>
  <c r="I630"/>
  <c r="M629"/>
  <c r="I629"/>
  <c r="M628"/>
  <c r="I628"/>
  <c r="M627"/>
  <c r="I627"/>
  <c r="M626"/>
  <c r="I626"/>
  <c r="M625"/>
  <c r="M624"/>
  <c r="M623"/>
  <c r="M622"/>
  <c r="M621"/>
  <c r="M620"/>
  <c r="M619"/>
  <c r="M618"/>
  <c r="M617"/>
  <c r="I617"/>
  <c r="M616"/>
  <c r="I616"/>
  <c r="M615"/>
  <c r="L615"/>
  <c r="I615"/>
  <c r="M614"/>
  <c r="M613"/>
  <c r="M612"/>
  <c r="M611"/>
  <c r="I611"/>
  <c r="M610"/>
  <c r="I610"/>
  <c r="M609"/>
  <c r="M608"/>
  <c r="I608"/>
  <c r="M607"/>
  <c r="I607"/>
  <c r="M606"/>
  <c r="I606"/>
  <c r="M605"/>
  <c r="I605"/>
  <c r="M604"/>
  <c r="M603"/>
  <c r="M602"/>
  <c r="M601"/>
  <c r="M600"/>
  <c r="I600"/>
  <c r="M599"/>
  <c r="M598"/>
  <c r="M597"/>
  <c r="M596"/>
  <c r="M595"/>
  <c r="M594"/>
  <c r="M593"/>
  <c r="I593"/>
  <c r="M592"/>
  <c r="I592"/>
  <c r="M591"/>
  <c r="I591"/>
  <c r="M590"/>
  <c r="M589"/>
  <c r="M588"/>
  <c r="I588"/>
  <c r="M587"/>
  <c r="I587"/>
  <c r="M586"/>
  <c r="I586"/>
  <c r="M585"/>
  <c r="I585"/>
  <c r="M584"/>
  <c r="I584"/>
  <c r="M583"/>
  <c r="I583"/>
  <c r="M582"/>
  <c r="I582"/>
  <c r="M581"/>
  <c r="I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I502"/>
  <c r="M501"/>
  <c r="I501"/>
  <c r="M500"/>
  <c r="I500"/>
  <c r="M499"/>
  <c r="I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I459"/>
  <c r="M458"/>
  <c r="I458"/>
  <c r="M457"/>
  <c r="M456"/>
  <c r="M455"/>
  <c r="M454"/>
  <c r="M453"/>
  <c r="M452"/>
  <c r="M451"/>
  <c r="M450"/>
  <c r="M449"/>
  <c r="I449"/>
  <c r="D449"/>
  <c r="M448"/>
  <c r="I448"/>
  <c r="D448"/>
  <c r="M447"/>
  <c r="M446"/>
  <c r="M445"/>
  <c r="M444"/>
  <c r="M443"/>
  <c r="M442"/>
  <c r="M441"/>
  <c r="M440"/>
  <c r="D440"/>
  <c r="M439"/>
  <c r="D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D397"/>
  <c r="M396"/>
  <c r="D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D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I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I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I193"/>
  <c r="M192"/>
  <c r="I192"/>
  <c r="M191"/>
  <c r="M190"/>
  <c r="M189"/>
  <c r="M188"/>
  <c r="M187"/>
  <c r="M186"/>
  <c r="M185"/>
  <c r="M184"/>
  <c r="I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I125"/>
  <c r="M124"/>
  <c r="M123"/>
  <c r="M122"/>
  <c r="M121"/>
  <c r="M120"/>
  <c r="I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S13"/>
  <c r="S12"/>
  <c r="S11"/>
  <c r="S10"/>
  <c r="S9"/>
  <c r="S8"/>
  <c r="S7"/>
  <c r="S6"/>
  <c r="S5"/>
  <c r="S4"/>
  <c r="S3"/>
  <c r="S2"/>
  <c r="T13"/>
  <c r="R13"/>
  <c r="T12"/>
  <c r="R12"/>
  <c r="T11"/>
  <c r="R11"/>
  <c r="T10"/>
  <c r="R10"/>
  <c r="T9"/>
  <c r="R9"/>
  <c r="T8"/>
  <c r="R8"/>
  <c r="T7"/>
  <c r="R7"/>
  <c r="T6"/>
  <c r="R6"/>
  <c r="T5"/>
  <c r="R5"/>
  <c r="T4"/>
  <c r="R4"/>
  <c r="T3"/>
  <c r="R3"/>
  <c r="T2"/>
  <c r="R2"/>
</calcChain>
</file>

<file path=xl/comments1.xml><?xml version="1.0" encoding="utf-8"?>
<comments xmlns="http://schemas.openxmlformats.org/spreadsheetml/2006/main">
  <authors>
    <author>USER</author>
  </authors>
  <commentList>
    <comment ref="D10" authorId="0">
      <text>
        <r>
          <rPr>
            <sz val="9"/>
            <color indexed="81"/>
            <rFont val="宋体"/>
            <family val="3"/>
            <charset val="134"/>
          </rPr>
          <t>USER:
可调欧扬琴型四人位的</t>
        </r>
      </text>
    </comment>
    <comment ref="D256" authorId="0">
      <text>
        <r>
          <rPr>
            <sz val="9"/>
            <color indexed="81"/>
            <rFont val="宋体"/>
            <family val="3"/>
            <charset val="134"/>
          </rPr>
          <t>USER:
顶侧接头3.直通接头4.
十字接头2 独立脚3 十字脚2.直通脚4.4*16螺丝44.小托臂11</t>
        </r>
      </text>
    </comment>
    <comment ref="D257" authorId="0">
      <text>
        <r>
          <rPr>
            <sz val="9"/>
            <color indexed="81"/>
            <rFont val="宋体"/>
            <family val="3"/>
            <charset val="134"/>
          </rPr>
          <t>USER:
侧封=3.L封边=1 T封边=1</t>
        </r>
      </text>
    </comment>
    <comment ref="D659" authorId="0">
      <text>
        <r>
          <rPr>
            <sz val="9"/>
            <color indexed="81"/>
            <rFont val="宋体"/>
            <family val="3"/>
            <charset val="134"/>
          </rPr>
          <t>USER:
钢天槽=1850*2
钢地槽=1850=2
连接柱=2660=2
斜胶（横）883=24
斜胶（坚）392=24</t>
        </r>
      </text>
    </comment>
    <comment ref="D660" authorId="0">
      <text>
        <r>
          <rPr>
            <sz val="9"/>
            <color indexed="81"/>
            <rFont val="宋体"/>
            <family val="3"/>
            <charset val="134"/>
          </rPr>
          <t xml:space="preserve">USER:
线槽板=1852=4
坚向双玻槽428=12
横向双玻槽=917=12
横向双玻压条917=24
胶压槽=2605=10、917=24
</t>
        </r>
      </text>
    </comment>
    <comment ref="D661" authorId="0">
      <text>
        <r>
          <rPr>
            <sz val="9"/>
            <color indexed="81"/>
            <rFont val="宋体"/>
            <family val="3"/>
            <charset val="134"/>
          </rPr>
          <t>USER:
玻璃角码、小角码=48
5*50平头螺丝=20
4*35螺丝=20
8#膨胀胶粒=20
4*10螺丝=20
4*8螺丝=192
插板件=10个
50#工字柱=4个
木牙螺丝=10个</t>
        </r>
      </text>
    </comment>
  </commentList>
</comments>
</file>

<file path=xl/sharedStrings.xml><?xml version="1.0" encoding="utf-8"?>
<sst xmlns="http://schemas.openxmlformats.org/spreadsheetml/2006/main" count="4873" uniqueCount="1309">
  <si>
    <t>行路难，行路难</t>
  </si>
  <si>
    <t>多歧路，今安在</t>
  </si>
  <si>
    <t>乘风破浪会有时</t>
  </si>
  <si>
    <t>直挂云帆济沧海</t>
  </si>
  <si>
    <t>成品编码</t>
    <phoneticPr fontId="6" type="noConversion"/>
  </si>
  <si>
    <t>产品名称</t>
  </si>
  <si>
    <t>部件编码</t>
    <phoneticPr fontId="6" type="noConversion"/>
  </si>
  <si>
    <t>部件名称</t>
  </si>
  <si>
    <t>颜色</t>
  </si>
  <si>
    <t>包/套内数量</t>
    <phoneticPr fontId="6" type="noConversion"/>
  </si>
  <si>
    <t>单位</t>
    <phoneticPr fontId="6" type="noConversion"/>
  </si>
  <si>
    <t>包装编码</t>
    <phoneticPr fontId="6" type="noConversion"/>
  </si>
  <si>
    <t>安全库存</t>
    <phoneticPr fontId="6" type="noConversion"/>
  </si>
  <si>
    <t>最高库存</t>
    <phoneticPr fontId="6" type="noConversion"/>
  </si>
  <si>
    <t>库位</t>
  </si>
  <si>
    <t>单价</t>
    <phoneticPr fontId="6" type="noConversion"/>
  </si>
  <si>
    <t>进仓</t>
    <phoneticPr fontId="6" type="noConversion"/>
  </si>
  <si>
    <t>系列</t>
    <phoneticPr fontId="6" type="noConversion"/>
  </si>
  <si>
    <t>备注</t>
    <phoneticPr fontId="6" type="noConversion"/>
  </si>
  <si>
    <t>产品名称</t>
    <phoneticPr fontId="6" type="noConversion"/>
  </si>
  <si>
    <t>部件名称</t>
    <phoneticPr fontId="6" type="noConversion"/>
  </si>
  <si>
    <t xml:space="preserve">柱天下主管桌   FLO-D2-2318 2300*1800*760   </t>
  </si>
  <si>
    <t>主台面板=1、</t>
  </si>
  <si>
    <t>OF-0721S暖白浮雕MF</t>
  </si>
  <si>
    <t>包</t>
  </si>
  <si>
    <t>6-1</t>
    <phoneticPr fontId="6" type="noConversion"/>
  </si>
  <si>
    <t>15</t>
    <phoneticPr fontId="6" type="noConversion"/>
  </si>
  <si>
    <t>柱天下</t>
    <phoneticPr fontId="6" type="noConversion"/>
  </si>
  <si>
    <t xml:space="preserve">附台面板=1，       异型面板=1  </t>
  </si>
  <si>
    <t>6-2</t>
  </si>
  <si>
    <t>399880001-51</t>
  </si>
  <si>
    <t>固定柜=1</t>
  </si>
  <si>
    <t>暖白/铁灰</t>
  </si>
  <si>
    <t>6-3</t>
  </si>
  <si>
    <t>D168梅花柱脚=4     托臂=8</t>
  </si>
  <si>
    <t>氧化+闪银</t>
  </si>
  <si>
    <t>6-4</t>
  </si>
  <si>
    <t xml:space="preserve">钢制档板=1         </t>
  </si>
  <si>
    <t>闪银</t>
  </si>
  <si>
    <t>6-5</t>
  </si>
  <si>
    <t>支撑钢架=1</t>
  </si>
  <si>
    <t>1</t>
  </si>
  <si>
    <t>6-6</t>
  </si>
  <si>
    <t>主机架=1 （可选）</t>
    <phoneticPr fontId="6" type="noConversion"/>
  </si>
  <si>
    <t>暖白/闪银</t>
  </si>
  <si>
    <t>7-7</t>
    <phoneticPr fontId="6" type="noConversion"/>
  </si>
  <si>
    <t xml:space="preserve">柱天下四人位 FLO-W1-2814  2800*1400*760 </t>
  </si>
  <si>
    <t xml:space="preserve">台面板=4  </t>
  </si>
  <si>
    <t>OF-0722S暖白浮雕MF</t>
  </si>
  <si>
    <t>2</t>
  </si>
  <si>
    <t>12-1,2</t>
    <phoneticPr fontId="6" type="noConversion"/>
  </si>
  <si>
    <t>10</t>
    <phoneticPr fontId="6" type="noConversion"/>
  </si>
  <si>
    <t>608a</t>
    <phoneticPr fontId="6" type="noConversion"/>
  </si>
  <si>
    <t>399880003-31</t>
  </si>
  <si>
    <t>活动柜</t>
  </si>
  <si>
    <t>4</t>
  </si>
  <si>
    <t>12-3,4.5.6</t>
    <phoneticPr fontId="6" type="noConversion"/>
  </si>
  <si>
    <t>C2区</t>
    <phoneticPr fontId="6" type="noConversion"/>
  </si>
  <si>
    <t>D168屏风A=2</t>
  </si>
  <si>
    <t>铁灰/树纹</t>
  </si>
  <si>
    <t>12-7</t>
    <phoneticPr fontId="6" type="noConversion"/>
  </si>
  <si>
    <t>D168屏风B=2</t>
  </si>
  <si>
    <t>12-8</t>
    <phoneticPr fontId="6" type="noConversion"/>
  </si>
  <si>
    <t>D168屏风C=2</t>
  </si>
  <si>
    <t>12-9,10</t>
    <phoneticPr fontId="6" type="noConversion"/>
  </si>
  <si>
    <t>T封边1=2，T封边2=6   L封边=4</t>
    <phoneticPr fontId="6" type="noConversion"/>
  </si>
  <si>
    <t>氧化</t>
  </si>
  <si>
    <t>12-11</t>
    <phoneticPr fontId="6" type="noConversion"/>
  </si>
  <si>
    <t>屏风配件</t>
  </si>
  <si>
    <t>镀锌</t>
  </si>
  <si>
    <t>12-12</t>
    <phoneticPr fontId="6" type="noConversion"/>
  </si>
  <si>
    <t>主机架=4（可选）</t>
    <phoneticPr fontId="6" type="noConversion"/>
  </si>
  <si>
    <t>13-13</t>
  </si>
  <si>
    <t>新款：活动柜</t>
  </si>
  <si>
    <t>1-1</t>
    <phoneticPr fontId="6" type="noConversion"/>
  </si>
  <si>
    <t>小房间</t>
  </si>
  <si>
    <t xml:space="preserve">欧扬主管桌 OYDN-D2-1815 1800*1500*760  左边 </t>
    <phoneticPr fontId="6" type="noConversion"/>
  </si>
  <si>
    <t>欧扬主管桌1800*1500*760 左边</t>
    <phoneticPr fontId="6" type="noConversion"/>
  </si>
  <si>
    <t>20</t>
    <phoneticPr fontId="6" type="noConversion"/>
  </si>
  <si>
    <t>欧扬 铁灰</t>
    <phoneticPr fontId="6" type="noConversion"/>
  </si>
  <si>
    <t xml:space="preserve">欧扬主管桌 OYDN-D2-1815 1800*1500*760  左边 </t>
  </si>
  <si>
    <t xml:space="preserve">L型台面板=1   </t>
  </si>
  <si>
    <t>暖白</t>
  </si>
  <si>
    <t>4-1</t>
    <phoneticPr fontId="6" type="noConversion"/>
  </si>
  <si>
    <t>399010001-21</t>
  </si>
  <si>
    <t>欧扬钢脚=2</t>
  </si>
  <si>
    <t>碳灰</t>
  </si>
  <si>
    <t>4-2</t>
  </si>
  <si>
    <t>399010002-21</t>
  </si>
  <si>
    <t>欧扬挡板=1              欧扬横杆=2</t>
  </si>
  <si>
    <t>4-3</t>
  </si>
  <si>
    <t>399880001-52</t>
  </si>
  <si>
    <t>固定柜=1</t>
    <phoneticPr fontId="6" type="noConversion"/>
  </si>
  <si>
    <t>暖白/铁灰</t>
    <phoneticPr fontId="6" type="noConversion"/>
  </si>
  <si>
    <t>个</t>
  </si>
  <si>
    <t>4-4</t>
  </si>
  <si>
    <t>主机架=1(可选）</t>
  </si>
  <si>
    <t>暖白/碳灰</t>
  </si>
  <si>
    <t>5-5</t>
  </si>
  <si>
    <t xml:space="preserve">欧扬主管桌 OYDN-D2-1815 1800*1500*760  右边 </t>
  </si>
  <si>
    <t xml:space="preserve">L型台面板=1  </t>
  </si>
  <si>
    <t>399010001-22</t>
  </si>
  <si>
    <t>399010002-22</t>
  </si>
  <si>
    <t>399880001-53</t>
  </si>
  <si>
    <t>E区</t>
    <phoneticPr fontId="6" type="noConversion"/>
  </si>
  <si>
    <t>欧扬主管桌 OYDN-D4-1715 1750*1500*760  左边</t>
  </si>
  <si>
    <t xml:space="preserve">主台面板=1  </t>
  </si>
  <si>
    <t>暖白浮雕</t>
  </si>
  <si>
    <t>5-1</t>
    <phoneticPr fontId="6" type="noConversion"/>
  </si>
  <si>
    <t>附台面板=2</t>
  </si>
  <si>
    <t>5-2</t>
  </si>
  <si>
    <t>399010004-41</t>
  </si>
  <si>
    <t>5-3</t>
  </si>
  <si>
    <t>399010005-41</t>
  </si>
  <si>
    <t>5-4</t>
  </si>
  <si>
    <t>399880001-54</t>
  </si>
  <si>
    <t xml:space="preserve">固定柜=1 </t>
    <phoneticPr fontId="6" type="noConversion"/>
  </si>
  <si>
    <t>欧扬主管桌 OYDN-D4-1715 1750*1500*760  右边</t>
  </si>
  <si>
    <t xml:space="preserve">主台面板=1 </t>
  </si>
  <si>
    <t>附台面板=1</t>
  </si>
  <si>
    <t>399010004-42</t>
  </si>
  <si>
    <t>399010005-42</t>
  </si>
  <si>
    <t>399880001-55</t>
  </si>
  <si>
    <t>布纹浮雕</t>
  </si>
  <si>
    <t>399010004-43</t>
  </si>
  <si>
    <t>399010005-43</t>
  </si>
  <si>
    <t>399010006-31</t>
  </si>
  <si>
    <t>布纹/铁灰</t>
  </si>
  <si>
    <r>
      <t xml:space="preserve">主台面板=1 </t>
    </r>
    <r>
      <rPr>
        <b/>
        <sz val="11"/>
        <rFont val="宋体"/>
        <family val="3"/>
        <charset val="134"/>
      </rPr>
      <t xml:space="preserve"> </t>
    </r>
  </si>
  <si>
    <t>5-2</t>
    <phoneticPr fontId="6" type="noConversion"/>
  </si>
  <si>
    <t>399010004-44</t>
  </si>
  <si>
    <t>399010005-44</t>
  </si>
  <si>
    <t>399010006-32</t>
  </si>
  <si>
    <t>布纹/碳灰</t>
  </si>
  <si>
    <t>欧扬长茶几 OYAN-LT   1200*600*420</t>
  </si>
  <si>
    <t>茶几面板=1 小档板=1</t>
  </si>
  <si>
    <t>2-1</t>
  </si>
  <si>
    <t>40</t>
    <phoneticPr fontId="6" type="noConversion"/>
  </si>
  <si>
    <t>399010008-21</t>
  </si>
  <si>
    <t>欧扬茶几脚=2</t>
  </si>
  <si>
    <t>2-2</t>
  </si>
  <si>
    <t>欧扬方茶几 OYAN-ST   600*600*420</t>
  </si>
  <si>
    <t>399010009-21</t>
  </si>
  <si>
    <t>欧扬方茶几    OYAN-ST   600*600*420</t>
  </si>
  <si>
    <t>399010019-21</t>
  </si>
  <si>
    <t>布纹</t>
  </si>
  <si>
    <t>399010009-22</t>
  </si>
  <si>
    <t>欧扬长茶几    OYAN-LT   1200*600*420</t>
  </si>
  <si>
    <t>399010020-21</t>
  </si>
  <si>
    <t>399010008-22</t>
  </si>
  <si>
    <t xml:space="preserve">欧扬蝴蝶型会议桌  OYAN-T3-2812 2800*1200*750 </t>
  </si>
  <si>
    <t>399010010-21</t>
  </si>
  <si>
    <t xml:space="preserve">台面板=2  平铁=2 </t>
  </si>
  <si>
    <t>3-1</t>
  </si>
  <si>
    <t>907B</t>
  </si>
  <si>
    <t>欧扬钢脚C=2 欧扬钢脚D=1 加固圆盘=2</t>
  </si>
  <si>
    <t>3-2</t>
  </si>
  <si>
    <t>907C</t>
  </si>
  <si>
    <t>欧扬走线槽=2  欧扬横杆=4</t>
  </si>
  <si>
    <t>3-3</t>
  </si>
  <si>
    <t xml:space="preserve">欧扬直型会议桌     OYAN-T2-2812 2800*1200*750 </t>
  </si>
  <si>
    <t>台面板=2</t>
  </si>
  <si>
    <t>908A</t>
  </si>
  <si>
    <t>908C</t>
  </si>
  <si>
    <t>欧扬圆台       OYAN-T1-10  1000*750</t>
  </si>
  <si>
    <t>圆台面=1</t>
  </si>
  <si>
    <t>399010011-21</t>
  </si>
  <si>
    <t>欧扬钢脚架=3 三角管=1</t>
  </si>
  <si>
    <t>欧扬圆台    OYAN-YT-80  800*750</t>
  </si>
  <si>
    <t xml:space="preserve">暖白浮雕 </t>
    <phoneticPr fontId="6" type="noConversion"/>
  </si>
  <si>
    <t>910B</t>
  </si>
  <si>
    <t>399010012-21</t>
  </si>
  <si>
    <t>欧扬钢脚架=3 三角管=1   配件包</t>
  </si>
  <si>
    <t>399010011-22</t>
  </si>
  <si>
    <t>欧扬圆台       OYAN-YT-80  800*750</t>
  </si>
  <si>
    <t>399010012-22</t>
  </si>
  <si>
    <t>909C</t>
  </si>
  <si>
    <t>欧扬蝴蝶型四人位           OYAN-W2-2929 2900*2900*760   （带副台）</t>
  </si>
  <si>
    <t>399010013-31</t>
  </si>
  <si>
    <t>台面板=2、</t>
  </si>
  <si>
    <t>布纹/浮雕</t>
  </si>
  <si>
    <t>11-1、2</t>
    <phoneticPr fontId="6" type="noConversion"/>
  </si>
  <si>
    <t>903A/B</t>
  </si>
  <si>
    <t>副台面板=4  平铁=8</t>
  </si>
  <si>
    <t>11-11</t>
    <phoneticPr fontId="6" type="noConversion"/>
  </si>
  <si>
    <t>903B</t>
  </si>
  <si>
    <t>D168桌上屏风=2</t>
  </si>
  <si>
    <t>碳灰/树纹</t>
  </si>
  <si>
    <t>11-9</t>
    <phoneticPr fontId="6" type="noConversion"/>
  </si>
  <si>
    <t>399010014-21</t>
  </si>
  <si>
    <t>11-7</t>
    <phoneticPr fontId="6" type="noConversion"/>
  </si>
  <si>
    <t>399010016-31</t>
  </si>
  <si>
    <t>功能梁=2</t>
  </si>
  <si>
    <t>11-10</t>
    <phoneticPr fontId="6" type="noConversion"/>
  </si>
  <si>
    <t>903C</t>
  </si>
  <si>
    <t>399010015-21</t>
  </si>
  <si>
    <t>欧扬走线槽=2 欧扬横杆B=4</t>
  </si>
  <si>
    <t>11-8</t>
    <phoneticPr fontId="6" type="noConversion"/>
  </si>
  <si>
    <t>399010006-33</t>
  </si>
  <si>
    <t>11-3、4.5.6</t>
    <phoneticPr fontId="6" type="noConversion"/>
  </si>
  <si>
    <t>60</t>
    <phoneticPr fontId="6" type="noConversion"/>
  </si>
  <si>
    <t>C2区</t>
  </si>
  <si>
    <t xml:space="preserve">欧扬蝴蝶型四人位        OYAN-W2-2913  2900*1300*760   （无副台）       </t>
  </si>
  <si>
    <t>399010013-32</t>
  </si>
  <si>
    <t>10-1，2</t>
    <phoneticPr fontId="6" type="noConversion"/>
  </si>
  <si>
    <t>399010018-21</t>
  </si>
  <si>
    <t>桌上屏风=2</t>
  </si>
  <si>
    <t>铁灰</t>
  </si>
  <si>
    <t>10-9</t>
    <phoneticPr fontId="6" type="noConversion"/>
  </si>
  <si>
    <t>399010014-22</t>
  </si>
  <si>
    <t>10-7</t>
    <phoneticPr fontId="6" type="noConversion"/>
  </si>
  <si>
    <t>399010015-22</t>
  </si>
  <si>
    <t>欧扬走线槽=2 欧扬横杆B=4配件包</t>
  </si>
  <si>
    <t>10-8</t>
    <phoneticPr fontId="6" type="noConversion"/>
  </si>
  <si>
    <t>399010016-32</t>
  </si>
  <si>
    <t xml:space="preserve">功能梁=2  </t>
  </si>
  <si>
    <t>10-10</t>
    <phoneticPr fontId="6" type="noConversion"/>
  </si>
  <si>
    <t>活动柜=1 （420*520*640）</t>
  </si>
  <si>
    <t>10-3.4.5.6.</t>
    <phoneticPr fontId="6" type="noConversion"/>
  </si>
  <si>
    <t>80</t>
    <phoneticPr fontId="6" type="noConversion"/>
  </si>
  <si>
    <t>欧扬琴型四人位 OYAN-W1-2814 2800*1400*760</t>
  </si>
  <si>
    <t>30</t>
    <phoneticPr fontId="6" type="noConversion"/>
  </si>
  <si>
    <t>399010018-22</t>
  </si>
  <si>
    <t>欧扬钢脚C=2 欧扬钢脚D=1  加固圆盘=2</t>
  </si>
  <si>
    <t>功能梁=2  配件包</t>
  </si>
  <si>
    <t>399880003-32</t>
  </si>
  <si>
    <t>1=4</t>
  </si>
  <si>
    <t>10-3.4.5.6</t>
    <phoneticPr fontId="6" type="noConversion"/>
  </si>
  <si>
    <t>主机架=4(可选）</t>
    <phoneticPr fontId="14" type="noConversion"/>
  </si>
  <si>
    <t>托板=1 (可选）</t>
    <phoneticPr fontId="14" type="noConversion"/>
  </si>
  <si>
    <t>901C</t>
  </si>
  <si>
    <t>新款活动柜</t>
    <phoneticPr fontId="14" type="noConversion"/>
  </si>
  <si>
    <t>布纹/铁灰</t>
    <phoneticPr fontId="14" type="noConversion"/>
  </si>
  <si>
    <t xml:space="preserve">欧扬蝴蝶形会议桌  OYAN-T3-2812 2800*1200*750  </t>
  </si>
  <si>
    <t>399010010-22</t>
  </si>
  <si>
    <t>欧扬 砂白</t>
    <phoneticPr fontId="6" type="noConversion"/>
  </si>
  <si>
    <t>砂白</t>
    <phoneticPr fontId="6" type="noConversion"/>
  </si>
  <si>
    <t>砂白</t>
  </si>
  <si>
    <t xml:space="preserve">欧扬蝴蝶型四人位          OYAN-W2-2812  2900*1300*760（无副台）       </t>
  </si>
  <si>
    <t>399010013-33</t>
  </si>
  <si>
    <t>10-1，2</t>
    <phoneticPr fontId="14" type="noConversion"/>
  </si>
  <si>
    <t>399010016-33</t>
  </si>
  <si>
    <t xml:space="preserve">活动柜=1 </t>
    <phoneticPr fontId="6" type="noConversion"/>
  </si>
  <si>
    <t>布纹/融合之歌绒面</t>
  </si>
  <si>
    <t>主机架=4（可选）</t>
  </si>
  <si>
    <t>布纹/砂白</t>
  </si>
  <si>
    <t>11-11</t>
  </si>
  <si>
    <t>欧扬长茶几  OYAN-LT   1200*600*420</t>
  </si>
  <si>
    <t>399010020-22</t>
  </si>
  <si>
    <t>欧扬方茶几  OYAN-ST   600*600*420</t>
  </si>
  <si>
    <t>399010019-22</t>
  </si>
  <si>
    <t>欧扬D5款主管桌OYAN-D5-1807 布纹色 1800*770*760左/</t>
  </si>
  <si>
    <t>面板=1</t>
  </si>
  <si>
    <t>301010019-21</t>
  </si>
  <si>
    <r>
      <t>5-2</t>
    </r>
    <r>
      <rPr>
        <sz val="12"/>
        <rFont val="宋体"/>
        <family val="3"/>
        <charset val="134"/>
      </rPr>
      <t/>
    </r>
  </si>
  <si>
    <t>301010020-21</t>
  </si>
  <si>
    <t>欧扬挡板=1.欧扬横杆=2</t>
  </si>
  <si>
    <r>
      <t>5-3</t>
    </r>
    <r>
      <rPr>
        <sz val="12"/>
        <rFont val="宋体"/>
        <family val="3"/>
        <charset val="134"/>
      </rPr>
      <t/>
    </r>
  </si>
  <si>
    <t>附柜=1</t>
  </si>
  <si>
    <t>OF-0204融合之歌</t>
  </si>
  <si>
    <r>
      <t>5-4</t>
    </r>
    <r>
      <rPr>
        <sz val="12"/>
        <rFont val="宋体"/>
        <family val="3"/>
        <charset val="134"/>
      </rPr>
      <t/>
    </r>
  </si>
  <si>
    <t>抽屉=3</t>
  </si>
  <si>
    <t>OF-0205融合之歌</t>
  </si>
  <si>
    <r>
      <t>5-5</t>
    </r>
    <r>
      <rPr>
        <sz val="12"/>
        <rFont val="宋体"/>
        <family val="3"/>
        <charset val="134"/>
      </rPr>
      <t/>
    </r>
  </si>
  <si>
    <t>301010023-21</t>
  </si>
  <si>
    <t>主机架=1（可选）</t>
  </si>
  <si>
    <t>布纹+砂白</t>
  </si>
  <si>
    <t>欧扬D5款主管桌                     OYAN-D5-1807   布纹色    1800*770*760       右/</t>
  </si>
  <si>
    <t>301010019-22</t>
  </si>
  <si>
    <t>301010020-22</t>
  </si>
  <si>
    <t>301010023-22</t>
  </si>
  <si>
    <t>欧扬D5款主管桌暖白（左边）</t>
    <phoneticPr fontId="6" type="noConversion"/>
  </si>
  <si>
    <t>面板欧扬D5款主管桌暖白（左边）</t>
    <phoneticPr fontId="6" type="noConversion"/>
  </si>
  <si>
    <t>暖白</t>
    <phoneticPr fontId="6" type="noConversion"/>
  </si>
  <si>
    <t>欧扬D5款主管桌暖白（左边）</t>
  </si>
  <si>
    <t>附柜</t>
    <phoneticPr fontId="6" type="noConversion"/>
  </si>
  <si>
    <t>抽屉</t>
    <phoneticPr fontId="6" type="noConversion"/>
  </si>
  <si>
    <t>铁灰</t>
    <phoneticPr fontId="14" type="noConversion"/>
  </si>
  <si>
    <t>钢脚</t>
    <phoneticPr fontId="6" type="noConversion"/>
  </si>
  <si>
    <t>碳灰</t>
    <phoneticPr fontId="6" type="noConversion"/>
  </si>
  <si>
    <t>欧扬D5款主管桌暖白（右边）</t>
    <phoneticPr fontId="6" type="noConversion"/>
  </si>
  <si>
    <t>面板欧扬D5款主管桌暖白（右边）</t>
    <phoneticPr fontId="6" type="noConversion"/>
  </si>
  <si>
    <t>欧扬D5款主管桌暖白（右边）</t>
  </si>
  <si>
    <t>铁灰</t>
    <phoneticPr fontId="6" type="noConversion"/>
  </si>
  <si>
    <t>欧尚主管桌    OS-D-1816  1800*1600*760</t>
  </si>
  <si>
    <t>主台面板=1 挡板=1    旧线盒</t>
  </si>
  <si>
    <t>OF-KA1206橡木浮雕MFC</t>
  </si>
  <si>
    <t>13</t>
    <phoneticPr fontId="6" type="noConversion"/>
  </si>
  <si>
    <t>欧尚</t>
    <phoneticPr fontId="6" type="noConversion"/>
  </si>
  <si>
    <t>欧尚钢脚A=2/线槽=1</t>
  </si>
  <si>
    <t>纯白色</t>
  </si>
  <si>
    <t>欧尚横杆=2</t>
  </si>
  <si>
    <t>纯白色</t>
    <phoneticPr fontId="6" type="noConversion"/>
  </si>
  <si>
    <t>固定柜=1             （430*510*765)</t>
  </si>
  <si>
    <t>橡木/暖白</t>
  </si>
  <si>
    <t>主机架（可选）</t>
  </si>
  <si>
    <t>橡木/纯白</t>
    <phoneticPr fontId="6" type="noConversion"/>
  </si>
  <si>
    <r>
      <t>6-6</t>
    </r>
    <r>
      <rPr>
        <sz val="12"/>
        <rFont val="宋体"/>
        <family val="3"/>
        <charset val="134"/>
      </rPr>
      <t/>
    </r>
    <phoneticPr fontId="6" type="noConversion"/>
  </si>
  <si>
    <t>欧尚文件柜--B  OS-C1-9019 900*420*1980</t>
  </si>
  <si>
    <t>顶板=1 固定层板=1 活动层板=3底板=1配件包</t>
  </si>
  <si>
    <t>OF-KA1206</t>
  </si>
  <si>
    <t>39</t>
    <phoneticPr fontId="6" type="noConversion"/>
  </si>
  <si>
    <t>背板=1 侧板=2 脚裙=1 下掩门板=2</t>
  </si>
  <si>
    <t>斜边铝框门=2</t>
  </si>
  <si>
    <t>欧尚文件柜A    OS-C2-9019 900*420*1980</t>
  </si>
  <si>
    <t>顶板=1 固定层板=1 活动层板=3底板=1/配件包</t>
  </si>
  <si>
    <t>OF-KA1206橡木浮雕</t>
  </si>
  <si>
    <t>702c</t>
    <phoneticPr fontId="6" type="noConversion"/>
  </si>
  <si>
    <t>背板=1 侧板=2 脚裙=1 下掩门板=2 上掩门板=2</t>
  </si>
  <si>
    <t>701b</t>
    <phoneticPr fontId="6" type="noConversion"/>
  </si>
  <si>
    <t>欧尚会议桌     OS -T1-2010   2000*1000*760</t>
  </si>
  <si>
    <t>台面板=1</t>
  </si>
  <si>
    <t>OF-T22枫木浮雕</t>
  </si>
  <si>
    <t>欧尚钢脚A=2</t>
  </si>
  <si>
    <t>欧尚长几      OS-LT     1200*600*420</t>
  </si>
  <si>
    <t>茶几面板=1</t>
  </si>
  <si>
    <t>703C</t>
  </si>
  <si>
    <t>欧尚茶几脚=2</t>
  </si>
  <si>
    <t>欧尚方几       OS -ST     600*600*420</t>
  </si>
  <si>
    <t xml:space="preserve">欧尚茶几脚=2    </t>
  </si>
  <si>
    <t xml:space="preserve">欧尚四人位    OS-ZH/B2814  2400*1200*760 </t>
  </si>
  <si>
    <t>主台面板=2</t>
  </si>
  <si>
    <t>OF-T22枫木</t>
  </si>
  <si>
    <t>10-1,2</t>
    <phoneticPr fontId="6" type="noConversion"/>
  </si>
  <si>
    <t>钢脚=3 走线槽=2</t>
  </si>
  <si>
    <t>银白</t>
  </si>
  <si>
    <t xml:space="preserve">拉杆=3  </t>
  </si>
  <si>
    <t>功能梁=1</t>
  </si>
  <si>
    <t xml:space="preserve">  果绿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</si>
  <si>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活动柜（420*520*640）</t>
  </si>
  <si>
    <t>枫木/暖白</t>
  </si>
  <si>
    <t>11-3.4.5.6</t>
  </si>
  <si>
    <t>枫木/纯白</t>
  </si>
  <si>
    <t xml:space="preserve">欧典主管桌     OD-D-1608  1600*1600*760   </t>
  </si>
  <si>
    <t xml:space="preserve">主台面板=1             挡板=1                      </t>
  </si>
  <si>
    <t>OF-1779灰橡木浮雕</t>
  </si>
  <si>
    <t>欧典</t>
    <phoneticPr fontId="6" type="noConversion"/>
  </si>
  <si>
    <t>欧典钢脚A=2</t>
  </si>
  <si>
    <t>欧典拉杆=2</t>
  </si>
  <si>
    <t>802C</t>
  </si>
  <si>
    <t>399020002-31</t>
  </si>
  <si>
    <t>固定柜=1（410*490*750</t>
  </si>
  <si>
    <t>灰橡/暖白</t>
  </si>
  <si>
    <t>主机架=1（可选）</t>
    <phoneticPr fontId="6" type="noConversion"/>
  </si>
  <si>
    <t>灰橡/砂白</t>
  </si>
  <si>
    <t>6-6</t>
    <phoneticPr fontId="6" type="noConversion"/>
  </si>
  <si>
    <t xml:space="preserve">欧典主管桌     OD-D-1816   1800*1600*760   </t>
  </si>
  <si>
    <t xml:space="preserve">主台面板=1            挡板=1                         </t>
  </si>
  <si>
    <t>801A/ B 802A/B</t>
  </si>
  <si>
    <t>欧典钢脚A=2 钢制走线槽B/单=1</t>
  </si>
  <si>
    <t>801C</t>
  </si>
  <si>
    <t>399020002-32</t>
  </si>
  <si>
    <t>欧典会议桌    OD-T1-2210   2200*1000*760</t>
  </si>
  <si>
    <t>灰橡/浮雕</t>
  </si>
  <si>
    <t>804A/B</t>
  </si>
  <si>
    <t>欧典钢脚=2</t>
  </si>
  <si>
    <t>804C</t>
  </si>
  <si>
    <t>欧典四人位    OD-S1-2812   2800*1230*760</t>
  </si>
  <si>
    <t>399020003-21</t>
  </si>
  <si>
    <t xml:space="preserve">台面板=2              </t>
  </si>
  <si>
    <t>806C</t>
  </si>
  <si>
    <t>399020004-21</t>
  </si>
  <si>
    <t>399020005-21</t>
  </si>
  <si>
    <t>屏风板=2</t>
  </si>
  <si>
    <t>树技纹</t>
  </si>
  <si>
    <t>399020006-21</t>
  </si>
  <si>
    <t xml:space="preserve">欧典钢脚B=2  欧典钢脚C=1钢制走线槽A/单=2 </t>
  </si>
  <si>
    <t>805C</t>
  </si>
  <si>
    <t>399020007-21</t>
  </si>
  <si>
    <t>欧典横杆=4            配件包</t>
  </si>
  <si>
    <t>活动柜=1（420*510*640）</t>
  </si>
  <si>
    <t>1*4</t>
  </si>
  <si>
    <t>10-3（4.5.6）</t>
    <phoneticPr fontId="6" type="noConversion"/>
  </si>
  <si>
    <t>805B/705B</t>
  </si>
  <si>
    <t>欧典四人十字位    OD-S2-2828   2800*2830*760</t>
  </si>
  <si>
    <t>399020003-22</t>
  </si>
  <si>
    <t>11-1,2</t>
    <phoneticPr fontId="6" type="noConversion"/>
  </si>
  <si>
    <t>附台面板=4</t>
  </si>
  <si>
    <t>803c</t>
    <phoneticPr fontId="6" type="noConversion"/>
  </si>
  <si>
    <t>399020004-22</t>
  </si>
  <si>
    <t>399020005-22</t>
  </si>
  <si>
    <t>399020006-22</t>
  </si>
  <si>
    <t>欧典钢脚B=2            欧典钢脚C=1            钢制走线槽A/单=2</t>
  </si>
  <si>
    <t>399020007-22</t>
  </si>
  <si>
    <t>399020002-33</t>
  </si>
  <si>
    <t xml:space="preserve">地柜 </t>
  </si>
  <si>
    <t>12-3（5.6.4）</t>
  </si>
  <si>
    <t>欧典文件柜     OD-C1-C0816 800*400*1600</t>
  </si>
  <si>
    <t>顶板=1，固定层=1      活动层板=2底板=1配件包</t>
  </si>
  <si>
    <t>4-1</t>
  </si>
  <si>
    <t>背板=1，侧板=2，      掩门板=2</t>
  </si>
  <si>
    <t>斜边铝门=2</t>
  </si>
  <si>
    <t>399020009-21</t>
  </si>
  <si>
    <t>柜脚=1</t>
  </si>
  <si>
    <t>欧典文件柜  OD-C2-C0816 800*400*1600</t>
  </si>
  <si>
    <t>顶板=1，固定层=1      活动层板=3</t>
  </si>
  <si>
    <t>399020009-22</t>
  </si>
  <si>
    <t>活动柜(新款410*500*590）</t>
  </si>
  <si>
    <t>欧典长几       OD-LT       1200*600*420</t>
    <phoneticPr fontId="6" type="noConversion"/>
  </si>
  <si>
    <t>欧典长几1200*600*420</t>
    <phoneticPr fontId="6" type="noConversion"/>
  </si>
  <si>
    <t>欧典长几       OD-LT       1200*600*420</t>
  </si>
  <si>
    <t>面板</t>
  </si>
  <si>
    <t>810B</t>
  </si>
  <si>
    <t>钢脚</t>
  </si>
  <si>
    <t>砂白钢脚</t>
  </si>
  <si>
    <t>810C</t>
  </si>
  <si>
    <t>拉杆</t>
  </si>
  <si>
    <t>欧典方几       OD-ST  600*600*420</t>
  </si>
  <si>
    <t>/拉杆</t>
  </si>
  <si>
    <t>梵高文件柜    FG-C1-9019  900*420*1980</t>
  </si>
  <si>
    <t>顶板=1 固定层板=1      活动层板=3 底板=1 配件包</t>
  </si>
  <si>
    <t>梨木浮雕</t>
  </si>
  <si>
    <t>梵高</t>
    <phoneticPr fontId="6" type="noConversion"/>
  </si>
  <si>
    <t>背板=3  下掩门板=2      侧板=2        脚裙=1</t>
  </si>
  <si>
    <t>梵高文件柜    FG-C2-9019  900*420*1980</t>
  </si>
  <si>
    <t>顶板=1 固定层板=1      活动层板=3  底板=1配件包</t>
  </si>
  <si>
    <t>梨木/浮雕</t>
  </si>
  <si>
    <t xml:space="preserve">背板=1 上掩门板=2      侧板=2  脚裙=1         下掩门板=2     </t>
  </si>
  <si>
    <t>梵高主管桌    FG-D-2120  2100*1000*760</t>
  </si>
  <si>
    <r>
      <t xml:space="preserve">主台面板=1 挡板=1挡板夹=2  </t>
    </r>
    <r>
      <rPr>
        <b/>
        <sz val="11"/>
        <rFont val="宋体"/>
        <family val="3"/>
        <charset val="134"/>
      </rPr>
      <t xml:space="preserve"> </t>
    </r>
  </si>
  <si>
    <t>附件台面板=1 平铁=2</t>
  </si>
  <si>
    <t xml:space="preserve">梵高边脚=2 钢制走线槽C/U单=1     </t>
  </si>
  <si>
    <t>梵高横杆A=2</t>
  </si>
  <si>
    <t>固定柜=1（430*510*765）</t>
  </si>
  <si>
    <t>梨木/铁灰</t>
  </si>
  <si>
    <t>主机架=1 （可选）</t>
  </si>
  <si>
    <t>梨木/碳灰</t>
  </si>
  <si>
    <t>梵高主管桌1800*800*760</t>
    <phoneticPr fontId="6" type="noConversion"/>
  </si>
  <si>
    <t>面板梵高主管桌1800*800*760</t>
    <phoneticPr fontId="6" type="noConversion"/>
  </si>
  <si>
    <t>梨木浮雕</t>
    <phoneticPr fontId="6" type="noConversion"/>
  </si>
  <si>
    <t>包</t>
    <phoneticPr fontId="6" type="noConversion"/>
  </si>
  <si>
    <t>梵高主管桌1800*800*760</t>
  </si>
  <si>
    <t>附台面板</t>
    <phoneticPr fontId="6" type="noConversion"/>
  </si>
  <si>
    <t>梵高会议桌    FG-T1-3212   3200*1200*760</t>
  </si>
  <si>
    <t>装饰板=1 平铁=2</t>
  </si>
  <si>
    <t>梵高边脚=2 梵高中脚=1  配件包</t>
  </si>
  <si>
    <t>梵高横杆B=4</t>
  </si>
  <si>
    <t xml:space="preserve">梵高长茶几 1200*600*420    </t>
  </si>
  <si>
    <t>梨木</t>
  </si>
  <si>
    <t>梵高茶几钢脚=2</t>
  </si>
  <si>
    <t>610B</t>
  </si>
  <si>
    <t>梵高方几       FG-ST    600*600*420</t>
  </si>
  <si>
    <t xml:space="preserve">梵高茶几钢脚=2         </t>
  </si>
  <si>
    <t>梵高洽谈桌   1000*750</t>
  </si>
  <si>
    <t>圆盘脚=1</t>
  </si>
  <si>
    <t>梵高洽谈桌   800*750</t>
  </si>
  <si>
    <t>梵高十字四人位 2800*2800*760</t>
  </si>
  <si>
    <t>303030002-21</t>
  </si>
  <si>
    <t>主台面</t>
  </si>
  <si>
    <t>枫木</t>
  </si>
  <si>
    <t>604c</t>
    <phoneticPr fontId="6" type="noConversion"/>
  </si>
  <si>
    <t>附台=4</t>
  </si>
  <si>
    <t>11-3</t>
    <phoneticPr fontId="6" type="noConversion"/>
  </si>
  <si>
    <t>303030004-21</t>
  </si>
  <si>
    <r>
      <t>11-4</t>
    </r>
    <r>
      <rPr>
        <sz val="12"/>
        <rFont val="宋体"/>
        <family val="3"/>
        <charset val="134"/>
      </rPr>
      <t/>
    </r>
  </si>
  <si>
    <t>梵高边脚=2 钢制走线槽B=2  梵高中脚=1</t>
  </si>
  <si>
    <r>
      <t>11-5</t>
    </r>
    <r>
      <rPr>
        <sz val="12"/>
        <rFont val="宋体"/>
        <family val="3"/>
        <charset val="134"/>
      </rPr>
      <t/>
    </r>
  </si>
  <si>
    <t>地柜=1  左</t>
  </si>
  <si>
    <t>枫木/铁灰</t>
  </si>
  <si>
    <t>11-6,7</t>
    <phoneticPr fontId="6" type="noConversion"/>
  </si>
  <si>
    <t>地柜=1 右</t>
  </si>
  <si>
    <t>11-8,9</t>
    <phoneticPr fontId="6" type="noConversion"/>
  </si>
  <si>
    <t>303030008-21</t>
  </si>
  <si>
    <t>拉杆=2</t>
  </si>
  <si>
    <t>303030009-21</t>
  </si>
  <si>
    <t xml:space="preserve">功能梁=2 </t>
  </si>
  <si>
    <t>枫木/碳灰</t>
  </si>
  <si>
    <t>梵高直型四人位2800*1400*760</t>
  </si>
  <si>
    <t>303030002-22</t>
  </si>
  <si>
    <t>10-1.2</t>
    <phoneticPr fontId="6" type="noConversion"/>
  </si>
  <si>
    <t>507B</t>
  </si>
  <si>
    <t>303030004-22</t>
  </si>
  <si>
    <r>
      <t>10-8</t>
    </r>
    <r>
      <rPr>
        <sz val="12"/>
        <rFont val="宋体"/>
        <family val="3"/>
        <charset val="134"/>
      </rPr>
      <t/>
    </r>
  </si>
  <si>
    <t>0</t>
    <phoneticPr fontId="6" type="noConversion"/>
  </si>
  <si>
    <t>399030001-32</t>
  </si>
  <si>
    <r>
      <t>10-9</t>
    </r>
    <r>
      <rPr>
        <sz val="12"/>
        <rFont val="宋体"/>
        <family val="3"/>
        <charset val="134"/>
      </rPr>
      <t/>
    </r>
  </si>
  <si>
    <t>303030008-22</t>
  </si>
  <si>
    <r>
      <t>10-10</t>
    </r>
    <r>
      <rPr>
        <sz val="12"/>
        <rFont val="宋体"/>
        <family val="3"/>
        <charset val="134"/>
      </rPr>
      <t/>
    </r>
  </si>
  <si>
    <t>303030009-22</t>
  </si>
  <si>
    <t xml:space="preserve">608款二人位 </t>
    <phoneticPr fontId="6" type="noConversion"/>
  </si>
  <si>
    <t>608款二人位</t>
  </si>
  <si>
    <t>套</t>
  </si>
  <si>
    <t>710C</t>
  </si>
  <si>
    <t xml:space="preserve">608款二人位 </t>
  </si>
  <si>
    <t>L型台面板=2</t>
  </si>
  <si>
    <t>12-1</t>
  </si>
  <si>
    <t>侧板=3</t>
  </si>
  <si>
    <t>12-2</t>
  </si>
  <si>
    <t>399880003-33</t>
  </si>
  <si>
    <t>活动柜=1</t>
  </si>
  <si>
    <t>12-3.4</t>
  </si>
  <si>
    <t>主机架=2</t>
  </si>
  <si>
    <t>12-5</t>
  </si>
  <si>
    <t>键盘架=2</t>
  </si>
  <si>
    <t>12-6</t>
  </si>
  <si>
    <t>屏风A:738*1200=2</t>
  </si>
  <si>
    <t>碳黑</t>
    <phoneticPr fontId="14" type="noConversion"/>
  </si>
  <si>
    <t>12-7</t>
  </si>
  <si>
    <t>屏风B:738*1400=2</t>
  </si>
  <si>
    <t>12-8</t>
  </si>
  <si>
    <t>屏风C:738*1400=2</t>
  </si>
  <si>
    <t>12-9</t>
  </si>
  <si>
    <t>屏风D:738*1200=2</t>
  </si>
  <si>
    <t>12-10</t>
  </si>
  <si>
    <t>12-11</t>
  </si>
  <si>
    <t>屏风封边</t>
  </si>
  <si>
    <t>12-12</t>
  </si>
  <si>
    <t>168屏风四人位2400*1200*1150</t>
  </si>
  <si>
    <t>全旧线盒168屏风四人位2400*1200*1150</t>
    <phoneticPr fontId="6" type="noConversion"/>
  </si>
  <si>
    <t>电梯后</t>
  </si>
  <si>
    <t>10-1/2</t>
  </si>
  <si>
    <t>桌面屏风=2</t>
  </si>
  <si>
    <t>10-7</t>
  </si>
  <si>
    <t>地柜</t>
  </si>
  <si>
    <t>10-3.4.5.6</t>
  </si>
  <si>
    <t>钢侧板=2/配件</t>
  </si>
  <si>
    <t>10-8</t>
  </si>
  <si>
    <t>屏风A:1234*1150=1</t>
  </si>
  <si>
    <t>氧化铝</t>
  </si>
  <si>
    <t>10-9</t>
  </si>
  <si>
    <t>配件：</t>
  </si>
  <si>
    <t>10-10</t>
  </si>
  <si>
    <t>魔方文件柜  Mfan-CA09 2500*400*1745</t>
  </si>
  <si>
    <t>CA09掩门柜</t>
  </si>
  <si>
    <t>8-1,2</t>
    <phoneticPr fontId="6" type="noConversion"/>
  </si>
  <si>
    <t>CA04层板1=2</t>
  </si>
  <si>
    <t>8-3</t>
    <phoneticPr fontId="6" type="noConversion"/>
  </si>
  <si>
    <t>CA04层板2=3</t>
  </si>
  <si>
    <t>8-4</t>
  </si>
  <si>
    <t>CA12趟门柜</t>
  </si>
  <si>
    <t>8-5</t>
  </si>
  <si>
    <t>GJ3钢架=2</t>
  </si>
  <si>
    <t>8-6,7</t>
    <phoneticPr fontId="6" type="noConversion"/>
  </si>
  <si>
    <t>CA16二抽柜=1</t>
  </si>
  <si>
    <t>8-8</t>
  </si>
  <si>
    <t>8-3</t>
  </si>
  <si>
    <t>纯白</t>
  </si>
  <si>
    <t>405B</t>
  </si>
  <si>
    <t>空格柜 4 格</t>
    <phoneticPr fontId="6" type="noConversion"/>
  </si>
  <si>
    <t>空格柜4格850*380*850</t>
    <phoneticPr fontId="6" type="noConversion"/>
  </si>
  <si>
    <t>暖白/浮雕</t>
  </si>
  <si>
    <t>空格柜 6 格</t>
    <phoneticPr fontId="6" type="noConversion"/>
  </si>
  <si>
    <t>空格柜6格850*350*1265</t>
    <phoneticPr fontId="6" type="noConversion"/>
  </si>
  <si>
    <t>405A</t>
  </si>
  <si>
    <t>空格柜 8 格</t>
    <phoneticPr fontId="6" type="noConversion"/>
  </si>
  <si>
    <t>空格柜8格850*350*1680</t>
    <phoneticPr fontId="6" type="noConversion"/>
  </si>
  <si>
    <t>青花瓷四人位组合 （带吊柜）2800*1400*1680     QH-S1-2814</t>
  </si>
  <si>
    <t>台面板=2/A</t>
  </si>
  <si>
    <t>白玉石绒面</t>
  </si>
  <si>
    <t>11-1</t>
  </si>
  <si>
    <t>803a</t>
    <phoneticPr fontId="6" type="noConversion"/>
  </si>
  <si>
    <t>青花瓷</t>
    <phoneticPr fontId="6" type="noConversion"/>
  </si>
  <si>
    <t>台面板=2/B</t>
  </si>
  <si>
    <t>11-2</t>
  </si>
  <si>
    <t>空格柜=2、线槽板=2、配件包=2</t>
  </si>
  <si>
    <t>11-3</t>
  </si>
  <si>
    <t>玻璃屏风板=2</t>
  </si>
  <si>
    <t>白色药水砂</t>
  </si>
  <si>
    <t>11-4</t>
  </si>
  <si>
    <t>边脚=2</t>
  </si>
  <si>
    <t>纯白+电镀</t>
  </si>
  <si>
    <t>11-5、6</t>
  </si>
  <si>
    <t>中脚=1</t>
  </si>
  <si>
    <t>11-7</t>
  </si>
  <si>
    <t>横杆=4、</t>
  </si>
  <si>
    <t>11-8</t>
  </si>
  <si>
    <t>边杆=4 配件</t>
  </si>
  <si>
    <t>11-9</t>
  </si>
  <si>
    <t>桌上支撑柱=3</t>
  </si>
  <si>
    <t>11-10</t>
  </si>
  <si>
    <t>走线槽=2</t>
  </si>
  <si>
    <t>青花瓷四人位组2800*1400*750     带吊柜</t>
    <phoneticPr fontId="6" type="noConversion"/>
  </si>
  <si>
    <t>吊柜</t>
    <phoneticPr fontId="6" type="noConversion"/>
  </si>
  <si>
    <t>青花瓷四人位组2800*1400*750     带吊柜</t>
  </si>
  <si>
    <t>屏风</t>
    <phoneticPr fontId="6" type="noConversion"/>
  </si>
  <si>
    <t>青花瓷四人位组2800*1400*750     QH-S2-2814</t>
  </si>
  <si>
    <t>台面板=4.</t>
  </si>
  <si>
    <t>10-1、2</t>
  </si>
  <si>
    <t>10-3</t>
  </si>
  <si>
    <t>10-4</t>
  </si>
  <si>
    <t>10-6、5</t>
  </si>
  <si>
    <t>边杆=3、配件</t>
  </si>
  <si>
    <t>青花瓷主管桌       整体：2500*1600*750  主台：2100*1000*750  附柜：1200*500*650     QH-D-2110</t>
  </si>
  <si>
    <t>台面板=1/挡板=1</t>
  </si>
  <si>
    <t>5-1</t>
  </si>
  <si>
    <t>附柜</t>
  </si>
  <si>
    <t>附柜二抽柜=1+柜脚=4</t>
  </si>
  <si>
    <t>钢脚=1</t>
  </si>
  <si>
    <t>拉杆=2.边杆=1./配件</t>
  </si>
  <si>
    <t>青花瓷主管桌        整体：2200*1400*750     主台：1800*800*750   附柜：1200*500*650   QH-D-1880</t>
  </si>
  <si>
    <t>704c</t>
    <phoneticPr fontId="6" type="noConversion"/>
  </si>
  <si>
    <t>钢脚=2</t>
  </si>
  <si>
    <t>青花瓷文件柜 2600*400*1850     QH-C-2618</t>
  </si>
  <si>
    <t>侧、背、门=8  （大）</t>
  </si>
  <si>
    <t>7-1</t>
  </si>
  <si>
    <t>面、底、固、活/配件=10</t>
  </si>
  <si>
    <t>7-2</t>
  </si>
  <si>
    <t>上柜+配件   （大）</t>
  </si>
  <si>
    <t>7-3</t>
  </si>
  <si>
    <t>下柜</t>
  </si>
  <si>
    <t>7-4</t>
  </si>
  <si>
    <r>
      <t>四抽柜抽屉=4/左+配件</t>
    </r>
    <r>
      <rPr>
        <sz val="12"/>
        <rFont val="宋体"/>
        <family val="3"/>
        <charset val="134"/>
      </rPr>
      <t/>
    </r>
  </si>
  <si>
    <t>7-5</t>
  </si>
  <si>
    <r>
      <t>四抽柜抽屉=4/右+柜脚</t>
    </r>
    <r>
      <rPr>
        <sz val="12"/>
        <rFont val="宋体"/>
        <family val="3"/>
        <charset val="134"/>
      </rPr>
      <t/>
    </r>
  </si>
  <si>
    <t>7-6</t>
  </si>
  <si>
    <t>支撑柱=1  托臂=4</t>
  </si>
  <si>
    <t>7-7</t>
  </si>
  <si>
    <t>青花瓷会议台2800*1200*750      QH-T1-3012</t>
  </si>
  <si>
    <t>台面板1=2</t>
  </si>
  <si>
    <t>9-1</t>
    <phoneticPr fontId="6" type="noConversion"/>
  </si>
  <si>
    <t>边面板2=2.头饰板=1平铁=10、配件</t>
  </si>
  <si>
    <t>9-2</t>
    <phoneticPr fontId="6" type="noConversion"/>
  </si>
  <si>
    <t>9-3、4</t>
    <phoneticPr fontId="6" type="noConversion"/>
  </si>
  <si>
    <t>312110005-21</t>
  </si>
  <si>
    <t>9-5</t>
    <phoneticPr fontId="6" type="noConversion"/>
  </si>
  <si>
    <t>312110005-22</t>
  </si>
  <si>
    <t>拉杆=3/配件</t>
  </si>
  <si>
    <t>9-6</t>
  </si>
  <si>
    <t>横杆=4</t>
    <phoneticPr fontId="6" type="noConversion"/>
  </si>
  <si>
    <t>9-7</t>
  </si>
  <si>
    <t>走线槽</t>
  </si>
  <si>
    <t>9-8</t>
  </si>
  <si>
    <t>312110008-21</t>
  </si>
  <si>
    <t>装饰板</t>
    <phoneticPr fontId="6" type="noConversion"/>
  </si>
  <si>
    <t>9-9</t>
  </si>
  <si>
    <t>青花瓷会议台   2200*1000*750     QH-T2-20110</t>
  </si>
  <si>
    <t>710b</t>
    <phoneticPr fontId="6" type="noConversion"/>
  </si>
  <si>
    <t>4-2,3</t>
    <phoneticPr fontId="6" type="noConversion"/>
  </si>
  <si>
    <t>拉杆=2/配件</t>
  </si>
  <si>
    <t>青花瓷胶板洽谈台   1000*1000*750     QH-T3-1010</t>
  </si>
  <si>
    <t>708a</t>
    <phoneticPr fontId="6" type="noConversion"/>
  </si>
  <si>
    <t>399090001-21</t>
  </si>
  <si>
    <t>钢脚=3</t>
  </si>
  <si>
    <t>青花瓷胶板长几1200*600*420      QH-LT-1260</t>
  </si>
  <si>
    <t>面板+空格=4</t>
  </si>
  <si>
    <t>710a</t>
    <phoneticPr fontId="6" type="noConversion"/>
  </si>
  <si>
    <t>399090002-21</t>
  </si>
  <si>
    <t>钢脚=4</t>
  </si>
  <si>
    <t>青花瓷胶板方几600*600*420        QH-ST-6060</t>
  </si>
  <si>
    <t>399090003-21</t>
  </si>
  <si>
    <t>青花瓷二人位 1400*1400*750      QH-S2-1414</t>
  </si>
  <si>
    <t>面板=2</t>
  </si>
  <si>
    <t>功能梁</t>
  </si>
  <si>
    <t>屏风板=1</t>
  </si>
  <si>
    <t>7-5、4</t>
  </si>
  <si>
    <t>拉杆=2/配件包</t>
  </si>
  <si>
    <t>青花瓷二人位组合 （带吊柜）1400*1400*1680     QH-S1-1414</t>
  </si>
  <si>
    <t>8-1</t>
  </si>
  <si>
    <t>空格=1、线槽板=1、  配件包=1</t>
    <phoneticPr fontId="6" type="noConversion"/>
  </si>
  <si>
    <t>8-2</t>
  </si>
  <si>
    <t>玻璃屏风板=1</t>
  </si>
  <si>
    <t>8-4,5</t>
    <phoneticPr fontId="6" type="noConversion"/>
  </si>
  <si>
    <t>拉杆=2、配件</t>
  </si>
  <si>
    <t>8-6</t>
  </si>
  <si>
    <t>桌上支撑柱=2</t>
  </si>
  <si>
    <t>8-7</t>
  </si>
  <si>
    <t>走线槽=1</t>
  </si>
  <si>
    <t>白玉石+海军蓝</t>
  </si>
  <si>
    <t>欧瑞主管桌                                      OREM-D1-2420   2400*2000*760    左方向</t>
  </si>
  <si>
    <t>台面板=1           挡板=1</t>
  </si>
  <si>
    <t xml:space="preserve">OF-522-1#特高亮光 OF-奶白-5#特高亮光 </t>
  </si>
  <si>
    <t>6-1</t>
  </si>
  <si>
    <t>欧瑞</t>
    <phoneticPr fontId="6" type="noConversion"/>
  </si>
  <si>
    <t>附柜=1+配件</t>
  </si>
  <si>
    <t>附柜二抽柜=1</t>
  </si>
  <si>
    <t xml:space="preserve">OF-奶白-5#特高亮光 </t>
  </si>
  <si>
    <t>钢脚=2 走线槽=1</t>
  </si>
  <si>
    <t>附柜支撑钢脚=3+配件</t>
  </si>
  <si>
    <t>欧瑞主管桌                                      OREM-D1-2420   2400*2000*760    右方向</t>
  </si>
  <si>
    <t>欧瑞文件柜                                      OREM-C1-0818  800*420*1800</t>
  </si>
  <si>
    <t>202c</t>
    <phoneticPr fontId="6" type="noConversion"/>
  </si>
  <si>
    <t>顶层板=1 固定层板=1      活动层板=2.  底板=1 配件</t>
    <phoneticPr fontId="6" type="noConversion"/>
  </si>
  <si>
    <t>背板=1.  侧板=2.        掩门板=4</t>
    <phoneticPr fontId="6" type="noConversion"/>
  </si>
  <si>
    <t>399140001-31</t>
  </si>
  <si>
    <t>欧瑞文件柜                                      OREM-C2-0818  800*420*1800</t>
  </si>
  <si>
    <t>顶层板=1  固定层板=2          活动层板=2. 底板=1  配件</t>
    <phoneticPr fontId="6" type="noConversion"/>
  </si>
  <si>
    <t>背板=1 侧板=2.        间板=1</t>
    <phoneticPr fontId="6" type="noConversion"/>
  </si>
  <si>
    <t>文件柜二抽屉</t>
  </si>
  <si>
    <t>399140001-32</t>
  </si>
  <si>
    <t>柜脚</t>
  </si>
  <si>
    <t>欧瑞文件柜                                      OREM-C3-0818  800*420*1800</t>
  </si>
  <si>
    <t>4-1</t>
    <phoneticPr fontId="14" type="noConversion"/>
  </si>
  <si>
    <t>202a</t>
    <phoneticPr fontId="6" type="noConversion"/>
  </si>
  <si>
    <t xml:space="preserve">背板=1. 侧板=2.        </t>
    <phoneticPr fontId="6" type="noConversion"/>
  </si>
  <si>
    <t>4-2</t>
    <phoneticPr fontId="14" type="noConversion"/>
  </si>
  <si>
    <t>399140001-33</t>
  </si>
  <si>
    <t>4-3</t>
    <phoneticPr fontId="14" type="noConversion"/>
  </si>
  <si>
    <t>202C</t>
  </si>
  <si>
    <t>1</t>
    <phoneticPr fontId="14" type="noConversion"/>
  </si>
  <si>
    <t>4-4</t>
    <phoneticPr fontId="14" type="noConversion"/>
  </si>
  <si>
    <t>欧瑞直形4人位                                      OREM-D4-2812   2800*1200*760</t>
  </si>
  <si>
    <t>台面板=4</t>
  </si>
  <si>
    <t>OF-522-1#特高亮光</t>
  </si>
  <si>
    <t>11-1.2</t>
  </si>
  <si>
    <t>三抽活动柜=4</t>
  </si>
  <si>
    <t>配件箱</t>
  </si>
  <si>
    <t>钢脚=2+配件</t>
  </si>
  <si>
    <t>走线盒=1</t>
  </si>
  <si>
    <t>40#桌上屏风=2</t>
  </si>
  <si>
    <t>砂白框架+OF-B29浅果绿</t>
  </si>
  <si>
    <t>欧瑞L形十字四人位组合
OREM-L4-2828  2800*2800*760</t>
  </si>
  <si>
    <t>L形台面板=4</t>
  </si>
  <si>
    <t>有顶地柜=2/左</t>
  </si>
  <si>
    <t>11-3.4.</t>
  </si>
  <si>
    <t>有顶地柜=2/右</t>
  </si>
  <si>
    <t>11-5.6</t>
  </si>
  <si>
    <t>布绒桌面屏风=2</t>
  </si>
  <si>
    <t>TW-95灰色</t>
  </si>
  <si>
    <t>欧瑞直形会议台                                     OREM-T2-2812 2800*1200*760</t>
  </si>
  <si>
    <t>1</t>
    <phoneticPr fontId="6" type="noConversion"/>
  </si>
  <si>
    <t>钢脚=2 配件</t>
  </si>
  <si>
    <t>欧瑞圆形洽谈台                                     OREM-T3-08      800*750</t>
  </si>
  <si>
    <t>圆台面板=1</t>
  </si>
  <si>
    <t>钢架=1</t>
  </si>
  <si>
    <t>201C</t>
  </si>
  <si>
    <t>欧瑞圆形洽谈台                                     OREM-T3-10     1000*750</t>
  </si>
  <si>
    <t>201B</t>
  </si>
  <si>
    <t>活动主机架=1</t>
  </si>
  <si>
    <t>OF-奶白-5#特高亮光</t>
  </si>
  <si>
    <t>1-1</t>
  </si>
  <si>
    <t>204B</t>
  </si>
  <si>
    <t>活动主机架=4</t>
  </si>
  <si>
    <t>203B</t>
  </si>
  <si>
    <t xml:space="preserve">欧格主管桌                                      OUGE-D1-1808 1800*800*760  </t>
  </si>
  <si>
    <t>台面板=1    挡板=1</t>
  </si>
  <si>
    <t xml:space="preserve">OF-521横纹进口暖白小瓦椤 </t>
  </si>
  <si>
    <t>欧格</t>
    <phoneticPr fontId="6" type="noConversion"/>
  </si>
  <si>
    <t>OF-521横纹</t>
  </si>
  <si>
    <t>附柜三抽柜=1+配件</t>
  </si>
  <si>
    <t>进口暖白小瓦椤</t>
  </si>
  <si>
    <t xml:space="preserve">砂白+电镀 </t>
  </si>
  <si>
    <t>横杆=2+配件</t>
  </si>
  <si>
    <t>连接杆=2+走线槽</t>
  </si>
  <si>
    <t>欧格文件柜                                      OUGE-C1-2418  2400*420*1850</t>
  </si>
  <si>
    <t>顶、底、门=6</t>
  </si>
  <si>
    <t>侧板/中侧=5</t>
  </si>
  <si>
    <t>层板、活层=12/配件</t>
  </si>
  <si>
    <t>背板=2</t>
  </si>
  <si>
    <t>四抽屉B=4</t>
  </si>
  <si>
    <t>6-5,6</t>
    <phoneticPr fontId="6" type="noConversion"/>
  </si>
  <si>
    <t>欧格木门文件柜OGC-60A 600*600*1860</t>
  </si>
  <si>
    <t xml:space="preserve">底座=1 顶板=1 底板=1  层板=16 配件包 </t>
    <phoneticPr fontId="6" type="noConversion"/>
  </si>
  <si>
    <t>中间板1=1  中间板2=2       外挡板=4</t>
    <phoneticPr fontId="6" type="noConversion"/>
  </si>
  <si>
    <t>欧格会议桌                                      OUGE-T2-2812   2800*1200*760</t>
  </si>
  <si>
    <t>OF-521横纹小瓦椤</t>
  </si>
  <si>
    <t>装饰板=1 平铁=4+配件</t>
  </si>
  <si>
    <t>钢制线盒=1</t>
  </si>
  <si>
    <t>连接杆=2</t>
  </si>
  <si>
    <t>欧格L形十字四人位组合
OUGE-L4-2828  2800*2800*760</t>
  </si>
  <si>
    <t>L形面板=4</t>
  </si>
  <si>
    <t>12-1.2</t>
  </si>
  <si>
    <t>104B</t>
  </si>
  <si>
    <t>地柜=2+配件 /左</t>
  </si>
  <si>
    <t>12-3.4.</t>
  </si>
  <si>
    <t>E区</t>
  </si>
  <si>
    <t>地柜=2+配件 /右</t>
  </si>
  <si>
    <t>12-5.6</t>
  </si>
  <si>
    <t>屏风玻璃板</t>
  </si>
  <si>
    <t>苶色烤漆玻璃</t>
  </si>
  <si>
    <t>104C</t>
  </si>
  <si>
    <t>欧格直形四人位
OUGE-D4-3212  3200*1200*760 ************** 2800*1200*760时不带附柜</t>
  </si>
  <si>
    <t>103B</t>
  </si>
  <si>
    <t>活动柜=4</t>
  </si>
  <si>
    <t>12-3.4.5.6</t>
  </si>
  <si>
    <t>12-9.</t>
  </si>
  <si>
    <t>103C</t>
    <phoneticPr fontId="6" type="noConversion"/>
  </si>
  <si>
    <t>钢制线盒=1+主机架</t>
  </si>
  <si>
    <t>103C</t>
  </si>
  <si>
    <t>欧格直形四人位OUGE-D4-3212柜子
3200*1200*760</t>
    <phoneticPr fontId="6" type="noConversion"/>
  </si>
  <si>
    <t>上柜=1</t>
  </si>
  <si>
    <t>15-13</t>
    <phoneticPr fontId="6" type="noConversion"/>
  </si>
  <si>
    <t>欧格直形四人位OUGE-D4-3212柜子
3200*1200*760</t>
  </si>
  <si>
    <t>下柜=1 配件包</t>
  </si>
  <si>
    <t>15-14</t>
    <phoneticPr fontId="6" type="noConversion"/>
  </si>
  <si>
    <t>附柜抽屉=1</t>
  </si>
  <si>
    <t>15-15</t>
  </si>
  <si>
    <t>103A</t>
  </si>
  <si>
    <t>欧格洽谈桌
OUGE-T3-1010 1000*1000*750</t>
  </si>
  <si>
    <t>活动主机架=4</t>
    <phoneticPr fontId="6" type="noConversion"/>
  </si>
  <si>
    <t>4</t>
    <phoneticPr fontId="6" type="noConversion"/>
  </si>
  <si>
    <t>君悦文件柜D2  2500*420*1860  C3</t>
  </si>
  <si>
    <t>顶底层板</t>
  </si>
  <si>
    <t xml:space="preserve">OF-M27/OF-M21 </t>
  </si>
  <si>
    <t>B区</t>
  </si>
  <si>
    <t>侧中立板</t>
  </si>
  <si>
    <t>背板</t>
  </si>
  <si>
    <t>门板</t>
  </si>
  <si>
    <t>活层板1</t>
  </si>
  <si>
    <t>活层板2</t>
  </si>
  <si>
    <t>底座、脚垫、配件</t>
  </si>
  <si>
    <t>君悦长几      1200*600*420</t>
  </si>
  <si>
    <t>黑栓</t>
  </si>
  <si>
    <t>张</t>
  </si>
  <si>
    <t>君悦方几      600*600*420</t>
  </si>
  <si>
    <t>君悦D1班台(B款）
2310*860*750 
左</t>
  </si>
  <si>
    <t>面板/台脚</t>
  </si>
  <si>
    <t>OF-M27/OF-M21/</t>
  </si>
  <si>
    <t>拉板</t>
  </si>
  <si>
    <t>钢架</t>
  </si>
  <si>
    <t>固定柜、配件</t>
  </si>
  <si>
    <t>君悦D1班台(B款）
2310*860*750 
右</t>
  </si>
  <si>
    <t>OF-M27/OF-M21/</t>
    <phoneticPr fontId="6" type="noConversion"/>
  </si>
  <si>
    <t>CD2二抽活动柜（可选）</t>
  </si>
  <si>
    <t>OF-M27纯白</t>
  </si>
  <si>
    <t>CD3三抽活动柜（可选）</t>
  </si>
  <si>
    <t>立方前台   2800*900*1110</t>
  </si>
  <si>
    <t>左侧柜</t>
  </si>
  <si>
    <t>中灰色油漆，亚光油漆</t>
  </si>
  <si>
    <t>5</t>
    <phoneticPr fontId="6" type="noConversion"/>
  </si>
  <si>
    <t>C4区</t>
  </si>
  <si>
    <t>右侧柜</t>
  </si>
  <si>
    <t>大理石</t>
  </si>
  <si>
    <t>白色人</t>
  </si>
  <si>
    <t>前挡板</t>
  </si>
  <si>
    <t>白色亚光油漆</t>
  </si>
  <si>
    <t>台面+台脚</t>
  </si>
  <si>
    <t>装饰板</t>
  </si>
  <si>
    <t>橙色亚光油漆</t>
  </si>
  <si>
    <t>装饰板+配件</t>
  </si>
  <si>
    <t>梵龙方茶几  600*600*430</t>
  </si>
  <si>
    <t>几架、玻璃</t>
  </si>
  <si>
    <t>铁灰OF-M14</t>
  </si>
  <si>
    <t>几脚、配件</t>
  </si>
  <si>
    <t>梵龙长茶几     940*600*430</t>
  </si>
  <si>
    <t>几架</t>
  </si>
  <si>
    <t>实木青花瓷长几1200*600*420        QH-ST-6060</t>
  </si>
  <si>
    <t>404C</t>
  </si>
  <si>
    <t>399090002-22</t>
  </si>
  <si>
    <t>钢脚=4</t>
    <phoneticPr fontId="6" type="noConversion"/>
  </si>
  <si>
    <t>809B</t>
  </si>
  <si>
    <t>实木青花瓷方几600*600*420        QH-ST-6060</t>
  </si>
  <si>
    <t>403C</t>
  </si>
  <si>
    <t>399090003-22</t>
  </si>
  <si>
    <t>809C</t>
  </si>
  <si>
    <t>实木青花瓷洽谈台   1000*1000*750     QH-T3-1010</t>
  </si>
  <si>
    <t>399090001-22</t>
  </si>
  <si>
    <t>807C</t>
  </si>
  <si>
    <t>欧玛D1主管桌
AJOM-D1-(1608)           主台：1600*800*760
附柜：1200*500*620</t>
    <phoneticPr fontId="6" type="noConversion"/>
  </si>
  <si>
    <t>欧玛D1主管桌1600*800*760</t>
    <phoneticPr fontId="6" type="noConversion"/>
  </si>
  <si>
    <t>暖白绒面</t>
  </si>
  <si>
    <t>欧玛</t>
  </si>
  <si>
    <t>欧玛D1主管桌
AJOM-D1-(1608)           主台：1600*800*760
附柜：1200*500*620</t>
  </si>
  <si>
    <t>主台面板=1
前挡板=1</t>
    <phoneticPr fontId="6" type="noConversion"/>
  </si>
  <si>
    <t>OF-0721暖白绒面OF-0721暖白绒面</t>
    <phoneticPr fontId="6" type="noConversion"/>
  </si>
  <si>
    <t>附柜=1</t>
    <phoneticPr fontId="6" type="noConversion"/>
  </si>
  <si>
    <t>OF-0721暖白绒面OF-A78蓝色绒面</t>
    <phoneticPr fontId="6" type="noConversion"/>
  </si>
  <si>
    <t>附柜抽屉=3</t>
    <phoneticPr fontId="6" type="noConversion"/>
  </si>
  <si>
    <t>欧玛边脚=2
钢制走线槽=1</t>
    <phoneticPr fontId="6" type="noConversion"/>
  </si>
  <si>
    <t>欧玛拉杆=2</t>
    <phoneticPr fontId="6" type="noConversion"/>
  </si>
  <si>
    <t>欧玛D1主管桌
AJOM-D1-(1808) 1800*800*760             附柜：1200*500*620         左</t>
  </si>
  <si>
    <t>欧玛D1主管桌
AJOM-D1-(1808) 1800*800*760            附柜：1200*500*620          右</t>
  </si>
  <si>
    <t>欧玛D1主管桌
AJOM-D1-(2010) 2000*1000*760
附柜：1200*500*620</t>
  </si>
  <si>
    <t>欧玛D2主管桌
AJOM-D2-(1608) 1600*800*760
附柜：1600*500*615</t>
  </si>
  <si>
    <t>OF-123橡木浮雕</t>
    <phoneticPr fontId="6" type="noConversion"/>
  </si>
  <si>
    <t>OF-123橡木浮雕OF-0721暖白绒面</t>
    <phoneticPr fontId="6" type="noConversion"/>
  </si>
  <si>
    <t>欧玛边脚=1
附柜支撑脚=1</t>
    <phoneticPr fontId="6" type="noConversion"/>
  </si>
  <si>
    <t>欧玛D2主管桌
AJOM-D2-(1808)：1800*800*760             附柜：1600*500*615               左</t>
  </si>
  <si>
    <t>配件包＝1</t>
    <phoneticPr fontId="6" type="noConversion"/>
  </si>
  <si>
    <t>4-5</t>
    <phoneticPr fontId="6" type="noConversion"/>
  </si>
  <si>
    <t>欧玛D2主管桌
AJOM-D2-(1808)：1800*800*760右附柜：1600*500*615            右</t>
  </si>
  <si>
    <t>欧玛D2主管桌
AJOM-D2-(2010) 2000*1000*760
附柜：1800*500*615</t>
  </si>
  <si>
    <t>欧玛LT1长茶几
AJOM-LT1-(1206) 1200*600*420</t>
  </si>
  <si>
    <t>面板=1
底板=1蓝色
外侧=1
中侧=1
背板=1</t>
    <phoneticPr fontId="6" type="noConversion"/>
  </si>
  <si>
    <t>2-1</t>
    <phoneticPr fontId="6" type="noConversion"/>
  </si>
  <si>
    <t>茶几钢架=1</t>
    <phoneticPr fontId="6" type="noConversion"/>
  </si>
  <si>
    <t>2-2</t>
    <phoneticPr fontId="6" type="noConversion"/>
  </si>
  <si>
    <t xml:space="preserve">欧玛LT2长茶几
AJOM-LT2-(1206) 1200*600*420
</t>
  </si>
  <si>
    <t>面板=1
底板=1
外侧=1
中侧=1
背板=1</t>
    <phoneticPr fontId="6" type="noConversion"/>
  </si>
  <si>
    <t>欧玛ST1方茶几
AJOM-ST1-(0606) 600*600*420</t>
  </si>
  <si>
    <t xml:space="preserve">面板=1
底板=1
外侧=1
</t>
    <phoneticPr fontId="6" type="noConversion"/>
  </si>
  <si>
    <t>OF-0721暖白绒面</t>
    <phoneticPr fontId="6" type="noConversion"/>
  </si>
  <si>
    <t>欧玛ST2方茶几
AJOM-LT2-(0606) 600*600*420</t>
  </si>
  <si>
    <t>欧玛T1会议桌
AJOM-T1-(2210)  2200*1000*760</t>
  </si>
  <si>
    <t>台面=1</t>
    <phoneticPr fontId="6" type="noConversion"/>
  </si>
  <si>
    <t>OF-0721暖白绒面</t>
  </si>
  <si>
    <t>3-1</t>
    <phoneticPr fontId="6" type="noConversion"/>
  </si>
  <si>
    <t>欧玛钢脚=2</t>
    <phoneticPr fontId="6" type="noConversion"/>
  </si>
  <si>
    <t>拉杆=2</t>
    <phoneticPr fontId="6" type="noConversion"/>
  </si>
  <si>
    <t>欧玛T2会议桌
AJOM-T2-(2412) 2400*1200*760</t>
  </si>
  <si>
    <t>面板=1</t>
    <phoneticPr fontId="6" type="noConversion"/>
  </si>
  <si>
    <t>欧玛边脚=2</t>
    <phoneticPr fontId="6" type="noConversion"/>
  </si>
  <si>
    <t>拉杆=2
横杆=2</t>
    <phoneticPr fontId="6" type="noConversion"/>
  </si>
  <si>
    <t>集成走线箱</t>
    <phoneticPr fontId="6" type="noConversion"/>
  </si>
  <si>
    <t>欧玛T3会议桌
AJOM-T3-(2812)  2800*1200*760</t>
  </si>
  <si>
    <t>台面=2</t>
    <phoneticPr fontId="6" type="noConversion"/>
  </si>
  <si>
    <t>装饰板=1</t>
    <phoneticPr fontId="6" type="noConversion"/>
  </si>
  <si>
    <t>OF-A78蓝色绒面</t>
    <phoneticPr fontId="6" type="noConversion"/>
  </si>
  <si>
    <t>欧玛钢架=2</t>
    <phoneticPr fontId="6" type="noConversion"/>
  </si>
  <si>
    <t>欧玛LY4直行四人位
AJOM-LY4-(2812)  2800*1200*760</t>
  </si>
  <si>
    <t>7-1</t>
    <phoneticPr fontId="6" type="noConversion"/>
  </si>
  <si>
    <t>桌上屏风=2</t>
    <phoneticPr fontId="6" type="noConversion"/>
  </si>
  <si>
    <t>屏风支撑架=2</t>
    <phoneticPr fontId="6" type="noConversion"/>
  </si>
  <si>
    <t>欧玛HS4直行四人位
AJOM-HS4-(2412)  2400*1200*760
附柜：1200*500*615</t>
  </si>
  <si>
    <t>面板=4</t>
    <phoneticPr fontId="6" type="noConversion"/>
  </si>
  <si>
    <t>12-1（2）</t>
    <phoneticPr fontId="6" type="noConversion"/>
  </si>
  <si>
    <t>桌面屏风=2</t>
    <phoneticPr fontId="6" type="noConversion"/>
  </si>
  <si>
    <t>12-3</t>
    <phoneticPr fontId="6" type="noConversion"/>
  </si>
  <si>
    <t>附柜=2</t>
    <phoneticPr fontId="6" type="noConversion"/>
  </si>
  <si>
    <t>12-4（5）</t>
    <phoneticPr fontId="6" type="noConversion"/>
  </si>
  <si>
    <t>附柜抽屉=12</t>
    <phoneticPr fontId="6" type="noConversion"/>
  </si>
  <si>
    <t>12-6（7）
（8）（9）</t>
    <phoneticPr fontId="6" type="noConversion"/>
  </si>
  <si>
    <t>12-10</t>
    <phoneticPr fontId="6" type="noConversion"/>
  </si>
  <si>
    <t>欧玛中脚=1</t>
    <phoneticPr fontId="6" type="noConversion"/>
  </si>
  <si>
    <t>拉杆=1
功能梁=2</t>
    <phoneticPr fontId="6" type="noConversion"/>
  </si>
  <si>
    <t>砂白
氧化</t>
    <phoneticPr fontId="6" type="noConversion"/>
  </si>
  <si>
    <t>欧玛HS4直行四人位
AJOM-HS4-(2812)   2800*1200*760</t>
  </si>
  <si>
    <t>欧玛直行四人位活动柜</t>
    <phoneticPr fontId="6" type="noConversion"/>
  </si>
  <si>
    <t>活动柜＝4</t>
    <phoneticPr fontId="6" type="noConversion"/>
  </si>
  <si>
    <t>暖白+蓝色</t>
    <phoneticPr fontId="6" type="noConversion"/>
  </si>
  <si>
    <t>4-1，2，3，4</t>
    <phoneticPr fontId="6" type="noConversion"/>
  </si>
  <si>
    <t>欧玛C1A文件柜
AJOM-C1A-(0816)  800*400*1600
左</t>
  </si>
  <si>
    <t>顶板=1
固层=1
活层=2
底板=1</t>
    <phoneticPr fontId="6" type="noConversion"/>
  </si>
  <si>
    <t>背板=1
侧板=2
掩门=4</t>
    <phoneticPr fontId="6" type="noConversion"/>
  </si>
  <si>
    <t>OF-0721暖白绒面
OF-A78蓝色绒面</t>
    <phoneticPr fontId="6" type="noConversion"/>
  </si>
  <si>
    <t>欧玛柜脚=1
铝方脚=2</t>
    <phoneticPr fontId="6" type="noConversion"/>
  </si>
  <si>
    <t>3-3</t>
    <phoneticPr fontId="6" type="noConversion"/>
  </si>
  <si>
    <t>欧玛C1A文件柜
AJOM-C1A-(0816)    800*400*1600
右</t>
  </si>
  <si>
    <t>欧玛C1B文件柜
AJOM-C1B-(0816)  800*400*1600</t>
  </si>
  <si>
    <t>欧玛C2A文件柜
AJOM-C2A-(0816)  800*400*1600</t>
  </si>
  <si>
    <t>4-2</t>
    <phoneticPr fontId="6" type="noConversion"/>
  </si>
  <si>
    <t>4-3</t>
    <phoneticPr fontId="6" type="noConversion"/>
  </si>
  <si>
    <t>铝框门=2</t>
    <phoneticPr fontId="6" type="noConversion"/>
  </si>
  <si>
    <t>4-4</t>
    <phoneticPr fontId="6" type="noConversion"/>
  </si>
  <si>
    <t>欧玛C2B文件柜
AJOM-C2B-(0816)    800*400*1600</t>
  </si>
  <si>
    <t>欧玛QT900洽谈桌
AJOM-QT-(900)            Ø900*750</t>
  </si>
  <si>
    <t>钢脚=3</t>
    <phoneticPr fontId="6" type="noConversion"/>
  </si>
  <si>
    <t>欧玛QT1000洽谈桌
AJOM-QT-(1000)           Ø1000*750</t>
  </si>
  <si>
    <t>梵龙沙发B1</t>
    <phoneticPr fontId="6" type="noConversion"/>
  </si>
  <si>
    <t>单人位</t>
  </si>
  <si>
    <t>SF-2224+OL-2908</t>
  </si>
  <si>
    <t>1--1</t>
    <phoneticPr fontId="6" type="noConversion"/>
  </si>
  <si>
    <t>C3</t>
  </si>
  <si>
    <t>转椅</t>
    <phoneticPr fontId="6" type="noConversion"/>
  </si>
  <si>
    <t>梵龙沙发B2</t>
  </si>
  <si>
    <t>C2</t>
  </si>
  <si>
    <t>梵龙沙发A1</t>
  </si>
  <si>
    <t>SF-2226+OL-2906</t>
  </si>
  <si>
    <t>梵龙沙发A2</t>
  </si>
  <si>
    <t>梵高沙发</t>
  </si>
  <si>
    <t>OF-28-66/OF-28-61</t>
  </si>
  <si>
    <t>C4</t>
  </si>
  <si>
    <t>三人位</t>
  </si>
  <si>
    <t>欧扬沙发</t>
  </si>
  <si>
    <t>LN-537</t>
    <phoneticPr fontId="6" type="noConversion"/>
  </si>
  <si>
    <t>柱天下沙发</t>
  </si>
  <si>
    <t>灰色/米黄</t>
  </si>
  <si>
    <t>C6</t>
  </si>
  <si>
    <t>欧尚沙发-B款</t>
  </si>
  <si>
    <t>黑色+纯白钢架</t>
  </si>
  <si>
    <t>大班椅</t>
  </si>
  <si>
    <t>OF-CH102A 靠背</t>
    <phoneticPr fontId="6" type="noConversion"/>
  </si>
  <si>
    <t>黑色/灰色条纹</t>
  </si>
  <si>
    <t>2-1</t>
    <phoneticPr fontId="14" type="noConversion"/>
  </si>
  <si>
    <t>c4</t>
    <phoneticPr fontId="6" type="noConversion"/>
  </si>
  <si>
    <t>OF-CH103A 椅脚</t>
    <phoneticPr fontId="6" type="noConversion"/>
  </si>
  <si>
    <t>中班椅</t>
  </si>
  <si>
    <t>OF-CH102B 靠背</t>
    <phoneticPr fontId="6" type="noConversion"/>
  </si>
  <si>
    <t>OF-CH102B 椅脚</t>
    <phoneticPr fontId="6" type="noConversion"/>
  </si>
  <si>
    <t>会议椅</t>
  </si>
  <si>
    <t>OF-CH102C</t>
  </si>
  <si>
    <t>C1</t>
  </si>
  <si>
    <t>大班椅</t>
    <phoneticPr fontId="6" type="noConversion"/>
  </si>
  <si>
    <t>OF-CH102A</t>
    <phoneticPr fontId="6" type="noConversion"/>
  </si>
  <si>
    <t>黑色/橙色</t>
  </si>
  <si>
    <t xml:space="preserve">   中班椅</t>
  </si>
  <si>
    <t>OF-CH107B</t>
  </si>
  <si>
    <t>班前椅</t>
  </si>
  <si>
    <t>OF-CH107C</t>
  </si>
  <si>
    <t>职员椅A</t>
  </si>
  <si>
    <t>OF-CH158B</t>
  </si>
  <si>
    <t>橙座/灰背</t>
  </si>
  <si>
    <t>黑座/橙背</t>
  </si>
  <si>
    <t>职员椅</t>
    <phoneticPr fontId="6" type="noConversion"/>
  </si>
  <si>
    <t>OF-CH109</t>
    <phoneticPr fontId="6" type="noConversion"/>
  </si>
  <si>
    <t>张</t>
    <phoneticPr fontId="6" type="noConversion"/>
  </si>
  <si>
    <t>梵点沙发</t>
  </si>
  <si>
    <t>常规</t>
  </si>
  <si>
    <t>科一咖啡色5072-10</t>
  </si>
  <si>
    <t>欧典沙发</t>
    <phoneticPr fontId="6" type="noConversion"/>
  </si>
  <si>
    <t>科一色卡15412-10</t>
  </si>
  <si>
    <t>欧典沙发</t>
  </si>
  <si>
    <t>欧典沙发（凯越）</t>
    <phoneticPr fontId="6" type="noConversion"/>
  </si>
  <si>
    <t>浅棕色</t>
    <phoneticPr fontId="6" type="noConversion"/>
  </si>
  <si>
    <t>c5</t>
    <phoneticPr fontId="6" type="noConversion"/>
  </si>
  <si>
    <t>欧典沙发（凯越）</t>
  </si>
  <si>
    <t>欧典职员椅A</t>
  </si>
  <si>
    <t>OF-CH163B★</t>
  </si>
  <si>
    <t>黑色背/红色座</t>
  </si>
  <si>
    <t>梵高职员椅A</t>
  </si>
  <si>
    <t>OF-CH161A★</t>
  </si>
  <si>
    <t>深灰/黑色</t>
  </si>
  <si>
    <t>C</t>
  </si>
  <si>
    <t>梵高会议椅B</t>
  </si>
  <si>
    <t>OF-CH161C★</t>
  </si>
  <si>
    <t>163B</t>
  </si>
  <si>
    <t>全黑色</t>
  </si>
  <si>
    <t>C5</t>
  </si>
  <si>
    <t>柱天下职员椅</t>
  </si>
  <si>
    <t>OF-CH159B★</t>
  </si>
  <si>
    <t>柱天下职员椅</t>
    <phoneticPr fontId="6" type="noConversion"/>
  </si>
  <si>
    <t>黑坐/橙背</t>
  </si>
  <si>
    <t>190A</t>
  </si>
  <si>
    <t>全黑真皮</t>
  </si>
  <si>
    <t>黑色/西皮</t>
  </si>
  <si>
    <t>190C</t>
  </si>
  <si>
    <t>吧椅</t>
  </si>
  <si>
    <t>ZY-C02</t>
  </si>
  <si>
    <t>西皮/圆盘底座</t>
  </si>
  <si>
    <t>清花瓷沙发                                                                                                                         HQ-SF1S</t>
  </si>
  <si>
    <t>白色/灰色</t>
  </si>
  <si>
    <t>清花瓷沙发                                                                                                                         HQ-SF3S</t>
  </si>
  <si>
    <t>白色/灰色(带印花）</t>
    <phoneticPr fontId="6" type="noConversion"/>
  </si>
  <si>
    <t>凯威沙发</t>
    <phoneticPr fontId="6" type="noConversion"/>
  </si>
  <si>
    <t>棕色</t>
    <phoneticPr fontId="6" type="noConversion"/>
  </si>
  <si>
    <t>c6</t>
    <phoneticPr fontId="6" type="noConversion"/>
  </si>
  <si>
    <t>棕色</t>
  </si>
  <si>
    <t>君悦沙发</t>
    <phoneticPr fontId="6" type="noConversion"/>
  </si>
  <si>
    <t>欧玛沙发</t>
    <phoneticPr fontId="6" type="noConversion"/>
  </si>
  <si>
    <t>蓝色</t>
    <phoneticPr fontId="6" type="noConversion"/>
  </si>
  <si>
    <t>主管椅</t>
    <phoneticPr fontId="6" type="noConversion"/>
  </si>
  <si>
    <t>OF-CH207A</t>
    <phoneticPr fontId="6" type="noConversion"/>
  </si>
  <si>
    <t>OF-CH207B</t>
    <phoneticPr fontId="6" type="noConversion"/>
  </si>
  <si>
    <t>OF-CH206A</t>
    <phoneticPr fontId="6" type="noConversion"/>
  </si>
  <si>
    <t>OF-CH206B</t>
    <phoneticPr fontId="6" type="noConversion"/>
  </si>
  <si>
    <t>180A</t>
    <phoneticPr fontId="6" type="noConversion"/>
  </si>
  <si>
    <t>黑色真皮</t>
    <phoneticPr fontId="6" type="noConversion"/>
  </si>
  <si>
    <t>黑色西皮</t>
    <phoneticPr fontId="6" type="noConversion"/>
  </si>
  <si>
    <t>班前椅</t>
    <phoneticPr fontId="6" type="noConversion"/>
  </si>
  <si>
    <t>180c</t>
    <phoneticPr fontId="6" type="noConversion"/>
  </si>
  <si>
    <t>会客椅</t>
    <phoneticPr fontId="6" type="noConversion"/>
  </si>
  <si>
    <t>OF-CH101C</t>
    <phoneticPr fontId="6" type="noConversion"/>
  </si>
  <si>
    <t>黑色+米黄</t>
    <phoneticPr fontId="6" type="noConversion"/>
  </si>
  <si>
    <t>实木椅</t>
    <phoneticPr fontId="6" type="noConversion"/>
  </si>
  <si>
    <t>投标展标箱</t>
  </si>
  <si>
    <t>301C</t>
  </si>
  <si>
    <t>广告示品</t>
  </si>
  <si>
    <t>欧梵标志</t>
  </si>
  <si>
    <t>400#</t>
  </si>
  <si>
    <t>600#</t>
  </si>
  <si>
    <t>天花灯箱</t>
  </si>
  <si>
    <t>1套</t>
  </si>
  <si>
    <t>转椅仓</t>
  </si>
  <si>
    <t>历程文化墙          （历程广告）  1200*400*60</t>
  </si>
  <si>
    <t>1200*400*60=4</t>
  </si>
  <si>
    <t>配件</t>
  </si>
  <si>
    <t>墙体广告            （媒体广告）   2200*1100*60</t>
  </si>
  <si>
    <t xml:space="preserve"> A:2200*1100*60</t>
  </si>
  <si>
    <t>405C</t>
  </si>
  <si>
    <t xml:space="preserve"> B:2200*1100*60</t>
  </si>
  <si>
    <t>文化墙              （区域隔断）   2000*600*60</t>
  </si>
  <si>
    <t xml:space="preserve"> A:2000*600</t>
  </si>
  <si>
    <t>305C</t>
  </si>
  <si>
    <t>B:2000*600</t>
  </si>
  <si>
    <t xml:space="preserve"> </t>
    <phoneticPr fontId="6" type="noConversion"/>
  </si>
  <si>
    <t>广告脚</t>
  </si>
  <si>
    <t>门头雕刻LOGO</t>
  </si>
  <si>
    <t>50套</t>
  </si>
  <si>
    <t>407C</t>
  </si>
  <si>
    <t>色板墙的色板</t>
  </si>
  <si>
    <t>605C</t>
  </si>
  <si>
    <t>色板格的色板</t>
  </si>
  <si>
    <t>808第二代形像墙3800*2800*80</t>
  </si>
  <si>
    <t xml:space="preserve">板：2168*915=4     </t>
  </si>
  <si>
    <t>13-1、2</t>
  </si>
  <si>
    <t>508B</t>
  </si>
  <si>
    <t>板： 426*915=4</t>
  </si>
  <si>
    <t>13-3</t>
  </si>
  <si>
    <t>508C</t>
  </si>
  <si>
    <t>板：426*915=12</t>
  </si>
  <si>
    <t>13-4、5、6</t>
  </si>
  <si>
    <t>玻璃架428*917=12   光管=12</t>
    <phoneticPr fontId="6" type="noConversion"/>
  </si>
  <si>
    <t>13-7、8</t>
  </si>
  <si>
    <t>507C</t>
  </si>
  <si>
    <t>亚克力</t>
  </si>
  <si>
    <t>13-9、10</t>
  </si>
  <si>
    <t>铝材A:</t>
  </si>
  <si>
    <t>13-11</t>
  </si>
  <si>
    <t>508CE</t>
  </si>
  <si>
    <t>铝材B</t>
  </si>
  <si>
    <t>13-12</t>
  </si>
  <si>
    <t>地毯</t>
  </si>
  <si>
    <t>TB-101</t>
  </si>
  <si>
    <t>20块</t>
    <phoneticPr fontId="6" type="noConversion"/>
  </si>
  <si>
    <t>TB-102</t>
  </si>
  <si>
    <t>专卖店螺配件</t>
  </si>
  <si>
    <t>屏风小样</t>
    <phoneticPr fontId="14" type="noConversion"/>
  </si>
  <si>
    <t>368+608款</t>
    <phoneticPr fontId="14" type="noConversion"/>
  </si>
  <si>
    <t>胶板小样</t>
    <phoneticPr fontId="14" type="noConversion"/>
  </si>
  <si>
    <r>
      <t>2-2</t>
    </r>
    <r>
      <rPr>
        <sz val="12"/>
        <rFont val="宋体"/>
        <family val="3"/>
        <charset val="134"/>
      </rPr>
      <t/>
    </r>
  </si>
  <si>
    <t>40+60款</t>
    <phoneticPr fontId="14" type="noConversion"/>
  </si>
  <si>
    <t>168款</t>
    <phoneticPr fontId="14" type="noConversion"/>
  </si>
  <si>
    <t>168屏风</t>
    <phoneticPr fontId="6" type="noConversion"/>
  </si>
  <si>
    <t>305010001</t>
  </si>
  <si>
    <t>305040001</t>
  </si>
  <si>
    <t>305040003</t>
  </si>
  <si>
    <t>305040009</t>
  </si>
  <si>
    <t>301010001</t>
  </si>
  <si>
    <t>301010003</t>
  </si>
  <si>
    <t>301010005</t>
  </si>
  <si>
    <t>301010008</t>
  </si>
  <si>
    <t>301010011</t>
  </si>
  <si>
    <t>301010014</t>
  </si>
  <si>
    <t>301070001</t>
  </si>
  <si>
    <t>301080001</t>
  </si>
  <si>
    <t>301080003</t>
  </si>
  <si>
    <t>301070003</t>
  </si>
  <si>
    <t>301110001</t>
  </si>
  <si>
    <t>301110004</t>
  </si>
  <si>
    <t>301100001</t>
  </si>
  <si>
    <t>301100003</t>
  </si>
  <si>
    <t>301100005</t>
  </si>
  <si>
    <t>301100007</t>
  </si>
  <si>
    <t>301030001</t>
  </si>
  <si>
    <t>301040008</t>
  </si>
  <si>
    <t>301040001</t>
  </si>
  <si>
    <t>301040007</t>
  </si>
  <si>
    <t>301040005</t>
  </si>
  <si>
    <t>301040016</t>
  </si>
  <si>
    <t>301110008</t>
  </si>
  <si>
    <t>301040010</t>
  </si>
  <si>
    <t>301070004</t>
  </si>
  <si>
    <t>301080004</t>
  </si>
  <si>
    <t>301010017</t>
  </si>
  <si>
    <t>301010024</t>
  </si>
  <si>
    <t>301010900</t>
  </si>
  <si>
    <t>301011000</t>
  </si>
  <si>
    <t>304010001</t>
  </si>
  <si>
    <t>304090001</t>
  </si>
  <si>
    <t>304110001</t>
  </si>
  <si>
    <t>304070001</t>
  </si>
  <si>
    <t>304080001</t>
  </si>
  <si>
    <t>304040001</t>
  </si>
  <si>
    <t>302010001</t>
  </si>
  <si>
    <t>399020001</t>
  </si>
  <si>
    <t>302010006</t>
  </si>
  <si>
    <t>302110002</t>
  </si>
  <si>
    <t>302110003</t>
  </si>
  <si>
    <t>302110004</t>
  </si>
  <si>
    <t>302040001</t>
  </si>
  <si>
    <t>302040002</t>
  </si>
  <si>
    <t>399020008</t>
  </si>
  <si>
    <t>302030001</t>
  </si>
  <si>
    <t>302060001</t>
  </si>
  <si>
    <t>302090001</t>
  </si>
  <si>
    <t>302040003</t>
  </si>
  <si>
    <t>302070001</t>
  </si>
  <si>
    <t>302080001</t>
  </si>
  <si>
    <t>303060001</t>
  </si>
  <si>
    <t>303090001</t>
  </si>
  <si>
    <t>303010001</t>
  </si>
  <si>
    <t>303020001</t>
  </si>
  <si>
    <t>303110001</t>
  </si>
  <si>
    <t>303070001</t>
  </si>
  <si>
    <t>303080001</t>
  </si>
  <si>
    <t>303100001</t>
  </si>
  <si>
    <t>303100004</t>
  </si>
  <si>
    <t>303030001</t>
  </si>
  <si>
    <t>399030001-31</t>
    <phoneticPr fontId="1" type="noConversion"/>
  </si>
  <si>
    <t>303040008</t>
  </si>
  <si>
    <t>399030001-33</t>
    <phoneticPr fontId="1" type="noConversion"/>
  </si>
  <si>
    <t>306020001</t>
  </si>
  <si>
    <t>306040001</t>
  </si>
  <si>
    <t>301050001</t>
  </si>
  <si>
    <t>301050008</t>
  </si>
  <si>
    <t>301090004</t>
  </si>
  <si>
    <t>301090005</t>
  </si>
  <si>
    <t>301090006</t>
  </si>
  <si>
    <t>312040001</t>
  </si>
  <si>
    <t>300000041</t>
  </si>
  <si>
    <t>312040012</t>
  </si>
  <si>
    <t>312010001</t>
  </si>
  <si>
    <t>312010007</t>
  </si>
  <si>
    <t>312090001</t>
  </si>
  <si>
    <t>312110001</t>
  </si>
  <si>
    <t>312110008-22</t>
    <phoneticPr fontId="1" type="noConversion"/>
  </si>
  <si>
    <t>312100001</t>
  </si>
  <si>
    <t>312070001</t>
  </si>
  <si>
    <t>312080001</t>
  </si>
  <si>
    <t>312020001</t>
  </si>
  <si>
    <t>312020008</t>
  </si>
  <si>
    <t>312040021-21</t>
    <phoneticPr fontId="1" type="noConversion"/>
  </si>
  <si>
    <t>312040021-22</t>
    <phoneticPr fontId="1" type="noConversion"/>
  </si>
  <si>
    <t>314010001</t>
  </si>
  <si>
    <t>314010008</t>
  </si>
  <si>
    <t>314090001</t>
  </si>
  <si>
    <t>314090004</t>
  </si>
  <si>
    <t>314060001</t>
  </si>
  <si>
    <t>314040001</t>
  </si>
  <si>
    <t>314040009</t>
  </si>
  <si>
    <t>314110001</t>
  </si>
  <si>
    <t>314100002</t>
  </si>
  <si>
    <t>314100003</t>
  </si>
  <si>
    <t>314100004</t>
  </si>
  <si>
    <t>314040018</t>
  </si>
  <si>
    <t>314010015</t>
  </si>
  <si>
    <t>313010001</t>
  </si>
  <si>
    <t>313090001</t>
  </si>
  <si>
    <t>301090001</t>
  </si>
  <si>
    <t>313110001</t>
  </si>
  <si>
    <t>313040001</t>
  </si>
  <si>
    <t>313040011</t>
  </si>
  <si>
    <t>313040020</t>
  </si>
  <si>
    <t>313040021</t>
  </si>
  <si>
    <t>313040022</t>
  </si>
  <si>
    <t>313100001</t>
  </si>
  <si>
    <t>313010008</t>
  </si>
  <si>
    <t>313040023</t>
  </si>
  <si>
    <t>308090009</t>
  </si>
  <si>
    <t>308070002</t>
  </si>
  <si>
    <t>308080002</t>
  </si>
  <si>
    <t>308010009</t>
  </si>
  <si>
    <t>308010014</t>
  </si>
  <si>
    <t>308010019</t>
  </si>
  <si>
    <t>311080001</t>
  </si>
  <si>
    <t>311070001</t>
  </si>
  <si>
    <t>312070003</t>
  </si>
  <si>
    <t>312080003</t>
  </si>
  <si>
    <t>312100003</t>
  </si>
  <si>
    <t>318330001</t>
  </si>
  <si>
    <t>318330002</t>
  </si>
  <si>
    <t>318330003</t>
  </si>
  <si>
    <t>318330004</t>
  </si>
  <si>
    <t>318330005</t>
  </si>
  <si>
    <t>318330006</t>
  </si>
  <si>
    <t>318330007</t>
  </si>
  <si>
    <t>318330008</t>
  </si>
  <si>
    <t>318330009</t>
  </si>
  <si>
    <t>318330010</t>
  </si>
  <si>
    <t>318330011</t>
  </si>
  <si>
    <t>318330012</t>
  </si>
  <si>
    <t>318210009</t>
  </si>
  <si>
    <t>318210009-1</t>
    <phoneticPr fontId="6" type="noConversion"/>
  </si>
  <si>
    <t>318220003</t>
  </si>
  <si>
    <t>318220044</t>
  </si>
  <si>
    <t>318230003</t>
  </si>
  <si>
    <t>318210004</t>
    <phoneticPr fontId="6" type="noConversion"/>
  </si>
  <si>
    <t>318220004</t>
  </si>
  <si>
    <t>318230004</t>
  </si>
  <si>
    <t>318220007</t>
  </si>
  <si>
    <t>318220008</t>
  </si>
  <si>
    <t>318220005</t>
  </si>
  <si>
    <t>318330016</t>
  </si>
  <si>
    <t>318330025</t>
  </si>
  <si>
    <t>318330026</t>
  </si>
  <si>
    <t>318330031</t>
    <phoneticPr fontId="6" type="noConversion"/>
  </si>
  <si>
    <t>318330032</t>
    <phoneticPr fontId="6" type="noConversion"/>
  </si>
  <si>
    <t>318220011</t>
  </si>
  <si>
    <t>318220012</t>
  </si>
  <si>
    <t>318230007</t>
  </si>
  <si>
    <t>318220013</t>
  </si>
  <si>
    <t>318220014</t>
  </si>
  <si>
    <t>318220015</t>
    <phoneticPr fontId="6" type="noConversion"/>
  </si>
  <si>
    <t>318210007</t>
    <phoneticPr fontId="6" type="noConversion"/>
  </si>
  <si>
    <t>318210008</t>
    <phoneticPr fontId="6" type="noConversion"/>
  </si>
  <si>
    <t>318230008</t>
  </si>
  <si>
    <t>318230010</t>
  </si>
  <si>
    <t>318330021-21</t>
    <phoneticPr fontId="1" type="noConversion"/>
  </si>
  <si>
    <t>318330022</t>
  </si>
  <si>
    <t>318330021-22</t>
    <phoneticPr fontId="1" type="noConversion"/>
  </si>
  <si>
    <t>318330023</t>
  </si>
  <si>
    <t>318330024</t>
  </si>
  <si>
    <t>318330013</t>
  </si>
  <si>
    <t>318330014</t>
  </si>
  <si>
    <t>318330027</t>
  </si>
  <si>
    <t>318330028</t>
  </si>
  <si>
    <t>318330029</t>
  </si>
  <si>
    <t>318330030</t>
  </si>
  <si>
    <t>318250001</t>
    <phoneticPr fontId="6" type="noConversion"/>
  </si>
  <si>
    <t>318220017</t>
    <phoneticPr fontId="6" type="noConversion"/>
  </si>
  <si>
    <t>318250002</t>
    <phoneticPr fontId="6" type="noConversion"/>
  </si>
  <si>
    <t>318220018</t>
    <phoneticPr fontId="6" type="noConversion"/>
  </si>
  <si>
    <t>318210011</t>
    <phoneticPr fontId="6" type="noConversion"/>
  </si>
  <si>
    <t>318210012</t>
    <phoneticPr fontId="1" type="noConversion"/>
  </si>
  <si>
    <t>318230010</t>
    <phoneticPr fontId="6" type="noConversion"/>
  </si>
  <si>
    <t>318230011</t>
    <phoneticPr fontId="1" type="noConversion"/>
  </si>
  <si>
    <t>318230012</t>
    <phoneticPr fontId="1" type="noConversion"/>
  </si>
  <si>
    <t>318270001</t>
  </si>
  <si>
    <t>315000001</t>
  </si>
  <si>
    <t>315000002</t>
  </si>
  <si>
    <t>315000003</t>
  </si>
  <si>
    <t>315000004</t>
  </si>
  <si>
    <t>315000007</t>
  </si>
  <si>
    <t>315000008</t>
  </si>
  <si>
    <t>315000010</t>
  </si>
  <si>
    <t>315000011</t>
  </si>
  <si>
    <t>315000014</t>
  </si>
  <si>
    <t>315000015</t>
  </si>
  <si>
    <t>315000016</t>
  </si>
  <si>
    <t>315000017</t>
  </si>
  <si>
    <t>315000018</t>
  </si>
  <si>
    <t>315000019</t>
  </si>
  <si>
    <t>315000021</t>
  </si>
  <si>
    <t>315000022</t>
  </si>
  <si>
    <t>315000023</t>
  </si>
  <si>
    <t>315000024</t>
  </si>
  <si>
    <t>315000025</t>
  </si>
  <si>
    <t>315000026</t>
  </si>
  <si>
    <t>315000027</t>
  </si>
  <si>
    <t>315000028</t>
  </si>
  <si>
    <t>315000029</t>
  </si>
  <si>
    <t>315000030</t>
  </si>
  <si>
    <t>315000031</t>
  </si>
  <si>
    <t>315000033-1</t>
    <phoneticPr fontId="6" type="noConversion"/>
  </si>
  <si>
    <t>315000036</t>
  </si>
  <si>
    <t>315000034-1</t>
    <phoneticPr fontId="6" type="noConversion"/>
  </si>
  <si>
    <t>315000037</t>
  </si>
  <si>
    <t>315000035-1</t>
    <phoneticPr fontId="6" type="noConversion"/>
  </si>
  <si>
    <t>315000038</t>
  </si>
  <si>
    <t>315000039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</si>
</sst>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1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8"/>
      <color rgb="FF000000"/>
      <name val="MV Boli"/>
    </font>
    <font>
      <sz val="11"/>
      <color theme="0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  <font>
      <b/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9"/>
      <name val="Times New Roman"/>
      <family val="1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49" fontId="5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vertical="center"/>
    </xf>
    <xf numFmtId="176" fontId="5" fillId="0" borderId="1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2" fillId="0" borderId="1" xfId="1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1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top"/>
    </xf>
    <xf numFmtId="49" fontId="5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0" xfId="0" applyNumberFormat="1" applyFont="1" applyFill="1" applyBorder="1" applyAlignment="1">
      <alignment vertical="center"/>
    </xf>
    <xf numFmtId="176" fontId="5" fillId="0" borderId="0" xfId="0" applyNumberFormat="1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1" xfId="0" applyNumberFormat="1" applyFont="1" applyFill="1" applyBorder="1" applyAlignment="1">
      <alignment vertical="center"/>
    </xf>
    <xf numFmtId="176" fontId="13" fillId="0" borderId="1" xfId="0" applyNumberFormat="1" applyFont="1" applyFill="1" applyBorder="1" applyAlignment="1">
      <alignment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3" fillId="0" borderId="4" xfId="0" applyNumberFormat="1" applyFont="1" applyFill="1" applyBorder="1" applyAlignment="1">
      <alignment vertical="center"/>
    </xf>
    <xf numFmtId="0" fontId="13" fillId="0" borderId="2" xfId="0" applyNumberFormat="1" applyFont="1" applyFill="1" applyBorder="1" applyAlignment="1">
      <alignment vertical="center"/>
    </xf>
    <xf numFmtId="0" fontId="13" fillId="0" borderId="3" xfId="0" applyNumberFormat="1" applyFont="1" applyFill="1" applyBorder="1" applyAlignment="1">
      <alignment vertical="center"/>
    </xf>
    <xf numFmtId="0" fontId="13" fillId="0" borderId="4" xfId="0" applyNumberFormat="1" applyFont="1" applyFill="1" applyBorder="1" applyAlignment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7\&#20179;&#20648;&#29289;&#27969;&#20013;&#24515;\&#20179;&#20648;&#29289;&#27969;&#37096;&#25968;&#25454;\&#25104;&#21697;&#20179;(&#24211;&#23384;&#25104;&#21697;)(&#20108;&#27004;)\&#25104;&#21697;(&#24211;&#23384;&#20108;&#27004;)0625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标准图册"/>
      <sheetName val="订单汇总"/>
      <sheetName val="订单明细"/>
      <sheetName val="进仓汇总"/>
      <sheetName val="进仓数量"/>
      <sheetName val="安全库存"/>
      <sheetName val="单价汇总"/>
      <sheetName val="基础资料"/>
      <sheetName val="无代码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成品编码</v>
          </cell>
          <cell r="B3" t="str">
            <v>成品名称</v>
          </cell>
          <cell r="C3" t="str">
            <v>颜色</v>
          </cell>
          <cell r="D3" t="str">
            <v>包/套</v>
          </cell>
          <cell r="E3" t="str">
            <v>单位</v>
          </cell>
          <cell r="F3" t="str">
            <v>包装</v>
          </cell>
          <cell r="G3" t="str">
            <v>求和项:进仓数量</v>
          </cell>
        </row>
        <row r="4">
          <cell r="A4">
            <v>30000281</v>
          </cell>
          <cell r="B4" t="str">
            <v>#N/A</v>
          </cell>
          <cell r="C4" t="str">
            <v>#N/A</v>
          </cell>
          <cell r="D4" t="str">
            <v>#N/A</v>
          </cell>
          <cell r="E4" t="str">
            <v>#N/A</v>
          </cell>
          <cell r="F4" t="str">
            <v>#N/A</v>
          </cell>
          <cell r="G4">
            <v>0</v>
          </cell>
        </row>
        <row r="5">
          <cell r="A5">
            <v>300000041</v>
          </cell>
          <cell r="B5" t="str">
            <v>吊柜</v>
          </cell>
          <cell r="C5">
            <v>0</v>
          </cell>
          <cell r="D5">
            <v>0</v>
          </cell>
          <cell r="G5">
            <v>0</v>
          </cell>
        </row>
        <row r="6">
          <cell r="A6">
            <v>300000042</v>
          </cell>
          <cell r="B6" t="str">
            <v>屏风</v>
          </cell>
          <cell r="C6">
            <v>0</v>
          </cell>
          <cell r="D6">
            <v>0</v>
          </cell>
          <cell r="G6">
            <v>0</v>
          </cell>
        </row>
        <row r="7">
          <cell r="A7">
            <v>300000043</v>
          </cell>
          <cell r="B7" t="str">
            <v>青花瓷四人位组2800*1400*750     带吊柜</v>
          </cell>
          <cell r="C7">
            <v>0</v>
          </cell>
          <cell r="D7">
            <v>0</v>
          </cell>
          <cell r="G7">
            <v>0</v>
          </cell>
        </row>
        <row r="8">
          <cell r="A8">
            <v>301010001</v>
          </cell>
          <cell r="B8" t="str">
            <v>欧扬主管桌1800*1500*760 左边</v>
          </cell>
          <cell r="C8">
            <v>0</v>
          </cell>
          <cell r="D8">
            <v>0</v>
          </cell>
          <cell r="G8">
            <v>0</v>
          </cell>
        </row>
        <row r="9">
          <cell r="A9">
            <v>301010002</v>
          </cell>
          <cell r="B9" t="str">
            <v xml:space="preserve">L型台面板=1   </v>
          </cell>
          <cell r="C9" t="str">
            <v>暖白</v>
          </cell>
          <cell r="D9">
            <v>1</v>
          </cell>
          <cell r="E9" t="str">
            <v>包</v>
          </cell>
          <cell r="F9" t="str">
            <v>4-1</v>
          </cell>
          <cell r="G9">
            <v>0</v>
          </cell>
        </row>
        <row r="10">
          <cell r="A10">
            <v>301010003</v>
          </cell>
          <cell r="B10" t="str">
            <v>欧扬主管桌1800*1500*760右边</v>
          </cell>
          <cell r="C10">
            <v>0</v>
          </cell>
          <cell r="D10">
            <v>0</v>
          </cell>
          <cell r="G10">
            <v>0</v>
          </cell>
        </row>
        <row r="11">
          <cell r="A11">
            <v>301010004</v>
          </cell>
          <cell r="B11" t="str">
            <v xml:space="preserve">L型台面板=1  </v>
          </cell>
          <cell r="C11" t="str">
            <v>暖白</v>
          </cell>
          <cell r="D11">
            <v>1</v>
          </cell>
          <cell r="E11" t="str">
            <v>包</v>
          </cell>
          <cell r="F11" t="str">
            <v>4-1</v>
          </cell>
          <cell r="G11">
            <v>0</v>
          </cell>
        </row>
        <row r="12">
          <cell r="A12">
            <v>301010005</v>
          </cell>
          <cell r="B12" t="str">
            <v>欧扬主管桌1750*1500*760左边</v>
          </cell>
          <cell r="C12">
            <v>0</v>
          </cell>
          <cell r="D12">
            <v>0</v>
          </cell>
          <cell r="G12">
            <v>0</v>
          </cell>
        </row>
        <row r="13">
          <cell r="A13">
            <v>301010006</v>
          </cell>
          <cell r="B13" t="str">
            <v xml:space="preserve">主台面板=1  </v>
          </cell>
          <cell r="C13" t="str">
            <v>暖白浮雕</v>
          </cell>
          <cell r="D13">
            <v>1</v>
          </cell>
          <cell r="E13" t="str">
            <v>包</v>
          </cell>
          <cell r="F13" t="str">
            <v>5-1</v>
          </cell>
          <cell r="G13">
            <v>0</v>
          </cell>
        </row>
        <row r="14">
          <cell r="A14">
            <v>301010007</v>
          </cell>
          <cell r="B14" t="str">
            <v>附台面板=2</v>
          </cell>
          <cell r="C14" t="str">
            <v>暖白浮雕</v>
          </cell>
          <cell r="D14">
            <v>1</v>
          </cell>
          <cell r="E14" t="str">
            <v>包</v>
          </cell>
          <cell r="F14" t="str">
            <v>5-2</v>
          </cell>
          <cell r="G14">
            <v>0</v>
          </cell>
        </row>
        <row r="15">
          <cell r="A15">
            <v>301010008</v>
          </cell>
          <cell r="B15" t="str">
            <v>欧扬主管桌1750*1500*760右边</v>
          </cell>
          <cell r="C15">
            <v>0</v>
          </cell>
          <cell r="D15">
            <v>0</v>
          </cell>
          <cell r="G15">
            <v>0</v>
          </cell>
        </row>
        <row r="16">
          <cell r="A16">
            <v>301010009</v>
          </cell>
          <cell r="B16" t="str">
            <v xml:space="preserve">主台面板=1 </v>
          </cell>
          <cell r="C16" t="str">
            <v>暖白浮雕</v>
          </cell>
          <cell r="D16">
            <v>1</v>
          </cell>
          <cell r="E16" t="str">
            <v>包</v>
          </cell>
          <cell r="F16" t="str">
            <v>5-1</v>
          </cell>
          <cell r="G16">
            <v>0</v>
          </cell>
        </row>
        <row r="17">
          <cell r="A17">
            <v>301010010</v>
          </cell>
          <cell r="B17" t="str">
            <v>附台面板=1</v>
          </cell>
          <cell r="C17" t="str">
            <v>暖白浮雕</v>
          </cell>
          <cell r="D17">
            <v>1</v>
          </cell>
          <cell r="E17" t="str">
            <v>包</v>
          </cell>
          <cell r="F17" t="str">
            <v>5-2</v>
          </cell>
          <cell r="G17">
            <v>0</v>
          </cell>
        </row>
        <row r="18">
          <cell r="A18">
            <v>301010011</v>
          </cell>
          <cell r="B18" t="str">
            <v>欧扬主管桌1750*1500*760左边</v>
          </cell>
          <cell r="C18">
            <v>0</v>
          </cell>
          <cell r="D18">
            <v>0</v>
          </cell>
          <cell r="G18">
            <v>11</v>
          </cell>
        </row>
        <row r="19">
          <cell r="A19">
            <v>301010012</v>
          </cell>
          <cell r="B19" t="str">
            <v xml:space="preserve">主台面板=1  </v>
          </cell>
          <cell r="C19" t="str">
            <v>布纹浮雕</v>
          </cell>
          <cell r="D19">
            <v>1</v>
          </cell>
          <cell r="E19" t="str">
            <v>包</v>
          </cell>
          <cell r="F19" t="str">
            <v>5-1</v>
          </cell>
          <cell r="G19">
            <v>0</v>
          </cell>
        </row>
        <row r="20">
          <cell r="A20">
            <v>301010013</v>
          </cell>
          <cell r="B20" t="str">
            <v>附台面板=1</v>
          </cell>
          <cell r="C20" t="str">
            <v>布纹浮雕</v>
          </cell>
          <cell r="D20">
            <v>1</v>
          </cell>
          <cell r="E20" t="str">
            <v>包</v>
          </cell>
          <cell r="F20" t="str">
            <v>5-2</v>
          </cell>
          <cell r="G20">
            <v>0</v>
          </cell>
        </row>
        <row r="21">
          <cell r="A21">
            <v>301010014</v>
          </cell>
          <cell r="B21" t="str">
            <v>欧扬主管桌1750*1500*760右边</v>
          </cell>
          <cell r="C21">
            <v>0</v>
          </cell>
          <cell r="D21">
            <v>0</v>
          </cell>
          <cell r="G21">
            <v>11</v>
          </cell>
        </row>
        <row r="22">
          <cell r="A22">
            <v>301010015</v>
          </cell>
          <cell r="B22" t="str">
            <v xml:space="preserve">主台面板=1  </v>
          </cell>
          <cell r="C22" t="str">
            <v>布纹浮雕</v>
          </cell>
          <cell r="D22">
            <v>1</v>
          </cell>
          <cell r="E22" t="str">
            <v>包</v>
          </cell>
          <cell r="F22" t="str">
            <v>5-1</v>
          </cell>
          <cell r="G22">
            <v>0</v>
          </cell>
        </row>
        <row r="23">
          <cell r="A23">
            <v>301010016</v>
          </cell>
          <cell r="B23" t="str">
            <v>附台面板=1</v>
          </cell>
          <cell r="C23" t="str">
            <v>布纹浮雕</v>
          </cell>
          <cell r="D23">
            <v>1</v>
          </cell>
          <cell r="E23" t="str">
            <v>包</v>
          </cell>
          <cell r="F23" t="str">
            <v>5-2</v>
          </cell>
          <cell r="G23">
            <v>0</v>
          </cell>
        </row>
        <row r="24">
          <cell r="A24">
            <v>301010017</v>
          </cell>
          <cell r="B24" t="str">
            <v>旧线盒欧扬D5款主管桌1800*770*760左</v>
          </cell>
          <cell r="C24">
            <v>0</v>
          </cell>
          <cell r="D24">
            <v>0</v>
          </cell>
          <cell r="G24">
            <v>0</v>
          </cell>
        </row>
        <row r="25">
          <cell r="A25">
            <v>301010018</v>
          </cell>
          <cell r="B25" t="str">
            <v>面板=1</v>
          </cell>
          <cell r="C25" t="str">
            <v>布纹</v>
          </cell>
          <cell r="D25">
            <v>1</v>
          </cell>
          <cell r="E25" t="str">
            <v>包</v>
          </cell>
          <cell r="F25" t="str">
            <v>5-1</v>
          </cell>
          <cell r="G25">
            <v>0</v>
          </cell>
        </row>
        <row r="26">
          <cell r="A26">
            <v>301010021</v>
          </cell>
          <cell r="B26" t="str">
            <v>附柜=1</v>
          </cell>
          <cell r="C26" t="str">
            <v>OF-0204融合之歌</v>
          </cell>
          <cell r="D26">
            <v>1</v>
          </cell>
          <cell r="E26" t="str">
            <v>包</v>
          </cell>
          <cell r="F26" t="str">
            <v>5-4</v>
          </cell>
          <cell r="G26">
            <v>0</v>
          </cell>
        </row>
        <row r="27">
          <cell r="A27">
            <v>301010022</v>
          </cell>
          <cell r="B27" t="str">
            <v>抽屉=3</v>
          </cell>
          <cell r="C27" t="str">
            <v>OF-0205融合之歌</v>
          </cell>
          <cell r="D27">
            <v>1</v>
          </cell>
          <cell r="E27" t="str">
            <v>包</v>
          </cell>
          <cell r="F27" t="str">
            <v>5-5</v>
          </cell>
          <cell r="G27">
            <v>0</v>
          </cell>
        </row>
        <row r="28">
          <cell r="A28">
            <v>301010024</v>
          </cell>
          <cell r="B28" t="str">
            <v>旧线盒欧扬D5款主管桌1800*770*760右/</v>
          </cell>
          <cell r="C28">
            <v>0</v>
          </cell>
          <cell r="D28">
            <v>0</v>
          </cell>
          <cell r="G28">
            <v>0</v>
          </cell>
        </row>
        <row r="29">
          <cell r="A29">
            <v>301010025</v>
          </cell>
          <cell r="B29" t="str">
            <v>面板=1</v>
          </cell>
          <cell r="C29" t="str">
            <v>布纹</v>
          </cell>
          <cell r="D29">
            <v>1</v>
          </cell>
          <cell r="E29" t="str">
            <v>包</v>
          </cell>
          <cell r="F29" t="str">
            <v>5-1</v>
          </cell>
          <cell r="G29">
            <v>0</v>
          </cell>
        </row>
        <row r="30">
          <cell r="A30">
            <v>301010026</v>
          </cell>
          <cell r="B30" t="str">
            <v>附柜=1</v>
          </cell>
          <cell r="C30" t="str">
            <v>OF-0204融合之歌</v>
          </cell>
          <cell r="D30">
            <v>1</v>
          </cell>
          <cell r="E30" t="str">
            <v>包</v>
          </cell>
          <cell r="F30" t="str">
            <v>5-4</v>
          </cell>
          <cell r="G30">
            <v>0</v>
          </cell>
        </row>
        <row r="31">
          <cell r="A31">
            <v>301010027</v>
          </cell>
          <cell r="B31" t="str">
            <v>抽屉=3</v>
          </cell>
          <cell r="C31" t="str">
            <v>OF-0205融合之歌</v>
          </cell>
          <cell r="D31">
            <v>1</v>
          </cell>
          <cell r="E31" t="str">
            <v>包</v>
          </cell>
          <cell r="F31" t="str">
            <v>5-5</v>
          </cell>
          <cell r="G31">
            <v>0</v>
          </cell>
        </row>
        <row r="32">
          <cell r="A32">
            <v>301030001</v>
          </cell>
          <cell r="B32" t="str">
            <v>欧扬蝴蝶型四人位2900*2900*760</v>
          </cell>
          <cell r="C32">
            <v>0</v>
          </cell>
          <cell r="D32">
            <v>0</v>
          </cell>
          <cell r="G32">
            <v>0</v>
          </cell>
        </row>
        <row r="33">
          <cell r="A33">
            <v>301030002</v>
          </cell>
          <cell r="B33" t="str">
            <v>副台面板=4  平铁=8</v>
          </cell>
          <cell r="C33" t="str">
            <v>布纹/浮雕</v>
          </cell>
          <cell r="D33">
            <v>1</v>
          </cell>
          <cell r="E33" t="str">
            <v>包</v>
          </cell>
          <cell r="F33" t="str">
            <v>11-11</v>
          </cell>
          <cell r="G33">
            <v>0</v>
          </cell>
        </row>
        <row r="34">
          <cell r="A34">
            <v>301030003</v>
          </cell>
          <cell r="B34" t="str">
            <v>D168桌上屏风=2</v>
          </cell>
          <cell r="C34" t="str">
            <v>碳灰/树纹</v>
          </cell>
          <cell r="D34">
            <v>1</v>
          </cell>
          <cell r="E34" t="str">
            <v>包</v>
          </cell>
          <cell r="F34" t="str">
            <v>11-9</v>
          </cell>
          <cell r="G34">
            <v>0</v>
          </cell>
        </row>
        <row r="35">
          <cell r="A35">
            <v>301040001</v>
          </cell>
          <cell r="B35" t="str">
            <v>欧扬琴型四人位2814 2800*1400*760</v>
          </cell>
          <cell r="C35">
            <v>0</v>
          </cell>
          <cell r="D35">
            <v>0</v>
          </cell>
          <cell r="G35">
            <v>0</v>
          </cell>
        </row>
        <row r="36">
          <cell r="A36">
            <v>301040002</v>
          </cell>
          <cell r="B36" t="str">
            <v>台面板=2</v>
          </cell>
          <cell r="C36" t="str">
            <v>暖白浮雕</v>
          </cell>
          <cell r="D36">
            <v>2</v>
          </cell>
          <cell r="E36" t="str">
            <v>包</v>
          </cell>
          <cell r="F36" t="str">
            <v>10-1，2</v>
          </cell>
          <cell r="G36">
            <v>0</v>
          </cell>
        </row>
        <row r="37">
          <cell r="A37">
            <v>301040003</v>
          </cell>
          <cell r="B37" t="str">
            <v>欧扬钢脚C=2 欧扬钢脚D=1  加固圆盘=2</v>
          </cell>
          <cell r="C37" t="str">
            <v>碳灰</v>
          </cell>
          <cell r="D37">
            <v>1</v>
          </cell>
          <cell r="E37" t="str">
            <v>包</v>
          </cell>
          <cell r="F37" t="str">
            <v>10-7</v>
          </cell>
          <cell r="G37">
            <v>0</v>
          </cell>
        </row>
        <row r="38">
          <cell r="A38">
            <v>301040004</v>
          </cell>
          <cell r="B38" t="str">
            <v>功能梁=2  配件包</v>
          </cell>
          <cell r="C38" t="str">
            <v>氧化</v>
          </cell>
          <cell r="D38">
            <v>1</v>
          </cell>
          <cell r="E38" t="str">
            <v>包</v>
          </cell>
          <cell r="F38" t="str">
            <v>10-10</v>
          </cell>
          <cell r="G38">
            <v>0</v>
          </cell>
        </row>
        <row r="39">
          <cell r="A39">
            <v>301040005</v>
          </cell>
          <cell r="B39" t="str">
            <v>托板=1 (可选）</v>
          </cell>
          <cell r="C39" t="str">
            <v>暖白</v>
          </cell>
          <cell r="D39">
            <v>1</v>
          </cell>
          <cell r="E39" t="str">
            <v>包</v>
          </cell>
          <cell r="F39" t="str">
            <v>12-12</v>
          </cell>
          <cell r="G39">
            <v>0</v>
          </cell>
        </row>
        <row r="40">
          <cell r="A40">
            <v>301040006</v>
          </cell>
          <cell r="B40" t="str">
            <v>欧扬走线槽=2 欧扬横杆B=4</v>
          </cell>
          <cell r="C40" t="str">
            <v>碳灰</v>
          </cell>
          <cell r="D40">
            <v>1</v>
          </cell>
          <cell r="E40" t="str">
            <v>包</v>
          </cell>
          <cell r="F40" t="str">
            <v>10-8</v>
          </cell>
          <cell r="G40">
            <v>0</v>
          </cell>
        </row>
        <row r="41">
          <cell r="A41">
            <v>301040007</v>
          </cell>
          <cell r="B41" t="str">
            <v>主机架=4(可选）</v>
          </cell>
          <cell r="C41" t="str">
            <v>暖白/碳灰</v>
          </cell>
          <cell r="D41">
            <v>1</v>
          </cell>
          <cell r="E41" t="str">
            <v>包</v>
          </cell>
          <cell r="F41" t="str">
            <v>11-11</v>
          </cell>
          <cell r="G41">
            <v>0</v>
          </cell>
        </row>
        <row r="42">
          <cell r="A42">
            <v>301040008</v>
          </cell>
          <cell r="B42" t="str">
            <v xml:space="preserve">欧扬蝴蝶型四人位2900*1300*760 </v>
          </cell>
          <cell r="C42">
            <v>0</v>
          </cell>
          <cell r="D42">
            <v>0</v>
          </cell>
          <cell r="G42">
            <v>0</v>
          </cell>
        </row>
        <row r="43">
          <cell r="A43">
            <v>301040009</v>
          </cell>
          <cell r="B43" t="str">
            <v>活动柜=1 （420*520*640）</v>
          </cell>
          <cell r="C43" t="str">
            <v>布纹/铁灰</v>
          </cell>
          <cell r="D43">
            <v>4</v>
          </cell>
          <cell r="E43" t="str">
            <v>个</v>
          </cell>
          <cell r="F43" t="str">
            <v>10-3.4.5.6.</v>
          </cell>
          <cell r="G43">
            <v>0</v>
          </cell>
        </row>
        <row r="44">
          <cell r="A44">
            <v>301040010</v>
          </cell>
          <cell r="B44" t="str">
            <v>全旧线盒欧扬蝴蝶型四人位2900*1300*760</v>
          </cell>
          <cell r="C44">
            <v>0</v>
          </cell>
          <cell r="D44">
            <v>0</v>
          </cell>
          <cell r="G44">
            <v>0</v>
          </cell>
        </row>
        <row r="45">
          <cell r="A45">
            <v>301040011</v>
          </cell>
          <cell r="B45" t="str">
            <v>D168桌上屏风=2</v>
          </cell>
          <cell r="C45" t="str">
            <v>铁灰</v>
          </cell>
          <cell r="D45">
            <v>1</v>
          </cell>
          <cell r="E45" t="str">
            <v>包</v>
          </cell>
          <cell r="F45" t="str">
            <v>10-9</v>
          </cell>
          <cell r="G45">
            <v>0</v>
          </cell>
        </row>
        <row r="46">
          <cell r="A46">
            <v>301040012</v>
          </cell>
          <cell r="B46" t="str">
            <v>欧扬钢脚C=2 欧扬钢脚D=1 加固圆盘=2</v>
          </cell>
          <cell r="C46" t="str">
            <v>砂白</v>
          </cell>
          <cell r="D46">
            <v>1</v>
          </cell>
          <cell r="E46" t="str">
            <v>包</v>
          </cell>
          <cell r="F46" t="str">
            <v>10-7</v>
          </cell>
          <cell r="G46">
            <v>0</v>
          </cell>
        </row>
        <row r="47">
          <cell r="A47">
            <v>301040013</v>
          </cell>
          <cell r="B47" t="str">
            <v>欧扬走线槽=2 欧扬横杆B=4配件包</v>
          </cell>
          <cell r="C47" t="str">
            <v>砂白</v>
          </cell>
          <cell r="D47">
            <v>1</v>
          </cell>
          <cell r="E47" t="str">
            <v>包</v>
          </cell>
          <cell r="F47" t="str">
            <v>10-8</v>
          </cell>
          <cell r="G47">
            <v>0</v>
          </cell>
        </row>
        <row r="48">
          <cell r="A48">
            <v>301040014</v>
          </cell>
          <cell r="B48" t="str">
            <v xml:space="preserve">活动柜=1 </v>
          </cell>
          <cell r="C48" t="str">
            <v>布纹/融合之歌绒面</v>
          </cell>
          <cell r="D48">
            <v>4</v>
          </cell>
          <cell r="E48" t="str">
            <v>个</v>
          </cell>
          <cell r="F48" t="str">
            <v>10-3.4.5.6.</v>
          </cell>
          <cell r="G48">
            <v>0</v>
          </cell>
        </row>
        <row r="49">
          <cell r="A49">
            <v>301040015</v>
          </cell>
          <cell r="B49" t="str">
            <v>主机架=4（可选）</v>
          </cell>
          <cell r="C49" t="str">
            <v>布纹/砂白</v>
          </cell>
          <cell r="D49">
            <v>1</v>
          </cell>
          <cell r="E49" t="str">
            <v>包</v>
          </cell>
          <cell r="F49" t="str">
            <v>11-11</v>
          </cell>
          <cell r="G49">
            <v>0</v>
          </cell>
        </row>
        <row r="50">
          <cell r="A50">
            <v>301040016</v>
          </cell>
          <cell r="B50" t="str">
            <v>新款活动柜</v>
          </cell>
          <cell r="C50" t="str">
            <v>布纹/铁灰</v>
          </cell>
          <cell r="D50">
            <v>0</v>
          </cell>
          <cell r="G50">
            <v>0</v>
          </cell>
        </row>
        <row r="51">
          <cell r="A51">
            <v>301050001</v>
          </cell>
          <cell r="B51" t="str">
            <v>魔方文件柜2500*400*1745</v>
          </cell>
          <cell r="C51">
            <v>0</v>
          </cell>
          <cell r="D51">
            <v>0</v>
          </cell>
          <cell r="G51">
            <v>0</v>
          </cell>
        </row>
        <row r="52">
          <cell r="A52">
            <v>301050002</v>
          </cell>
          <cell r="B52" t="str">
            <v>CA09掩门柜</v>
          </cell>
          <cell r="C52" t="str">
            <v>布纹</v>
          </cell>
          <cell r="D52">
            <v>2</v>
          </cell>
          <cell r="E52" t="str">
            <v>包</v>
          </cell>
          <cell r="F52" t="str">
            <v>8-1,2</v>
          </cell>
          <cell r="G52">
            <v>0</v>
          </cell>
        </row>
        <row r="53">
          <cell r="A53">
            <v>301050003</v>
          </cell>
          <cell r="B53" t="str">
            <v>CA04层板1=2</v>
          </cell>
          <cell r="C53" t="str">
            <v>布纹</v>
          </cell>
          <cell r="D53">
            <v>1</v>
          </cell>
          <cell r="E53" t="str">
            <v>包</v>
          </cell>
          <cell r="F53" t="str">
            <v>8-3</v>
          </cell>
          <cell r="G53">
            <v>0</v>
          </cell>
        </row>
        <row r="54">
          <cell r="A54">
            <v>301050004</v>
          </cell>
          <cell r="B54" t="str">
            <v>CA04层板2=3</v>
          </cell>
          <cell r="C54" t="str">
            <v>布纹</v>
          </cell>
          <cell r="D54">
            <v>1</v>
          </cell>
          <cell r="E54" t="str">
            <v>包</v>
          </cell>
          <cell r="F54" t="str">
            <v>8-4</v>
          </cell>
          <cell r="G54">
            <v>0</v>
          </cell>
        </row>
        <row r="55">
          <cell r="A55">
            <v>301050005</v>
          </cell>
          <cell r="B55" t="str">
            <v>CA12趟门柜</v>
          </cell>
          <cell r="C55" t="str">
            <v>布纹</v>
          </cell>
          <cell r="D55">
            <v>1</v>
          </cell>
          <cell r="E55" t="str">
            <v>包</v>
          </cell>
          <cell r="F55" t="str">
            <v>8-5</v>
          </cell>
          <cell r="G55">
            <v>0</v>
          </cell>
        </row>
        <row r="56">
          <cell r="A56">
            <v>301050006</v>
          </cell>
          <cell r="B56" t="str">
            <v>GJ3钢架=2</v>
          </cell>
          <cell r="C56" t="str">
            <v>碳灰</v>
          </cell>
          <cell r="D56">
            <v>2</v>
          </cell>
          <cell r="E56" t="str">
            <v>包</v>
          </cell>
          <cell r="F56" t="str">
            <v>8-6,7</v>
          </cell>
          <cell r="G56">
            <v>0</v>
          </cell>
        </row>
        <row r="57">
          <cell r="A57">
            <v>301050007</v>
          </cell>
          <cell r="B57" t="str">
            <v>CA16二抽柜=1</v>
          </cell>
          <cell r="C57" t="str">
            <v>布纹</v>
          </cell>
          <cell r="D57">
            <v>1</v>
          </cell>
          <cell r="E57" t="str">
            <v>包</v>
          </cell>
          <cell r="F57" t="str">
            <v>8-8</v>
          </cell>
          <cell r="G57">
            <v>0</v>
          </cell>
        </row>
        <row r="58">
          <cell r="A58">
            <v>301050008</v>
          </cell>
          <cell r="B58" t="str">
            <v>魔方文件柜2500*400*1745</v>
          </cell>
          <cell r="C58">
            <v>0</v>
          </cell>
          <cell r="D58">
            <v>0</v>
          </cell>
          <cell r="G58">
            <v>0</v>
          </cell>
        </row>
        <row r="59">
          <cell r="A59">
            <v>301050009</v>
          </cell>
          <cell r="B59" t="str">
            <v>CA09掩门柜</v>
          </cell>
          <cell r="C59" t="str">
            <v>暖白</v>
          </cell>
          <cell r="D59">
            <v>2</v>
          </cell>
          <cell r="E59" t="str">
            <v>包</v>
          </cell>
          <cell r="F59" t="str">
            <v>8-1,2</v>
          </cell>
          <cell r="G59">
            <v>0</v>
          </cell>
        </row>
        <row r="60">
          <cell r="A60">
            <v>301050010</v>
          </cell>
          <cell r="B60" t="str">
            <v>CA04层板1=2</v>
          </cell>
          <cell r="C60" t="str">
            <v>暖白</v>
          </cell>
          <cell r="D60">
            <v>1</v>
          </cell>
          <cell r="E60" t="str">
            <v>包</v>
          </cell>
          <cell r="F60" t="str">
            <v>8-3</v>
          </cell>
          <cell r="G60">
            <v>0</v>
          </cell>
        </row>
        <row r="61">
          <cell r="A61">
            <v>301050011</v>
          </cell>
          <cell r="B61" t="str">
            <v>CA04层板2=3</v>
          </cell>
          <cell r="C61" t="str">
            <v>暖白</v>
          </cell>
          <cell r="D61">
            <v>1</v>
          </cell>
          <cell r="E61" t="str">
            <v>包</v>
          </cell>
          <cell r="F61" t="str">
            <v>8-4</v>
          </cell>
          <cell r="G61">
            <v>0</v>
          </cell>
        </row>
        <row r="62">
          <cell r="A62">
            <v>301050012</v>
          </cell>
          <cell r="B62" t="str">
            <v>CA12趟门柜</v>
          </cell>
          <cell r="C62" t="str">
            <v>暖白</v>
          </cell>
          <cell r="D62">
            <v>1</v>
          </cell>
          <cell r="E62" t="str">
            <v>包</v>
          </cell>
          <cell r="F62" t="str">
            <v>8-5</v>
          </cell>
          <cell r="G62">
            <v>0</v>
          </cell>
        </row>
        <row r="63">
          <cell r="A63">
            <v>301050013</v>
          </cell>
          <cell r="B63" t="str">
            <v>GJ3钢架=2</v>
          </cell>
          <cell r="C63" t="str">
            <v>纯白</v>
          </cell>
          <cell r="D63">
            <v>2</v>
          </cell>
          <cell r="E63" t="str">
            <v>包</v>
          </cell>
          <cell r="F63" t="str">
            <v>8-6,7</v>
          </cell>
          <cell r="G63">
            <v>0</v>
          </cell>
        </row>
        <row r="64">
          <cell r="A64">
            <v>301050014</v>
          </cell>
          <cell r="B64" t="str">
            <v>CA16二抽柜=1</v>
          </cell>
          <cell r="C64" t="str">
            <v>暖白</v>
          </cell>
          <cell r="D64">
            <v>1</v>
          </cell>
          <cell r="E64" t="str">
            <v>包</v>
          </cell>
          <cell r="F64" t="str">
            <v>8-8</v>
          </cell>
          <cell r="G64">
            <v>0</v>
          </cell>
        </row>
        <row r="65">
          <cell r="A65">
            <v>301070001</v>
          </cell>
          <cell r="B65" t="str">
            <v>欧扬长茶几1200*600*420</v>
          </cell>
          <cell r="C65">
            <v>0</v>
          </cell>
          <cell r="D65">
            <v>0</v>
          </cell>
          <cell r="G65">
            <v>0</v>
          </cell>
        </row>
        <row r="66">
          <cell r="A66">
            <v>301070002</v>
          </cell>
          <cell r="B66" t="str">
            <v>茶几面板=1 小档板=1</v>
          </cell>
          <cell r="C66" t="str">
            <v>暖白</v>
          </cell>
          <cell r="D66">
            <v>1</v>
          </cell>
          <cell r="E66" t="str">
            <v>包</v>
          </cell>
          <cell r="F66" t="str">
            <v>2-1</v>
          </cell>
          <cell r="G66">
            <v>0</v>
          </cell>
        </row>
        <row r="67">
          <cell r="A67">
            <v>301070003</v>
          </cell>
          <cell r="B67" t="str">
            <v>欧扬长茶几1200*600*420</v>
          </cell>
          <cell r="C67">
            <v>0</v>
          </cell>
          <cell r="D67">
            <v>0</v>
          </cell>
          <cell r="G67">
            <v>0</v>
          </cell>
        </row>
        <row r="68">
          <cell r="A68">
            <v>301070004</v>
          </cell>
          <cell r="B68" t="str">
            <v>欧扬长茶几1200*600*420</v>
          </cell>
          <cell r="C68">
            <v>0</v>
          </cell>
          <cell r="D68">
            <v>0</v>
          </cell>
          <cell r="G68">
            <v>0</v>
          </cell>
        </row>
        <row r="69">
          <cell r="A69">
            <v>301070005</v>
          </cell>
          <cell r="B69" t="str">
            <v>欧扬茶几脚=2</v>
          </cell>
          <cell r="C69" t="str">
            <v>砂白</v>
          </cell>
          <cell r="D69">
            <v>1</v>
          </cell>
          <cell r="E69" t="str">
            <v>包</v>
          </cell>
          <cell r="F69" t="str">
            <v>2-2</v>
          </cell>
          <cell r="G69">
            <v>0</v>
          </cell>
        </row>
        <row r="70">
          <cell r="A70">
            <v>301080001</v>
          </cell>
          <cell r="B70" t="str">
            <v>欧扬方茶几600*600*420</v>
          </cell>
          <cell r="C70">
            <v>0</v>
          </cell>
          <cell r="D70">
            <v>0</v>
          </cell>
          <cell r="G70">
            <v>0</v>
          </cell>
        </row>
        <row r="71">
          <cell r="A71">
            <v>301080002</v>
          </cell>
          <cell r="B71" t="str">
            <v>茶几面板=1 小档板=1</v>
          </cell>
          <cell r="C71" t="str">
            <v>暖白</v>
          </cell>
          <cell r="D71">
            <v>1</v>
          </cell>
          <cell r="E71" t="str">
            <v>包</v>
          </cell>
          <cell r="F71" t="str">
            <v>2-1</v>
          </cell>
          <cell r="G71">
            <v>0</v>
          </cell>
        </row>
        <row r="72">
          <cell r="A72">
            <v>301080003</v>
          </cell>
          <cell r="B72" t="str">
            <v>欧扬方茶几 600*600*420</v>
          </cell>
          <cell r="C72">
            <v>0</v>
          </cell>
          <cell r="D72">
            <v>0</v>
          </cell>
          <cell r="G72">
            <v>0</v>
          </cell>
        </row>
        <row r="73">
          <cell r="A73">
            <v>301080004</v>
          </cell>
          <cell r="B73" t="str">
            <v>欧扬方茶几600*600*420</v>
          </cell>
          <cell r="C73">
            <v>0</v>
          </cell>
          <cell r="D73">
            <v>0</v>
          </cell>
          <cell r="G73">
            <v>0</v>
          </cell>
        </row>
        <row r="74">
          <cell r="A74">
            <v>301080005</v>
          </cell>
          <cell r="B74" t="str">
            <v>欧扬茶几脚=2</v>
          </cell>
          <cell r="C74" t="str">
            <v>砂白</v>
          </cell>
          <cell r="D74">
            <v>1</v>
          </cell>
          <cell r="E74" t="str">
            <v>包</v>
          </cell>
          <cell r="F74" t="str">
            <v>2-2</v>
          </cell>
          <cell r="G74">
            <v>0</v>
          </cell>
        </row>
        <row r="75">
          <cell r="A75">
            <v>301090001</v>
          </cell>
          <cell r="B75" t="str">
            <v>欧格木门文件柜OGC-60A 600*600*1860</v>
          </cell>
          <cell r="C75">
            <v>0</v>
          </cell>
          <cell r="D75">
            <v>0</v>
          </cell>
          <cell r="G75">
            <v>0</v>
          </cell>
        </row>
        <row r="76">
          <cell r="A76">
            <v>301090002</v>
          </cell>
          <cell r="B76" t="str">
            <v xml:space="preserve">底座=1 顶板=1 底板=1  层板=16 配件包 </v>
          </cell>
          <cell r="C76" t="str">
            <v>暖白/浮雕</v>
          </cell>
          <cell r="D76">
            <v>1</v>
          </cell>
          <cell r="E76" t="str">
            <v>包</v>
          </cell>
          <cell r="F76" t="str">
            <v>2-1</v>
          </cell>
          <cell r="G76">
            <v>0</v>
          </cell>
        </row>
        <row r="77">
          <cell r="A77">
            <v>301090003</v>
          </cell>
          <cell r="B77" t="str">
            <v>中间板1=1  中间板2=2       外挡板=4</v>
          </cell>
          <cell r="C77" t="str">
            <v>暖白/浮雕</v>
          </cell>
          <cell r="D77">
            <v>1</v>
          </cell>
          <cell r="E77" t="str">
            <v>包</v>
          </cell>
          <cell r="F77" t="str">
            <v>2-2</v>
          </cell>
          <cell r="G77">
            <v>0</v>
          </cell>
        </row>
        <row r="78">
          <cell r="A78">
            <v>301090004</v>
          </cell>
          <cell r="B78" t="str">
            <v>空格柜4格850*380*850</v>
          </cell>
          <cell r="C78" t="str">
            <v>暖白/浮雕</v>
          </cell>
          <cell r="D78">
            <v>1</v>
          </cell>
          <cell r="E78" t="str">
            <v>包</v>
          </cell>
          <cell r="F78" t="str">
            <v>3-1</v>
          </cell>
          <cell r="G78">
            <v>0</v>
          </cell>
        </row>
        <row r="79">
          <cell r="A79">
            <v>301090005</v>
          </cell>
          <cell r="B79" t="str">
            <v>空格柜6格850*350*1265</v>
          </cell>
          <cell r="C79" t="str">
            <v>暖白/浮雕</v>
          </cell>
          <cell r="D79">
            <v>1</v>
          </cell>
          <cell r="E79" t="str">
            <v>包</v>
          </cell>
          <cell r="F79" t="str">
            <v>3-2</v>
          </cell>
          <cell r="G79">
            <v>0</v>
          </cell>
        </row>
        <row r="80">
          <cell r="A80">
            <v>301090006</v>
          </cell>
          <cell r="B80" t="str">
            <v>空格柜8格850*350*1680</v>
          </cell>
          <cell r="C80" t="str">
            <v>暖白/浮雕</v>
          </cell>
          <cell r="D80">
            <v>1</v>
          </cell>
          <cell r="E80" t="str">
            <v>包</v>
          </cell>
          <cell r="F80" t="str">
            <v>3-3</v>
          </cell>
          <cell r="G80">
            <v>0</v>
          </cell>
        </row>
        <row r="81">
          <cell r="A81">
            <v>301100001</v>
          </cell>
          <cell r="B81" t="str">
            <v xml:space="preserve">欧扬圆台1000*750 </v>
          </cell>
          <cell r="C81">
            <v>0</v>
          </cell>
          <cell r="D81">
            <v>0</v>
          </cell>
          <cell r="G81">
            <v>0</v>
          </cell>
        </row>
        <row r="82">
          <cell r="A82">
            <v>301100002</v>
          </cell>
          <cell r="B82" t="str">
            <v>圆台面=1</v>
          </cell>
          <cell r="C82" t="str">
            <v>暖白浮雕</v>
          </cell>
          <cell r="D82">
            <v>1</v>
          </cell>
          <cell r="E82" t="str">
            <v>包</v>
          </cell>
          <cell r="F82" t="str">
            <v>2-1</v>
          </cell>
          <cell r="G82">
            <v>0</v>
          </cell>
        </row>
        <row r="83">
          <cell r="A83">
            <v>301100003</v>
          </cell>
          <cell r="B83" t="str">
            <v>欧扬圆台800*750</v>
          </cell>
          <cell r="C83">
            <v>0</v>
          </cell>
          <cell r="D83">
            <v>0</v>
          </cell>
          <cell r="G83">
            <v>0</v>
          </cell>
        </row>
        <row r="84">
          <cell r="A84">
            <v>301100004</v>
          </cell>
          <cell r="B84" t="str">
            <v>圆台面=1</v>
          </cell>
          <cell r="C84" t="str">
            <v xml:space="preserve">暖白浮雕 </v>
          </cell>
          <cell r="D84">
            <v>1</v>
          </cell>
          <cell r="E84" t="str">
            <v>包</v>
          </cell>
          <cell r="F84" t="str">
            <v>2-1</v>
          </cell>
          <cell r="G84">
            <v>0</v>
          </cell>
        </row>
        <row r="85">
          <cell r="A85">
            <v>301100005</v>
          </cell>
          <cell r="B85" t="str">
            <v>欧扬圆台1000*750</v>
          </cell>
          <cell r="C85">
            <v>0</v>
          </cell>
          <cell r="D85">
            <v>0</v>
          </cell>
          <cell r="G85">
            <v>0</v>
          </cell>
        </row>
        <row r="86">
          <cell r="A86">
            <v>301100006</v>
          </cell>
          <cell r="B86" t="str">
            <v>圆台面=1</v>
          </cell>
          <cell r="C86" t="str">
            <v>布纹</v>
          </cell>
          <cell r="D86">
            <v>1</v>
          </cell>
          <cell r="E86" t="str">
            <v>包</v>
          </cell>
          <cell r="F86" t="str">
            <v>2-1</v>
          </cell>
          <cell r="G86">
            <v>0</v>
          </cell>
        </row>
        <row r="87">
          <cell r="A87">
            <v>301100007</v>
          </cell>
          <cell r="B87" t="str">
            <v>欧扬圆台800*750</v>
          </cell>
          <cell r="C87">
            <v>0</v>
          </cell>
          <cell r="D87">
            <v>0</v>
          </cell>
          <cell r="G87">
            <v>0</v>
          </cell>
        </row>
        <row r="88">
          <cell r="A88">
            <v>301100008</v>
          </cell>
          <cell r="B88" t="str">
            <v>圆台面=1</v>
          </cell>
          <cell r="C88" t="str">
            <v>布纹</v>
          </cell>
          <cell r="D88">
            <v>1</v>
          </cell>
          <cell r="E88" t="str">
            <v>包</v>
          </cell>
          <cell r="F88" t="str">
            <v>2-1</v>
          </cell>
          <cell r="G88">
            <v>0</v>
          </cell>
        </row>
        <row r="89">
          <cell r="A89">
            <v>301110001</v>
          </cell>
          <cell r="B89" t="str">
            <v>欧扬蝴蝶型会议桌2800*1200*750</v>
          </cell>
          <cell r="C89">
            <v>0</v>
          </cell>
          <cell r="D89">
            <v>0</v>
          </cell>
          <cell r="G89">
            <v>0</v>
          </cell>
        </row>
        <row r="90">
          <cell r="A90">
            <v>301110002</v>
          </cell>
          <cell r="B90" t="str">
            <v>欧扬钢脚C=2 欧扬钢脚D=1 加固圆盘=2</v>
          </cell>
          <cell r="C90" t="str">
            <v>碳灰</v>
          </cell>
          <cell r="D90">
            <v>1</v>
          </cell>
          <cell r="E90" t="str">
            <v>包</v>
          </cell>
          <cell r="F90" t="str">
            <v>3-2</v>
          </cell>
          <cell r="G90">
            <v>0</v>
          </cell>
        </row>
        <row r="91">
          <cell r="A91">
            <v>301110003</v>
          </cell>
          <cell r="B91" t="str">
            <v>欧扬走线槽=2  欧扬横杆=4</v>
          </cell>
          <cell r="C91" t="str">
            <v>碳灰</v>
          </cell>
          <cell r="D91">
            <v>1</v>
          </cell>
          <cell r="E91" t="str">
            <v>包</v>
          </cell>
          <cell r="F91" t="str">
            <v>3-3</v>
          </cell>
          <cell r="G91">
            <v>0</v>
          </cell>
        </row>
        <row r="92">
          <cell r="A92">
            <v>301110004</v>
          </cell>
          <cell r="B92" t="str">
            <v>欧扬直型会议桌 2800*1200*750</v>
          </cell>
          <cell r="C92">
            <v>0</v>
          </cell>
          <cell r="D92">
            <v>0</v>
          </cell>
          <cell r="G92">
            <v>0</v>
          </cell>
        </row>
        <row r="93">
          <cell r="A93">
            <v>301110005</v>
          </cell>
          <cell r="B93" t="str">
            <v>台面板=2</v>
          </cell>
          <cell r="C93" t="str">
            <v>暖白</v>
          </cell>
          <cell r="D93">
            <v>1</v>
          </cell>
          <cell r="E93" t="str">
            <v>包</v>
          </cell>
          <cell r="F93" t="str">
            <v>3-1</v>
          </cell>
          <cell r="G93">
            <v>0</v>
          </cell>
        </row>
        <row r="94">
          <cell r="A94">
            <v>301110006</v>
          </cell>
          <cell r="B94" t="str">
            <v>欧扬钢脚C=2 欧扬钢脚D=1 加固圆盘=2</v>
          </cell>
          <cell r="C94" t="str">
            <v>碳灰</v>
          </cell>
          <cell r="D94">
            <v>1</v>
          </cell>
          <cell r="E94" t="str">
            <v>包</v>
          </cell>
          <cell r="F94" t="str">
            <v>3-2</v>
          </cell>
          <cell r="G94">
            <v>0</v>
          </cell>
        </row>
        <row r="95">
          <cell r="A95">
            <v>301110007</v>
          </cell>
          <cell r="B95" t="str">
            <v>欧扬走线槽=2  欧扬横杆=4</v>
          </cell>
          <cell r="C95" t="str">
            <v>碳灰</v>
          </cell>
          <cell r="D95">
            <v>1</v>
          </cell>
          <cell r="E95" t="str">
            <v>包</v>
          </cell>
          <cell r="F95" t="str">
            <v>3-3</v>
          </cell>
          <cell r="G95">
            <v>0</v>
          </cell>
        </row>
        <row r="96">
          <cell r="A96">
            <v>301110008</v>
          </cell>
          <cell r="B96" t="str">
            <v>欧扬蝴蝶形会议桌2800*1200*750</v>
          </cell>
          <cell r="C96">
            <v>0</v>
          </cell>
          <cell r="D96">
            <v>0</v>
          </cell>
          <cell r="G96">
            <v>0</v>
          </cell>
        </row>
        <row r="97">
          <cell r="A97">
            <v>301110009</v>
          </cell>
          <cell r="B97" t="str">
            <v>欧扬钢脚C=2 欧扬钢脚D=1 加固圆盘=2</v>
          </cell>
          <cell r="C97" t="str">
            <v>砂白</v>
          </cell>
          <cell r="D97">
            <v>1</v>
          </cell>
          <cell r="E97" t="str">
            <v>包</v>
          </cell>
          <cell r="F97" t="str">
            <v>3-2</v>
          </cell>
          <cell r="G97">
            <v>0</v>
          </cell>
        </row>
        <row r="98">
          <cell r="A98">
            <v>301110010</v>
          </cell>
          <cell r="B98" t="str">
            <v>欧扬走线槽=2  欧扬横杆=4</v>
          </cell>
          <cell r="C98" t="str">
            <v>砂白</v>
          </cell>
          <cell r="D98">
            <v>1</v>
          </cell>
          <cell r="E98" t="str">
            <v>包</v>
          </cell>
          <cell r="F98" t="str">
            <v>3-3</v>
          </cell>
          <cell r="G98">
            <v>0</v>
          </cell>
        </row>
        <row r="99">
          <cell r="A99">
            <v>302010001</v>
          </cell>
          <cell r="B99" t="str">
            <v xml:space="preserve"> 旧线盒欧典主管桌1600*1600*760  </v>
          </cell>
          <cell r="C99">
            <v>0</v>
          </cell>
          <cell r="D99">
            <v>0</v>
          </cell>
          <cell r="G99">
            <v>5</v>
          </cell>
        </row>
        <row r="100">
          <cell r="A100">
            <v>302010002</v>
          </cell>
          <cell r="B100" t="str">
            <v xml:space="preserve">主台面板=1             挡板=1                      </v>
          </cell>
          <cell r="C100" t="str">
            <v>OF-1779灰橡木浮雕</v>
          </cell>
          <cell r="D100">
            <v>1</v>
          </cell>
          <cell r="E100" t="str">
            <v>包</v>
          </cell>
          <cell r="F100" t="str">
            <v>5-1</v>
          </cell>
          <cell r="G100">
            <v>15</v>
          </cell>
        </row>
        <row r="101">
          <cell r="A101">
            <v>302010003</v>
          </cell>
          <cell r="B101" t="str">
            <v>附台面板=1</v>
          </cell>
          <cell r="C101" t="str">
            <v>OF-1779灰橡木浮雕</v>
          </cell>
          <cell r="D101">
            <v>1</v>
          </cell>
          <cell r="E101" t="str">
            <v>包</v>
          </cell>
          <cell r="F101" t="str">
            <v>5-2</v>
          </cell>
          <cell r="G101">
            <v>0</v>
          </cell>
        </row>
        <row r="102">
          <cell r="A102">
            <v>302010004</v>
          </cell>
          <cell r="B102" t="str">
            <v>欧典钢脚A=2 钢制走线槽B/单=1</v>
          </cell>
          <cell r="C102" t="str">
            <v>砂白</v>
          </cell>
          <cell r="D102">
            <v>1</v>
          </cell>
          <cell r="E102" t="str">
            <v>包</v>
          </cell>
          <cell r="F102" t="str">
            <v>5-3</v>
          </cell>
          <cell r="G102">
            <v>40</v>
          </cell>
        </row>
        <row r="103">
          <cell r="A103">
            <v>302010005</v>
          </cell>
          <cell r="B103" t="str">
            <v>欧典拉杆=2</v>
          </cell>
          <cell r="C103" t="str">
            <v>砂白</v>
          </cell>
          <cell r="D103">
            <v>1</v>
          </cell>
          <cell r="E103" t="str">
            <v>包</v>
          </cell>
          <cell r="F103" t="str">
            <v>5-4</v>
          </cell>
          <cell r="G103">
            <v>40</v>
          </cell>
        </row>
        <row r="104">
          <cell r="A104">
            <v>302010006</v>
          </cell>
          <cell r="B104" t="str">
            <v>全旧线盒欧典主管桌1800*1600*760</v>
          </cell>
          <cell r="C104">
            <v>0</v>
          </cell>
          <cell r="D104">
            <v>0</v>
          </cell>
          <cell r="G104">
            <v>18</v>
          </cell>
        </row>
        <row r="105">
          <cell r="A105">
            <v>302010007</v>
          </cell>
          <cell r="B105" t="str">
            <v xml:space="preserve">主台面板=1            挡板=1                         </v>
          </cell>
          <cell r="C105" t="str">
            <v>OF-1779灰橡木浮雕</v>
          </cell>
          <cell r="D105">
            <v>1</v>
          </cell>
          <cell r="E105" t="str">
            <v>包</v>
          </cell>
          <cell r="F105" t="str">
            <v>5-1</v>
          </cell>
          <cell r="G105">
            <v>30</v>
          </cell>
        </row>
        <row r="106">
          <cell r="A106">
            <v>302010008</v>
          </cell>
          <cell r="B106" t="str">
            <v>附台面板=1</v>
          </cell>
          <cell r="C106" t="str">
            <v>OF-1779灰橡木浮雕</v>
          </cell>
          <cell r="D106">
            <v>1</v>
          </cell>
          <cell r="E106" t="str">
            <v>包</v>
          </cell>
          <cell r="F106" t="str">
            <v>5-2</v>
          </cell>
          <cell r="G106">
            <v>10</v>
          </cell>
        </row>
        <row r="107">
          <cell r="A107">
            <v>302010009</v>
          </cell>
          <cell r="B107" t="str">
            <v>欧典钢脚A=2 钢制走线槽B/单=1</v>
          </cell>
          <cell r="C107" t="str">
            <v>砂白</v>
          </cell>
          <cell r="D107">
            <v>1</v>
          </cell>
          <cell r="E107" t="str">
            <v>包</v>
          </cell>
          <cell r="F107" t="str">
            <v>5-3</v>
          </cell>
          <cell r="G107">
            <v>40</v>
          </cell>
        </row>
        <row r="108">
          <cell r="A108">
            <v>302010010</v>
          </cell>
          <cell r="B108" t="str">
            <v>欧典拉杆=2</v>
          </cell>
          <cell r="C108" t="str">
            <v>砂白</v>
          </cell>
          <cell r="D108">
            <v>1</v>
          </cell>
          <cell r="E108" t="str">
            <v>包</v>
          </cell>
          <cell r="F108" t="str">
            <v>5-4</v>
          </cell>
          <cell r="G108">
            <v>40</v>
          </cell>
        </row>
        <row r="109">
          <cell r="A109">
            <v>302030001</v>
          </cell>
          <cell r="B109" t="str">
            <v>全旧线盒欧典四人十字位2800*2830*760</v>
          </cell>
          <cell r="C109">
            <v>0</v>
          </cell>
          <cell r="D109">
            <v>0</v>
          </cell>
          <cell r="G109">
            <v>0</v>
          </cell>
        </row>
        <row r="110">
          <cell r="A110">
            <v>302030002</v>
          </cell>
          <cell r="B110" t="str">
            <v>附台面板=4</v>
          </cell>
          <cell r="C110" t="str">
            <v>灰橡/浮雕</v>
          </cell>
          <cell r="D110">
            <v>1</v>
          </cell>
          <cell r="E110">
            <v>0</v>
          </cell>
          <cell r="F110" t="str">
            <v>11-11</v>
          </cell>
          <cell r="G110">
            <v>0</v>
          </cell>
        </row>
        <row r="111">
          <cell r="A111">
            <v>302040001</v>
          </cell>
          <cell r="B111" t="str">
            <v>全旧线盒欧典四人位2800*1230*760</v>
          </cell>
          <cell r="C111">
            <v>0</v>
          </cell>
          <cell r="D111">
            <v>0</v>
          </cell>
          <cell r="G111">
            <v>0</v>
          </cell>
        </row>
        <row r="112">
          <cell r="A112">
            <v>302040002</v>
          </cell>
          <cell r="B112" t="str">
            <v>活动柜=1（420*510*640）</v>
          </cell>
          <cell r="C112" t="str">
            <v>灰橡/暖白</v>
          </cell>
          <cell r="D112" t="str">
            <v>1*4</v>
          </cell>
          <cell r="E112" t="str">
            <v>包</v>
          </cell>
          <cell r="F112" t="str">
            <v>10-3（4.5.6）</v>
          </cell>
          <cell r="G112">
            <v>18</v>
          </cell>
        </row>
        <row r="113">
          <cell r="A113">
            <v>302040003</v>
          </cell>
          <cell r="B113" t="str">
            <v>活动柜(新款410*500*590）</v>
          </cell>
          <cell r="C113" t="str">
            <v>灰橡/暖白</v>
          </cell>
          <cell r="D113">
            <v>0</v>
          </cell>
          <cell r="G113">
            <v>0</v>
          </cell>
        </row>
        <row r="114">
          <cell r="A114">
            <v>302060001</v>
          </cell>
          <cell r="B114" t="str">
            <v>欧典文件柜800*400*1600</v>
          </cell>
          <cell r="C114">
            <v>0</v>
          </cell>
          <cell r="D114">
            <v>0</v>
          </cell>
          <cell r="G114">
            <v>17</v>
          </cell>
        </row>
        <row r="115">
          <cell r="A115">
            <v>302060002</v>
          </cell>
          <cell r="B115" t="str">
            <v>顶板=1，固定层=1      活动层板=2底板=1配件包</v>
          </cell>
          <cell r="C115" t="str">
            <v>灰橡/暖白</v>
          </cell>
          <cell r="D115">
            <v>1</v>
          </cell>
          <cell r="E115" t="str">
            <v>包</v>
          </cell>
          <cell r="F115" t="str">
            <v>4-1</v>
          </cell>
          <cell r="G115">
            <v>20</v>
          </cell>
        </row>
        <row r="116">
          <cell r="A116">
            <v>302060003</v>
          </cell>
          <cell r="B116" t="str">
            <v>背板=1，侧板=2，      掩门板=2</v>
          </cell>
          <cell r="C116" t="str">
            <v>灰橡/暖白</v>
          </cell>
          <cell r="D116">
            <v>1</v>
          </cell>
          <cell r="E116" t="str">
            <v>包</v>
          </cell>
          <cell r="F116" t="str">
            <v>4-2</v>
          </cell>
          <cell r="G116">
            <v>40</v>
          </cell>
        </row>
        <row r="117">
          <cell r="A117">
            <v>302060004</v>
          </cell>
          <cell r="B117" t="str">
            <v>斜边铝门=2</v>
          </cell>
          <cell r="C117" t="str">
            <v>砂白</v>
          </cell>
          <cell r="D117">
            <v>1</v>
          </cell>
          <cell r="E117" t="str">
            <v>包</v>
          </cell>
          <cell r="F117" t="str">
            <v>4-3</v>
          </cell>
          <cell r="G117">
            <v>40</v>
          </cell>
        </row>
        <row r="118">
          <cell r="A118">
            <v>302070001</v>
          </cell>
          <cell r="B118" t="str">
            <v>欧典长几1200*600*420</v>
          </cell>
          <cell r="C118">
            <v>0</v>
          </cell>
          <cell r="D118">
            <v>0</v>
          </cell>
          <cell r="G118">
            <v>0</v>
          </cell>
        </row>
        <row r="119">
          <cell r="A119">
            <v>302070002</v>
          </cell>
          <cell r="B119" t="str">
            <v>面板</v>
          </cell>
          <cell r="C119" t="str">
            <v>OF-1779灰橡木浮雕</v>
          </cell>
          <cell r="D119">
            <v>1</v>
          </cell>
          <cell r="E119" t="str">
            <v>包</v>
          </cell>
          <cell r="F119" t="str">
            <v>3-1</v>
          </cell>
          <cell r="G119">
            <v>0</v>
          </cell>
        </row>
        <row r="120">
          <cell r="A120">
            <v>302070003</v>
          </cell>
          <cell r="B120" t="str">
            <v>钢脚</v>
          </cell>
          <cell r="C120" t="str">
            <v>砂白钢脚</v>
          </cell>
          <cell r="D120">
            <v>1</v>
          </cell>
          <cell r="E120" t="str">
            <v>包</v>
          </cell>
          <cell r="F120" t="str">
            <v>3-2</v>
          </cell>
          <cell r="G120">
            <v>20</v>
          </cell>
        </row>
        <row r="121">
          <cell r="A121">
            <v>302070004</v>
          </cell>
          <cell r="B121" t="str">
            <v>拉杆</v>
          </cell>
          <cell r="C121" t="str">
            <v>砂白钢脚</v>
          </cell>
          <cell r="D121">
            <v>1</v>
          </cell>
          <cell r="E121" t="str">
            <v>包</v>
          </cell>
          <cell r="F121" t="str">
            <v>3-3</v>
          </cell>
          <cell r="G121">
            <v>20</v>
          </cell>
        </row>
        <row r="122">
          <cell r="A122">
            <v>302080001</v>
          </cell>
          <cell r="B122" t="str">
            <v>欧典方几600*600*420</v>
          </cell>
          <cell r="C122">
            <v>0</v>
          </cell>
          <cell r="D122">
            <v>0</v>
          </cell>
          <cell r="G122">
            <v>0</v>
          </cell>
        </row>
        <row r="123">
          <cell r="A123">
            <v>302080002</v>
          </cell>
          <cell r="B123" t="str">
            <v>面板</v>
          </cell>
          <cell r="C123" t="str">
            <v>OF-1779灰橡木浮雕</v>
          </cell>
          <cell r="D123">
            <v>1</v>
          </cell>
          <cell r="E123" t="str">
            <v>包</v>
          </cell>
          <cell r="F123" t="str">
            <v>3-1</v>
          </cell>
          <cell r="G123">
            <v>0</v>
          </cell>
        </row>
        <row r="124">
          <cell r="A124">
            <v>302080003</v>
          </cell>
          <cell r="B124" t="str">
            <v>钢脚</v>
          </cell>
          <cell r="C124" t="str">
            <v>砂白钢脚</v>
          </cell>
          <cell r="D124">
            <v>1</v>
          </cell>
          <cell r="E124" t="str">
            <v>包</v>
          </cell>
          <cell r="F124" t="str">
            <v>3-2</v>
          </cell>
          <cell r="G124">
            <v>20</v>
          </cell>
        </row>
        <row r="125">
          <cell r="A125">
            <v>302080004</v>
          </cell>
          <cell r="B125" t="str">
            <v>/拉杆</v>
          </cell>
          <cell r="C125" t="str">
            <v>砂白钢脚</v>
          </cell>
          <cell r="D125">
            <v>1</v>
          </cell>
          <cell r="E125" t="str">
            <v>包</v>
          </cell>
          <cell r="F125" t="str">
            <v>3-3</v>
          </cell>
          <cell r="G125">
            <v>20</v>
          </cell>
        </row>
        <row r="126">
          <cell r="A126">
            <v>302090001</v>
          </cell>
          <cell r="B126" t="str">
            <v>欧典文件柜800*400*1600</v>
          </cell>
          <cell r="C126">
            <v>0</v>
          </cell>
          <cell r="D126">
            <v>0</v>
          </cell>
          <cell r="G126">
            <v>21</v>
          </cell>
        </row>
        <row r="127">
          <cell r="A127">
            <v>302090002</v>
          </cell>
          <cell r="B127" t="str">
            <v>顶板=1，固定层=1      活动层板=3</v>
          </cell>
          <cell r="C127" t="str">
            <v>灰橡/暖白</v>
          </cell>
          <cell r="D127">
            <v>1</v>
          </cell>
          <cell r="E127" t="str">
            <v>包</v>
          </cell>
          <cell r="F127" t="str">
            <v>3-1</v>
          </cell>
          <cell r="G127">
            <v>20</v>
          </cell>
        </row>
        <row r="128">
          <cell r="A128">
            <v>302090003</v>
          </cell>
          <cell r="B128" t="str">
            <v>背板=1，侧板=2，      掩门板=2</v>
          </cell>
          <cell r="C128" t="str">
            <v>灰橡/暖白</v>
          </cell>
          <cell r="D128">
            <v>1</v>
          </cell>
          <cell r="E128" t="str">
            <v>包</v>
          </cell>
          <cell r="F128" t="str">
            <v>3-2</v>
          </cell>
          <cell r="G128">
            <v>50</v>
          </cell>
        </row>
        <row r="129">
          <cell r="A129">
            <v>302110001</v>
          </cell>
          <cell r="B129" t="str">
            <v>欧典会议桌2200*1000*760</v>
          </cell>
          <cell r="C129">
            <v>0</v>
          </cell>
          <cell r="D129">
            <v>0</v>
          </cell>
          <cell r="G129">
            <v>0</v>
          </cell>
        </row>
        <row r="130">
          <cell r="A130">
            <v>302110002</v>
          </cell>
          <cell r="B130" t="str">
            <v>台面板=1</v>
          </cell>
          <cell r="C130" t="str">
            <v>灰橡/浮雕</v>
          </cell>
          <cell r="D130">
            <v>1</v>
          </cell>
          <cell r="E130" t="str">
            <v>包</v>
          </cell>
          <cell r="F130" t="str">
            <v>3-1</v>
          </cell>
          <cell r="G130">
            <v>0</v>
          </cell>
        </row>
        <row r="131">
          <cell r="A131">
            <v>302110003</v>
          </cell>
          <cell r="B131" t="str">
            <v>欧典钢脚=2</v>
          </cell>
          <cell r="C131" t="str">
            <v>砂白</v>
          </cell>
          <cell r="D131">
            <v>1</v>
          </cell>
          <cell r="E131" t="str">
            <v>包</v>
          </cell>
          <cell r="F131" t="str">
            <v>3-2</v>
          </cell>
          <cell r="G131">
            <v>50</v>
          </cell>
        </row>
        <row r="132">
          <cell r="A132">
            <v>302110004</v>
          </cell>
          <cell r="B132" t="str">
            <v>欧典拉杆=2</v>
          </cell>
          <cell r="C132" t="str">
            <v>砂白</v>
          </cell>
          <cell r="D132">
            <v>1</v>
          </cell>
          <cell r="E132" t="str">
            <v>包</v>
          </cell>
          <cell r="F132" t="str">
            <v>3-3</v>
          </cell>
          <cell r="G132">
            <v>50</v>
          </cell>
        </row>
        <row r="133">
          <cell r="A133">
            <v>303010001</v>
          </cell>
          <cell r="B133" t="str">
            <v>梵高主管桌2100*1000*76</v>
          </cell>
          <cell r="C133">
            <v>0</v>
          </cell>
          <cell r="D133">
            <v>0</v>
          </cell>
          <cell r="G133">
            <v>0</v>
          </cell>
        </row>
        <row r="134">
          <cell r="A134">
            <v>303010002</v>
          </cell>
          <cell r="B134" t="str">
            <v xml:space="preserve">主台面板=1 挡板=1挡板夹=2   </v>
          </cell>
          <cell r="C134" t="str">
            <v>梨木浮雕</v>
          </cell>
          <cell r="D134">
            <v>1</v>
          </cell>
          <cell r="E134" t="str">
            <v>包</v>
          </cell>
          <cell r="F134" t="str">
            <v>5-1</v>
          </cell>
          <cell r="G134">
            <v>0</v>
          </cell>
        </row>
        <row r="135">
          <cell r="A135">
            <v>303010003</v>
          </cell>
          <cell r="B135" t="str">
            <v>附件台面板=1 平铁=2</v>
          </cell>
          <cell r="C135" t="str">
            <v>梨木浮雕</v>
          </cell>
          <cell r="D135">
            <v>1</v>
          </cell>
          <cell r="E135" t="str">
            <v>包</v>
          </cell>
          <cell r="F135" t="str">
            <v>5-2</v>
          </cell>
          <cell r="G135">
            <v>0</v>
          </cell>
        </row>
        <row r="136">
          <cell r="A136">
            <v>303010004</v>
          </cell>
          <cell r="B136" t="str">
            <v xml:space="preserve">梵高边脚=2 钢制走线槽C/U单=1     </v>
          </cell>
          <cell r="C136" t="str">
            <v>碳灰</v>
          </cell>
          <cell r="D136">
            <v>1</v>
          </cell>
          <cell r="E136" t="str">
            <v>包</v>
          </cell>
          <cell r="F136" t="str">
            <v>5-3</v>
          </cell>
          <cell r="G136">
            <v>0</v>
          </cell>
        </row>
        <row r="137">
          <cell r="A137">
            <v>303010005</v>
          </cell>
          <cell r="B137" t="str">
            <v>梵高横杆A=2</v>
          </cell>
          <cell r="C137" t="str">
            <v>碳灰</v>
          </cell>
          <cell r="D137">
            <v>1</v>
          </cell>
          <cell r="E137" t="str">
            <v>包</v>
          </cell>
          <cell r="F137" t="str">
            <v>5-4</v>
          </cell>
          <cell r="G137">
            <v>0</v>
          </cell>
        </row>
        <row r="138">
          <cell r="A138">
            <v>303010006</v>
          </cell>
          <cell r="B138" t="str">
            <v>固定柜=1（430*510*765）</v>
          </cell>
          <cell r="C138" t="str">
            <v>梨木/铁灰</v>
          </cell>
          <cell r="D138">
            <v>1</v>
          </cell>
          <cell r="E138" t="str">
            <v>个</v>
          </cell>
          <cell r="F138" t="str">
            <v>5-5</v>
          </cell>
          <cell r="G138">
            <v>0</v>
          </cell>
        </row>
        <row r="139">
          <cell r="A139">
            <v>303010007</v>
          </cell>
          <cell r="B139" t="str">
            <v>主机架=1 （可选）</v>
          </cell>
          <cell r="C139" t="str">
            <v>梨木/碳灰</v>
          </cell>
          <cell r="D139">
            <v>1</v>
          </cell>
          <cell r="E139" t="str">
            <v>包</v>
          </cell>
          <cell r="F139" t="str">
            <v>6-6</v>
          </cell>
          <cell r="G139">
            <v>0</v>
          </cell>
        </row>
        <row r="140">
          <cell r="A140">
            <v>303030001</v>
          </cell>
          <cell r="B140" t="str">
            <v>梵高十字四人位2800*2800*760</v>
          </cell>
          <cell r="C140">
            <v>0</v>
          </cell>
          <cell r="D140">
            <v>0</v>
          </cell>
          <cell r="G140">
            <v>0</v>
          </cell>
        </row>
        <row r="141">
          <cell r="A141">
            <v>303030003</v>
          </cell>
          <cell r="B141" t="str">
            <v>附台=4</v>
          </cell>
          <cell r="C141" t="str">
            <v>枫木</v>
          </cell>
          <cell r="D141">
            <v>1</v>
          </cell>
          <cell r="E141" t="str">
            <v>包</v>
          </cell>
          <cell r="F141" t="str">
            <v>11-3</v>
          </cell>
          <cell r="G141">
            <v>0</v>
          </cell>
        </row>
        <row r="142">
          <cell r="A142">
            <v>303030005</v>
          </cell>
          <cell r="B142" t="str">
            <v>梵高边脚=2 钢制走线槽B=2  梵高中脚=1</v>
          </cell>
          <cell r="C142" t="str">
            <v>碳灰</v>
          </cell>
          <cell r="D142">
            <v>1</v>
          </cell>
          <cell r="E142" t="str">
            <v>包</v>
          </cell>
          <cell r="F142" t="str">
            <v>11-5</v>
          </cell>
          <cell r="G142">
            <v>0</v>
          </cell>
        </row>
        <row r="143">
          <cell r="A143">
            <v>303030006</v>
          </cell>
          <cell r="B143" t="str">
            <v>地柜=1  左</v>
          </cell>
          <cell r="C143" t="str">
            <v>枫木/铁灰</v>
          </cell>
          <cell r="D143">
            <v>2</v>
          </cell>
          <cell r="E143" t="str">
            <v>包</v>
          </cell>
          <cell r="F143" t="str">
            <v>11-6,7</v>
          </cell>
          <cell r="G143">
            <v>0</v>
          </cell>
        </row>
        <row r="144">
          <cell r="A144">
            <v>303030007</v>
          </cell>
          <cell r="B144" t="str">
            <v>地柜=1 右</v>
          </cell>
          <cell r="C144" t="str">
            <v>枫木/铁灰</v>
          </cell>
          <cell r="D144">
            <v>2</v>
          </cell>
          <cell r="E144" t="str">
            <v>包</v>
          </cell>
          <cell r="F144" t="str">
            <v>11-8,9</v>
          </cell>
          <cell r="G144">
            <v>0</v>
          </cell>
        </row>
        <row r="145">
          <cell r="A145">
            <v>303040005</v>
          </cell>
          <cell r="B145" t="str">
            <v>屏风板=2</v>
          </cell>
          <cell r="C145" t="str">
            <v>铁灰</v>
          </cell>
          <cell r="D145">
            <v>1</v>
          </cell>
          <cell r="E145" t="str">
            <v>包</v>
          </cell>
          <cell r="F145" t="str">
            <v>10-7</v>
          </cell>
          <cell r="G145">
            <v>0</v>
          </cell>
        </row>
        <row r="146">
          <cell r="A146">
            <v>303040008</v>
          </cell>
          <cell r="B146" t="str">
            <v>梵高直型四人位2800*1400*760</v>
          </cell>
          <cell r="C146">
            <v>0</v>
          </cell>
          <cell r="D146">
            <v>0</v>
          </cell>
          <cell r="G146">
            <v>0</v>
          </cell>
        </row>
        <row r="147">
          <cell r="A147">
            <v>303060001</v>
          </cell>
          <cell r="B147" t="str">
            <v>梵高文件柜900*420*1980</v>
          </cell>
          <cell r="C147">
            <v>0</v>
          </cell>
          <cell r="D147">
            <v>0</v>
          </cell>
          <cell r="G147">
            <v>0</v>
          </cell>
        </row>
        <row r="148">
          <cell r="A148">
            <v>303060002</v>
          </cell>
          <cell r="B148" t="str">
            <v>顶板=1 固定层板=1      活动层板=3 底板=1 配件包</v>
          </cell>
          <cell r="C148" t="str">
            <v>梨木浮雕</v>
          </cell>
          <cell r="D148">
            <v>1</v>
          </cell>
          <cell r="E148" t="str">
            <v>包</v>
          </cell>
          <cell r="F148" t="str">
            <v>3-1</v>
          </cell>
          <cell r="G148">
            <v>0</v>
          </cell>
        </row>
        <row r="149">
          <cell r="A149">
            <v>303060003</v>
          </cell>
          <cell r="B149" t="str">
            <v>背板=3  下掩门板=2      侧板=2        脚裙=1</v>
          </cell>
          <cell r="C149" t="str">
            <v>梨木浮雕</v>
          </cell>
          <cell r="D149">
            <v>1</v>
          </cell>
          <cell r="E149" t="str">
            <v>包</v>
          </cell>
          <cell r="F149" t="str">
            <v>3-2</v>
          </cell>
          <cell r="G149">
            <v>0</v>
          </cell>
        </row>
        <row r="150">
          <cell r="A150">
            <v>303060004</v>
          </cell>
          <cell r="B150" t="str">
            <v>斜边铝门=2</v>
          </cell>
          <cell r="C150" t="str">
            <v>碳灰</v>
          </cell>
          <cell r="D150">
            <v>1</v>
          </cell>
          <cell r="E150" t="str">
            <v>包</v>
          </cell>
          <cell r="F150" t="str">
            <v>3-3</v>
          </cell>
          <cell r="G150">
            <v>0</v>
          </cell>
        </row>
        <row r="151">
          <cell r="A151">
            <v>303070001</v>
          </cell>
          <cell r="B151" t="str">
            <v>梵高长茶几1200*600*42</v>
          </cell>
          <cell r="C151">
            <v>0</v>
          </cell>
          <cell r="D151">
            <v>0</v>
          </cell>
          <cell r="G151">
            <v>0</v>
          </cell>
        </row>
        <row r="152">
          <cell r="A152">
            <v>303070002</v>
          </cell>
          <cell r="B152" t="str">
            <v>茶几面板=1</v>
          </cell>
          <cell r="C152" t="str">
            <v>梨木</v>
          </cell>
          <cell r="D152">
            <v>1</v>
          </cell>
          <cell r="E152" t="str">
            <v>包</v>
          </cell>
          <cell r="F152" t="str">
            <v>3-1</v>
          </cell>
          <cell r="G152">
            <v>0</v>
          </cell>
        </row>
        <row r="153">
          <cell r="A153">
            <v>303070003</v>
          </cell>
          <cell r="B153" t="str">
            <v>梵高茶几钢脚=2</v>
          </cell>
          <cell r="C153" t="str">
            <v>碳灰</v>
          </cell>
          <cell r="D153">
            <v>1</v>
          </cell>
          <cell r="E153" t="str">
            <v>包</v>
          </cell>
          <cell r="F153" t="str">
            <v>3-2</v>
          </cell>
          <cell r="G153">
            <v>30</v>
          </cell>
        </row>
        <row r="154">
          <cell r="A154">
            <v>303070004</v>
          </cell>
          <cell r="B154" t="str">
            <v>梵高横杆A=2</v>
          </cell>
          <cell r="C154" t="str">
            <v>碳灰</v>
          </cell>
          <cell r="D154">
            <v>1</v>
          </cell>
          <cell r="E154" t="str">
            <v>包</v>
          </cell>
          <cell r="F154" t="str">
            <v>3-3</v>
          </cell>
          <cell r="G154">
            <v>30</v>
          </cell>
        </row>
        <row r="155">
          <cell r="A155">
            <v>303080001</v>
          </cell>
          <cell r="B155" t="str">
            <v>梵高方几600*600*420</v>
          </cell>
          <cell r="C155">
            <v>0</v>
          </cell>
          <cell r="D155">
            <v>0</v>
          </cell>
          <cell r="G155">
            <v>0</v>
          </cell>
        </row>
        <row r="156">
          <cell r="A156">
            <v>303080002</v>
          </cell>
          <cell r="B156" t="str">
            <v>茶几面板=1</v>
          </cell>
          <cell r="C156" t="str">
            <v>梨木</v>
          </cell>
          <cell r="D156">
            <v>1</v>
          </cell>
          <cell r="E156" t="str">
            <v>包</v>
          </cell>
          <cell r="F156" t="str">
            <v>3-1</v>
          </cell>
          <cell r="G156">
            <v>0</v>
          </cell>
        </row>
        <row r="157">
          <cell r="A157">
            <v>303080003</v>
          </cell>
          <cell r="B157" t="str">
            <v xml:space="preserve">梵高茶几钢脚=2         </v>
          </cell>
          <cell r="C157" t="str">
            <v>碳灰</v>
          </cell>
          <cell r="D157">
            <v>1</v>
          </cell>
          <cell r="E157" t="str">
            <v>包</v>
          </cell>
          <cell r="F157" t="str">
            <v>3-2</v>
          </cell>
          <cell r="G157">
            <v>0</v>
          </cell>
        </row>
        <row r="158">
          <cell r="A158">
            <v>303080004</v>
          </cell>
          <cell r="B158" t="str">
            <v>梵高横杆A=2</v>
          </cell>
          <cell r="C158" t="str">
            <v>碳灰</v>
          </cell>
          <cell r="D158">
            <v>1</v>
          </cell>
          <cell r="E158" t="str">
            <v>包</v>
          </cell>
          <cell r="F158" t="str">
            <v>3-3</v>
          </cell>
          <cell r="G158">
            <v>0</v>
          </cell>
        </row>
        <row r="159">
          <cell r="A159">
            <v>303090001</v>
          </cell>
          <cell r="B159" t="str">
            <v>梵高文件柜900*420*1980</v>
          </cell>
          <cell r="C159">
            <v>0</v>
          </cell>
          <cell r="D159">
            <v>0</v>
          </cell>
          <cell r="G159">
            <v>0</v>
          </cell>
        </row>
        <row r="160">
          <cell r="A160">
            <v>303090002</v>
          </cell>
          <cell r="B160" t="str">
            <v>顶板=1 固定层板=1      活动层板=3  底板=1配件包</v>
          </cell>
          <cell r="C160" t="str">
            <v>梨木/浮雕</v>
          </cell>
          <cell r="D160">
            <v>1</v>
          </cell>
          <cell r="E160" t="str">
            <v>包</v>
          </cell>
          <cell r="F160" t="str">
            <v>2-1</v>
          </cell>
          <cell r="G160">
            <v>0</v>
          </cell>
        </row>
        <row r="161">
          <cell r="A161">
            <v>303090003</v>
          </cell>
          <cell r="B161" t="str">
            <v xml:space="preserve">背板=1 上掩门板=2      侧板=2  脚裙=1         下掩门板=2     </v>
          </cell>
          <cell r="C161" t="str">
            <v>梨木/浮雕</v>
          </cell>
          <cell r="D161">
            <v>1</v>
          </cell>
          <cell r="E161" t="str">
            <v>包</v>
          </cell>
          <cell r="F161" t="str">
            <v>2-2</v>
          </cell>
          <cell r="G161">
            <v>0</v>
          </cell>
        </row>
        <row r="162">
          <cell r="A162">
            <v>303100001</v>
          </cell>
          <cell r="B162" t="str">
            <v>梵高洽谈桌1000*750</v>
          </cell>
          <cell r="C162">
            <v>0</v>
          </cell>
          <cell r="D162">
            <v>0</v>
          </cell>
          <cell r="G162">
            <v>0</v>
          </cell>
        </row>
        <row r="163">
          <cell r="A163">
            <v>303100002</v>
          </cell>
          <cell r="B163" t="str">
            <v>台面板=1</v>
          </cell>
          <cell r="C163" t="str">
            <v>梨木</v>
          </cell>
          <cell r="D163">
            <v>1</v>
          </cell>
          <cell r="E163" t="str">
            <v>包</v>
          </cell>
          <cell r="F163" t="str">
            <v>2-1</v>
          </cell>
          <cell r="G163">
            <v>0</v>
          </cell>
        </row>
        <row r="164">
          <cell r="A164">
            <v>303100003</v>
          </cell>
          <cell r="B164" t="str">
            <v>圆盘脚=1</v>
          </cell>
          <cell r="C164" t="str">
            <v>碳灰</v>
          </cell>
          <cell r="D164">
            <v>1</v>
          </cell>
          <cell r="E164" t="str">
            <v>包</v>
          </cell>
          <cell r="F164" t="str">
            <v>2-2</v>
          </cell>
          <cell r="G164">
            <v>0</v>
          </cell>
        </row>
        <row r="165">
          <cell r="A165">
            <v>303100004</v>
          </cell>
          <cell r="B165" t="str">
            <v>梵高洽谈桌800*750</v>
          </cell>
          <cell r="C165">
            <v>0</v>
          </cell>
          <cell r="D165">
            <v>0</v>
          </cell>
          <cell r="G165">
            <v>0</v>
          </cell>
        </row>
        <row r="166">
          <cell r="A166">
            <v>303100005</v>
          </cell>
          <cell r="B166" t="str">
            <v>台面板=1</v>
          </cell>
          <cell r="C166" t="str">
            <v>梨木</v>
          </cell>
          <cell r="D166">
            <v>1</v>
          </cell>
          <cell r="E166" t="str">
            <v>包</v>
          </cell>
          <cell r="F166" t="str">
            <v>2-1</v>
          </cell>
          <cell r="G166">
            <v>0</v>
          </cell>
        </row>
        <row r="167">
          <cell r="A167">
            <v>303100006</v>
          </cell>
          <cell r="B167" t="str">
            <v>圆盘脚=1</v>
          </cell>
          <cell r="C167" t="str">
            <v>碳灰</v>
          </cell>
          <cell r="D167">
            <v>1</v>
          </cell>
          <cell r="E167" t="str">
            <v>包</v>
          </cell>
          <cell r="F167" t="str">
            <v>2-2</v>
          </cell>
          <cell r="G167">
            <v>0</v>
          </cell>
        </row>
        <row r="168">
          <cell r="A168">
            <v>303110001</v>
          </cell>
          <cell r="B168" t="str">
            <v xml:space="preserve">旧线盒梵高会议桌3200*1200*760 </v>
          </cell>
          <cell r="C168">
            <v>0</v>
          </cell>
          <cell r="D168">
            <v>0</v>
          </cell>
          <cell r="G168">
            <v>0</v>
          </cell>
        </row>
        <row r="169">
          <cell r="A169">
            <v>303110002</v>
          </cell>
          <cell r="B169" t="str">
            <v>台面板=2</v>
          </cell>
          <cell r="C169" t="str">
            <v>梨木浮雕</v>
          </cell>
          <cell r="D169">
            <v>1</v>
          </cell>
          <cell r="E169" t="str">
            <v>包</v>
          </cell>
          <cell r="F169" t="str">
            <v>4-1</v>
          </cell>
          <cell r="G169">
            <v>0</v>
          </cell>
        </row>
        <row r="170">
          <cell r="A170">
            <v>303110003</v>
          </cell>
          <cell r="B170" t="str">
            <v>装饰板=1 平铁=2</v>
          </cell>
          <cell r="C170">
            <v>0</v>
          </cell>
          <cell r="D170">
            <v>1</v>
          </cell>
          <cell r="E170" t="str">
            <v>包</v>
          </cell>
          <cell r="F170" t="str">
            <v>4-2</v>
          </cell>
          <cell r="G170">
            <v>0</v>
          </cell>
        </row>
        <row r="171">
          <cell r="A171">
            <v>303110004</v>
          </cell>
          <cell r="B171" t="str">
            <v>梵高边脚=2 梵高中脚=1  配件包</v>
          </cell>
          <cell r="C171" t="str">
            <v>碳灰</v>
          </cell>
          <cell r="D171">
            <v>1</v>
          </cell>
          <cell r="E171" t="str">
            <v>包</v>
          </cell>
          <cell r="F171" t="str">
            <v>4-3</v>
          </cell>
          <cell r="G171">
            <v>0</v>
          </cell>
        </row>
        <row r="172">
          <cell r="A172">
            <v>303110005</v>
          </cell>
          <cell r="B172" t="str">
            <v>梵高横杆B=4</v>
          </cell>
          <cell r="C172" t="str">
            <v>碳灰</v>
          </cell>
          <cell r="D172">
            <v>1</v>
          </cell>
          <cell r="E172" t="str">
            <v>包</v>
          </cell>
          <cell r="F172" t="str">
            <v>4-4</v>
          </cell>
          <cell r="G172">
            <v>0</v>
          </cell>
        </row>
        <row r="173">
          <cell r="A173">
            <v>304010001</v>
          </cell>
          <cell r="B173" t="str">
            <v>欧尚主管桌1800*1600*760</v>
          </cell>
          <cell r="C173">
            <v>0</v>
          </cell>
          <cell r="D173">
            <v>0</v>
          </cell>
          <cell r="G173">
            <v>0</v>
          </cell>
        </row>
        <row r="174">
          <cell r="A174">
            <v>304010002</v>
          </cell>
          <cell r="B174" t="str">
            <v>主台面板=1 挡板=1    旧线盒</v>
          </cell>
          <cell r="C174" t="str">
            <v>OF-KA1206橡木浮雕MFC</v>
          </cell>
          <cell r="D174">
            <v>1</v>
          </cell>
          <cell r="E174" t="str">
            <v>包</v>
          </cell>
          <cell r="F174" t="str">
            <v>5-1</v>
          </cell>
          <cell r="G174">
            <v>0</v>
          </cell>
        </row>
        <row r="175">
          <cell r="A175">
            <v>304010003</v>
          </cell>
          <cell r="B175" t="str">
            <v>附台面板=1</v>
          </cell>
          <cell r="C175" t="str">
            <v>OF-KA1206橡木浮雕MFC</v>
          </cell>
          <cell r="D175">
            <v>1</v>
          </cell>
          <cell r="E175" t="str">
            <v>包</v>
          </cell>
          <cell r="F175" t="str">
            <v>5-2</v>
          </cell>
          <cell r="G175">
            <v>0</v>
          </cell>
        </row>
        <row r="176">
          <cell r="A176">
            <v>304010004</v>
          </cell>
          <cell r="B176" t="str">
            <v>欧尚钢脚A=2/线槽=1</v>
          </cell>
          <cell r="C176" t="str">
            <v>纯白色</v>
          </cell>
          <cell r="D176">
            <v>1</v>
          </cell>
          <cell r="E176" t="str">
            <v>包</v>
          </cell>
          <cell r="F176" t="str">
            <v>5-3</v>
          </cell>
          <cell r="G176">
            <v>0</v>
          </cell>
        </row>
        <row r="177">
          <cell r="A177">
            <v>304010005</v>
          </cell>
          <cell r="B177" t="str">
            <v>欧尚横杆=2</v>
          </cell>
          <cell r="C177" t="str">
            <v>纯白色</v>
          </cell>
          <cell r="D177">
            <v>1</v>
          </cell>
          <cell r="E177" t="str">
            <v>包</v>
          </cell>
          <cell r="F177" t="str">
            <v>5-4</v>
          </cell>
          <cell r="G177">
            <v>0</v>
          </cell>
        </row>
        <row r="178">
          <cell r="A178">
            <v>304010006</v>
          </cell>
          <cell r="B178" t="str">
            <v>固定柜=1             （430*510*765)</v>
          </cell>
          <cell r="C178" t="str">
            <v>橡木/暖白</v>
          </cell>
          <cell r="D178">
            <v>1</v>
          </cell>
          <cell r="E178" t="str">
            <v>包</v>
          </cell>
          <cell r="F178" t="str">
            <v>5-5</v>
          </cell>
          <cell r="G178">
            <v>0</v>
          </cell>
        </row>
        <row r="179">
          <cell r="A179">
            <v>304010007</v>
          </cell>
          <cell r="B179" t="str">
            <v>主机架（可选）</v>
          </cell>
          <cell r="C179" t="str">
            <v>橡木/纯白</v>
          </cell>
          <cell r="D179">
            <v>1</v>
          </cell>
          <cell r="E179" t="str">
            <v>包</v>
          </cell>
          <cell r="F179" t="str">
            <v>6-6</v>
          </cell>
          <cell r="G179">
            <v>0</v>
          </cell>
        </row>
        <row r="180">
          <cell r="A180">
            <v>304040001</v>
          </cell>
          <cell r="B180" t="str">
            <v>欧尚四人位2400*1200*760</v>
          </cell>
          <cell r="C180">
            <v>0</v>
          </cell>
          <cell r="D180">
            <v>0</v>
          </cell>
          <cell r="G180">
            <v>0</v>
          </cell>
        </row>
        <row r="181">
          <cell r="A181">
            <v>304040002</v>
          </cell>
          <cell r="B181" t="str">
            <v>主台面板=2</v>
          </cell>
          <cell r="C181" t="str">
            <v>OF-T22枫木</v>
          </cell>
          <cell r="D181">
            <v>2</v>
          </cell>
          <cell r="E181" t="str">
            <v>包</v>
          </cell>
          <cell r="F181" t="str">
            <v>10-1,2</v>
          </cell>
          <cell r="G181">
            <v>0</v>
          </cell>
        </row>
        <row r="182">
          <cell r="A182">
            <v>304040003</v>
          </cell>
          <cell r="B182" t="str">
            <v>钢脚=3 走线槽=2</v>
          </cell>
          <cell r="C182" t="str">
            <v>银白</v>
          </cell>
          <cell r="D182">
            <v>1</v>
          </cell>
          <cell r="E182" t="str">
            <v>包</v>
          </cell>
          <cell r="F182" t="str">
            <v>10-7</v>
          </cell>
          <cell r="G182">
            <v>0</v>
          </cell>
        </row>
        <row r="183">
          <cell r="A183">
            <v>304040004</v>
          </cell>
          <cell r="B183" t="str">
            <v xml:space="preserve">拉杆=3  </v>
          </cell>
          <cell r="C183" t="str">
            <v>银白</v>
          </cell>
          <cell r="D183">
            <v>1</v>
          </cell>
          <cell r="E183" t="str">
            <v>包</v>
          </cell>
          <cell r="F183" t="str">
            <v>10-8</v>
          </cell>
          <cell r="G183">
            <v>0</v>
          </cell>
        </row>
        <row r="184">
          <cell r="A184">
            <v>304040005</v>
          </cell>
          <cell r="B184" t="str">
            <v>功能梁=1</v>
          </cell>
          <cell r="C184">
            <v>0</v>
          </cell>
          <cell r="D184">
            <v>1</v>
          </cell>
          <cell r="E184" t="str">
            <v>包</v>
          </cell>
          <cell r="F184" t="str">
            <v>10-10</v>
          </cell>
          <cell r="G184">
            <v>0</v>
          </cell>
        </row>
        <row r="185">
          <cell r="A185">
            <v>304040006</v>
          </cell>
          <cell r="B185" t="str">
            <v>桌上屏风=2</v>
          </cell>
          <cell r="C185" t="str">
            <v xml:space="preserve">  果绿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D185">
            <v>1</v>
          </cell>
          <cell r="E185" t="str">
            <v>包</v>
          </cell>
          <cell r="F185" t="str">
            <v>10-9</v>
          </cell>
          <cell r="G185">
            <v>0</v>
          </cell>
        </row>
        <row r="186">
          <cell r="A186">
            <v>304040007</v>
          </cell>
          <cell r="B186" t="str">
            <v>活动柜（420*520*640）</v>
          </cell>
          <cell r="C186" t="str">
            <v>枫木/暖白</v>
          </cell>
          <cell r="D186">
            <v>4</v>
          </cell>
          <cell r="E186" t="str">
            <v>包</v>
          </cell>
          <cell r="F186" t="str">
            <v>11-3.4.5.6</v>
          </cell>
          <cell r="G186">
            <v>0</v>
          </cell>
        </row>
        <row r="187">
          <cell r="A187">
            <v>304040008</v>
          </cell>
          <cell r="B187" t="str">
            <v>主机架=4（可选）</v>
          </cell>
          <cell r="C187" t="str">
            <v>枫木/纯白</v>
          </cell>
          <cell r="D187">
            <v>1</v>
          </cell>
          <cell r="E187" t="str">
            <v>包</v>
          </cell>
          <cell r="F187" t="str">
            <v>11-11</v>
          </cell>
          <cell r="G187">
            <v>0</v>
          </cell>
        </row>
        <row r="188">
          <cell r="A188">
            <v>304060001</v>
          </cell>
          <cell r="B188" t="str">
            <v xml:space="preserve">欧尚文件柜--B900*420*1980 </v>
          </cell>
          <cell r="C188">
            <v>0</v>
          </cell>
          <cell r="D188">
            <v>0</v>
          </cell>
          <cell r="G188">
            <v>0</v>
          </cell>
        </row>
        <row r="189">
          <cell r="A189">
            <v>304060002</v>
          </cell>
          <cell r="B189" t="str">
            <v>顶板=1 固定层板=1 活动层板=3底板=1配件包</v>
          </cell>
          <cell r="C189" t="str">
            <v>OF-KA1206</v>
          </cell>
          <cell r="D189">
            <v>1</v>
          </cell>
          <cell r="E189" t="str">
            <v>包</v>
          </cell>
          <cell r="F189" t="str">
            <v>3-1</v>
          </cell>
          <cell r="G189">
            <v>0</v>
          </cell>
        </row>
        <row r="190">
          <cell r="A190">
            <v>304060003</v>
          </cell>
          <cell r="B190" t="str">
            <v>背板=1 侧板=2 脚裙=1 下掩门板=2</v>
          </cell>
          <cell r="C190" t="str">
            <v>OF-KA1206</v>
          </cell>
          <cell r="D190">
            <v>1</v>
          </cell>
          <cell r="E190" t="str">
            <v>包</v>
          </cell>
          <cell r="F190" t="str">
            <v>3-2</v>
          </cell>
          <cell r="G190">
            <v>0</v>
          </cell>
        </row>
        <row r="191">
          <cell r="A191">
            <v>304060004</v>
          </cell>
          <cell r="B191" t="str">
            <v>斜边铝框门=2</v>
          </cell>
          <cell r="C191" t="str">
            <v>氧化</v>
          </cell>
          <cell r="D191">
            <v>1</v>
          </cell>
          <cell r="E191" t="str">
            <v>包</v>
          </cell>
          <cell r="F191" t="str">
            <v>3-3</v>
          </cell>
          <cell r="G191">
            <v>0</v>
          </cell>
        </row>
        <row r="192">
          <cell r="A192">
            <v>304070001</v>
          </cell>
          <cell r="B192" t="str">
            <v xml:space="preserve">欧尚长几1200*600*420 </v>
          </cell>
          <cell r="C192">
            <v>0</v>
          </cell>
          <cell r="D192">
            <v>0</v>
          </cell>
          <cell r="G192">
            <v>0</v>
          </cell>
        </row>
        <row r="193">
          <cell r="A193">
            <v>304070002</v>
          </cell>
          <cell r="B193" t="str">
            <v>茶几面板=1</v>
          </cell>
          <cell r="C193" t="str">
            <v>OF-T22枫木浮雕</v>
          </cell>
          <cell r="D193">
            <v>1</v>
          </cell>
          <cell r="E193" t="str">
            <v>包</v>
          </cell>
          <cell r="F193" t="str">
            <v>3-1</v>
          </cell>
          <cell r="G193">
            <v>0</v>
          </cell>
        </row>
        <row r="194">
          <cell r="A194">
            <v>304070003</v>
          </cell>
          <cell r="B194" t="str">
            <v>欧尚茶几脚=2</v>
          </cell>
          <cell r="C194" t="str">
            <v>纯白色</v>
          </cell>
          <cell r="D194">
            <v>1</v>
          </cell>
          <cell r="E194" t="str">
            <v>包</v>
          </cell>
          <cell r="F194" t="str">
            <v>3-2</v>
          </cell>
          <cell r="G194">
            <v>0</v>
          </cell>
        </row>
        <row r="195">
          <cell r="A195">
            <v>304070004</v>
          </cell>
          <cell r="B195" t="str">
            <v>欧尚横杆=2</v>
          </cell>
          <cell r="C195" t="str">
            <v>纯白色</v>
          </cell>
          <cell r="D195">
            <v>1</v>
          </cell>
          <cell r="E195" t="str">
            <v>包</v>
          </cell>
          <cell r="F195" t="str">
            <v>3-3</v>
          </cell>
          <cell r="G195">
            <v>0</v>
          </cell>
        </row>
        <row r="196">
          <cell r="A196">
            <v>304080001</v>
          </cell>
          <cell r="B196" t="str">
            <v>欧尚方几600*600*420</v>
          </cell>
          <cell r="C196">
            <v>0</v>
          </cell>
          <cell r="D196">
            <v>0</v>
          </cell>
          <cell r="G196">
            <v>0</v>
          </cell>
        </row>
        <row r="197">
          <cell r="A197">
            <v>304080002</v>
          </cell>
          <cell r="B197" t="str">
            <v>茶几面板=1</v>
          </cell>
          <cell r="C197" t="str">
            <v>OF-T22枫木浮雕</v>
          </cell>
          <cell r="D197">
            <v>1</v>
          </cell>
          <cell r="E197" t="str">
            <v>包</v>
          </cell>
          <cell r="F197" t="str">
            <v>3-1</v>
          </cell>
          <cell r="G197">
            <v>0</v>
          </cell>
        </row>
        <row r="198">
          <cell r="A198">
            <v>304080003</v>
          </cell>
          <cell r="B198" t="str">
            <v xml:space="preserve">欧尚茶几脚=2    </v>
          </cell>
          <cell r="C198" t="str">
            <v>纯白色</v>
          </cell>
          <cell r="D198">
            <v>1</v>
          </cell>
          <cell r="E198" t="str">
            <v>包</v>
          </cell>
          <cell r="F198" t="str">
            <v>3-2</v>
          </cell>
          <cell r="G198">
            <v>0</v>
          </cell>
        </row>
        <row r="199">
          <cell r="A199">
            <v>304080004</v>
          </cell>
          <cell r="B199" t="str">
            <v>欧尚横杆=2</v>
          </cell>
          <cell r="C199" t="str">
            <v>纯白色</v>
          </cell>
          <cell r="D199">
            <v>1</v>
          </cell>
          <cell r="E199" t="str">
            <v>包</v>
          </cell>
          <cell r="F199" t="str">
            <v>3-3</v>
          </cell>
          <cell r="G199">
            <v>0</v>
          </cell>
        </row>
        <row r="200">
          <cell r="A200">
            <v>304090001</v>
          </cell>
          <cell r="B200" t="str">
            <v>欧尚文件柜A900*420*1980</v>
          </cell>
          <cell r="C200">
            <v>0</v>
          </cell>
          <cell r="D200">
            <v>0</v>
          </cell>
          <cell r="G200">
            <v>0</v>
          </cell>
        </row>
        <row r="201">
          <cell r="A201">
            <v>304090002</v>
          </cell>
          <cell r="B201" t="str">
            <v>顶板=1 固定层板=1 活动层板=3底板=1/配件包</v>
          </cell>
          <cell r="C201" t="str">
            <v>OF-KA1206橡木浮雕</v>
          </cell>
          <cell r="D201">
            <v>1</v>
          </cell>
          <cell r="E201" t="str">
            <v>包</v>
          </cell>
          <cell r="F201" t="str">
            <v>2-1</v>
          </cell>
          <cell r="G201">
            <v>0</v>
          </cell>
        </row>
        <row r="202">
          <cell r="A202">
            <v>304090003</v>
          </cell>
          <cell r="B202" t="str">
            <v>背板=1 侧板=2 脚裙=1 下掩门板=2 上掩门板=2</v>
          </cell>
          <cell r="C202" t="str">
            <v>OF-KA1206橡木浮雕</v>
          </cell>
          <cell r="D202">
            <v>1</v>
          </cell>
          <cell r="E202" t="str">
            <v>包</v>
          </cell>
          <cell r="F202" t="str">
            <v>2-2</v>
          </cell>
          <cell r="G202">
            <v>0</v>
          </cell>
        </row>
        <row r="203">
          <cell r="A203">
            <v>304110001</v>
          </cell>
          <cell r="B203" t="str">
            <v>欧尚会议桌2000*1000*760</v>
          </cell>
          <cell r="C203">
            <v>0</v>
          </cell>
          <cell r="D203">
            <v>0</v>
          </cell>
          <cell r="G203">
            <v>0</v>
          </cell>
        </row>
        <row r="204">
          <cell r="A204">
            <v>304110002</v>
          </cell>
          <cell r="B204" t="str">
            <v>台面板=1</v>
          </cell>
          <cell r="C204" t="str">
            <v>OF-T22枫木浮雕</v>
          </cell>
          <cell r="D204">
            <v>1</v>
          </cell>
          <cell r="E204" t="str">
            <v>包</v>
          </cell>
          <cell r="F204" t="str">
            <v>3-1</v>
          </cell>
          <cell r="G204">
            <v>0</v>
          </cell>
        </row>
        <row r="205">
          <cell r="A205">
            <v>304110003</v>
          </cell>
          <cell r="B205" t="str">
            <v>欧尚钢脚A=2</v>
          </cell>
          <cell r="C205" t="str">
            <v>纯白色</v>
          </cell>
          <cell r="D205">
            <v>1</v>
          </cell>
          <cell r="E205" t="str">
            <v>包</v>
          </cell>
          <cell r="F205" t="str">
            <v>3-3</v>
          </cell>
          <cell r="G205">
            <v>0</v>
          </cell>
        </row>
        <row r="206">
          <cell r="A206">
            <v>304110004</v>
          </cell>
          <cell r="B206" t="str">
            <v>欧尚横杆=2</v>
          </cell>
          <cell r="C206" t="str">
            <v>纯白色</v>
          </cell>
          <cell r="D206">
            <v>1</v>
          </cell>
          <cell r="E206" t="str">
            <v>包</v>
          </cell>
          <cell r="F206" t="str">
            <v>3-3</v>
          </cell>
          <cell r="G206">
            <v>0</v>
          </cell>
        </row>
        <row r="207">
          <cell r="A207">
            <v>305010001</v>
          </cell>
          <cell r="B207" t="str">
            <v>旧新盒柱天下主管桌</v>
          </cell>
          <cell r="C207">
            <v>0</v>
          </cell>
          <cell r="D207">
            <v>0</v>
          </cell>
          <cell r="G207">
            <v>0</v>
          </cell>
        </row>
        <row r="208">
          <cell r="A208">
            <v>305010002</v>
          </cell>
          <cell r="B208" t="str">
            <v>主台面板=1、</v>
          </cell>
          <cell r="C208" t="str">
            <v>OF-0721S暖白浮雕MF</v>
          </cell>
          <cell r="D208">
            <v>1</v>
          </cell>
          <cell r="E208" t="str">
            <v>包</v>
          </cell>
          <cell r="F208" t="str">
            <v>6-1</v>
          </cell>
          <cell r="G208">
            <v>0</v>
          </cell>
        </row>
        <row r="209">
          <cell r="A209">
            <v>305010003</v>
          </cell>
          <cell r="B209" t="str">
            <v xml:space="preserve">附台面板=1，       异型面板=1  </v>
          </cell>
          <cell r="C209" t="str">
            <v>OF-0721S暖白浮雕MF</v>
          </cell>
          <cell r="D209">
            <v>1</v>
          </cell>
          <cell r="E209" t="str">
            <v>包</v>
          </cell>
          <cell r="F209" t="str">
            <v>6-2</v>
          </cell>
          <cell r="G209">
            <v>0</v>
          </cell>
        </row>
        <row r="210">
          <cell r="A210">
            <v>305010004</v>
          </cell>
          <cell r="B210" t="str">
            <v>D168梅花柱脚=4     托臂=8</v>
          </cell>
          <cell r="C210" t="str">
            <v>氧化+闪银</v>
          </cell>
          <cell r="D210">
            <v>1</v>
          </cell>
          <cell r="E210" t="str">
            <v>包</v>
          </cell>
          <cell r="F210" t="str">
            <v>6-4</v>
          </cell>
          <cell r="G210">
            <v>0</v>
          </cell>
        </row>
        <row r="211">
          <cell r="A211">
            <v>305010005</v>
          </cell>
          <cell r="B211" t="str">
            <v xml:space="preserve">钢制档板=1         </v>
          </cell>
          <cell r="C211" t="str">
            <v>闪银</v>
          </cell>
          <cell r="D211">
            <v>1</v>
          </cell>
          <cell r="E211" t="str">
            <v>包</v>
          </cell>
          <cell r="F211" t="str">
            <v>6-5</v>
          </cell>
          <cell r="G211">
            <v>0</v>
          </cell>
        </row>
        <row r="212">
          <cell r="A212">
            <v>305010006</v>
          </cell>
          <cell r="B212" t="str">
            <v>支撑钢架=1</v>
          </cell>
          <cell r="C212" t="str">
            <v>闪银</v>
          </cell>
          <cell r="D212" t="str">
            <v>1</v>
          </cell>
          <cell r="E212" t="str">
            <v>包</v>
          </cell>
          <cell r="F212" t="str">
            <v>6-6</v>
          </cell>
          <cell r="G212">
            <v>0</v>
          </cell>
        </row>
        <row r="213">
          <cell r="A213">
            <v>305010007</v>
          </cell>
          <cell r="B213" t="str">
            <v>主机架=1 （可选）</v>
          </cell>
          <cell r="C213" t="str">
            <v>暖白/闪银</v>
          </cell>
          <cell r="D213" t="str">
            <v>1</v>
          </cell>
          <cell r="E213" t="str">
            <v>包</v>
          </cell>
          <cell r="F213" t="str">
            <v>7-7</v>
          </cell>
          <cell r="G213">
            <v>0</v>
          </cell>
        </row>
        <row r="214">
          <cell r="A214">
            <v>305040001</v>
          </cell>
          <cell r="B214" t="str">
            <v xml:space="preserve">柱天下四人位 FLO-W1-2814  2800*1400*760 </v>
          </cell>
          <cell r="C214">
            <v>0</v>
          </cell>
          <cell r="D214">
            <v>0</v>
          </cell>
          <cell r="G214">
            <v>0</v>
          </cell>
        </row>
        <row r="215">
          <cell r="A215">
            <v>305040002</v>
          </cell>
          <cell r="B215" t="str">
            <v xml:space="preserve">台面板=4  </v>
          </cell>
          <cell r="C215" t="str">
            <v>OF-0722S暖白浮雕MF</v>
          </cell>
          <cell r="D215" t="str">
            <v>2</v>
          </cell>
          <cell r="E215" t="str">
            <v>包</v>
          </cell>
          <cell r="F215" t="str">
            <v>12-1,2</v>
          </cell>
          <cell r="G215">
            <v>0</v>
          </cell>
        </row>
        <row r="216">
          <cell r="A216">
            <v>305040003</v>
          </cell>
          <cell r="B216" t="str">
            <v>主机架=4（可选）</v>
          </cell>
          <cell r="C216" t="str">
            <v>暖白/闪银</v>
          </cell>
          <cell r="D216" t="str">
            <v>1</v>
          </cell>
          <cell r="E216" t="str">
            <v>包</v>
          </cell>
          <cell r="F216" t="str">
            <v>13-13</v>
          </cell>
          <cell r="G216">
            <v>0</v>
          </cell>
        </row>
        <row r="217">
          <cell r="A217">
            <v>305040004</v>
          </cell>
          <cell r="B217" t="str">
            <v>D168屏风A=2</v>
          </cell>
          <cell r="C217" t="str">
            <v>铁灰/树纹</v>
          </cell>
          <cell r="D217" t="str">
            <v>1</v>
          </cell>
          <cell r="E217" t="str">
            <v>包</v>
          </cell>
          <cell r="F217" t="str">
            <v>12-7</v>
          </cell>
          <cell r="G217">
            <v>0</v>
          </cell>
        </row>
        <row r="218">
          <cell r="A218">
            <v>305040005</v>
          </cell>
          <cell r="B218" t="str">
            <v>D168屏风B=2</v>
          </cell>
          <cell r="C218" t="str">
            <v>铁灰/树纹</v>
          </cell>
          <cell r="D218" t="str">
            <v>1</v>
          </cell>
          <cell r="E218" t="str">
            <v>包</v>
          </cell>
          <cell r="F218" t="str">
            <v>12-8</v>
          </cell>
          <cell r="G218">
            <v>0</v>
          </cell>
        </row>
        <row r="219">
          <cell r="A219">
            <v>305040006</v>
          </cell>
          <cell r="B219" t="str">
            <v>D168屏风C=2</v>
          </cell>
          <cell r="C219" t="str">
            <v>铁灰/树纹</v>
          </cell>
          <cell r="D219" t="str">
            <v>2</v>
          </cell>
          <cell r="E219" t="str">
            <v>包</v>
          </cell>
          <cell r="F219" t="str">
            <v>12-9,10</v>
          </cell>
          <cell r="G219">
            <v>0</v>
          </cell>
        </row>
        <row r="220">
          <cell r="A220">
            <v>305040007</v>
          </cell>
          <cell r="B220" t="str">
            <v>T封边1=2，T封边2=6   L封边=4</v>
          </cell>
          <cell r="C220" t="str">
            <v>氧化</v>
          </cell>
          <cell r="D220" t="str">
            <v>1</v>
          </cell>
          <cell r="E220" t="str">
            <v>包</v>
          </cell>
          <cell r="F220" t="str">
            <v>12-11</v>
          </cell>
          <cell r="G220">
            <v>0</v>
          </cell>
        </row>
        <row r="221">
          <cell r="A221">
            <v>305040008</v>
          </cell>
          <cell r="B221" t="str">
            <v>屏风配件</v>
          </cell>
          <cell r="C221" t="str">
            <v>镀锌</v>
          </cell>
          <cell r="D221" t="str">
            <v>1</v>
          </cell>
          <cell r="E221" t="str">
            <v>包</v>
          </cell>
          <cell r="F221" t="str">
            <v>12-12</v>
          </cell>
          <cell r="G221">
            <v>0</v>
          </cell>
        </row>
        <row r="222">
          <cell r="A222">
            <v>305040009</v>
          </cell>
          <cell r="B222" t="str">
            <v>新款：活动柜</v>
          </cell>
          <cell r="C222" t="str">
            <v>暖白/铁灰</v>
          </cell>
          <cell r="D222">
            <v>0</v>
          </cell>
          <cell r="G222">
            <v>0</v>
          </cell>
        </row>
        <row r="223">
          <cell r="A223">
            <v>305070001</v>
          </cell>
          <cell r="B223" t="str">
            <v>柱天下长几1200*600*420</v>
          </cell>
          <cell r="C223">
            <v>0</v>
          </cell>
          <cell r="D223">
            <v>0</v>
          </cell>
          <cell r="G223">
            <v>0</v>
          </cell>
        </row>
        <row r="224">
          <cell r="A224">
            <v>305070002</v>
          </cell>
          <cell r="B224" t="str">
            <v>茶几面板=1</v>
          </cell>
          <cell r="C224" t="str">
            <v>暖白浮雕MFC</v>
          </cell>
          <cell r="D224" t="str">
            <v>1</v>
          </cell>
          <cell r="E224" t="str">
            <v>包</v>
          </cell>
          <cell r="F224" t="str">
            <v>2-1</v>
          </cell>
          <cell r="G224">
            <v>0</v>
          </cell>
        </row>
        <row r="225">
          <cell r="A225">
            <v>305080001</v>
          </cell>
          <cell r="B225" t="str">
            <v>柱天下方几600*600*420</v>
          </cell>
          <cell r="C225">
            <v>0</v>
          </cell>
          <cell r="D225">
            <v>0</v>
          </cell>
          <cell r="G225">
            <v>0</v>
          </cell>
        </row>
        <row r="226">
          <cell r="A226">
            <v>305080002</v>
          </cell>
          <cell r="B226" t="str">
            <v>茶几面板=1</v>
          </cell>
          <cell r="C226" t="str">
            <v>暖白浮雕MFC</v>
          </cell>
          <cell r="D226" t="str">
            <v>1</v>
          </cell>
          <cell r="E226" t="str">
            <v>包</v>
          </cell>
          <cell r="F226" t="str">
            <v>2-1</v>
          </cell>
          <cell r="G226">
            <v>0</v>
          </cell>
        </row>
        <row r="227">
          <cell r="A227">
            <v>306020001</v>
          </cell>
          <cell r="B227" t="str">
            <v>608款二人位</v>
          </cell>
          <cell r="C227">
            <v>0</v>
          </cell>
          <cell r="D227" t="str">
            <v>套</v>
          </cell>
          <cell r="E227">
            <v>0</v>
          </cell>
          <cell r="F227">
            <v>0</v>
          </cell>
          <cell r="G227">
            <v>0</v>
          </cell>
        </row>
        <row r="228">
          <cell r="A228">
            <v>306020002</v>
          </cell>
          <cell r="B228" t="str">
            <v>L型台面板=2</v>
          </cell>
          <cell r="C228" t="str">
            <v>暖白</v>
          </cell>
          <cell r="D228">
            <v>1</v>
          </cell>
          <cell r="E228" t="str">
            <v>包</v>
          </cell>
          <cell r="F228" t="str">
            <v>12-1</v>
          </cell>
          <cell r="G228">
            <v>0</v>
          </cell>
        </row>
        <row r="229">
          <cell r="A229">
            <v>306020003</v>
          </cell>
          <cell r="B229" t="str">
            <v>侧板=3</v>
          </cell>
          <cell r="C229" t="str">
            <v>暖白</v>
          </cell>
          <cell r="D229">
            <v>1</v>
          </cell>
          <cell r="E229" t="str">
            <v>包</v>
          </cell>
          <cell r="F229" t="str">
            <v>12-2</v>
          </cell>
          <cell r="G229">
            <v>0</v>
          </cell>
        </row>
        <row r="230">
          <cell r="A230">
            <v>306020004</v>
          </cell>
          <cell r="B230" t="str">
            <v>主机架=2</v>
          </cell>
          <cell r="C230" t="str">
            <v>暖白/铁灰</v>
          </cell>
          <cell r="D230">
            <v>1</v>
          </cell>
          <cell r="E230" t="str">
            <v>包</v>
          </cell>
          <cell r="F230" t="str">
            <v>12-5</v>
          </cell>
          <cell r="G230">
            <v>0</v>
          </cell>
        </row>
        <row r="231">
          <cell r="A231">
            <v>306020005</v>
          </cell>
          <cell r="B231" t="str">
            <v>键盘架=2</v>
          </cell>
          <cell r="C231" t="str">
            <v>暖白</v>
          </cell>
          <cell r="D231">
            <v>1</v>
          </cell>
          <cell r="E231" t="str">
            <v>包</v>
          </cell>
          <cell r="F231" t="str">
            <v>12-6</v>
          </cell>
          <cell r="G231">
            <v>0</v>
          </cell>
        </row>
        <row r="232">
          <cell r="A232">
            <v>306020006</v>
          </cell>
          <cell r="B232" t="str">
            <v>屏风A:738*1200=2</v>
          </cell>
          <cell r="C232" t="str">
            <v>碳黑</v>
          </cell>
          <cell r="D232">
            <v>1</v>
          </cell>
          <cell r="E232" t="str">
            <v>包</v>
          </cell>
          <cell r="F232" t="str">
            <v>12-7</v>
          </cell>
          <cell r="G232">
            <v>0</v>
          </cell>
        </row>
        <row r="233">
          <cell r="A233">
            <v>306020007</v>
          </cell>
          <cell r="B233" t="str">
            <v>屏风B:738*1400=2</v>
          </cell>
          <cell r="C233" t="str">
            <v>碳黑</v>
          </cell>
          <cell r="D233">
            <v>1</v>
          </cell>
          <cell r="E233" t="str">
            <v>包</v>
          </cell>
          <cell r="F233" t="str">
            <v>12-8</v>
          </cell>
          <cell r="G233">
            <v>0</v>
          </cell>
        </row>
        <row r="234">
          <cell r="A234">
            <v>306020008</v>
          </cell>
          <cell r="B234" t="str">
            <v>屏风C:738*1400=2</v>
          </cell>
          <cell r="C234" t="str">
            <v>碳黑</v>
          </cell>
          <cell r="D234">
            <v>1</v>
          </cell>
          <cell r="E234" t="str">
            <v>包</v>
          </cell>
          <cell r="F234" t="str">
            <v>12-9</v>
          </cell>
          <cell r="G234">
            <v>0</v>
          </cell>
        </row>
        <row r="235">
          <cell r="A235">
            <v>306020009</v>
          </cell>
          <cell r="B235" t="str">
            <v>屏风D:738*1200=2</v>
          </cell>
          <cell r="C235" t="str">
            <v>碳黑</v>
          </cell>
          <cell r="D235">
            <v>1</v>
          </cell>
          <cell r="E235" t="str">
            <v>包</v>
          </cell>
          <cell r="F235" t="str">
            <v>12-10</v>
          </cell>
          <cell r="G235">
            <v>0</v>
          </cell>
        </row>
        <row r="236">
          <cell r="A236">
            <v>306020010</v>
          </cell>
          <cell r="B236" t="str">
            <v>屏风配件</v>
          </cell>
          <cell r="C236">
            <v>0</v>
          </cell>
          <cell r="D236">
            <v>1</v>
          </cell>
          <cell r="E236" t="str">
            <v>包</v>
          </cell>
          <cell r="F236" t="str">
            <v>12-11</v>
          </cell>
          <cell r="G236">
            <v>0</v>
          </cell>
        </row>
        <row r="237">
          <cell r="A237">
            <v>306020011</v>
          </cell>
          <cell r="B237" t="str">
            <v>屏风封边</v>
          </cell>
          <cell r="C237">
            <v>0</v>
          </cell>
          <cell r="D237">
            <v>1</v>
          </cell>
          <cell r="E237" t="str">
            <v>包</v>
          </cell>
          <cell r="F237" t="str">
            <v>12-12</v>
          </cell>
          <cell r="G237">
            <v>0</v>
          </cell>
        </row>
        <row r="238">
          <cell r="A238">
            <v>306040001</v>
          </cell>
          <cell r="B238" t="str">
            <v>全旧线盒168屏风四人位2400*1200*1150</v>
          </cell>
          <cell r="C238">
            <v>0</v>
          </cell>
          <cell r="D238" t="str">
            <v>套</v>
          </cell>
          <cell r="E238">
            <v>0</v>
          </cell>
          <cell r="F238">
            <v>0</v>
          </cell>
          <cell r="G238">
            <v>29</v>
          </cell>
        </row>
        <row r="239">
          <cell r="A239">
            <v>306040002</v>
          </cell>
          <cell r="B239" t="str">
            <v>台面板=2</v>
          </cell>
          <cell r="C239" t="str">
            <v>暖白</v>
          </cell>
          <cell r="D239">
            <v>2</v>
          </cell>
          <cell r="E239" t="str">
            <v>包</v>
          </cell>
          <cell r="F239" t="str">
            <v>10-1/2</v>
          </cell>
          <cell r="G239">
            <v>40</v>
          </cell>
        </row>
        <row r="240">
          <cell r="A240">
            <v>306040003</v>
          </cell>
          <cell r="B240" t="str">
            <v>桌面屏风=2</v>
          </cell>
          <cell r="C240" t="str">
            <v>树技纹</v>
          </cell>
          <cell r="D240">
            <v>1</v>
          </cell>
          <cell r="E240" t="str">
            <v>包</v>
          </cell>
          <cell r="F240" t="str">
            <v>10-7</v>
          </cell>
          <cell r="G240">
            <v>0</v>
          </cell>
        </row>
        <row r="241">
          <cell r="A241">
            <v>306040004</v>
          </cell>
          <cell r="B241" t="str">
            <v>地柜</v>
          </cell>
          <cell r="C241" t="str">
            <v>暖白/铁灰</v>
          </cell>
          <cell r="D241">
            <v>2</v>
          </cell>
          <cell r="E241" t="str">
            <v>包</v>
          </cell>
          <cell r="F241" t="str">
            <v>10-3.4.5.6</v>
          </cell>
          <cell r="G241">
            <v>74</v>
          </cell>
        </row>
        <row r="242">
          <cell r="A242">
            <v>306040005</v>
          </cell>
          <cell r="B242" t="str">
            <v>钢侧板=2/配件</v>
          </cell>
          <cell r="C242" t="str">
            <v>碳灰</v>
          </cell>
          <cell r="D242">
            <v>1</v>
          </cell>
          <cell r="E242" t="str">
            <v>包</v>
          </cell>
          <cell r="F242" t="str">
            <v>10-8</v>
          </cell>
          <cell r="G242">
            <v>20</v>
          </cell>
        </row>
        <row r="243">
          <cell r="A243">
            <v>306040006</v>
          </cell>
          <cell r="B243" t="str">
            <v>屏风A:1234*1150=1</v>
          </cell>
          <cell r="C243" t="str">
            <v>氧化铝</v>
          </cell>
          <cell r="D243">
            <v>1</v>
          </cell>
          <cell r="E243" t="str">
            <v>包</v>
          </cell>
          <cell r="F243" t="str">
            <v>10-9</v>
          </cell>
          <cell r="G243">
            <v>0</v>
          </cell>
        </row>
        <row r="244">
          <cell r="A244">
            <v>306040007</v>
          </cell>
          <cell r="B244" t="str">
            <v>配件：</v>
          </cell>
          <cell r="C244">
            <v>0</v>
          </cell>
          <cell r="D244">
            <v>1</v>
          </cell>
          <cell r="E244" t="str">
            <v>包</v>
          </cell>
          <cell r="F244" t="str">
            <v>10-10</v>
          </cell>
          <cell r="G244">
            <v>0</v>
          </cell>
        </row>
        <row r="245">
          <cell r="A245">
            <v>308010009</v>
          </cell>
          <cell r="B245" t="str">
            <v>君悦D1班台(B款）
2310*860*750 
左</v>
          </cell>
          <cell r="C245" t="str">
            <v>B款</v>
          </cell>
          <cell r="D245">
            <v>0</v>
          </cell>
          <cell r="G245">
            <v>2</v>
          </cell>
        </row>
        <row r="246">
          <cell r="A246">
            <v>308010010</v>
          </cell>
          <cell r="B246" t="str">
            <v>面板/台脚</v>
          </cell>
          <cell r="C246" t="str">
            <v>OF-M27/OF-M21/</v>
          </cell>
          <cell r="D246">
            <v>1</v>
          </cell>
          <cell r="E246" t="str">
            <v>包</v>
          </cell>
          <cell r="F246" t="str">
            <v>4-1</v>
          </cell>
          <cell r="G246">
            <v>2</v>
          </cell>
        </row>
        <row r="247">
          <cell r="A247">
            <v>308010011</v>
          </cell>
          <cell r="B247" t="str">
            <v>拉板</v>
          </cell>
          <cell r="C247">
            <v>0</v>
          </cell>
          <cell r="D247">
            <v>1</v>
          </cell>
          <cell r="E247" t="str">
            <v>包</v>
          </cell>
          <cell r="F247" t="str">
            <v>4-2</v>
          </cell>
          <cell r="G247">
            <v>2</v>
          </cell>
        </row>
        <row r="248">
          <cell r="A248">
            <v>308010012</v>
          </cell>
          <cell r="B248" t="str">
            <v>钢架</v>
          </cell>
          <cell r="C248">
            <v>0</v>
          </cell>
          <cell r="D248">
            <v>1</v>
          </cell>
          <cell r="E248" t="str">
            <v>包</v>
          </cell>
          <cell r="F248" t="str">
            <v>4-3</v>
          </cell>
          <cell r="G248">
            <v>2</v>
          </cell>
        </row>
        <row r="249">
          <cell r="A249">
            <v>308010013</v>
          </cell>
          <cell r="B249" t="str">
            <v>固定柜、配件</v>
          </cell>
          <cell r="C249">
            <v>0</v>
          </cell>
          <cell r="D249">
            <v>1</v>
          </cell>
          <cell r="E249" t="str">
            <v>包</v>
          </cell>
          <cell r="F249" t="str">
            <v>4-4</v>
          </cell>
          <cell r="G249">
            <v>2</v>
          </cell>
        </row>
        <row r="250">
          <cell r="A250">
            <v>308010014</v>
          </cell>
          <cell r="B250" t="str">
            <v>君悦D1班台(B款）2310*860*750 
右</v>
          </cell>
          <cell r="C250" t="str">
            <v>B款</v>
          </cell>
          <cell r="D250">
            <v>0</v>
          </cell>
          <cell r="G250">
            <v>0</v>
          </cell>
        </row>
        <row r="251">
          <cell r="A251">
            <v>308010015</v>
          </cell>
          <cell r="B251" t="str">
            <v>面板/台脚</v>
          </cell>
          <cell r="C251" t="str">
            <v>OF-M27/OF-M21/</v>
          </cell>
          <cell r="D251">
            <v>1</v>
          </cell>
          <cell r="E251" t="str">
            <v>包</v>
          </cell>
          <cell r="F251" t="str">
            <v>4-1</v>
          </cell>
          <cell r="G251">
            <v>0</v>
          </cell>
        </row>
        <row r="252">
          <cell r="A252">
            <v>308010016</v>
          </cell>
          <cell r="B252" t="str">
            <v>拉板</v>
          </cell>
          <cell r="C252">
            <v>0</v>
          </cell>
          <cell r="D252">
            <v>1</v>
          </cell>
          <cell r="E252" t="str">
            <v>包</v>
          </cell>
          <cell r="F252" t="str">
            <v>4-2</v>
          </cell>
          <cell r="G252">
            <v>0</v>
          </cell>
        </row>
        <row r="253">
          <cell r="A253">
            <v>308010017</v>
          </cell>
          <cell r="B253" t="str">
            <v>钢架</v>
          </cell>
          <cell r="C253">
            <v>0</v>
          </cell>
          <cell r="D253">
            <v>1</v>
          </cell>
          <cell r="E253" t="str">
            <v>包</v>
          </cell>
          <cell r="F253" t="str">
            <v>4-3</v>
          </cell>
          <cell r="G253">
            <v>0</v>
          </cell>
        </row>
        <row r="254">
          <cell r="A254">
            <v>308010018</v>
          </cell>
          <cell r="B254" t="str">
            <v>固定柜、配件</v>
          </cell>
          <cell r="C254">
            <v>0</v>
          </cell>
          <cell r="D254">
            <v>1</v>
          </cell>
          <cell r="E254" t="str">
            <v>包</v>
          </cell>
          <cell r="F254" t="str">
            <v>4-4</v>
          </cell>
          <cell r="G254">
            <v>0</v>
          </cell>
        </row>
        <row r="255">
          <cell r="A255">
            <v>308010019</v>
          </cell>
          <cell r="B255" t="str">
            <v>立方前台   2800*900*1110</v>
          </cell>
          <cell r="C255">
            <v>0</v>
          </cell>
          <cell r="D255">
            <v>0</v>
          </cell>
          <cell r="G255">
            <v>0</v>
          </cell>
        </row>
        <row r="256">
          <cell r="A256">
            <v>308010020</v>
          </cell>
          <cell r="B256" t="str">
            <v>左侧柜</v>
          </cell>
          <cell r="C256" t="str">
            <v>中灰色油漆，亚光油漆</v>
          </cell>
          <cell r="D256">
            <v>1</v>
          </cell>
          <cell r="E256" t="str">
            <v>包</v>
          </cell>
          <cell r="F256" t="str">
            <v>7-1</v>
          </cell>
          <cell r="G256">
            <v>0</v>
          </cell>
        </row>
        <row r="257">
          <cell r="A257">
            <v>308010021</v>
          </cell>
          <cell r="B257" t="str">
            <v>右侧柜</v>
          </cell>
          <cell r="C257" t="str">
            <v>中灰色油漆，亚光油漆</v>
          </cell>
          <cell r="D257">
            <v>1</v>
          </cell>
          <cell r="E257" t="str">
            <v>包</v>
          </cell>
          <cell r="F257" t="str">
            <v>7-2</v>
          </cell>
          <cell r="G257">
            <v>0</v>
          </cell>
        </row>
        <row r="258">
          <cell r="A258">
            <v>308010022</v>
          </cell>
          <cell r="B258" t="str">
            <v>大理石</v>
          </cell>
          <cell r="C258" t="str">
            <v>白色人</v>
          </cell>
          <cell r="D258">
            <v>1</v>
          </cell>
          <cell r="E258" t="str">
            <v>包</v>
          </cell>
          <cell r="F258" t="str">
            <v>7-3</v>
          </cell>
          <cell r="G258">
            <v>0</v>
          </cell>
        </row>
        <row r="259">
          <cell r="A259">
            <v>308010023</v>
          </cell>
          <cell r="B259" t="str">
            <v>前挡板</v>
          </cell>
          <cell r="C259" t="str">
            <v>白色亚光油漆</v>
          </cell>
          <cell r="D259">
            <v>1</v>
          </cell>
          <cell r="E259" t="str">
            <v>包</v>
          </cell>
          <cell r="F259" t="str">
            <v>7-4</v>
          </cell>
          <cell r="G259">
            <v>0</v>
          </cell>
        </row>
        <row r="260">
          <cell r="A260">
            <v>308010024</v>
          </cell>
          <cell r="B260" t="str">
            <v>台面+台脚</v>
          </cell>
          <cell r="C260" t="str">
            <v>白色亚光油漆</v>
          </cell>
          <cell r="D260">
            <v>1</v>
          </cell>
          <cell r="E260" t="str">
            <v>包</v>
          </cell>
          <cell r="F260" t="str">
            <v>7-5</v>
          </cell>
          <cell r="G260">
            <v>0</v>
          </cell>
        </row>
        <row r="261">
          <cell r="A261">
            <v>308010025</v>
          </cell>
          <cell r="B261" t="str">
            <v>装饰板</v>
          </cell>
          <cell r="C261" t="str">
            <v>橙色亚光油漆</v>
          </cell>
          <cell r="D261">
            <v>1</v>
          </cell>
          <cell r="E261" t="str">
            <v>包</v>
          </cell>
          <cell r="F261" t="str">
            <v>7-6</v>
          </cell>
          <cell r="G261">
            <v>0</v>
          </cell>
        </row>
        <row r="262">
          <cell r="A262">
            <v>308010026</v>
          </cell>
          <cell r="B262" t="str">
            <v>装饰板+配件</v>
          </cell>
          <cell r="C262" t="str">
            <v>橙色亚光油漆</v>
          </cell>
          <cell r="D262">
            <v>1</v>
          </cell>
          <cell r="E262" t="str">
            <v>包</v>
          </cell>
          <cell r="F262" t="str">
            <v>7-7</v>
          </cell>
          <cell r="G262">
            <v>0</v>
          </cell>
        </row>
        <row r="263">
          <cell r="A263">
            <v>308010027</v>
          </cell>
          <cell r="B263" t="str">
            <v>CD2二抽活动柜（可选）</v>
          </cell>
          <cell r="C263" t="str">
            <v>OF-M27纯白</v>
          </cell>
          <cell r="D263">
            <v>1</v>
          </cell>
          <cell r="E263" t="str">
            <v>个</v>
          </cell>
          <cell r="F263">
            <v>0</v>
          </cell>
          <cell r="G263">
            <v>2</v>
          </cell>
        </row>
        <row r="264">
          <cell r="A264">
            <v>308010028</v>
          </cell>
          <cell r="B264" t="str">
            <v>CD3三抽活动柜（可选）</v>
          </cell>
          <cell r="C264" t="str">
            <v>OF-M27纯白</v>
          </cell>
          <cell r="D264">
            <v>1</v>
          </cell>
          <cell r="E264" t="str">
            <v>个</v>
          </cell>
          <cell r="F264">
            <v>0</v>
          </cell>
          <cell r="G264">
            <v>2</v>
          </cell>
        </row>
        <row r="265">
          <cell r="A265">
            <v>308070002</v>
          </cell>
          <cell r="B265" t="str">
            <v>君悦长几      1200*600*420</v>
          </cell>
          <cell r="C265" t="str">
            <v>黑栓</v>
          </cell>
          <cell r="D265">
            <v>1</v>
          </cell>
          <cell r="E265" t="str">
            <v>张</v>
          </cell>
          <cell r="F265" t="str">
            <v>1-1</v>
          </cell>
          <cell r="G265">
            <v>0</v>
          </cell>
        </row>
        <row r="266">
          <cell r="A266">
            <v>308080002</v>
          </cell>
          <cell r="B266" t="str">
            <v>君悦方几      600*600*420</v>
          </cell>
          <cell r="C266" t="str">
            <v>黑栓</v>
          </cell>
          <cell r="D266">
            <v>1</v>
          </cell>
          <cell r="E266" t="str">
            <v>张</v>
          </cell>
          <cell r="F266" t="str">
            <v>1-1</v>
          </cell>
          <cell r="G266">
            <v>0</v>
          </cell>
        </row>
        <row r="267">
          <cell r="A267">
            <v>308090009</v>
          </cell>
          <cell r="B267" t="str">
            <v>君悦文件柜D2  2500*420*1860  C3</v>
          </cell>
          <cell r="C267">
            <v>0</v>
          </cell>
          <cell r="D267">
            <v>0</v>
          </cell>
          <cell r="G267">
            <v>0</v>
          </cell>
        </row>
        <row r="268">
          <cell r="A268">
            <v>308090010</v>
          </cell>
          <cell r="B268" t="str">
            <v>顶底层板</v>
          </cell>
          <cell r="C268" t="str">
            <v xml:space="preserve">OF-M27/OF-M21 </v>
          </cell>
          <cell r="D268">
            <v>1</v>
          </cell>
          <cell r="E268" t="str">
            <v>包</v>
          </cell>
          <cell r="F268" t="str">
            <v>7-1</v>
          </cell>
          <cell r="G268">
            <v>0</v>
          </cell>
        </row>
        <row r="269">
          <cell r="A269">
            <v>308090011</v>
          </cell>
          <cell r="B269" t="str">
            <v>侧中立板</v>
          </cell>
          <cell r="C269">
            <v>0</v>
          </cell>
          <cell r="D269">
            <v>1</v>
          </cell>
          <cell r="E269" t="str">
            <v>包</v>
          </cell>
          <cell r="F269" t="str">
            <v>7-2</v>
          </cell>
          <cell r="G269">
            <v>0</v>
          </cell>
        </row>
        <row r="270">
          <cell r="A270">
            <v>308090012</v>
          </cell>
          <cell r="B270" t="str">
            <v>背板</v>
          </cell>
          <cell r="C270">
            <v>0</v>
          </cell>
          <cell r="D270">
            <v>1</v>
          </cell>
          <cell r="E270" t="str">
            <v>包</v>
          </cell>
          <cell r="F270" t="str">
            <v>7-3</v>
          </cell>
          <cell r="G270">
            <v>0</v>
          </cell>
        </row>
        <row r="271">
          <cell r="A271">
            <v>308090013</v>
          </cell>
          <cell r="B271" t="str">
            <v>门板</v>
          </cell>
          <cell r="C271">
            <v>0</v>
          </cell>
          <cell r="D271">
            <v>1</v>
          </cell>
          <cell r="E271" t="str">
            <v>包</v>
          </cell>
          <cell r="F271" t="str">
            <v>7-4</v>
          </cell>
          <cell r="G271">
            <v>0</v>
          </cell>
        </row>
        <row r="272">
          <cell r="A272">
            <v>308090014</v>
          </cell>
          <cell r="B272" t="str">
            <v>活层板1</v>
          </cell>
          <cell r="C272">
            <v>0</v>
          </cell>
          <cell r="D272">
            <v>1</v>
          </cell>
          <cell r="E272" t="str">
            <v>包</v>
          </cell>
          <cell r="F272" t="str">
            <v>7-5</v>
          </cell>
          <cell r="G272">
            <v>0</v>
          </cell>
        </row>
        <row r="273">
          <cell r="A273">
            <v>308090015</v>
          </cell>
          <cell r="B273" t="str">
            <v>活层板2</v>
          </cell>
          <cell r="C273">
            <v>0</v>
          </cell>
          <cell r="D273">
            <v>1</v>
          </cell>
          <cell r="E273" t="str">
            <v>包</v>
          </cell>
          <cell r="F273" t="str">
            <v>7-6</v>
          </cell>
          <cell r="G273">
            <v>0</v>
          </cell>
        </row>
        <row r="274">
          <cell r="A274">
            <v>308090016</v>
          </cell>
          <cell r="B274" t="str">
            <v>底座、脚垫、配件</v>
          </cell>
          <cell r="C274">
            <v>0</v>
          </cell>
          <cell r="D274">
            <v>1</v>
          </cell>
          <cell r="E274" t="str">
            <v>包</v>
          </cell>
          <cell r="F274" t="str">
            <v>7-7</v>
          </cell>
          <cell r="G274">
            <v>0</v>
          </cell>
        </row>
        <row r="275">
          <cell r="A275">
            <v>311070001</v>
          </cell>
          <cell r="B275" t="str">
            <v>梵龙长茶几     940*600*430</v>
          </cell>
          <cell r="C275">
            <v>0</v>
          </cell>
          <cell r="D275">
            <v>0</v>
          </cell>
          <cell r="G275">
            <v>0</v>
          </cell>
        </row>
        <row r="276">
          <cell r="A276">
            <v>311070002</v>
          </cell>
          <cell r="B276" t="str">
            <v>几架</v>
          </cell>
          <cell r="C276" t="str">
            <v>铁灰OF-M14</v>
          </cell>
          <cell r="D276">
            <v>1</v>
          </cell>
          <cell r="E276" t="str">
            <v>包</v>
          </cell>
          <cell r="F276" t="str">
            <v>2-1</v>
          </cell>
          <cell r="G276">
            <v>0</v>
          </cell>
        </row>
        <row r="277">
          <cell r="A277">
            <v>311070003</v>
          </cell>
          <cell r="B277" t="str">
            <v>几脚、配件</v>
          </cell>
          <cell r="C277" t="str">
            <v>铁灰OF-M14</v>
          </cell>
          <cell r="D277">
            <v>1</v>
          </cell>
          <cell r="E277" t="str">
            <v>包</v>
          </cell>
          <cell r="F277" t="str">
            <v>2-2</v>
          </cell>
          <cell r="G277">
            <v>0</v>
          </cell>
        </row>
        <row r="278">
          <cell r="A278">
            <v>311080001</v>
          </cell>
          <cell r="B278" t="str">
            <v>梵龙方茶几  600*600*430</v>
          </cell>
          <cell r="C278">
            <v>0</v>
          </cell>
          <cell r="D278">
            <v>0</v>
          </cell>
          <cell r="G278">
            <v>0</v>
          </cell>
        </row>
        <row r="279">
          <cell r="A279">
            <v>311080002</v>
          </cell>
          <cell r="B279" t="str">
            <v>几架、玻璃</v>
          </cell>
          <cell r="C279" t="str">
            <v>铁灰OF-M14</v>
          </cell>
          <cell r="D279">
            <v>1</v>
          </cell>
          <cell r="E279" t="str">
            <v>包</v>
          </cell>
          <cell r="F279" t="str">
            <v>2-1</v>
          </cell>
          <cell r="G279">
            <v>0</v>
          </cell>
        </row>
        <row r="280">
          <cell r="A280">
            <v>311080003</v>
          </cell>
          <cell r="B280" t="str">
            <v>几脚、配件</v>
          </cell>
          <cell r="C280" t="str">
            <v>铁灰OF-M14</v>
          </cell>
          <cell r="D280">
            <v>1</v>
          </cell>
          <cell r="E280" t="str">
            <v>包</v>
          </cell>
          <cell r="F280" t="str">
            <v>2-2</v>
          </cell>
          <cell r="G280">
            <v>0</v>
          </cell>
        </row>
        <row r="281">
          <cell r="A281">
            <v>312010001</v>
          </cell>
          <cell r="B281" t="str">
            <v>青花瓷主管桌       整体：2500*1600*750  主台：2100*1000*750  附柜：1200*500*650     QH-D-2110</v>
          </cell>
          <cell r="C281">
            <v>0</v>
          </cell>
          <cell r="D281">
            <v>0</v>
          </cell>
          <cell r="G281">
            <v>0</v>
          </cell>
        </row>
        <row r="282">
          <cell r="A282">
            <v>312010002</v>
          </cell>
          <cell r="B282" t="str">
            <v>台面板=1/挡板=1</v>
          </cell>
          <cell r="C282" t="str">
            <v>白玉石绒面</v>
          </cell>
          <cell r="D282">
            <v>1</v>
          </cell>
          <cell r="E282" t="str">
            <v>包</v>
          </cell>
          <cell r="F282" t="str">
            <v>5-1</v>
          </cell>
          <cell r="G282">
            <v>0</v>
          </cell>
        </row>
        <row r="283">
          <cell r="A283">
            <v>312010003</v>
          </cell>
          <cell r="B283" t="str">
            <v>附柜</v>
          </cell>
          <cell r="C283" t="str">
            <v>白玉石绒面</v>
          </cell>
          <cell r="D283">
            <v>1</v>
          </cell>
          <cell r="E283" t="str">
            <v>包</v>
          </cell>
          <cell r="F283" t="str">
            <v>5-2</v>
          </cell>
          <cell r="G283">
            <v>0</v>
          </cell>
        </row>
        <row r="284">
          <cell r="A284">
            <v>312010004</v>
          </cell>
          <cell r="B284" t="str">
            <v>附柜二抽柜=1+柜脚=4</v>
          </cell>
          <cell r="C284" t="str">
            <v>白玉石绒面</v>
          </cell>
          <cell r="D284">
            <v>1</v>
          </cell>
          <cell r="E284" t="str">
            <v>包</v>
          </cell>
          <cell r="F284" t="str">
            <v>5-3</v>
          </cell>
          <cell r="G284">
            <v>0</v>
          </cell>
        </row>
        <row r="285">
          <cell r="A285">
            <v>312010005</v>
          </cell>
          <cell r="B285" t="str">
            <v>钢脚=1</v>
          </cell>
          <cell r="C285" t="str">
            <v>纯白+电镀</v>
          </cell>
          <cell r="D285">
            <v>1</v>
          </cell>
          <cell r="E285" t="str">
            <v>包</v>
          </cell>
          <cell r="F285" t="str">
            <v>5-4</v>
          </cell>
          <cell r="G285">
            <v>0</v>
          </cell>
        </row>
        <row r="286">
          <cell r="A286">
            <v>312010006</v>
          </cell>
          <cell r="B286" t="str">
            <v>拉杆=2.边杆=1./配件</v>
          </cell>
          <cell r="C286" t="str">
            <v>纯白</v>
          </cell>
          <cell r="D286">
            <v>1</v>
          </cell>
          <cell r="E286" t="str">
            <v>包</v>
          </cell>
          <cell r="F286" t="str">
            <v>5-5</v>
          </cell>
          <cell r="G286">
            <v>0</v>
          </cell>
        </row>
        <row r="287">
          <cell r="A287">
            <v>312010007</v>
          </cell>
          <cell r="B287" t="str">
            <v>青花瓷主管桌        整体：2200*1400*750     主台：1800*800*750   附柜：1200*500*650   QH-D-1880</v>
          </cell>
          <cell r="C287">
            <v>0</v>
          </cell>
          <cell r="D287">
            <v>0</v>
          </cell>
          <cell r="G287">
            <v>0</v>
          </cell>
        </row>
        <row r="288">
          <cell r="A288">
            <v>312010008</v>
          </cell>
          <cell r="B288" t="str">
            <v>台面板=1/挡板=1</v>
          </cell>
          <cell r="C288" t="str">
            <v>白玉石绒面</v>
          </cell>
          <cell r="D288">
            <v>1</v>
          </cell>
          <cell r="E288" t="str">
            <v>包</v>
          </cell>
          <cell r="F288" t="str">
            <v>5-1</v>
          </cell>
          <cell r="G288">
            <v>0</v>
          </cell>
        </row>
        <row r="289">
          <cell r="A289">
            <v>312010009</v>
          </cell>
          <cell r="B289" t="str">
            <v>附柜=1</v>
          </cell>
          <cell r="C289" t="str">
            <v>白玉石绒面</v>
          </cell>
          <cell r="D289">
            <v>1</v>
          </cell>
          <cell r="E289" t="str">
            <v>包</v>
          </cell>
          <cell r="F289" t="str">
            <v>5-2</v>
          </cell>
          <cell r="G289">
            <v>0</v>
          </cell>
        </row>
        <row r="290">
          <cell r="A290">
            <v>312010010</v>
          </cell>
          <cell r="B290" t="str">
            <v>附柜二抽柜=1+柜脚=4</v>
          </cell>
          <cell r="C290" t="str">
            <v>白玉石绒面</v>
          </cell>
          <cell r="D290">
            <v>1</v>
          </cell>
          <cell r="E290" t="str">
            <v>包</v>
          </cell>
          <cell r="F290" t="str">
            <v>5-3</v>
          </cell>
          <cell r="G290">
            <v>0</v>
          </cell>
        </row>
        <row r="291">
          <cell r="A291">
            <v>312010011</v>
          </cell>
          <cell r="B291" t="str">
            <v>钢脚=2</v>
          </cell>
          <cell r="C291" t="str">
            <v>纯白+电镀</v>
          </cell>
          <cell r="D291">
            <v>1</v>
          </cell>
          <cell r="E291" t="str">
            <v>包</v>
          </cell>
          <cell r="F291" t="str">
            <v>5-4</v>
          </cell>
          <cell r="G291">
            <v>0</v>
          </cell>
        </row>
        <row r="292">
          <cell r="A292">
            <v>312010012</v>
          </cell>
          <cell r="B292" t="str">
            <v>拉杆=2.边杆=1./配件</v>
          </cell>
          <cell r="C292" t="str">
            <v>纯白</v>
          </cell>
          <cell r="D292">
            <v>1</v>
          </cell>
          <cell r="E292" t="str">
            <v>包</v>
          </cell>
          <cell r="F292" t="str">
            <v>5-5</v>
          </cell>
          <cell r="G292">
            <v>0</v>
          </cell>
        </row>
        <row r="293">
          <cell r="A293">
            <v>312020001</v>
          </cell>
          <cell r="B293" t="str">
            <v>青花瓷二人位 1400*1400*750      QH-S2-1414</v>
          </cell>
          <cell r="C293">
            <v>0</v>
          </cell>
          <cell r="D293">
            <v>0</v>
          </cell>
          <cell r="G293">
            <v>0</v>
          </cell>
        </row>
        <row r="294">
          <cell r="A294">
            <v>312020002</v>
          </cell>
          <cell r="B294" t="str">
            <v>面板=2</v>
          </cell>
          <cell r="C294" t="str">
            <v>白玉石绒面</v>
          </cell>
          <cell r="D294">
            <v>1</v>
          </cell>
          <cell r="E294" t="str">
            <v>包</v>
          </cell>
          <cell r="F294" t="str">
            <v>7-1</v>
          </cell>
          <cell r="G294">
            <v>0</v>
          </cell>
        </row>
        <row r="295">
          <cell r="A295">
            <v>312020003</v>
          </cell>
          <cell r="B295" t="str">
            <v>功能梁</v>
          </cell>
          <cell r="C295" t="str">
            <v>氧化</v>
          </cell>
          <cell r="D295">
            <v>1</v>
          </cell>
          <cell r="E295" t="str">
            <v>包</v>
          </cell>
          <cell r="F295" t="str">
            <v>7-2</v>
          </cell>
          <cell r="G295">
            <v>0</v>
          </cell>
        </row>
        <row r="296">
          <cell r="A296">
            <v>312020004</v>
          </cell>
          <cell r="B296" t="str">
            <v>屏风板=1</v>
          </cell>
          <cell r="C296" t="str">
            <v>白玉石绒面</v>
          </cell>
          <cell r="D296">
            <v>1</v>
          </cell>
          <cell r="E296" t="str">
            <v>包</v>
          </cell>
          <cell r="F296" t="str">
            <v>7-3</v>
          </cell>
          <cell r="G296">
            <v>0</v>
          </cell>
        </row>
        <row r="297">
          <cell r="A297">
            <v>312020005</v>
          </cell>
          <cell r="B297" t="str">
            <v>钢脚=2</v>
          </cell>
          <cell r="C297" t="str">
            <v>纯白+电镀</v>
          </cell>
          <cell r="D297">
            <v>2</v>
          </cell>
          <cell r="E297" t="str">
            <v>包</v>
          </cell>
          <cell r="F297" t="str">
            <v>7-5、4</v>
          </cell>
          <cell r="G297">
            <v>0</v>
          </cell>
        </row>
        <row r="298">
          <cell r="A298">
            <v>312020006</v>
          </cell>
          <cell r="B298" t="str">
            <v>拉杆=2/配件包</v>
          </cell>
          <cell r="C298" t="str">
            <v>纯白</v>
          </cell>
          <cell r="D298">
            <v>1</v>
          </cell>
          <cell r="E298" t="str">
            <v>包</v>
          </cell>
          <cell r="F298" t="str">
            <v>7-6</v>
          </cell>
          <cell r="G298">
            <v>0</v>
          </cell>
        </row>
        <row r="299">
          <cell r="A299">
            <v>312020007</v>
          </cell>
          <cell r="B299" t="str">
            <v>走线槽</v>
          </cell>
          <cell r="C299" t="str">
            <v>纯白</v>
          </cell>
          <cell r="D299">
            <v>1</v>
          </cell>
          <cell r="E299" t="str">
            <v>包</v>
          </cell>
          <cell r="F299" t="str">
            <v>7-7</v>
          </cell>
          <cell r="G299">
            <v>0</v>
          </cell>
        </row>
        <row r="300">
          <cell r="A300">
            <v>312020008</v>
          </cell>
          <cell r="B300">
            <v>0</v>
          </cell>
          <cell r="C300">
            <v>0</v>
          </cell>
          <cell r="D300">
            <v>0</v>
          </cell>
          <cell r="G300">
            <v>0</v>
          </cell>
        </row>
        <row r="301">
          <cell r="A301">
            <v>312020009</v>
          </cell>
          <cell r="B301" t="str">
            <v>台面板=2</v>
          </cell>
          <cell r="C301" t="str">
            <v>白玉石绒面</v>
          </cell>
          <cell r="D301">
            <v>1</v>
          </cell>
          <cell r="E301" t="str">
            <v>包</v>
          </cell>
          <cell r="F301" t="str">
            <v>8-1</v>
          </cell>
          <cell r="G301">
            <v>0</v>
          </cell>
        </row>
        <row r="302">
          <cell r="A302">
            <v>312020010</v>
          </cell>
          <cell r="B302" t="str">
            <v>空格=1、线槽板=1、  配件包=1</v>
          </cell>
          <cell r="C302" t="str">
            <v>白玉石绒面</v>
          </cell>
          <cell r="D302">
            <v>1</v>
          </cell>
          <cell r="E302" t="str">
            <v>包</v>
          </cell>
          <cell r="F302" t="str">
            <v>8-2</v>
          </cell>
          <cell r="G302">
            <v>0</v>
          </cell>
        </row>
        <row r="303">
          <cell r="A303">
            <v>312020011</v>
          </cell>
          <cell r="B303" t="str">
            <v>玻璃屏风板=1</v>
          </cell>
          <cell r="C303" t="str">
            <v>白玉石绒面</v>
          </cell>
          <cell r="D303">
            <v>1</v>
          </cell>
          <cell r="E303" t="str">
            <v>包</v>
          </cell>
          <cell r="F303" t="str">
            <v>8-3</v>
          </cell>
          <cell r="G303">
            <v>0</v>
          </cell>
        </row>
        <row r="304">
          <cell r="A304">
            <v>312020012</v>
          </cell>
          <cell r="B304" t="str">
            <v>钢脚=2</v>
          </cell>
          <cell r="C304" t="str">
            <v>纯白+电镀</v>
          </cell>
          <cell r="D304">
            <v>2</v>
          </cell>
          <cell r="E304" t="str">
            <v>包</v>
          </cell>
          <cell r="F304" t="str">
            <v>8-4,5</v>
          </cell>
          <cell r="G304">
            <v>0</v>
          </cell>
        </row>
        <row r="305">
          <cell r="A305">
            <v>312020013</v>
          </cell>
          <cell r="B305" t="str">
            <v>拉杆=2、配件</v>
          </cell>
          <cell r="C305" t="str">
            <v>纯白+电镀</v>
          </cell>
          <cell r="D305">
            <v>1</v>
          </cell>
          <cell r="E305" t="str">
            <v>包</v>
          </cell>
          <cell r="F305" t="str">
            <v>8-6</v>
          </cell>
          <cell r="G305">
            <v>0</v>
          </cell>
        </row>
        <row r="306">
          <cell r="A306">
            <v>312020014</v>
          </cell>
          <cell r="B306" t="str">
            <v>桌上支撑柱=2</v>
          </cell>
          <cell r="C306" t="str">
            <v>纯白</v>
          </cell>
          <cell r="D306">
            <v>1</v>
          </cell>
          <cell r="E306" t="str">
            <v>包</v>
          </cell>
          <cell r="F306" t="str">
            <v>8-7</v>
          </cell>
          <cell r="G306">
            <v>0</v>
          </cell>
        </row>
        <row r="307">
          <cell r="A307">
            <v>312020015</v>
          </cell>
          <cell r="B307" t="str">
            <v>走线槽=1</v>
          </cell>
          <cell r="C307" t="str">
            <v>纯白</v>
          </cell>
          <cell r="D307">
            <v>1</v>
          </cell>
          <cell r="E307" t="str">
            <v>包</v>
          </cell>
          <cell r="F307" t="str">
            <v>8-8</v>
          </cell>
          <cell r="G307">
            <v>0</v>
          </cell>
        </row>
        <row r="308">
          <cell r="A308">
            <v>312040001</v>
          </cell>
          <cell r="B308" t="str">
            <v xml:space="preserve">青花瓷四人位组合 （带吊柜）2800*1400*1680 </v>
          </cell>
          <cell r="C308">
            <v>0</v>
          </cell>
          <cell r="D308">
            <v>0</v>
          </cell>
          <cell r="G308">
            <v>0</v>
          </cell>
        </row>
        <row r="309">
          <cell r="A309">
            <v>312040002</v>
          </cell>
          <cell r="B309" t="str">
            <v>台面板=2/A</v>
          </cell>
          <cell r="C309" t="str">
            <v>白玉石绒面</v>
          </cell>
          <cell r="D309">
            <v>1</v>
          </cell>
          <cell r="E309" t="str">
            <v>包</v>
          </cell>
          <cell r="F309" t="str">
            <v>11-1</v>
          </cell>
          <cell r="G309">
            <v>0</v>
          </cell>
        </row>
        <row r="310">
          <cell r="A310">
            <v>312040003</v>
          </cell>
          <cell r="B310" t="str">
            <v>台面板=2/B</v>
          </cell>
          <cell r="C310" t="str">
            <v>白玉石绒面</v>
          </cell>
          <cell r="D310">
            <v>1</v>
          </cell>
          <cell r="E310" t="str">
            <v>包</v>
          </cell>
          <cell r="F310" t="str">
            <v>11-2</v>
          </cell>
          <cell r="G310">
            <v>0</v>
          </cell>
        </row>
        <row r="311">
          <cell r="A311">
            <v>312040004</v>
          </cell>
          <cell r="B311" t="str">
            <v>空格柜=2、线槽板=2、配件包=2</v>
          </cell>
          <cell r="C311" t="str">
            <v>白玉石绒面</v>
          </cell>
          <cell r="D311">
            <v>1</v>
          </cell>
          <cell r="E311" t="str">
            <v>包</v>
          </cell>
          <cell r="F311" t="str">
            <v>11-3</v>
          </cell>
          <cell r="G311">
            <v>0</v>
          </cell>
        </row>
        <row r="312">
          <cell r="A312">
            <v>312040005</v>
          </cell>
          <cell r="B312" t="str">
            <v>玻璃屏风板=2</v>
          </cell>
          <cell r="C312" t="str">
            <v>白色药水砂</v>
          </cell>
          <cell r="D312">
            <v>1</v>
          </cell>
          <cell r="E312" t="str">
            <v>包</v>
          </cell>
          <cell r="F312" t="str">
            <v>11-4</v>
          </cell>
          <cell r="G312">
            <v>0</v>
          </cell>
        </row>
        <row r="313">
          <cell r="A313">
            <v>312040006</v>
          </cell>
          <cell r="B313" t="str">
            <v>边脚=2</v>
          </cell>
          <cell r="C313" t="str">
            <v>纯白+电镀</v>
          </cell>
          <cell r="D313">
            <v>2</v>
          </cell>
          <cell r="E313" t="str">
            <v>包</v>
          </cell>
          <cell r="F313" t="str">
            <v>11-5、6</v>
          </cell>
          <cell r="G313">
            <v>0</v>
          </cell>
        </row>
        <row r="314">
          <cell r="A314">
            <v>312040007</v>
          </cell>
          <cell r="B314" t="str">
            <v>中脚=1</v>
          </cell>
          <cell r="C314" t="str">
            <v>纯白+电镀</v>
          </cell>
          <cell r="D314">
            <v>1</v>
          </cell>
          <cell r="E314" t="str">
            <v>包</v>
          </cell>
          <cell r="F314" t="str">
            <v>11-7</v>
          </cell>
          <cell r="G314">
            <v>0</v>
          </cell>
        </row>
        <row r="315">
          <cell r="A315">
            <v>312040008</v>
          </cell>
          <cell r="B315" t="str">
            <v>横杆=4、</v>
          </cell>
          <cell r="C315" t="str">
            <v>纯白</v>
          </cell>
          <cell r="D315">
            <v>1</v>
          </cell>
          <cell r="E315" t="str">
            <v>包</v>
          </cell>
          <cell r="F315" t="str">
            <v>11-8</v>
          </cell>
          <cell r="G315">
            <v>0</v>
          </cell>
        </row>
        <row r="316">
          <cell r="A316">
            <v>312040009</v>
          </cell>
          <cell r="B316" t="str">
            <v>边杆=4 配件</v>
          </cell>
          <cell r="C316" t="str">
            <v>纯白</v>
          </cell>
          <cell r="D316">
            <v>1</v>
          </cell>
          <cell r="E316" t="str">
            <v>包</v>
          </cell>
          <cell r="F316" t="str">
            <v>11-9</v>
          </cell>
          <cell r="G316">
            <v>0</v>
          </cell>
        </row>
        <row r="317">
          <cell r="A317">
            <v>312040010</v>
          </cell>
          <cell r="B317" t="str">
            <v>桌上支撑柱=3</v>
          </cell>
          <cell r="C317" t="str">
            <v>纯白</v>
          </cell>
          <cell r="D317">
            <v>1</v>
          </cell>
          <cell r="E317" t="str">
            <v>包</v>
          </cell>
          <cell r="F317" t="str">
            <v>11-10</v>
          </cell>
          <cell r="G317">
            <v>0</v>
          </cell>
        </row>
        <row r="318">
          <cell r="A318">
            <v>312040011</v>
          </cell>
          <cell r="B318" t="str">
            <v>走线槽=2</v>
          </cell>
          <cell r="C318" t="str">
            <v>纯白</v>
          </cell>
          <cell r="D318">
            <v>1</v>
          </cell>
          <cell r="E318" t="str">
            <v>包</v>
          </cell>
          <cell r="F318" t="str">
            <v>11-11</v>
          </cell>
          <cell r="G318">
            <v>0</v>
          </cell>
        </row>
        <row r="319">
          <cell r="A319">
            <v>312040012</v>
          </cell>
          <cell r="B319" t="str">
            <v xml:space="preserve">青花瓷四人位组2800*1400*750 </v>
          </cell>
          <cell r="C319">
            <v>0</v>
          </cell>
          <cell r="D319">
            <v>0</v>
          </cell>
          <cell r="G319">
            <v>0</v>
          </cell>
        </row>
        <row r="320">
          <cell r="A320">
            <v>312040013</v>
          </cell>
          <cell r="B320" t="str">
            <v>台面板=4.</v>
          </cell>
          <cell r="C320" t="str">
            <v>白玉石绒面</v>
          </cell>
          <cell r="D320">
            <v>2</v>
          </cell>
          <cell r="E320" t="str">
            <v>包</v>
          </cell>
          <cell r="F320" t="str">
            <v>10-1、2</v>
          </cell>
          <cell r="G320">
            <v>0</v>
          </cell>
        </row>
        <row r="321">
          <cell r="A321">
            <v>312040014</v>
          </cell>
          <cell r="B321" t="str">
            <v>功能梁=2</v>
          </cell>
          <cell r="C321" t="str">
            <v>氧化</v>
          </cell>
          <cell r="D321">
            <v>1</v>
          </cell>
          <cell r="E321" t="str">
            <v>包</v>
          </cell>
          <cell r="F321" t="str">
            <v>10-3</v>
          </cell>
          <cell r="G321">
            <v>0</v>
          </cell>
        </row>
        <row r="322">
          <cell r="A322">
            <v>312040015</v>
          </cell>
          <cell r="B322" t="str">
            <v>屏风板=2</v>
          </cell>
          <cell r="C322" t="str">
            <v>白玉石绒面</v>
          </cell>
          <cell r="D322">
            <v>1</v>
          </cell>
          <cell r="E322" t="str">
            <v>包</v>
          </cell>
          <cell r="F322" t="str">
            <v>10-4</v>
          </cell>
          <cell r="G322">
            <v>0</v>
          </cell>
        </row>
        <row r="323">
          <cell r="A323">
            <v>312040016</v>
          </cell>
          <cell r="B323" t="str">
            <v>边脚=2</v>
          </cell>
          <cell r="C323" t="str">
            <v>纯白+电镀</v>
          </cell>
          <cell r="D323">
            <v>2</v>
          </cell>
          <cell r="E323" t="str">
            <v>包</v>
          </cell>
          <cell r="F323" t="str">
            <v>10-6、5</v>
          </cell>
          <cell r="G323">
            <v>0</v>
          </cell>
        </row>
        <row r="324">
          <cell r="A324">
            <v>312040017</v>
          </cell>
          <cell r="B324" t="str">
            <v>中脚=1</v>
          </cell>
          <cell r="C324" t="str">
            <v>纯白+电镀</v>
          </cell>
          <cell r="D324">
            <v>1</v>
          </cell>
          <cell r="E324" t="str">
            <v>包</v>
          </cell>
          <cell r="F324" t="str">
            <v>10-7</v>
          </cell>
          <cell r="G324">
            <v>0</v>
          </cell>
        </row>
        <row r="325">
          <cell r="A325">
            <v>312040018</v>
          </cell>
          <cell r="B325" t="str">
            <v>横杆=4、</v>
          </cell>
          <cell r="C325" t="str">
            <v>纯白</v>
          </cell>
          <cell r="D325">
            <v>1</v>
          </cell>
          <cell r="E325" t="str">
            <v>包</v>
          </cell>
          <cell r="F325" t="str">
            <v>10-8</v>
          </cell>
          <cell r="G325">
            <v>0</v>
          </cell>
        </row>
        <row r="326">
          <cell r="A326">
            <v>312040019</v>
          </cell>
          <cell r="B326" t="str">
            <v>边杆=3、配件</v>
          </cell>
          <cell r="C326" t="str">
            <v>纯白</v>
          </cell>
          <cell r="D326">
            <v>1</v>
          </cell>
          <cell r="E326" t="str">
            <v>包</v>
          </cell>
          <cell r="F326" t="str">
            <v>10-9</v>
          </cell>
          <cell r="G326">
            <v>0</v>
          </cell>
        </row>
        <row r="327">
          <cell r="A327">
            <v>312040020</v>
          </cell>
          <cell r="B327" t="str">
            <v>走线槽=2</v>
          </cell>
          <cell r="C327" t="str">
            <v>纯白</v>
          </cell>
          <cell r="D327">
            <v>1</v>
          </cell>
          <cell r="E327" t="str">
            <v>包</v>
          </cell>
          <cell r="F327" t="str">
            <v>10-10</v>
          </cell>
          <cell r="G327">
            <v>0</v>
          </cell>
        </row>
        <row r="328">
          <cell r="A328">
            <v>312070001</v>
          </cell>
          <cell r="B328" t="str">
            <v>青花瓷胶板长几1200*600*420      QH-LT-1260</v>
          </cell>
          <cell r="C328">
            <v>0</v>
          </cell>
          <cell r="D328">
            <v>0</v>
          </cell>
          <cell r="G328">
            <v>0</v>
          </cell>
        </row>
        <row r="329">
          <cell r="A329">
            <v>312070002</v>
          </cell>
          <cell r="B329" t="str">
            <v>面板+空格=4</v>
          </cell>
          <cell r="C329" t="str">
            <v>白玉石绒面</v>
          </cell>
          <cell r="D329">
            <v>0</v>
          </cell>
          <cell r="G329">
            <v>0</v>
          </cell>
        </row>
        <row r="330">
          <cell r="A330">
            <v>312070003</v>
          </cell>
          <cell r="B330" t="str">
            <v>实木青花瓷长几1200*600*420        QH-ST-6060</v>
          </cell>
          <cell r="C330">
            <v>0</v>
          </cell>
          <cell r="D330">
            <v>0</v>
          </cell>
          <cell r="G330">
            <v>0</v>
          </cell>
        </row>
        <row r="331">
          <cell r="A331">
            <v>312070004</v>
          </cell>
          <cell r="B331" t="str">
            <v>面板+空格=4</v>
          </cell>
          <cell r="C331" t="str">
            <v>白玉石绒面</v>
          </cell>
          <cell r="D331">
            <v>0</v>
          </cell>
          <cell r="G331">
            <v>0</v>
          </cell>
        </row>
        <row r="332">
          <cell r="A332">
            <v>312080001</v>
          </cell>
          <cell r="B332">
            <v>0</v>
          </cell>
          <cell r="C332">
            <v>0</v>
          </cell>
          <cell r="D332">
            <v>0</v>
          </cell>
          <cell r="G332">
            <v>0</v>
          </cell>
        </row>
        <row r="333">
          <cell r="A333">
            <v>312080002</v>
          </cell>
          <cell r="B333" t="str">
            <v>面板=1</v>
          </cell>
          <cell r="C333" t="str">
            <v>白玉石绒面</v>
          </cell>
          <cell r="D333">
            <v>0</v>
          </cell>
          <cell r="G333">
            <v>0</v>
          </cell>
        </row>
        <row r="334">
          <cell r="A334">
            <v>312080003</v>
          </cell>
          <cell r="B334" t="str">
            <v>实木青花瓷方几600*600*420        QH-ST-6060</v>
          </cell>
          <cell r="C334">
            <v>0</v>
          </cell>
          <cell r="D334">
            <v>0</v>
          </cell>
          <cell r="G334">
            <v>0</v>
          </cell>
        </row>
        <row r="335">
          <cell r="A335">
            <v>312080004</v>
          </cell>
          <cell r="B335" t="str">
            <v>面板=1</v>
          </cell>
          <cell r="C335" t="str">
            <v>白玉石绒面</v>
          </cell>
          <cell r="D335">
            <v>0</v>
          </cell>
          <cell r="G335">
            <v>0</v>
          </cell>
        </row>
        <row r="336">
          <cell r="A336">
            <v>312090001</v>
          </cell>
          <cell r="B336" t="str">
            <v>青花瓷文件柜 2600*400*1850     QH-C-2618</v>
          </cell>
          <cell r="C336">
            <v>0</v>
          </cell>
          <cell r="D336">
            <v>0</v>
          </cell>
          <cell r="G336">
            <v>0</v>
          </cell>
        </row>
        <row r="337">
          <cell r="A337">
            <v>312090002</v>
          </cell>
          <cell r="B337" t="str">
            <v>侧、背、门=8  （大）</v>
          </cell>
          <cell r="C337" t="str">
            <v>白玉石绒面</v>
          </cell>
          <cell r="D337">
            <v>1</v>
          </cell>
          <cell r="E337" t="str">
            <v>包</v>
          </cell>
          <cell r="F337" t="str">
            <v>7-1</v>
          </cell>
          <cell r="G337">
            <v>0</v>
          </cell>
        </row>
        <row r="338">
          <cell r="A338">
            <v>312090003</v>
          </cell>
          <cell r="B338" t="str">
            <v>面、底、固、活/配件=10</v>
          </cell>
          <cell r="C338" t="str">
            <v>白玉石绒面</v>
          </cell>
          <cell r="D338">
            <v>1</v>
          </cell>
          <cell r="E338" t="str">
            <v>包</v>
          </cell>
          <cell r="F338" t="str">
            <v>7-2</v>
          </cell>
          <cell r="G338">
            <v>0</v>
          </cell>
        </row>
        <row r="339">
          <cell r="A339">
            <v>312090004</v>
          </cell>
          <cell r="B339" t="str">
            <v>上柜+配件   （大）</v>
          </cell>
          <cell r="C339" t="str">
            <v>白玉石绒面</v>
          </cell>
          <cell r="D339">
            <v>1</v>
          </cell>
          <cell r="E339" t="str">
            <v>包</v>
          </cell>
          <cell r="F339" t="str">
            <v>7-3</v>
          </cell>
          <cell r="G339">
            <v>0</v>
          </cell>
        </row>
        <row r="340">
          <cell r="A340">
            <v>312090005</v>
          </cell>
          <cell r="B340" t="str">
            <v>下柜</v>
          </cell>
          <cell r="C340" t="str">
            <v>白玉石绒面</v>
          </cell>
          <cell r="D340">
            <v>1</v>
          </cell>
          <cell r="E340" t="str">
            <v>包</v>
          </cell>
          <cell r="F340" t="str">
            <v>7-4</v>
          </cell>
          <cell r="G340">
            <v>0</v>
          </cell>
        </row>
        <row r="341">
          <cell r="A341">
            <v>312090006</v>
          </cell>
          <cell r="B341" t="str">
            <v>四抽柜抽屉=4/左+配件</v>
          </cell>
          <cell r="C341" t="str">
            <v>白玉石绒面</v>
          </cell>
          <cell r="D341">
            <v>1</v>
          </cell>
          <cell r="E341" t="str">
            <v>包</v>
          </cell>
          <cell r="F341" t="str">
            <v>7-5</v>
          </cell>
          <cell r="G341">
            <v>0</v>
          </cell>
        </row>
        <row r="342">
          <cell r="A342">
            <v>312090007</v>
          </cell>
          <cell r="B342" t="str">
            <v>四抽柜抽屉=4/右+柜脚</v>
          </cell>
          <cell r="C342" t="str">
            <v>白玉石绒面</v>
          </cell>
          <cell r="D342">
            <v>1</v>
          </cell>
          <cell r="E342" t="str">
            <v>包</v>
          </cell>
          <cell r="F342" t="str">
            <v>7-6</v>
          </cell>
          <cell r="G342">
            <v>0</v>
          </cell>
        </row>
        <row r="343">
          <cell r="A343">
            <v>312090008</v>
          </cell>
          <cell r="B343" t="str">
            <v>支撑柱=1  托臂=4</v>
          </cell>
          <cell r="C343" t="str">
            <v>纯白</v>
          </cell>
          <cell r="D343">
            <v>1</v>
          </cell>
          <cell r="E343" t="str">
            <v>包</v>
          </cell>
          <cell r="F343" t="str">
            <v>7-7</v>
          </cell>
          <cell r="G343">
            <v>0</v>
          </cell>
        </row>
        <row r="344">
          <cell r="A344">
            <v>312100001</v>
          </cell>
          <cell r="B344" t="str">
            <v>青花瓷胶板洽谈台1000*1000*750</v>
          </cell>
          <cell r="C344">
            <v>0</v>
          </cell>
          <cell r="D344">
            <v>0</v>
          </cell>
          <cell r="G344">
            <v>0</v>
          </cell>
        </row>
        <row r="345">
          <cell r="A345">
            <v>312100002</v>
          </cell>
          <cell r="B345" t="str">
            <v>台面板=1</v>
          </cell>
          <cell r="C345" t="str">
            <v>白玉石绒面</v>
          </cell>
          <cell r="D345">
            <v>1</v>
          </cell>
          <cell r="E345" t="str">
            <v>包</v>
          </cell>
          <cell r="F345" t="str">
            <v>2-1</v>
          </cell>
          <cell r="G345">
            <v>0</v>
          </cell>
        </row>
        <row r="346">
          <cell r="A346">
            <v>312100003</v>
          </cell>
          <cell r="B346" t="str">
            <v>实木青花瓷洽谈台   1000*1000*750     QH-T3-1010</v>
          </cell>
          <cell r="C346">
            <v>0</v>
          </cell>
          <cell r="D346">
            <v>0</v>
          </cell>
          <cell r="G346">
            <v>0</v>
          </cell>
        </row>
        <row r="347">
          <cell r="A347">
            <v>312100004</v>
          </cell>
          <cell r="B347" t="str">
            <v>台面板=1</v>
          </cell>
          <cell r="C347" t="str">
            <v>白玉石绒面</v>
          </cell>
          <cell r="D347">
            <v>0</v>
          </cell>
          <cell r="G347">
            <v>0</v>
          </cell>
        </row>
        <row r="348">
          <cell r="A348">
            <v>312110001</v>
          </cell>
          <cell r="B348" t="str">
            <v>青花瓷会议台2800*1200*750      QH-T1-3012</v>
          </cell>
          <cell r="C348">
            <v>0</v>
          </cell>
          <cell r="D348">
            <v>0</v>
          </cell>
          <cell r="G348">
            <v>0</v>
          </cell>
        </row>
        <row r="349">
          <cell r="A349">
            <v>312110002</v>
          </cell>
          <cell r="B349" t="str">
            <v>台面板1=2</v>
          </cell>
          <cell r="C349" t="str">
            <v>白玉石绒面</v>
          </cell>
          <cell r="D349">
            <v>1</v>
          </cell>
          <cell r="E349" t="str">
            <v>包</v>
          </cell>
          <cell r="F349" t="str">
            <v>9-1</v>
          </cell>
          <cell r="G349">
            <v>0</v>
          </cell>
        </row>
        <row r="350">
          <cell r="A350">
            <v>312110003</v>
          </cell>
          <cell r="B350" t="str">
            <v>边面板2=2.头饰板=1平铁=10、配件</v>
          </cell>
          <cell r="C350" t="str">
            <v>白玉石绒面</v>
          </cell>
          <cell r="D350">
            <v>1</v>
          </cell>
          <cell r="E350" t="str">
            <v>包</v>
          </cell>
          <cell r="F350" t="str">
            <v>9-2</v>
          </cell>
          <cell r="G350">
            <v>0</v>
          </cell>
        </row>
        <row r="351">
          <cell r="A351">
            <v>312110004</v>
          </cell>
          <cell r="B351" t="str">
            <v>边脚=2</v>
          </cell>
          <cell r="C351" t="str">
            <v>纯白+电镀</v>
          </cell>
          <cell r="D351">
            <v>2</v>
          </cell>
          <cell r="E351" t="str">
            <v>包</v>
          </cell>
          <cell r="F351" t="str">
            <v>9-3、4</v>
          </cell>
          <cell r="G351">
            <v>0</v>
          </cell>
        </row>
        <row r="352">
          <cell r="A352">
            <v>312110006</v>
          </cell>
          <cell r="B352" t="str">
            <v>横杆=4</v>
          </cell>
          <cell r="C352" t="str">
            <v>纯白</v>
          </cell>
          <cell r="D352">
            <v>1</v>
          </cell>
          <cell r="E352" t="str">
            <v>包</v>
          </cell>
          <cell r="F352" t="str">
            <v>9-7</v>
          </cell>
          <cell r="G352">
            <v>0</v>
          </cell>
        </row>
        <row r="353">
          <cell r="A353">
            <v>312110007</v>
          </cell>
          <cell r="B353" t="str">
            <v>走线槽</v>
          </cell>
          <cell r="C353" t="str">
            <v>纯白</v>
          </cell>
          <cell r="D353">
            <v>1</v>
          </cell>
          <cell r="E353" t="str">
            <v>包</v>
          </cell>
          <cell r="F353" t="str">
            <v>9-8</v>
          </cell>
          <cell r="G353">
            <v>0</v>
          </cell>
        </row>
        <row r="354">
          <cell r="A354">
            <v>312110009</v>
          </cell>
          <cell r="B354" t="str">
            <v>台面板=1</v>
          </cell>
          <cell r="C354" t="str">
            <v>白玉石绒面</v>
          </cell>
          <cell r="D354">
            <v>1</v>
          </cell>
          <cell r="E354" t="str">
            <v>包</v>
          </cell>
          <cell r="F354" t="str">
            <v>4-1</v>
          </cell>
          <cell r="G354">
            <v>0</v>
          </cell>
        </row>
        <row r="355">
          <cell r="A355">
            <v>312110010</v>
          </cell>
          <cell r="B355" t="str">
            <v>钢脚=2</v>
          </cell>
          <cell r="C355" t="str">
            <v>纯白+电镀</v>
          </cell>
          <cell r="D355">
            <v>2</v>
          </cell>
          <cell r="E355" t="str">
            <v>包</v>
          </cell>
          <cell r="F355" t="str">
            <v>4-2,3</v>
          </cell>
          <cell r="G355">
            <v>0</v>
          </cell>
        </row>
        <row r="356">
          <cell r="A356">
            <v>312110011</v>
          </cell>
          <cell r="B356" t="str">
            <v>拉杆=2/配件</v>
          </cell>
          <cell r="C356" t="str">
            <v>纯白</v>
          </cell>
          <cell r="D356">
            <v>1</v>
          </cell>
          <cell r="E356" t="str">
            <v>包</v>
          </cell>
          <cell r="F356" t="str">
            <v>4-4</v>
          </cell>
          <cell r="G356">
            <v>0</v>
          </cell>
        </row>
        <row r="357">
          <cell r="A357">
            <v>313010001</v>
          </cell>
          <cell r="B357" t="str">
            <v xml:space="preserve">欧格主管桌                                      OUGE-D1-1808 1800*800*760  </v>
          </cell>
          <cell r="C357">
            <v>0</v>
          </cell>
          <cell r="D357">
            <v>0</v>
          </cell>
          <cell r="G357">
            <v>5</v>
          </cell>
        </row>
        <row r="358">
          <cell r="A358">
            <v>313010002</v>
          </cell>
          <cell r="B358" t="str">
            <v>台面板=1    挡板=1</v>
          </cell>
          <cell r="C358" t="str">
            <v xml:space="preserve">OF-521横纹进口暖白小瓦椤 </v>
          </cell>
          <cell r="D358" t="str">
            <v>1</v>
          </cell>
          <cell r="E358" t="str">
            <v>包</v>
          </cell>
          <cell r="F358" t="str">
            <v>6-1</v>
          </cell>
          <cell r="G358">
            <v>5</v>
          </cell>
        </row>
        <row r="359">
          <cell r="A359">
            <v>313010003</v>
          </cell>
          <cell r="B359" t="str">
            <v>附柜=1</v>
          </cell>
          <cell r="C359" t="str">
            <v>OF-521横纹</v>
          </cell>
          <cell r="D359" t="str">
            <v>1</v>
          </cell>
          <cell r="E359" t="str">
            <v>包</v>
          </cell>
          <cell r="F359" t="str">
            <v>6-2</v>
          </cell>
          <cell r="G359">
            <v>5</v>
          </cell>
        </row>
        <row r="360">
          <cell r="A360">
            <v>313010004</v>
          </cell>
          <cell r="B360" t="str">
            <v>附柜三抽柜=1+配件</v>
          </cell>
          <cell r="C360" t="str">
            <v>进口暖白小瓦椤</v>
          </cell>
          <cell r="D360" t="str">
            <v>1</v>
          </cell>
          <cell r="E360" t="str">
            <v>包</v>
          </cell>
          <cell r="F360" t="str">
            <v>6-3</v>
          </cell>
          <cell r="G360">
            <v>5</v>
          </cell>
        </row>
        <row r="361">
          <cell r="A361">
            <v>313010005</v>
          </cell>
          <cell r="B361" t="str">
            <v>钢脚=4</v>
          </cell>
          <cell r="C361" t="str">
            <v xml:space="preserve">砂白+电镀 </v>
          </cell>
          <cell r="D361" t="str">
            <v>1</v>
          </cell>
          <cell r="E361" t="str">
            <v>包</v>
          </cell>
          <cell r="F361" t="str">
            <v>6-4</v>
          </cell>
          <cell r="G361">
            <v>5</v>
          </cell>
        </row>
        <row r="362">
          <cell r="A362">
            <v>313010006</v>
          </cell>
          <cell r="B362" t="str">
            <v>横杆=2+配件</v>
          </cell>
          <cell r="C362" t="str">
            <v>砂白</v>
          </cell>
          <cell r="D362" t="str">
            <v>1</v>
          </cell>
          <cell r="E362" t="str">
            <v>包</v>
          </cell>
          <cell r="F362" t="str">
            <v>6-5</v>
          </cell>
          <cell r="G362">
            <v>5</v>
          </cell>
        </row>
        <row r="363">
          <cell r="A363">
            <v>313010007</v>
          </cell>
          <cell r="B363" t="str">
            <v>连接杆=2+走线槽</v>
          </cell>
          <cell r="C363" t="str">
            <v>砂白</v>
          </cell>
          <cell r="D363" t="str">
            <v>1</v>
          </cell>
          <cell r="E363" t="str">
            <v>包</v>
          </cell>
          <cell r="F363" t="str">
            <v>6-6</v>
          </cell>
          <cell r="G363">
            <v>5</v>
          </cell>
        </row>
        <row r="364">
          <cell r="A364">
            <v>313010008</v>
          </cell>
          <cell r="B364" t="str">
            <v>活动主机架=1</v>
          </cell>
          <cell r="C364" t="str">
            <v>进口暖白小瓦椤</v>
          </cell>
          <cell r="D364" t="str">
            <v>1</v>
          </cell>
          <cell r="E364" t="str">
            <v>个</v>
          </cell>
          <cell r="F364" t="str">
            <v>1-1</v>
          </cell>
          <cell r="G364">
            <v>0</v>
          </cell>
        </row>
        <row r="365">
          <cell r="A365">
            <v>313040001</v>
          </cell>
          <cell r="B365" t="str">
            <v>欧格L形十字四人位组合
OUGE-L4-2828  2800*2800*760</v>
          </cell>
          <cell r="C365">
            <v>0</v>
          </cell>
          <cell r="D365">
            <v>0</v>
          </cell>
          <cell r="G365">
            <v>0</v>
          </cell>
        </row>
        <row r="366">
          <cell r="A366">
            <v>313040002</v>
          </cell>
          <cell r="B366" t="str">
            <v>L形面板=4</v>
          </cell>
          <cell r="C366" t="str">
            <v>OF-521横纹小瓦椤</v>
          </cell>
          <cell r="D366" t="str">
            <v>2</v>
          </cell>
          <cell r="E366" t="str">
            <v>包</v>
          </cell>
          <cell r="F366" t="str">
            <v>12-1.2</v>
          </cell>
          <cell r="G366">
            <v>0</v>
          </cell>
        </row>
        <row r="367">
          <cell r="A367">
            <v>313040003</v>
          </cell>
          <cell r="B367" t="str">
            <v>地柜=2+配件 /左</v>
          </cell>
          <cell r="C367" t="str">
            <v xml:space="preserve">OF-521横纹进口暖白小瓦椤 </v>
          </cell>
          <cell r="D367" t="str">
            <v>2</v>
          </cell>
          <cell r="E367" t="str">
            <v>包</v>
          </cell>
          <cell r="F367" t="str">
            <v>12-3.4.</v>
          </cell>
          <cell r="G367">
            <v>0</v>
          </cell>
        </row>
        <row r="368">
          <cell r="A368">
            <v>313040004</v>
          </cell>
          <cell r="B368" t="str">
            <v>地柜=2+配件 /右</v>
          </cell>
          <cell r="C368" t="str">
            <v xml:space="preserve">OF-521横纹进口暖白小瓦椤 </v>
          </cell>
          <cell r="D368" t="str">
            <v>2</v>
          </cell>
          <cell r="E368" t="str">
            <v>包</v>
          </cell>
          <cell r="F368" t="str">
            <v>12-5.6</v>
          </cell>
          <cell r="G368">
            <v>0</v>
          </cell>
        </row>
        <row r="369">
          <cell r="A369">
            <v>313040005</v>
          </cell>
          <cell r="B369" t="str">
            <v>屏风玻璃板</v>
          </cell>
          <cell r="C369" t="str">
            <v>苶色烤漆玻璃</v>
          </cell>
          <cell r="D369" t="str">
            <v>1</v>
          </cell>
          <cell r="E369" t="str">
            <v>包</v>
          </cell>
          <cell r="F369" t="str">
            <v>12-7</v>
          </cell>
          <cell r="G369">
            <v>0</v>
          </cell>
        </row>
        <row r="370">
          <cell r="A370">
            <v>313040006</v>
          </cell>
          <cell r="B370" t="str">
            <v>配件箱</v>
          </cell>
          <cell r="C370">
            <v>0</v>
          </cell>
          <cell r="D370" t="str">
            <v>1</v>
          </cell>
          <cell r="E370" t="str">
            <v>包</v>
          </cell>
          <cell r="F370" t="str">
            <v>12-8</v>
          </cell>
          <cell r="G370">
            <v>0</v>
          </cell>
        </row>
        <row r="371">
          <cell r="A371">
            <v>313040007</v>
          </cell>
          <cell r="B371" t="str">
            <v>钢脚=4</v>
          </cell>
          <cell r="C371" t="str">
            <v xml:space="preserve">砂白+电镀 </v>
          </cell>
          <cell r="D371" t="str">
            <v>1</v>
          </cell>
          <cell r="E371" t="str">
            <v>包</v>
          </cell>
          <cell r="F371" t="str">
            <v>12-9</v>
          </cell>
          <cell r="G371">
            <v>0</v>
          </cell>
        </row>
        <row r="372">
          <cell r="A372">
            <v>313040008</v>
          </cell>
          <cell r="B372" t="str">
            <v>钢制线盒=1</v>
          </cell>
          <cell r="C372" t="str">
            <v>砂白</v>
          </cell>
          <cell r="D372" t="str">
            <v>1</v>
          </cell>
          <cell r="E372" t="str">
            <v>包</v>
          </cell>
          <cell r="F372" t="str">
            <v>12-10</v>
          </cell>
          <cell r="G372">
            <v>0</v>
          </cell>
        </row>
        <row r="373">
          <cell r="A373">
            <v>313040009</v>
          </cell>
          <cell r="B373" t="str">
            <v>横杆=2+配件</v>
          </cell>
          <cell r="C373" t="str">
            <v>砂白</v>
          </cell>
          <cell r="D373" t="str">
            <v>1</v>
          </cell>
          <cell r="E373" t="str">
            <v>包</v>
          </cell>
          <cell r="F373" t="str">
            <v>12-11</v>
          </cell>
          <cell r="G373">
            <v>0</v>
          </cell>
        </row>
        <row r="374">
          <cell r="A374">
            <v>313040010</v>
          </cell>
          <cell r="B374" t="str">
            <v>连接杆=2</v>
          </cell>
          <cell r="C374" t="str">
            <v>砂白</v>
          </cell>
          <cell r="D374" t="str">
            <v>1</v>
          </cell>
          <cell r="E374" t="str">
            <v>包</v>
          </cell>
          <cell r="F374" t="str">
            <v>12-12</v>
          </cell>
          <cell r="G374">
            <v>0</v>
          </cell>
        </row>
        <row r="375">
          <cell r="A375">
            <v>313040011</v>
          </cell>
          <cell r="B375" t="str">
            <v>欧格直形四人位
OUGE-D4-3212  3200*1200*760 ************** 2800*1200*760时不带附柜</v>
          </cell>
          <cell r="C375">
            <v>0</v>
          </cell>
          <cell r="D375">
            <v>0</v>
          </cell>
          <cell r="G375">
            <v>10</v>
          </cell>
        </row>
        <row r="376">
          <cell r="A376">
            <v>313040012</v>
          </cell>
          <cell r="B376" t="str">
            <v>台面板=4</v>
          </cell>
          <cell r="C376" t="str">
            <v>OF-521横纹小瓦椤</v>
          </cell>
          <cell r="D376" t="str">
            <v>2</v>
          </cell>
          <cell r="E376" t="str">
            <v>包</v>
          </cell>
          <cell r="F376" t="str">
            <v>12-1.2</v>
          </cell>
          <cell r="G376">
            <v>20</v>
          </cell>
        </row>
        <row r="377">
          <cell r="A377">
            <v>313040013</v>
          </cell>
          <cell r="B377" t="str">
            <v>活动柜=4</v>
          </cell>
          <cell r="C377" t="str">
            <v xml:space="preserve">OF-521横纹进口暖白小瓦椤 </v>
          </cell>
          <cell r="D377" t="str">
            <v>4</v>
          </cell>
          <cell r="E377" t="str">
            <v>包</v>
          </cell>
          <cell r="F377" t="str">
            <v>12-3.4.5.6</v>
          </cell>
          <cell r="G377">
            <v>40</v>
          </cell>
        </row>
        <row r="378">
          <cell r="A378">
            <v>313040014</v>
          </cell>
          <cell r="B378" t="str">
            <v>屏风玻璃板</v>
          </cell>
          <cell r="C378" t="str">
            <v>苶色烤漆玻璃</v>
          </cell>
          <cell r="D378" t="str">
            <v>1</v>
          </cell>
          <cell r="E378" t="str">
            <v>包</v>
          </cell>
          <cell r="F378" t="str">
            <v>12-7</v>
          </cell>
          <cell r="G378">
            <v>10</v>
          </cell>
        </row>
        <row r="379">
          <cell r="A379">
            <v>313040015</v>
          </cell>
          <cell r="B379" t="str">
            <v>配件箱</v>
          </cell>
          <cell r="C379">
            <v>0</v>
          </cell>
          <cell r="D379" t="str">
            <v>1</v>
          </cell>
          <cell r="E379" t="str">
            <v>包</v>
          </cell>
          <cell r="F379" t="str">
            <v>12-8</v>
          </cell>
          <cell r="G379">
            <v>10</v>
          </cell>
        </row>
        <row r="380">
          <cell r="A380">
            <v>313040016</v>
          </cell>
          <cell r="B380" t="str">
            <v>钢脚=4</v>
          </cell>
          <cell r="C380" t="str">
            <v xml:space="preserve">砂白+电镀 </v>
          </cell>
          <cell r="D380" t="str">
            <v>1</v>
          </cell>
          <cell r="E380" t="str">
            <v>包</v>
          </cell>
          <cell r="F380" t="str">
            <v>12-9.</v>
          </cell>
          <cell r="G380">
            <v>10</v>
          </cell>
        </row>
        <row r="381">
          <cell r="A381">
            <v>313040017</v>
          </cell>
          <cell r="B381" t="str">
            <v>钢制线盒=1+主机架</v>
          </cell>
          <cell r="C381" t="str">
            <v>砂白</v>
          </cell>
          <cell r="D381" t="str">
            <v>1</v>
          </cell>
          <cell r="E381" t="str">
            <v>包</v>
          </cell>
          <cell r="F381" t="str">
            <v>12-10</v>
          </cell>
          <cell r="G381">
            <v>10</v>
          </cell>
        </row>
        <row r="382">
          <cell r="A382">
            <v>313040018</v>
          </cell>
          <cell r="B382" t="str">
            <v>横杆=2+配件</v>
          </cell>
          <cell r="C382" t="str">
            <v>砂白</v>
          </cell>
          <cell r="D382" t="str">
            <v>1</v>
          </cell>
          <cell r="E382" t="str">
            <v>包</v>
          </cell>
          <cell r="F382" t="str">
            <v>12-11</v>
          </cell>
          <cell r="G382">
            <v>10</v>
          </cell>
        </row>
        <row r="383">
          <cell r="B383" t="str">
            <v>#NAME?</v>
          </cell>
          <cell r="C383" t="str">
            <v>砂白</v>
          </cell>
          <cell r="D383" t="str">
            <v>1</v>
          </cell>
          <cell r="E383" t="str">
            <v>包</v>
          </cell>
          <cell r="F383" t="str">
            <v>12-11</v>
          </cell>
          <cell r="G383">
            <v>0</v>
          </cell>
        </row>
        <row r="384">
          <cell r="A384">
            <v>313040019</v>
          </cell>
          <cell r="B384" t="str">
            <v>连接杆=2</v>
          </cell>
          <cell r="C384" t="str">
            <v>砂白</v>
          </cell>
          <cell r="D384" t="str">
            <v>1</v>
          </cell>
          <cell r="E384" t="str">
            <v>包</v>
          </cell>
          <cell r="F384" t="str">
            <v>12-12</v>
          </cell>
          <cell r="G384">
            <v>10</v>
          </cell>
        </row>
        <row r="385">
          <cell r="A385">
            <v>313040020</v>
          </cell>
          <cell r="B385" t="str">
            <v>上柜=1</v>
          </cell>
          <cell r="C385" t="str">
            <v xml:space="preserve">OF-521横纹进口暖白小瓦椤 </v>
          </cell>
          <cell r="D385" t="str">
            <v>1</v>
          </cell>
          <cell r="E385" t="str">
            <v>包</v>
          </cell>
          <cell r="F385" t="str">
            <v>15-13</v>
          </cell>
          <cell r="G385">
            <v>0</v>
          </cell>
        </row>
        <row r="386">
          <cell r="A386">
            <v>313040021</v>
          </cell>
          <cell r="B386" t="str">
            <v>下柜=1 配件包</v>
          </cell>
          <cell r="C386" t="str">
            <v xml:space="preserve">OF-521横纹进口暖白小瓦椤 </v>
          </cell>
          <cell r="D386" t="str">
            <v>1</v>
          </cell>
          <cell r="E386" t="str">
            <v>包</v>
          </cell>
          <cell r="F386" t="str">
            <v>15-14</v>
          </cell>
          <cell r="G386">
            <v>0</v>
          </cell>
        </row>
        <row r="387">
          <cell r="A387">
            <v>313040022</v>
          </cell>
          <cell r="B387" t="str">
            <v>附柜抽屉=1</v>
          </cell>
          <cell r="C387" t="str">
            <v xml:space="preserve">OF-521横纹进口暖白小瓦椤 </v>
          </cell>
          <cell r="D387" t="str">
            <v>1</v>
          </cell>
          <cell r="E387" t="str">
            <v>包</v>
          </cell>
          <cell r="F387" t="str">
            <v>15-15</v>
          </cell>
          <cell r="G387">
            <v>0</v>
          </cell>
        </row>
        <row r="388">
          <cell r="A388">
            <v>313040023</v>
          </cell>
          <cell r="B388" t="str">
            <v>活动主机架=4</v>
          </cell>
          <cell r="C388" t="str">
            <v>进口暖白小瓦椤</v>
          </cell>
          <cell r="D388" t="str">
            <v>4</v>
          </cell>
          <cell r="E388" t="str">
            <v>个</v>
          </cell>
          <cell r="F388" t="str">
            <v>1-1</v>
          </cell>
          <cell r="G388">
            <v>0</v>
          </cell>
        </row>
        <row r="389">
          <cell r="A389">
            <v>313090001</v>
          </cell>
          <cell r="B389" t="str">
            <v>欧格文件柜                                      OUGE-C1-2418  2400*420*1850</v>
          </cell>
          <cell r="C389">
            <v>0</v>
          </cell>
          <cell r="D389">
            <v>0</v>
          </cell>
          <cell r="G389">
            <v>0</v>
          </cell>
        </row>
        <row r="390">
          <cell r="A390">
            <v>313090002</v>
          </cell>
          <cell r="B390" t="str">
            <v>顶、底、门=6</v>
          </cell>
          <cell r="C390" t="str">
            <v xml:space="preserve">OF-521横纹进口暖白小瓦椤 </v>
          </cell>
          <cell r="D390" t="str">
            <v>1</v>
          </cell>
          <cell r="E390" t="str">
            <v>包</v>
          </cell>
          <cell r="F390" t="str">
            <v>6-1</v>
          </cell>
          <cell r="G390">
            <v>0</v>
          </cell>
        </row>
        <row r="391">
          <cell r="A391">
            <v>313090003</v>
          </cell>
          <cell r="B391" t="str">
            <v>侧板/中侧=5</v>
          </cell>
          <cell r="C391" t="str">
            <v>进口暖白小瓦椤</v>
          </cell>
          <cell r="D391" t="str">
            <v>1</v>
          </cell>
          <cell r="E391" t="str">
            <v>包</v>
          </cell>
          <cell r="F391" t="str">
            <v>6-2</v>
          </cell>
          <cell r="G391">
            <v>0</v>
          </cell>
        </row>
        <row r="392">
          <cell r="A392">
            <v>313090004</v>
          </cell>
          <cell r="B392" t="str">
            <v>层板、活层=12/配件</v>
          </cell>
          <cell r="C392" t="str">
            <v>进口暖白小瓦椤</v>
          </cell>
          <cell r="D392" t="str">
            <v>1</v>
          </cell>
          <cell r="E392" t="str">
            <v>包</v>
          </cell>
          <cell r="F392" t="str">
            <v>6-3</v>
          </cell>
          <cell r="G392">
            <v>0</v>
          </cell>
        </row>
        <row r="393">
          <cell r="A393">
            <v>313090005</v>
          </cell>
          <cell r="B393" t="str">
            <v>背板=2</v>
          </cell>
          <cell r="C393" t="str">
            <v xml:space="preserve">OF-521横纹进口暖白小瓦椤 </v>
          </cell>
          <cell r="D393" t="str">
            <v>1</v>
          </cell>
          <cell r="E393" t="str">
            <v>包</v>
          </cell>
          <cell r="F393" t="str">
            <v>6-4</v>
          </cell>
          <cell r="G393">
            <v>0</v>
          </cell>
        </row>
        <row r="394">
          <cell r="A394">
            <v>313090006</v>
          </cell>
          <cell r="B394" t="str">
            <v>四抽屉B=4</v>
          </cell>
          <cell r="C394" t="str">
            <v xml:space="preserve">OF-521横纹进口暖白小瓦椤 </v>
          </cell>
          <cell r="D394" t="str">
            <v>2</v>
          </cell>
          <cell r="E394" t="str">
            <v>包</v>
          </cell>
          <cell r="F394" t="str">
            <v>6-5,6</v>
          </cell>
          <cell r="G394">
            <v>0</v>
          </cell>
        </row>
        <row r="395">
          <cell r="A395">
            <v>313090007</v>
          </cell>
          <cell r="B395" t="str">
            <v>#N/A</v>
          </cell>
          <cell r="C395" t="str">
            <v>#N/A</v>
          </cell>
          <cell r="D395" t="str">
            <v>#N/A</v>
          </cell>
          <cell r="E395" t="str">
            <v>#N/A</v>
          </cell>
          <cell r="F395" t="str">
            <v>#N/A</v>
          </cell>
          <cell r="G395">
            <v>0</v>
          </cell>
        </row>
        <row r="396">
          <cell r="A396">
            <v>313100001</v>
          </cell>
          <cell r="B396" t="str">
            <v>欧格洽谈桌
OUGE-T3-1010 1000*1000*750</v>
          </cell>
          <cell r="C396">
            <v>0</v>
          </cell>
          <cell r="D396">
            <v>0</v>
          </cell>
          <cell r="G396">
            <v>0</v>
          </cell>
        </row>
        <row r="397">
          <cell r="A397">
            <v>313100002</v>
          </cell>
          <cell r="B397" t="str">
            <v>台面板=1</v>
          </cell>
          <cell r="C397" t="str">
            <v>OF-521横纹小瓦椤</v>
          </cell>
          <cell r="D397" t="str">
            <v>1</v>
          </cell>
          <cell r="E397" t="str">
            <v>包</v>
          </cell>
          <cell r="F397" t="str">
            <v>2-1</v>
          </cell>
          <cell r="G397">
            <v>0</v>
          </cell>
        </row>
        <row r="398">
          <cell r="A398">
            <v>313100003</v>
          </cell>
          <cell r="B398" t="str">
            <v>钢脚=3</v>
          </cell>
          <cell r="C398" t="str">
            <v xml:space="preserve">砂白+电镀 </v>
          </cell>
          <cell r="D398" t="str">
            <v>1</v>
          </cell>
          <cell r="E398" t="str">
            <v>包</v>
          </cell>
          <cell r="F398" t="str">
            <v>2-2</v>
          </cell>
          <cell r="G398">
            <v>0</v>
          </cell>
        </row>
        <row r="399">
          <cell r="A399">
            <v>313110001</v>
          </cell>
          <cell r="B399" t="str">
            <v>欧格会议桌                                      OUGE-T2-2812   2800*1200*760</v>
          </cell>
          <cell r="C399">
            <v>0</v>
          </cell>
          <cell r="D399">
            <v>0</v>
          </cell>
          <cell r="G399">
            <v>0</v>
          </cell>
        </row>
        <row r="400">
          <cell r="A400">
            <v>313110002</v>
          </cell>
          <cell r="B400" t="str">
            <v>台面板=2</v>
          </cell>
          <cell r="C400" t="str">
            <v>OF-521横纹小瓦椤</v>
          </cell>
          <cell r="D400" t="str">
            <v>1</v>
          </cell>
          <cell r="E400" t="str">
            <v>包</v>
          </cell>
          <cell r="F400" t="str">
            <v>6-1</v>
          </cell>
          <cell r="G400">
            <v>0</v>
          </cell>
        </row>
        <row r="401">
          <cell r="A401">
            <v>313110003</v>
          </cell>
          <cell r="B401" t="str">
            <v>装饰板=1 平铁=4+配件</v>
          </cell>
          <cell r="C401" t="str">
            <v>进口暖白小瓦椤</v>
          </cell>
          <cell r="D401" t="str">
            <v>1</v>
          </cell>
          <cell r="E401" t="str">
            <v>包</v>
          </cell>
          <cell r="F401" t="str">
            <v>6-2</v>
          </cell>
          <cell r="G401">
            <v>0</v>
          </cell>
        </row>
        <row r="402">
          <cell r="A402">
            <v>313110004</v>
          </cell>
          <cell r="B402" t="str">
            <v>钢脚=4</v>
          </cell>
          <cell r="C402" t="str">
            <v xml:space="preserve">砂白+电镀 </v>
          </cell>
          <cell r="D402" t="str">
            <v>1</v>
          </cell>
          <cell r="E402" t="str">
            <v>包</v>
          </cell>
          <cell r="F402" t="str">
            <v>6-3</v>
          </cell>
          <cell r="G402">
            <v>0</v>
          </cell>
        </row>
        <row r="403">
          <cell r="A403">
            <v>313110005</v>
          </cell>
          <cell r="B403" t="str">
            <v>钢制线盒=1</v>
          </cell>
          <cell r="C403" t="str">
            <v>砂白</v>
          </cell>
          <cell r="D403" t="str">
            <v>1</v>
          </cell>
          <cell r="E403" t="str">
            <v>包</v>
          </cell>
          <cell r="F403" t="str">
            <v>6-4</v>
          </cell>
          <cell r="G403">
            <v>0</v>
          </cell>
        </row>
        <row r="404">
          <cell r="A404">
            <v>313110006</v>
          </cell>
          <cell r="B404" t="str">
            <v>横杆=2+配件</v>
          </cell>
          <cell r="C404" t="str">
            <v>砂白</v>
          </cell>
          <cell r="D404" t="str">
            <v>1</v>
          </cell>
          <cell r="E404" t="str">
            <v>包</v>
          </cell>
          <cell r="F404" t="str">
            <v>6-5</v>
          </cell>
          <cell r="G404">
            <v>0</v>
          </cell>
        </row>
        <row r="405">
          <cell r="A405">
            <v>313110007</v>
          </cell>
          <cell r="B405" t="str">
            <v>连接杆=2</v>
          </cell>
          <cell r="C405" t="str">
            <v>砂白</v>
          </cell>
          <cell r="D405" t="str">
            <v>1</v>
          </cell>
          <cell r="E405" t="str">
            <v>包</v>
          </cell>
          <cell r="F405" t="str">
            <v>6-6</v>
          </cell>
          <cell r="G405">
            <v>0</v>
          </cell>
        </row>
        <row r="406">
          <cell r="A406">
            <v>314010001</v>
          </cell>
          <cell r="B406" t="str">
            <v>欧瑞主管桌                                      OREM-D1-2420   2400*2000*760    左方向</v>
          </cell>
          <cell r="C406">
            <v>0</v>
          </cell>
          <cell r="D406">
            <v>0</v>
          </cell>
          <cell r="G406">
            <v>0</v>
          </cell>
        </row>
        <row r="407">
          <cell r="A407">
            <v>314010002</v>
          </cell>
          <cell r="B407" t="str">
            <v>台面板=1           挡板=1</v>
          </cell>
          <cell r="C407" t="str">
            <v xml:space="preserve">OF-522-1#特高亮光 OF-奶白-5#特高亮光 </v>
          </cell>
          <cell r="D407" t="str">
            <v>1</v>
          </cell>
          <cell r="E407" t="str">
            <v>包</v>
          </cell>
          <cell r="F407" t="str">
            <v>6-1</v>
          </cell>
          <cell r="G407">
            <v>0</v>
          </cell>
        </row>
        <row r="408">
          <cell r="A408">
            <v>314010003</v>
          </cell>
          <cell r="B408" t="str">
            <v>附柜=1+配件</v>
          </cell>
          <cell r="C408" t="str">
            <v xml:space="preserve">OF-522-1#特高亮光 OF-奶白-5#特高亮光 </v>
          </cell>
          <cell r="D408" t="str">
            <v>1</v>
          </cell>
          <cell r="E408" t="str">
            <v>包</v>
          </cell>
          <cell r="F408" t="str">
            <v>6-2</v>
          </cell>
          <cell r="G408">
            <v>0</v>
          </cell>
        </row>
        <row r="409">
          <cell r="A409">
            <v>314010004</v>
          </cell>
          <cell r="B409" t="str">
            <v>附柜二抽柜=1</v>
          </cell>
          <cell r="C409" t="str">
            <v xml:space="preserve">OF-奶白-5#特高亮光 </v>
          </cell>
          <cell r="D409" t="str">
            <v>1</v>
          </cell>
          <cell r="E409" t="str">
            <v>包</v>
          </cell>
          <cell r="F409" t="str">
            <v>6-3</v>
          </cell>
          <cell r="G409">
            <v>0</v>
          </cell>
        </row>
        <row r="410">
          <cell r="A410">
            <v>314010005</v>
          </cell>
          <cell r="B410" t="str">
            <v>钢脚=2 走线槽=1</v>
          </cell>
          <cell r="C410" t="str">
            <v>砂白</v>
          </cell>
          <cell r="D410" t="str">
            <v>1</v>
          </cell>
          <cell r="E410" t="str">
            <v>包</v>
          </cell>
          <cell r="F410" t="str">
            <v>6-4</v>
          </cell>
          <cell r="G410">
            <v>0</v>
          </cell>
        </row>
        <row r="411">
          <cell r="A411">
            <v>314010006</v>
          </cell>
          <cell r="B411" t="str">
            <v>拉杆=2</v>
          </cell>
          <cell r="C411" t="str">
            <v>砂白</v>
          </cell>
          <cell r="D411" t="str">
            <v>1</v>
          </cell>
          <cell r="E411" t="str">
            <v>包</v>
          </cell>
          <cell r="F411" t="str">
            <v>6-5</v>
          </cell>
          <cell r="G411">
            <v>0</v>
          </cell>
        </row>
        <row r="412">
          <cell r="A412">
            <v>314010007</v>
          </cell>
          <cell r="B412" t="str">
            <v>附柜支撑钢脚=3+配件</v>
          </cell>
          <cell r="C412" t="str">
            <v>砂白</v>
          </cell>
          <cell r="D412" t="str">
            <v>1</v>
          </cell>
          <cell r="E412" t="str">
            <v>包</v>
          </cell>
          <cell r="F412" t="str">
            <v>6-6</v>
          </cell>
          <cell r="G412">
            <v>0</v>
          </cell>
        </row>
        <row r="413">
          <cell r="A413">
            <v>314010008</v>
          </cell>
          <cell r="B413" t="str">
            <v>欧瑞主管桌                                      OREM-D1-2420   2400*2000*760    右方向</v>
          </cell>
          <cell r="C413">
            <v>0</v>
          </cell>
          <cell r="D413">
            <v>0</v>
          </cell>
          <cell r="G413">
            <v>0</v>
          </cell>
        </row>
        <row r="414">
          <cell r="A414">
            <v>314010009</v>
          </cell>
          <cell r="B414" t="str">
            <v>台面板=1           挡板=1</v>
          </cell>
          <cell r="C414" t="str">
            <v xml:space="preserve">OF-522-1#特高亮光 OF-奶白-5#特高亮光 </v>
          </cell>
          <cell r="D414" t="str">
            <v>1</v>
          </cell>
          <cell r="E414" t="str">
            <v>包</v>
          </cell>
          <cell r="F414" t="str">
            <v>6-1</v>
          </cell>
          <cell r="G414">
            <v>0</v>
          </cell>
        </row>
        <row r="415">
          <cell r="A415">
            <v>314010010</v>
          </cell>
          <cell r="B415" t="str">
            <v>附柜=1+配件</v>
          </cell>
          <cell r="C415" t="str">
            <v xml:space="preserve">OF-522-1#特高亮光 OF-奶白-5#特高亮光 </v>
          </cell>
          <cell r="D415" t="str">
            <v>1</v>
          </cell>
          <cell r="E415" t="str">
            <v>包</v>
          </cell>
          <cell r="F415" t="str">
            <v>6-2</v>
          </cell>
          <cell r="G415">
            <v>0</v>
          </cell>
        </row>
        <row r="416">
          <cell r="A416">
            <v>314010011</v>
          </cell>
          <cell r="B416" t="str">
            <v>附柜二抽柜=1</v>
          </cell>
          <cell r="C416" t="str">
            <v xml:space="preserve">OF-奶白-5#特高亮光 </v>
          </cell>
          <cell r="D416" t="str">
            <v>1</v>
          </cell>
          <cell r="E416" t="str">
            <v>包</v>
          </cell>
          <cell r="F416" t="str">
            <v>6-3</v>
          </cell>
          <cell r="G416">
            <v>0</v>
          </cell>
        </row>
        <row r="417">
          <cell r="A417">
            <v>314010012</v>
          </cell>
          <cell r="B417" t="str">
            <v>钢脚=2 走线槽=1</v>
          </cell>
          <cell r="C417" t="str">
            <v>砂白</v>
          </cell>
          <cell r="D417" t="str">
            <v>1</v>
          </cell>
          <cell r="E417" t="str">
            <v>包</v>
          </cell>
          <cell r="F417" t="str">
            <v>6-4</v>
          </cell>
          <cell r="G417">
            <v>0</v>
          </cell>
        </row>
        <row r="418">
          <cell r="A418">
            <v>314010013</v>
          </cell>
          <cell r="B418" t="str">
            <v>拉杆=2</v>
          </cell>
          <cell r="C418" t="str">
            <v>砂白</v>
          </cell>
          <cell r="D418" t="str">
            <v>1</v>
          </cell>
          <cell r="E418" t="str">
            <v>包</v>
          </cell>
          <cell r="F418" t="str">
            <v>6-5</v>
          </cell>
          <cell r="G418">
            <v>0</v>
          </cell>
        </row>
        <row r="419">
          <cell r="A419">
            <v>314010014</v>
          </cell>
          <cell r="B419" t="str">
            <v>附柜支撑钢脚=3+配件</v>
          </cell>
          <cell r="C419" t="str">
            <v>砂白</v>
          </cell>
          <cell r="D419" t="str">
            <v>1</v>
          </cell>
          <cell r="E419" t="str">
            <v>包</v>
          </cell>
          <cell r="F419" t="str">
            <v>6-6</v>
          </cell>
          <cell r="G419">
            <v>0</v>
          </cell>
        </row>
        <row r="420">
          <cell r="A420">
            <v>314010015</v>
          </cell>
          <cell r="B420" t="str">
            <v>活动主机架=4</v>
          </cell>
          <cell r="C420" t="str">
            <v>OF-奶白-5#特高亮光</v>
          </cell>
          <cell r="D420">
            <v>0</v>
          </cell>
          <cell r="G420">
            <v>0</v>
          </cell>
        </row>
        <row r="421">
          <cell r="A421">
            <v>314040001</v>
          </cell>
          <cell r="B421" t="str">
            <v>欧瑞直形4人位                                      OREM-D4-2812   2800*1200*760</v>
          </cell>
          <cell r="C421">
            <v>0</v>
          </cell>
          <cell r="D421">
            <v>0</v>
          </cell>
          <cell r="G421">
            <v>0</v>
          </cell>
        </row>
        <row r="422">
          <cell r="A422">
            <v>314040002</v>
          </cell>
          <cell r="B422" t="str">
            <v>台面板=4</v>
          </cell>
          <cell r="C422" t="str">
            <v>OF-522-1#特高亮光</v>
          </cell>
          <cell r="D422" t="str">
            <v>2</v>
          </cell>
          <cell r="E422" t="str">
            <v>包</v>
          </cell>
          <cell r="F422" t="str">
            <v>11-1.2</v>
          </cell>
          <cell r="G422">
            <v>0</v>
          </cell>
        </row>
        <row r="423">
          <cell r="A423">
            <v>314040003</v>
          </cell>
          <cell r="B423" t="str">
            <v>三抽活动柜=4</v>
          </cell>
          <cell r="C423" t="str">
            <v xml:space="preserve">OF-522-1#特高亮光 OF-奶白-5#特高亮光 </v>
          </cell>
          <cell r="D423" t="str">
            <v>4</v>
          </cell>
          <cell r="E423" t="str">
            <v>包</v>
          </cell>
          <cell r="F423" t="str">
            <v>11-3.4.5.6</v>
          </cell>
          <cell r="G423">
            <v>0</v>
          </cell>
        </row>
        <row r="424">
          <cell r="A424">
            <v>314040004</v>
          </cell>
          <cell r="B424" t="str">
            <v>配件箱</v>
          </cell>
          <cell r="C424">
            <v>0</v>
          </cell>
          <cell r="D424" t="str">
            <v>1</v>
          </cell>
          <cell r="E424" t="str">
            <v>包</v>
          </cell>
          <cell r="F424" t="str">
            <v>11-7</v>
          </cell>
          <cell r="G424">
            <v>0</v>
          </cell>
        </row>
        <row r="425">
          <cell r="A425">
            <v>314040005</v>
          </cell>
          <cell r="B425" t="str">
            <v>钢脚=2+配件</v>
          </cell>
          <cell r="C425" t="str">
            <v>砂白</v>
          </cell>
          <cell r="D425" t="str">
            <v>1</v>
          </cell>
          <cell r="E425" t="str">
            <v>包</v>
          </cell>
          <cell r="F425" t="str">
            <v>11-8</v>
          </cell>
          <cell r="G425">
            <v>0</v>
          </cell>
        </row>
        <row r="426">
          <cell r="A426">
            <v>314040006</v>
          </cell>
          <cell r="B426" t="str">
            <v>拉杆=2</v>
          </cell>
          <cell r="C426" t="str">
            <v>砂白</v>
          </cell>
          <cell r="D426" t="str">
            <v>1</v>
          </cell>
          <cell r="E426" t="str">
            <v>包</v>
          </cell>
          <cell r="F426" t="str">
            <v>11-9</v>
          </cell>
          <cell r="G426">
            <v>0</v>
          </cell>
        </row>
        <row r="427">
          <cell r="A427">
            <v>314040007</v>
          </cell>
          <cell r="B427" t="str">
            <v>走线盒=1</v>
          </cell>
          <cell r="C427" t="str">
            <v>砂白</v>
          </cell>
          <cell r="D427" t="str">
            <v>1</v>
          </cell>
          <cell r="E427" t="str">
            <v>包</v>
          </cell>
          <cell r="F427" t="str">
            <v>11-10</v>
          </cell>
          <cell r="G427">
            <v>0</v>
          </cell>
        </row>
        <row r="428">
          <cell r="A428">
            <v>314040008</v>
          </cell>
          <cell r="B428" t="str">
            <v>40#桌上屏风=2</v>
          </cell>
          <cell r="C428" t="str">
            <v>砂白框架+OF-B29浅果绿</v>
          </cell>
          <cell r="D428" t="str">
            <v>1</v>
          </cell>
          <cell r="E428" t="str">
            <v>包</v>
          </cell>
          <cell r="F428" t="str">
            <v>11-11</v>
          </cell>
          <cell r="G428">
            <v>0</v>
          </cell>
        </row>
        <row r="429">
          <cell r="A429">
            <v>314040009</v>
          </cell>
          <cell r="B429" t="str">
            <v>欧瑞L形十字四人位组合
OREM-L4-2828  2800*2800*760</v>
          </cell>
          <cell r="C429">
            <v>0</v>
          </cell>
          <cell r="D429">
            <v>0</v>
          </cell>
          <cell r="G429">
            <v>0</v>
          </cell>
        </row>
        <row r="430">
          <cell r="A430">
            <v>314040010</v>
          </cell>
          <cell r="B430" t="str">
            <v>L形台面板=4</v>
          </cell>
          <cell r="C430" t="str">
            <v>OF-522-1#特高亮光</v>
          </cell>
          <cell r="D430" t="str">
            <v>2</v>
          </cell>
          <cell r="E430" t="str">
            <v>包</v>
          </cell>
          <cell r="F430" t="str">
            <v>11-1.2</v>
          </cell>
          <cell r="G430">
            <v>0</v>
          </cell>
        </row>
        <row r="431">
          <cell r="A431">
            <v>314040011</v>
          </cell>
          <cell r="B431" t="str">
            <v>有顶地柜=2/左</v>
          </cell>
          <cell r="C431" t="str">
            <v xml:space="preserve">OF-522-1#特高亮光 OF-奶白-5#特高亮光 </v>
          </cell>
          <cell r="D431" t="str">
            <v>2</v>
          </cell>
          <cell r="E431" t="str">
            <v>包</v>
          </cell>
          <cell r="F431" t="str">
            <v>11-3.4.</v>
          </cell>
          <cell r="G431">
            <v>0</v>
          </cell>
        </row>
        <row r="432">
          <cell r="A432">
            <v>314040012</v>
          </cell>
          <cell r="B432" t="str">
            <v>有顶地柜=2/右</v>
          </cell>
          <cell r="C432" t="str">
            <v xml:space="preserve">OF-522-1#特高亮光 OF-奶白-5#特高亮光 </v>
          </cell>
          <cell r="D432" t="str">
            <v>2</v>
          </cell>
          <cell r="E432" t="str">
            <v>包</v>
          </cell>
          <cell r="F432" t="str">
            <v>11-5.6</v>
          </cell>
          <cell r="G432">
            <v>0</v>
          </cell>
        </row>
        <row r="433">
          <cell r="A433">
            <v>314040013</v>
          </cell>
          <cell r="B433" t="str">
            <v>布绒桌面屏风=2</v>
          </cell>
          <cell r="C433" t="str">
            <v>TW-95灰色</v>
          </cell>
          <cell r="D433" t="str">
            <v>1</v>
          </cell>
          <cell r="E433" t="str">
            <v>包</v>
          </cell>
          <cell r="F433" t="str">
            <v>11-7</v>
          </cell>
          <cell r="G433">
            <v>0</v>
          </cell>
        </row>
        <row r="434">
          <cell r="A434">
            <v>314040014</v>
          </cell>
          <cell r="B434" t="str">
            <v>配件箱</v>
          </cell>
          <cell r="C434">
            <v>0</v>
          </cell>
          <cell r="D434" t="str">
            <v>1</v>
          </cell>
          <cell r="E434" t="str">
            <v>包</v>
          </cell>
          <cell r="F434" t="str">
            <v>11-8</v>
          </cell>
          <cell r="G434">
            <v>0</v>
          </cell>
        </row>
        <row r="435">
          <cell r="A435">
            <v>314040015</v>
          </cell>
          <cell r="B435" t="str">
            <v>钢脚=2</v>
          </cell>
          <cell r="C435" t="str">
            <v>砂白</v>
          </cell>
          <cell r="D435" t="str">
            <v>1</v>
          </cell>
          <cell r="E435" t="str">
            <v>包</v>
          </cell>
          <cell r="F435" t="str">
            <v>11-9</v>
          </cell>
          <cell r="G435">
            <v>0</v>
          </cell>
        </row>
        <row r="436">
          <cell r="A436">
            <v>314040016</v>
          </cell>
          <cell r="B436" t="str">
            <v>拉杆=2</v>
          </cell>
          <cell r="C436" t="str">
            <v>砂白</v>
          </cell>
          <cell r="D436" t="str">
            <v>1</v>
          </cell>
          <cell r="E436" t="str">
            <v>包</v>
          </cell>
          <cell r="F436" t="str">
            <v>11-10</v>
          </cell>
          <cell r="G436">
            <v>0</v>
          </cell>
        </row>
        <row r="437">
          <cell r="A437">
            <v>314040017</v>
          </cell>
          <cell r="B437" t="str">
            <v>走线盒=1</v>
          </cell>
          <cell r="C437" t="str">
            <v>砂白</v>
          </cell>
          <cell r="D437" t="str">
            <v>1</v>
          </cell>
          <cell r="E437" t="str">
            <v>包</v>
          </cell>
          <cell r="F437" t="str">
            <v>11-11</v>
          </cell>
          <cell r="G437">
            <v>0</v>
          </cell>
        </row>
        <row r="438">
          <cell r="A438">
            <v>314040018</v>
          </cell>
          <cell r="B438" t="str">
            <v>活动主机架=1</v>
          </cell>
          <cell r="C438" t="str">
            <v>OF-奶白-5#特高亮光</v>
          </cell>
          <cell r="D438">
            <v>0</v>
          </cell>
          <cell r="G438">
            <v>0</v>
          </cell>
        </row>
        <row r="439">
          <cell r="A439">
            <v>314060001</v>
          </cell>
          <cell r="B439" t="str">
            <v>欧瑞文件柜                                      OREM-C3-0818  800*420*1800</v>
          </cell>
          <cell r="C439">
            <v>0</v>
          </cell>
          <cell r="D439">
            <v>0</v>
          </cell>
          <cell r="G439">
            <v>0</v>
          </cell>
        </row>
        <row r="440">
          <cell r="A440">
            <v>314060002</v>
          </cell>
          <cell r="B440" t="str">
            <v>顶层板=1 固定层板=1      活动层板=2.  底板=1 配件</v>
          </cell>
          <cell r="C440" t="str">
            <v xml:space="preserve">OF-522-1#特高亮光 OF-奶白-5#特高亮光 </v>
          </cell>
          <cell r="D440" t="str">
            <v>1</v>
          </cell>
          <cell r="E440" t="str">
            <v>包</v>
          </cell>
          <cell r="F440" t="str">
            <v>4-1</v>
          </cell>
          <cell r="G440">
            <v>0</v>
          </cell>
        </row>
        <row r="441">
          <cell r="A441">
            <v>314060003</v>
          </cell>
          <cell r="B441" t="str">
            <v xml:space="preserve">背板=1. 侧板=2.        </v>
          </cell>
          <cell r="C441" t="str">
            <v xml:space="preserve">OF-522-1#特高亮光 OF-奶白-5#特高亮光 </v>
          </cell>
          <cell r="D441" t="str">
            <v>1</v>
          </cell>
          <cell r="E441" t="str">
            <v>包</v>
          </cell>
          <cell r="F441" t="str">
            <v>4-2</v>
          </cell>
          <cell r="G441">
            <v>0</v>
          </cell>
        </row>
        <row r="442">
          <cell r="A442">
            <v>314060004</v>
          </cell>
          <cell r="B442" t="str">
            <v>斜边铝框门=2</v>
          </cell>
          <cell r="C442" t="str">
            <v>砂白</v>
          </cell>
          <cell r="D442" t="str">
            <v>1</v>
          </cell>
          <cell r="E442" t="str">
            <v>包</v>
          </cell>
          <cell r="F442" t="str">
            <v>4-4</v>
          </cell>
          <cell r="G442">
            <v>0</v>
          </cell>
        </row>
        <row r="443">
          <cell r="A443">
            <v>314090001</v>
          </cell>
          <cell r="B443" t="str">
            <v>欧瑞文件柜                                      OREM-C1-0818  800*420*1800</v>
          </cell>
          <cell r="C443">
            <v>0</v>
          </cell>
          <cell r="D443">
            <v>0</v>
          </cell>
          <cell r="G443">
            <v>0</v>
          </cell>
        </row>
        <row r="444">
          <cell r="A444">
            <v>314090002</v>
          </cell>
          <cell r="B444" t="str">
            <v>顶层板=1 固定层板=1      活动层板=2.  底板=1 配件</v>
          </cell>
          <cell r="C444" t="str">
            <v xml:space="preserve">OF-奶白-5#特高亮光 </v>
          </cell>
          <cell r="D444" t="str">
            <v>1</v>
          </cell>
          <cell r="E444" t="str">
            <v>包</v>
          </cell>
          <cell r="F444" t="str">
            <v>3-1</v>
          </cell>
          <cell r="G444">
            <v>0</v>
          </cell>
        </row>
        <row r="445">
          <cell r="A445">
            <v>314090003</v>
          </cell>
          <cell r="B445" t="str">
            <v>背板=1.  侧板=2.        掩门板=4</v>
          </cell>
          <cell r="C445" t="str">
            <v xml:space="preserve">OF-522-1#特高亮光 OF-奶白-5#特高亮光 </v>
          </cell>
          <cell r="D445" t="str">
            <v>1</v>
          </cell>
          <cell r="E445" t="str">
            <v>包</v>
          </cell>
          <cell r="F445" t="str">
            <v>3-2</v>
          </cell>
          <cell r="G445">
            <v>0</v>
          </cell>
        </row>
        <row r="446">
          <cell r="A446">
            <v>314090004</v>
          </cell>
          <cell r="B446" t="str">
            <v>欧瑞文件柜                                      OREM-C2-0818  800*420*1800</v>
          </cell>
          <cell r="C446">
            <v>0</v>
          </cell>
          <cell r="D446">
            <v>0</v>
          </cell>
          <cell r="G446">
            <v>0</v>
          </cell>
        </row>
        <row r="447">
          <cell r="A447">
            <v>314090005</v>
          </cell>
          <cell r="B447" t="str">
            <v>顶层板=1  固定层板=2          活动层板=2. 底板=1  配件</v>
          </cell>
          <cell r="C447" t="str">
            <v xml:space="preserve">OF-奶白-5#特高亮光 </v>
          </cell>
          <cell r="D447" t="str">
            <v>1</v>
          </cell>
          <cell r="E447" t="str">
            <v>包</v>
          </cell>
          <cell r="F447" t="str">
            <v>4-1</v>
          </cell>
          <cell r="G447">
            <v>0</v>
          </cell>
        </row>
        <row r="448">
          <cell r="A448">
            <v>314090006</v>
          </cell>
          <cell r="B448" t="str">
            <v>背板=1 侧板=2.        间板=1</v>
          </cell>
          <cell r="C448" t="str">
            <v xml:space="preserve">OF-522-1#特高亮光 OF-奶白-5#特高亮光 </v>
          </cell>
          <cell r="D448" t="str">
            <v>1</v>
          </cell>
          <cell r="E448" t="str">
            <v>包</v>
          </cell>
          <cell r="F448" t="str">
            <v>4-2</v>
          </cell>
          <cell r="G448">
            <v>0</v>
          </cell>
        </row>
        <row r="449">
          <cell r="A449">
            <v>314090007</v>
          </cell>
          <cell r="B449" t="str">
            <v>文件柜二抽屉</v>
          </cell>
          <cell r="C449" t="str">
            <v xml:space="preserve">OF-522-1#特高亮光 OF-奶白-5#特高亮光 </v>
          </cell>
          <cell r="D449" t="str">
            <v>1</v>
          </cell>
          <cell r="E449" t="str">
            <v>包</v>
          </cell>
          <cell r="F449" t="str">
            <v>4-3</v>
          </cell>
          <cell r="G449">
            <v>0</v>
          </cell>
        </row>
        <row r="450">
          <cell r="A450">
            <v>314100001</v>
          </cell>
          <cell r="B450" t="str">
            <v>欧瑞圆形洽谈台                                     OREM-T3-08      800*750</v>
          </cell>
          <cell r="C450">
            <v>0</v>
          </cell>
          <cell r="D450">
            <v>0</v>
          </cell>
          <cell r="G450">
            <v>0</v>
          </cell>
        </row>
        <row r="451">
          <cell r="A451">
            <v>314100002</v>
          </cell>
          <cell r="B451" t="str">
            <v>圆台面板=1</v>
          </cell>
          <cell r="C451" t="str">
            <v>OF-522-1#特高亮光</v>
          </cell>
          <cell r="D451" t="str">
            <v>1</v>
          </cell>
          <cell r="E451" t="str">
            <v>包</v>
          </cell>
          <cell r="F451" t="str">
            <v>2-1</v>
          </cell>
          <cell r="G451">
            <v>0</v>
          </cell>
        </row>
        <row r="452">
          <cell r="A452">
            <v>314100003</v>
          </cell>
          <cell r="B452" t="str">
            <v>钢架=1</v>
          </cell>
          <cell r="C452" t="str">
            <v>砂白</v>
          </cell>
          <cell r="D452" t="str">
            <v>1</v>
          </cell>
          <cell r="E452" t="str">
            <v>包</v>
          </cell>
          <cell r="F452" t="str">
            <v>2-2</v>
          </cell>
          <cell r="G452">
            <v>0</v>
          </cell>
        </row>
        <row r="453">
          <cell r="A453">
            <v>314100004</v>
          </cell>
          <cell r="B453" t="str">
            <v>欧瑞圆形洽谈台                                     OREM-T3-10     1000*750</v>
          </cell>
          <cell r="C453">
            <v>0</v>
          </cell>
          <cell r="D453" t="str">
            <v>1</v>
          </cell>
          <cell r="E453" t="str">
            <v>套</v>
          </cell>
          <cell r="F453">
            <v>0</v>
          </cell>
          <cell r="G453">
            <v>0</v>
          </cell>
        </row>
        <row r="454">
          <cell r="A454">
            <v>314100005</v>
          </cell>
          <cell r="B454" t="str">
            <v>圆台面板=1</v>
          </cell>
          <cell r="C454" t="str">
            <v>OF-522-1#特高亮光</v>
          </cell>
          <cell r="D454" t="str">
            <v>1</v>
          </cell>
          <cell r="E454" t="str">
            <v>包</v>
          </cell>
          <cell r="F454" t="str">
            <v>2-1</v>
          </cell>
          <cell r="G454">
            <v>0</v>
          </cell>
        </row>
        <row r="455">
          <cell r="A455">
            <v>314100006</v>
          </cell>
          <cell r="B455" t="str">
            <v>钢架=1</v>
          </cell>
          <cell r="C455" t="str">
            <v>砂白</v>
          </cell>
          <cell r="D455" t="str">
            <v>1</v>
          </cell>
          <cell r="E455" t="str">
            <v>包</v>
          </cell>
          <cell r="F455" t="str">
            <v>2-2</v>
          </cell>
          <cell r="G455">
            <v>0</v>
          </cell>
        </row>
        <row r="456">
          <cell r="A456">
            <v>314110001</v>
          </cell>
          <cell r="B456" t="str">
            <v>欧瑞直形会议台                                     OREM-T2-2812 2800*1200*760</v>
          </cell>
          <cell r="C456">
            <v>0</v>
          </cell>
          <cell r="D456">
            <v>0</v>
          </cell>
          <cell r="G456">
            <v>0</v>
          </cell>
        </row>
        <row r="457">
          <cell r="A457">
            <v>314110002</v>
          </cell>
          <cell r="B457" t="str">
            <v>台面板=2</v>
          </cell>
          <cell r="C457" t="str">
            <v>OF-522-1#特高亮光</v>
          </cell>
          <cell r="D457" t="str">
            <v>1</v>
          </cell>
          <cell r="E457" t="str">
            <v>包</v>
          </cell>
          <cell r="F457" t="str">
            <v>4-1</v>
          </cell>
          <cell r="G457">
            <v>0</v>
          </cell>
        </row>
        <row r="458">
          <cell r="A458">
            <v>314110003</v>
          </cell>
          <cell r="B458" t="str">
            <v>钢脚=2 配件</v>
          </cell>
          <cell r="C458" t="str">
            <v>砂白</v>
          </cell>
          <cell r="D458" t="str">
            <v>1</v>
          </cell>
          <cell r="E458" t="str">
            <v>包</v>
          </cell>
          <cell r="F458" t="str">
            <v>4-2</v>
          </cell>
          <cell r="G458">
            <v>0</v>
          </cell>
        </row>
        <row r="459">
          <cell r="A459">
            <v>314110004</v>
          </cell>
          <cell r="B459" t="str">
            <v>拉杆</v>
          </cell>
          <cell r="C459" t="str">
            <v>砂白</v>
          </cell>
          <cell r="D459" t="str">
            <v>1</v>
          </cell>
          <cell r="E459" t="str">
            <v>包</v>
          </cell>
          <cell r="F459" t="str">
            <v>4-3</v>
          </cell>
          <cell r="G459">
            <v>0</v>
          </cell>
        </row>
        <row r="460">
          <cell r="A460">
            <v>314110005</v>
          </cell>
          <cell r="B460" t="str">
            <v>走线盒=1</v>
          </cell>
          <cell r="C460" t="str">
            <v>砂白</v>
          </cell>
          <cell r="D460" t="str">
            <v>1</v>
          </cell>
          <cell r="E460" t="str">
            <v>包</v>
          </cell>
          <cell r="F460" t="str">
            <v>4-4</v>
          </cell>
          <cell r="G460">
            <v>0</v>
          </cell>
        </row>
        <row r="461">
          <cell r="A461">
            <v>315000001</v>
          </cell>
          <cell r="B461">
            <v>0</v>
          </cell>
          <cell r="C461">
            <v>0</v>
          </cell>
          <cell r="D461">
            <v>1</v>
          </cell>
          <cell r="E461" t="str">
            <v>个</v>
          </cell>
          <cell r="F461" t="str">
            <v>1-1</v>
          </cell>
          <cell r="G461">
            <v>0</v>
          </cell>
        </row>
        <row r="462">
          <cell r="A462">
            <v>315000002</v>
          </cell>
          <cell r="B462">
            <v>0</v>
          </cell>
          <cell r="C462" t="str">
            <v>400#</v>
          </cell>
          <cell r="D462">
            <v>1</v>
          </cell>
          <cell r="E462" t="str">
            <v>个</v>
          </cell>
          <cell r="F462" t="str">
            <v>1-1</v>
          </cell>
          <cell r="G462">
            <v>0</v>
          </cell>
        </row>
        <row r="463">
          <cell r="A463">
            <v>315000003</v>
          </cell>
          <cell r="B463">
            <v>0</v>
          </cell>
          <cell r="C463" t="str">
            <v>600#</v>
          </cell>
          <cell r="D463">
            <v>1</v>
          </cell>
          <cell r="E463" t="str">
            <v>个</v>
          </cell>
          <cell r="F463" t="str">
            <v>1-1</v>
          </cell>
          <cell r="G463">
            <v>0</v>
          </cell>
        </row>
        <row r="464">
          <cell r="A464">
            <v>315000004</v>
          </cell>
          <cell r="B464">
            <v>0</v>
          </cell>
          <cell r="C464">
            <v>0</v>
          </cell>
          <cell r="D464" t="str">
            <v>1套</v>
          </cell>
          <cell r="E464" t="str">
            <v>个</v>
          </cell>
          <cell r="F464" t="str">
            <v>1-1</v>
          </cell>
          <cell r="G464">
            <v>0</v>
          </cell>
        </row>
        <row r="465">
          <cell r="A465">
            <v>315000006</v>
          </cell>
          <cell r="B465">
            <v>0</v>
          </cell>
          <cell r="C465">
            <v>0</v>
          </cell>
          <cell r="D465">
            <v>0</v>
          </cell>
          <cell r="G465">
            <v>0</v>
          </cell>
        </row>
        <row r="466">
          <cell r="A466">
            <v>315000007</v>
          </cell>
          <cell r="B466" t="str">
            <v>1200*400*60=4</v>
          </cell>
          <cell r="C466">
            <v>0</v>
          </cell>
          <cell r="D466">
            <v>1</v>
          </cell>
          <cell r="E466" t="str">
            <v>包</v>
          </cell>
          <cell r="F466" t="str">
            <v>2-1</v>
          </cell>
          <cell r="G466">
            <v>0</v>
          </cell>
        </row>
        <row r="467">
          <cell r="A467">
            <v>315000008</v>
          </cell>
          <cell r="B467" t="str">
            <v>配件</v>
          </cell>
          <cell r="C467">
            <v>0</v>
          </cell>
          <cell r="D467">
            <v>1</v>
          </cell>
          <cell r="E467" t="str">
            <v>包</v>
          </cell>
          <cell r="F467" t="str">
            <v>2-2</v>
          </cell>
          <cell r="G467">
            <v>0</v>
          </cell>
        </row>
        <row r="468">
          <cell r="A468">
            <v>315000009</v>
          </cell>
          <cell r="B468">
            <v>0</v>
          </cell>
          <cell r="C468">
            <v>0</v>
          </cell>
          <cell r="D468">
            <v>0</v>
          </cell>
          <cell r="G468">
            <v>0</v>
          </cell>
        </row>
        <row r="469">
          <cell r="A469">
            <v>315000010</v>
          </cell>
          <cell r="B469" t="str">
            <v xml:space="preserve"> A:2200*1100*60</v>
          </cell>
          <cell r="C469">
            <v>0</v>
          </cell>
          <cell r="D469">
            <v>1</v>
          </cell>
          <cell r="E469" t="str">
            <v>包</v>
          </cell>
          <cell r="F469" t="str">
            <v>3-1</v>
          </cell>
          <cell r="G469">
            <v>0</v>
          </cell>
        </row>
        <row r="470">
          <cell r="A470">
            <v>315000011</v>
          </cell>
          <cell r="B470" t="str">
            <v xml:space="preserve"> B:2200*1100*60</v>
          </cell>
          <cell r="C470">
            <v>0</v>
          </cell>
          <cell r="D470">
            <v>1</v>
          </cell>
          <cell r="E470" t="str">
            <v>包</v>
          </cell>
          <cell r="F470" t="str">
            <v>3-2</v>
          </cell>
          <cell r="G470">
            <v>0</v>
          </cell>
        </row>
        <row r="471">
          <cell r="A471">
            <v>315000012</v>
          </cell>
          <cell r="B471" t="str">
            <v>配件</v>
          </cell>
          <cell r="C471">
            <v>0</v>
          </cell>
          <cell r="D471">
            <v>1</v>
          </cell>
          <cell r="E471" t="str">
            <v>套</v>
          </cell>
          <cell r="F471" t="str">
            <v>3-3</v>
          </cell>
          <cell r="G471">
            <v>0</v>
          </cell>
        </row>
        <row r="472">
          <cell r="A472">
            <v>315000013</v>
          </cell>
          <cell r="B472">
            <v>0</v>
          </cell>
          <cell r="C472">
            <v>0</v>
          </cell>
          <cell r="D472">
            <v>0</v>
          </cell>
          <cell r="G472">
            <v>0</v>
          </cell>
        </row>
        <row r="473">
          <cell r="A473">
            <v>315000014</v>
          </cell>
          <cell r="B473" t="str">
            <v xml:space="preserve"> A:2000*600</v>
          </cell>
          <cell r="C473">
            <v>0</v>
          </cell>
          <cell r="D473">
            <v>1</v>
          </cell>
          <cell r="E473" t="str">
            <v>包</v>
          </cell>
          <cell r="F473" t="str">
            <v>3-1</v>
          </cell>
          <cell r="G473">
            <v>0</v>
          </cell>
        </row>
        <row r="474">
          <cell r="A474">
            <v>315000015</v>
          </cell>
          <cell r="B474" t="str">
            <v>B:2000*600</v>
          </cell>
          <cell r="C474" t="str">
            <v xml:space="preserve"> </v>
          </cell>
          <cell r="D474">
            <v>1</v>
          </cell>
          <cell r="E474" t="str">
            <v>包</v>
          </cell>
          <cell r="F474" t="str">
            <v>3-2</v>
          </cell>
          <cell r="G474">
            <v>0</v>
          </cell>
        </row>
        <row r="475">
          <cell r="A475">
            <v>315000016</v>
          </cell>
          <cell r="B475" t="str">
            <v>广告脚</v>
          </cell>
          <cell r="C475">
            <v>0</v>
          </cell>
          <cell r="D475">
            <v>1</v>
          </cell>
          <cell r="E475" t="str">
            <v>包</v>
          </cell>
          <cell r="F475" t="str">
            <v>3-3</v>
          </cell>
          <cell r="G475">
            <v>0</v>
          </cell>
        </row>
        <row r="476">
          <cell r="A476">
            <v>315000017</v>
          </cell>
          <cell r="B476">
            <v>0</v>
          </cell>
          <cell r="C476">
            <v>0</v>
          </cell>
          <cell r="D476" t="str">
            <v>50套</v>
          </cell>
          <cell r="E476" t="str">
            <v>包</v>
          </cell>
          <cell r="F476" t="str">
            <v>1-1</v>
          </cell>
          <cell r="G476">
            <v>0</v>
          </cell>
        </row>
        <row r="477">
          <cell r="A477">
            <v>315000018</v>
          </cell>
          <cell r="B477">
            <v>0</v>
          </cell>
          <cell r="C477">
            <v>0</v>
          </cell>
          <cell r="D477">
            <v>1</v>
          </cell>
          <cell r="E477" t="str">
            <v>包</v>
          </cell>
          <cell r="F477" t="str">
            <v>1-1</v>
          </cell>
          <cell r="G477">
            <v>0</v>
          </cell>
        </row>
        <row r="478">
          <cell r="A478">
            <v>315000019</v>
          </cell>
          <cell r="B478">
            <v>0</v>
          </cell>
          <cell r="C478">
            <v>0</v>
          </cell>
          <cell r="D478">
            <v>1</v>
          </cell>
          <cell r="E478" t="str">
            <v>包</v>
          </cell>
          <cell r="F478" t="str">
            <v>1-1</v>
          </cell>
          <cell r="G478">
            <v>0</v>
          </cell>
        </row>
        <row r="479">
          <cell r="A479">
            <v>315000020</v>
          </cell>
          <cell r="B479">
            <v>0</v>
          </cell>
          <cell r="C479">
            <v>0</v>
          </cell>
          <cell r="D479">
            <v>0</v>
          </cell>
          <cell r="G479">
            <v>0</v>
          </cell>
        </row>
        <row r="480">
          <cell r="A480">
            <v>315000021</v>
          </cell>
          <cell r="B480" t="str">
            <v xml:space="preserve">板：2168*915=4     </v>
          </cell>
          <cell r="C480">
            <v>0</v>
          </cell>
          <cell r="D480">
            <v>2</v>
          </cell>
          <cell r="E480" t="str">
            <v>包</v>
          </cell>
          <cell r="F480" t="str">
            <v>13-1、2</v>
          </cell>
          <cell r="G480">
            <v>0</v>
          </cell>
        </row>
        <row r="481">
          <cell r="A481">
            <v>315000022</v>
          </cell>
          <cell r="B481" t="str">
            <v>板： 426*915=4</v>
          </cell>
          <cell r="C481">
            <v>0</v>
          </cell>
          <cell r="D481">
            <v>1</v>
          </cell>
          <cell r="E481" t="str">
            <v>包</v>
          </cell>
          <cell r="F481" t="str">
            <v>13-3</v>
          </cell>
          <cell r="G481">
            <v>0</v>
          </cell>
        </row>
        <row r="482">
          <cell r="A482">
            <v>315000023</v>
          </cell>
          <cell r="B482" t="str">
            <v>板：426*915=12</v>
          </cell>
          <cell r="C482">
            <v>0</v>
          </cell>
          <cell r="D482">
            <v>3</v>
          </cell>
          <cell r="E482" t="str">
            <v>包</v>
          </cell>
          <cell r="F482" t="str">
            <v>13-4、5、6</v>
          </cell>
          <cell r="G482">
            <v>0</v>
          </cell>
        </row>
        <row r="483">
          <cell r="A483">
            <v>315000024</v>
          </cell>
          <cell r="B483" t="str">
            <v>玻璃架428*917=12   光管=12</v>
          </cell>
          <cell r="C483">
            <v>0</v>
          </cell>
          <cell r="D483">
            <v>2</v>
          </cell>
          <cell r="E483" t="str">
            <v>包</v>
          </cell>
          <cell r="F483" t="str">
            <v>13-7、8</v>
          </cell>
          <cell r="G483">
            <v>0</v>
          </cell>
        </row>
        <row r="484">
          <cell r="A484">
            <v>315000025</v>
          </cell>
          <cell r="B484" t="str">
            <v>亚克力</v>
          </cell>
          <cell r="C484">
            <v>0</v>
          </cell>
          <cell r="D484">
            <v>2</v>
          </cell>
          <cell r="E484" t="str">
            <v>包</v>
          </cell>
          <cell r="F484" t="str">
            <v>13-9、10</v>
          </cell>
          <cell r="G484">
            <v>0</v>
          </cell>
        </row>
        <row r="485">
          <cell r="A485">
            <v>315000026</v>
          </cell>
          <cell r="B485" t="str">
            <v>铝材A:</v>
          </cell>
          <cell r="C485">
            <v>0</v>
          </cell>
          <cell r="D485">
            <v>1</v>
          </cell>
          <cell r="E485" t="str">
            <v>包</v>
          </cell>
          <cell r="F485" t="str">
            <v>13-11</v>
          </cell>
          <cell r="G485">
            <v>0</v>
          </cell>
        </row>
        <row r="486">
          <cell r="A486">
            <v>315000027</v>
          </cell>
          <cell r="B486" t="str">
            <v>铝材B</v>
          </cell>
          <cell r="C486">
            <v>0</v>
          </cell>
          <cell r="D486">
            <v>1</v>
          </cell>
          <cell r="E486" t="str">
            <v>包</v>
          </cell>
          <cell r="F486" t="str">
            <v>13-12</v>
          </cell>
          <cell r="G486">
            <v>0</v>
          </cell>
        </row>
        <row r="487">
          <cell r="A487">
            <v>315000028</v>
          </cell>
          <cell r="B487" t="str">
            <v>配件</v>
          </cell>
          <cell r="C487">
            <v>0</v>
          </cell>
          <cell r="D487">
            <v>1</v>
          </cell>
          <cell r="E487" t="str">
            <v>包</v>
          </cell>
          <cell r="F487" t="str">
            <v>13-13</v>
          </cell>
          <cell r="G487">
            <v>0</v>
          </cell>
        </row>
        <row r="488">
          <cell r="A488">
            <v>315000029</v>
          </cell>
          <cell r="B488">
            <v>0</v>
          </cell>
          <cell r="C488" t="str">
            <v>TB-101</v>
          </cell>
          <cell r="D488" t="str">
            <v>20块</v>
          </cell>
          <cell r="E488" t="str">
            <v>包</v>
          </cell>
          <cell r="F488">
            <v>0</v>
          </cell>
          <cell r="G488">
            <v>0</v>
          </cell>
        </row>
        <row r="489">
          <cell r="A489">
            <v>315000030</v>
          </cell>
          <cell r="B489">
            <v>0</v>
          </cell>
          <cell r="C489" t="str">
            <v>TB-102</v>
          </cell>
          <cell r="D489" t="str">
            <v>20块</v>
          </cell>
          <cell r="E489" t="str">
            <v>包</v>
          </cell>
          <cell r="F489">
            <v>0</v>
          </cell>
          <cell r="G489">
            <v>0</v>
          </cell>
        </row>
        <row r="490">
          <cell r="A490">
            <v>315000031</v>
          </cell>
          <cell r="B490">
            <v>0</v>
          </cell>
          <cell r="C490">
            <v>0</v>
          </cell>
          <cell r="D490">
            <v>0</v>
          </cell>
          <cell r="G490">
            <v>0</v>
          </cell>
        </row>
        <row r="491">
          <cell r="A491">
            <v>315000033</v>
          </cell>
          <cell r="B491">
            <v>0</v>
          </cell>
          <cell r="C491">
            <v>0</v>
          </cell>
          <cell r="D491">
            <v>0</v>
          </cell>
          <cell r="G491">
            <v>0</v>
          </cell>
        </row>
        <row r="492">
          <cell r="A492">
            <v>315000034</v>
          </cell>
          <cell r="B492">
            <v>0</v>
          </cell>
          <cell r="C492">
            <v>0</v>
          </cell>
          <cell r="D492">
            <v>0</v>
          </cell>
          <cell r="G492">
            <v>0</v>
          </cell>
        </row>
        <row r="493">
          <cell r="A493">
            <v>315000035</v>
          </cell>
          <cell r="B493">
            <v>0</v>
          </cell>
          <cell r="C493">
            <v>0</v>
          </cell>
          <cell r="D493">
            <v>0</v>
          </cell>
          <cell r="G493">
            <v>0</v>
          </cell>
        </row>
        <row r="494">
          <cell r="A494">
            <v>315000036</v>
          </cell>
          <cell r="B494" t="str">
            <v>368+608款</v>
          </cell>
          <cell r="C494">
            <v>0</v>
          </cell>
          <cell r="D494">
            <v>0</v>
          </cell>
          <cell r="G494">
            <v>0</v>
          </cell>
        </row>
        <row r="495">
          <cell r="A495">
            <v>315000037</v>
          </cell>
          <cell r="B495" t="str">
            <v>40+60款</v>
          </cell>
          <cell r="C495">
            <v>0</v>
          </cell>
          <cell r="D495">
            <v>0</v>
          </cell>
          <cell r="G495">
            <v>0</v>
          </cell>
        </row>
        <row r="496">
          <cell r="A496">
            <v>315000038</v>
          </cell>
          <cell r="B496" t="str">
            <v>168款</v>
          </cell>
          <cell r="C496">
            <v>0</v>
          </cell>
          <cell r="D496">
            <v>0</v>
          </cell>
          <cell r="G496">
            <v>0</v>
          </cell>
        </row>
        <row r="497">
          <cell r="A497">
            <v>318210007</v>
          </cell>
          <cell r="B497" t="str">
            <v>190A</v>
          </cell>
          <cell r="C497" t="str">
            <v>全黑真皮</v>
          </cell>
          <cell r="D497">
            <v>2</v>
          </cell>
          <cell r="E497" t="str">
            <v>张</v>
          </cell>
          <cell r="F497" t="str">
            <v>1--1</v>
          </cell>
          <cell r="G497">
            <v>0</v>
          </cell>
        </row>
        <row r="498">
          <cell r="A498">
            <v>318210008</v>
          </cell>
          <cell r="B498" t="str">
            <v>190A</v>
          </cell>
          <cell r="C498" t="str">
            <v>黑色/西皮</v>
          </cell>
          <cell r="D498">
            <v>2</v>
          </cell>
          <cell r="E498" t="str">
            <v>张</v>
          </cell>
          <cell r="F498" t="str">
            <v>1--1</v>
          </cell>
          <cell r="G498">
            <v>0</v>
          </cell>
        </row>
        <row r="499">
          <cell r="A499">
            <v>318210009</v>
          </cell>
          <cell r="B499" t="str">
            <v>OF-CH102A 靠背</v>
          </cell>
          <cell r="C499" t="str">
            <v>黑色/灰色条纹</v>
          </cell>
          <cell r="D499">
            <v>1</v>
          </cell>
          <cell r="E499" t="str">
            <v>包</v>
          </cell>
          <cell r="F499" t="str">
            <v>2-1</v>
          </cell>
          <cell r="G499">
            <v>0</v>
          </cell>
        </row>
        <row r="500">
          <cell r="A500">
            <v>318210010</v>
          </cell>
          <cell r="B500" t="str">
            <v>#N/A</v>
          </cell>
          <cell r="C500" t="str">
            <v>#N/A</v>
          </cell>
          <cell r="D500" t="str">
            <v>#N/A</v>
          </cell>
          <cell r="E500" t="str">
            <v>#N/A</v>
          </cell>
          <cell r="F500" t="str">
            <v>#N/A</v>
          </cell>
          <cell r="G500">
            <v>0</v>
          </cell>
        </row>
        <row r="501">
          <cell r="A501">
            <v>318220003</v>
          </cell>
          <cell r="B501" t="str">
            <v>OF-CH102B 靠背</v>
          </cell>
          <cell r="C501" t="str">
            <v>黑色/灰色条纹</v>
          </cell>
          <cell r="D501">
            <v>1</v>
          </cell>
          <cell r="E501" t="str">
            <v>包</v>
          </cell>
          <cell r="F501" t="str">
            <v>2-1</v>
          </cell>
          <cell r="G501">
            <v>0</v>
          </cell>
        </row>
        <row r="502">
          <cell r="A502">
            <v>318220004</v>
          </cell>
          <cell r="B502" t="str">
            <v>OF-CH107B</v>
          </cell>
          <cell r="C502" t="str">
            <v>黑色/橙色</v>
          </cell>
          <cell r="D502">
            <v>2</v>
          </cell>
          <cell r="E502" t="str">
            <v>张</v>
          </cell>
          <cell r="F502" t="str">
            <v>1--1</v>
          </cell>
          <cell r="G502">
            <v>0</v>
          </cell>
        </row>
        <row r="503">
          <cell r="A503">
            <v>318220005</v>
          </cell>
          <cell r="B503" t="str">
            <v>OF-CH109</v>
          </cell>
          <cell r="C503" t="str">
            <v>黑色/橙色</v>
          </cell>
          <cell r="D503">
            <v>2</v>
          </cell>
          <cell r="E503" t="str">
            <v>张</v>
          </cell>
          <cell r="F503">
            <v>0</v>
          </cell>
          <cell r="G503">
            <v>0</v>
          </cell>
        </row>
        <row r="504">
          <cell r="A504">
            <v>318220007</v>
          </cell>
          <cell r="B504" t="str">
            <v>OF-CH158B</v>
          </cell>
          <cell r="C504" t="str">
            <v>橙座/灰背</v>
          </cell>
          <cell r="D504">
            <v>2</v>
          </cell>
          <cell r="E504" t="str">
            <v>张</v>
          </cell>
          <cell r="F504" t="str">
            <v>1--1</v>
          </cell>
          <cell r="G504">
            <v>0</v>
          </cell>
        </row>
        <row r="505">
          <cell r="A505">
            <v>318220008</v>
          </cell>
          <cell r="B505" t="str">
            <v>OF-CH158B</v>
          </cell>
          <cell r="C505" t="str">
            <v>黑座/橙背</v>
          </cell>
          <cell r="D505">
            <v>2</v>
          </cell>
          <cell r="E505" t="str">
            <v>张</v>
          </cell>
          <cell r="F505" t="str">
            <v>1--1</v>
          </cell>
          <cell r="G505">
            <v>0</v>
          </cell>
        </row>
        <row r="506">
          <cell r="A506">
            <v>318220011</v>
          </cell>
          <cell r="B506" t="str">
            <v>OF-CH163B★</v>
          </cell>
          <cell r="C506" t="str">
            <v>黑色背/红色座</v>
          </cell>
          <cell r="D506">
            <v>2</v>
          </cell>
          <cell r="E506" t="str">
            <v>张</v>
          </cell>
          <cell r="F506" t="str">
            <v>1--1</v>
          </cell>
          <cell r="G506">
            <v>0</v>
          </cell>
        </row>
        <row r="507">
          <cell r="A507">
            <v>318220012</v>
          </cell>
          <cell r="B507" t="str">
            <v>OF-CH161A★</v>
          </cell>
          <cell r="C507" t="str">
            <v>深灰/黑色</v>
          </cell>
          <cell r="D507">
            <v>2</v>
          </cell>
          <cell r="E507" t="str">
            <v>张</v>
          </cell>
          <cell r="F507" t="str">
            <v>1--1</v>
          </cell>
          <cell r="G507">
            <v>50</v>
          </cell>
        </row>
        <row r="508">
          <cell r="A508">
            <v>318220013</v>
          </cell>
          <cell r="B508" t="str">
            <v>163B</v>
          </cell>
          <cell r="C508" t="str">
            <v>全黑色</v>
          </cell>
          <cell r="D508">
            <v>2</v>
          </cell>
          <cell r="E508" t="str">
            <v>张</v>
          </cell>
          <cell r="F508" t="str">
            <v>1--1</v>
          </cell>
          <cell r="G508">
            <v>0</v>
          </cell>
        </row>
        <row r="509">
          <cell r="A509">
            <v>318220014</v>
          </cell>
          <cell r="B509" t="str">
            <v>OF-CH159B★</v>
          </cell>
          <cell r="C509" t="str">
            <v>全黑色</v>
          </cell>
          <cell r="D509">
            <v>2</v>
          </cell>
          <cell r="E509" t="str">
            <v>张</v>
          </cell>
          <cell r="F509" t="str">
            <v>1--1</v>
          </cell>
          <cell r="G509">
            <v>0</v>
          </cell>
        </row>
        <row r="510">
          <cell r="A510">
            <v>318220015</v>
          </cell>
          <cell r="B510" t="str">
            <v>OF-CH159B★</v>
          </cell>
          <cell r="C510" t="str">
            <v>黑坐/橙背</v>
          </cell>
          <cell r="D510">
            <v>2</v>
          </cell>
          <cell r="E510" t="str">
            <v>张</v>
          </cell>
          <cell r="F510" t="str">
            <v>1--1</v>
          </cell>
          <cell r="G510">
            <v>0</v>
          </cell>
        </row>
        <row r="511">
          <cell r="A511">
            <v>318220044</v>
          </cell>
          <cell r="B511" t="str">
            <v>OF-CH102B 椅脚</v>
          </cell>
          <cell r="C511" t="str">
            <v>黑色/灰色条纹</v>
          </cell>
          <cell r="D511">
            <v>1</v>
          </cell>
          <cell r="E511" t="str">
            <v>包</v>
          </cell>
          <cell r="F511" t="str">
            <v>2-2</v>
          </cell>
          <cell r="G511">
            <v>0</v>
          </cell>
        </row>
        <row r="512">
          <cell r="A512">
            <v>318230003</v>
          </cell>
          <cell r="B512" t="str">
            <v>OF-CH102C</v>
          </cell>
          <cell r="C512" t="str">
            <v>黑色/灰色条纹</v>
          </cell>
          <cell r="D512">
            <v>2</v>
          </cell>
          <cell r="E512" t="str">
            <v>张</v>
          </cell>
          <cell r="F512" t="str">
            <v>1--1</v>
          </cell>
          <cell r="G512">
            <v>14</v>
          </cell>
        </row>
        <row r="513">
          <cell r="A513">
            <v>318230004</v>
          </cell>
          <cell r="B513" t="str">
            <v>OF-CH107C</v>
          </cell>
          <cell r="C513" t="str">
            <v>黑色/橙色</v>
          </cell>
          <cell r="D513">
            <v>2</v>
          </cell>
          <cell r="E513" t="str">
            <v>张</v>
          </cell>
          <cell r="F513" t="str">
            <v>1--1</v>
          </cell>
          <cell r="G513">
            <v>0</v>
          </cell>
        </row>
        <row r="514">
          <cell r="A514">
            <v>318230007</v>
          </cell>
          <cell r="B514" t="str">
            <v>OF-CH161C★</v>
          </cell>
          <cell r="C514" t="str">
            <v>深灰/黑色</v>
          </cell>
          <cell r="D514">
            <v>2</v>
          </cell>
          <cell r="E514" t="str">
            <v>张</v>
          </cell>
          <cell r="F514" t="str">
            <v>1--1</v>
          </cell>
          <cell r="G514">
            <v>50</v>
          </cell>
        </row>
        <row r="515">
          <cell r="A515">
            <v>318230008</v>
          </cell>
          <cell r="B515" t="str">
            <v>190C</v>
          </cell>
          <cell r="C515" t="str">
            <v>黑色/西皮</v>
          </cell>
          <cell r="D515">
            <v>2</v>
          </cell>
          <cell r="E515" t="str">
            <v>张</v>
          </cell>
          <cell r="F515" t="str">
            <v>1--1</v>
          </cell>
          <cell r="G515">
            <v>0</v>
          </cell>
        </row>
        <row r="516">
          <cell r="A516">
            <v>318230010</v>
          </cell>
          <cell r="B516" t="str">
            <v>ZY-C02</v>
          </cell>
          <cell r="C516" t="str">
            <v>西皮/圆盘底座</v>
          </cell>
          <cell r="D516">
            <v>2</v>
          </cell>
          <cell r="E516" t="str">
            <v>张</v>
          </cell>
          <cell r="F516" t="str">
            <v>1--1</v>
          </cell>
          <cell r="G516">
            <v>0</v>
          </cell>
        </row>
        <row r="517">
          <cell r="A517">
            <v>318330001</v>
          </cell>
          <cell r="B517" t="str">
            <v>单人位</v>
          </cell>
          <cell r="C517" t="str">
            <v>SF-2224+OL-2908</v>
          </cell>
          <cell r="D517">
            <v>1</v>
          </cell>
          <cell r="E517" t="str">
            <v>张</v>
          </cell>
          <cell r="F517" t="str">
            <v>1--1</v>
          </cell>
          <cell r="G517">
            <v>0</v>
          </cell>
        </row>
        <row r="518">
          <cell r="A518">
            <v>318330002</v>
          </cell>
          <cell r="B518" t="str">
            <v>单人位</v>
          </cell>
          <cell r="C518" t="str">
            <v>SF-2224+OL-2908</v>
          </cell>
          <cell r="D518">
            <v>1</v>
          </cell>
          <cell r="E518" t="str">
            <v>张</v>
          </cell>
          <cell r="F518" t="str">
            <v>1--1</v>
          </cell>
          <cell r="G518">
            <v>0</v>
          </cell>
        </row>
        <row r="519">
          <cell r="A519">
            <v>318330003</v>
          </cell>
          <cell r="B519" t="str">
            <v>单人位</v>
          </cell>
          <cell r="C519" t="str">
            <v>SF-2226+OL-2906</v>
          </cell>
          <cell r="D519">
            <v>1</v>
          </cell>
          <cell r="E519" t="str">
            <v>张</v>
          </cell>
          <cell r="F519" t="str">
            <v>1--1</v>
          </cell>
          <cell r="G519">
            <v>0</v>
          </cell>
        </row>
        <row r="520">
          <cell r="A520">
            <v>318330004</v>
          </cell>
          <cell r="B520" t="str">
            <v>单人位</v>
          </cell>
          <cell r="C520" t="str">
            <v>SF-2226+OL-2906</v>
          </cell>
          <cell r="D520">
            <v>1</v>
          </cell>
          <cell r="E520" t="str">
            <v>张</v>
          </cell>
          <cell r="F520" t="str">
            <v>1--1</v>
          </cell>
          <cell r="G520">
            <v>0</v>
          </cell>
        </row>
        <row r="521">
          <cell r="A521">
            <v>318330005</v>
          </cell>
          <cell r="B521" t="str">
            <v>单人位</v>
          </cell>
          <cell r="C521" t="str">
            <v>OF-28-66/OF-28-61</v>
          </cell>
          <cell r="D521">
            <v>1</v>
          </cell>
          <cell r="E521" t="str">
            <v>张</v>
          </cell>
          <cell r="F521" t="str">
            <v>1--1</v>
          </cell>
          <cell r="G521">
            <v>20</v>
          </cell>
        </row>
        <row r="522">
          <cell r="A522">
            <v>318330006</v>
          </cell>
          <cell r="B522" t="str">
            <v>三人位</v>
          </cell>
          <cell r="C522" t="str">
            <v>OF-28-66/OF-28-61</v>
          </cell>
          <cell r="D522">
            <v>1</v>
          </cell>
          <cell r="E522" t="str">
            <v>张</v>
          </cell>
          <cell r="F522" t="str">
            <v>1--1</v>
          </cell>
          <cell r="G522">
            <v>20</v>
          </cell>
        </row>
        <row r="523">
          <cell r="A523">
            <v>318330007</v>
          </cell>
          <cell r="B523" t="str">
            <v>单人位</v>
          </cell>
          <cell r="C523" t="str">
            <v>LN-537</v>
          </cell>
          <cell r="D523">
            <v>1</v>
          </cell>
          <cell r="E523" t="str">
            <v>张</v>
          </cell>
          <cell r="F523" t="str">
            <v>1--1</v>
          </cell>
          <cell r="G523">
            <v>20</v>
          </cell>
        </row>
        <row r="524">
          <cell r="A524">
            <v>318330008</v>
          </cell>
          <cell r="B524" t="str">
            <v>三人位</v>
          </cell>
          <cell r="C524" t="str">
            <v>LN-537</v>
          </cell>
          <cell r="D524">
            <v>1</v>
          </cell>
          <cell r="E524" t="str">
            <v>张</v>
          </cell>
          <cell r="F524" t="str">
            <v>1--1</v>
          </cell>
          <cell r="G524">
            <v>22</v>
          </cell>
        </row>
        <row r="525">
          <cell r="A525">
            <v>318330009</v>
          </cell>
          <cell r="B525" t="str">
            <v>单人位</v>
          </cell>
          <cell r="C525" t="str">
            <v>灰色/米黄</v>
          </cell>
          <cell r="D525">
            <v>1</v>
          </cell>
          <cell r="E525" t="str">
            <v>张</v>
          </cell>
          <cell r="F525" t="str">
            <v>1--1</v>
          </cell>
          <cell r="G525">
            <v>0</v>
          </cell>
        </row>
        <row r="526">
          <cell r="A526">
            <v>318330010</v>
          </cell>
          <cell r="B526" t="str">
            <v>三人位</v>
          </cell>
          <cell r="C526" t="str">
            <v>灰色/米黄</v>
          </cell>
          <cell r="D526">
            <v>1</v>
          </cell>
          <cell r="E526" t="str">
            <v>张</v>
          </cell>
          <cell r="F526" t="str">
            <v>1--1</v>
          </cell>
          <cell r="G526">
            <v>0</v>
          </cell>
        </row>
        <row r="527">
          <cell r="A527">
            <v>318330011</v>
          </cell>
          <cell r="B527" t="str">
            <v>单人位</v>
          </cell>
          <cell r="C527" t="str">
            <v>黑色+纯白钢架</v>
          </cell>
          <cell r="D527">
            <v>1</v>
          </cell>
          <cell r="E527" t="str">
            <v>张</v>
          </cell>
          <cell r="F527" t="str">
            <v>1--1</v>
          </cell>
          <cell r="G527">
            <v>10</v>
          </cell>
        </row>
        <row r="528">
          <cell r="A528">
            <v>318330012</v>
          </cell>
          <cell r="B528" t="str">
            <v>三人位</v>
          </cell>
          <cell r="C528" t="str">
            <v>黑色+纯白钢架</v>
          </cell>
          <cell r="D528">
            <v>1</v>
          </cell>
          <cell r="E528" t="str">
            <v>张</v>
          </cell>
          <cell r="F528" t="str">
            <v>1--1</v>
          </cell>
          <cell r="G528">
            <v>10</v>
          </cell>
        </row>
        <row r="529">
          <cell r="A529">
            <v>318330013</v>
          </cell>
          <cell r="B529" t="str">
            <v>单人位</v>
          </cell>
          <cell r="C529">
            <v>0</v>
          </cell>
          <cell r="D529">
            <v>1</v>
          </cell>
          <cell r="E529" t="str">
            <v>张</v>
          </cell>
          <cell r="F529">
            <v>0</v>
          </cell>
          <cell r="G529">
            <v>0</v>
          </cell>
        </row>
        <row r="530">
          <cell r="A530">
            <v>318330014</v>
          </cell>
          <cell r="B530" t="str">
            <v>三人位</v>
          </cell>
          <cell r="C530">
            <v>0</v>
          </cell>
          <cell r="D530">
            <v>1</v>
          </cell>
          <cell r="E530" t="str">
            <v>张</v>
          </cell>
          <cell r="F530">
            <v>0</v>
          </cell>
          <cell r="G530">
            <v>0</v>
          </cell>
        </row>
        <row r="531">
          <cell r="A531">
            <v>318330016</v>
          </cell>
          <cell r="B531" t="str">
            <v>常规</v>
          </cell>
          <cell r="C531" t="str">
            <v>科一咖啡色5072-10</v>
          </cell>
          <cell r="D531">
            <v>1</v>
          </cell>
          <cell r="E531" t="str">
            <v>张</v>
          </cell>
          <cell r="F531" t="str">
            <v>1--1</v>
          </cell>
          <cell r="G531">
            <v>0</v>
          </cell>
        </row>
        <row r="532">
          <cell r="A532">
            <v>318330022</v>
          </cell>
          <cell r="B532" t="str">
            <v>三人位</v>
          </cell>
          <cell r="C532" t="str">
            <v>白色/灰色</v>
          </cell>
          <cell r="D532">
            <v>1</v>
          </cell>
          <cell r="E532" t="str">
            <v>张</v>
          </cell>
          <cell r="F532" t="str">
            <v>1--1</v>
          </cell>
          <cell r="G532">
            <v>0</v>
          </cell>
        </row>
        <row r="533">
          <cell r="A533">
            <v>318330023</v>
          </cell>
          <cell r="B533" t="str">
            <v>单人位</v>
          </cell>
          <cell r="C533" t="str">
            <v>棕色</v>
          </cell>
          <cell r="D533">
            <v>1</v>
          </cell>
          <cell r="E533" t="str">
            <v>张</v>
          </cell>
          <cell r="F533">
            <v>0</v>
          </cell>
          <cell r="G533">
            <v>0</v>
          </cell>
        </row>
        <row r="534">
          <cell r="A534">
            <v>318330024</v>
          </cell>
          <cell r="B534" t="str">
            <v>三人位</v>
          </cell>
          <cell r="C534" t="str">
            <v>棕色</v>
          </cell>
          <cell r="D534">
            <v>1</v>
          </cell>
          <cell r="E534" t="str">
            <v>张</v>
          </cell>
          <cell r="F534">
            <v>0</v>
          </cell>
          <cell r="G534">
            <v>0</v>
          </cell>
        </row>
        <row r="535">
          <cell r="A535">
            <v>399010003</v>
          </cell>
          <cell r="B535" t="str">
            <v>主机架=1(可选）</v>
          </cell>
          <cell r="C535" t="str">
            <v>暖白/碳灰</v>
          </cell>
          <cell r="D535">
            <v>1</v>
          </cell>
          <cell r="E535" t="str">
            <v>包</v>
          </cell>
          <cell r="F535" t="str">
            <v>5-5</v>
          </cell>
          <cell r="G535">
            <v>50</v>
          </cell>
        </row>
        <row r="536">
          <cell r="A536">
            <v>399010007</v>
          </cell>
          <cell r="B536" t="str">
            <v>主机架=1(可选）</v>
          </cell>
          <cell r="C536" t="str">
            <v>布纹/碳灰</v>
          </cell>
          <cell r="D536">
            <v>1</v>
          </cell>
          <cell r="E536" t="str">
            <v>包</v>
          </cell>
          <cell r="F536" t="str">
            <v>6-6</v>
          </cell>
          <cell r="G536">
            <v>0</v>
          </cell>
        </row>
        <row r="537">
          <cell r="A537">
            <v>399010017</v>
          </cell>
          <cell r="B537" t="str">
            <v>主机架=4（可选）</v>
          </cell>
          <cell r="C537" t="str">
            <v>布纹/碳灰</v>
          </cell>
          <cell r="D537">
            <v>1</v>
          </cell>
          <cell r="E537" t="str">
            <v>包</v>
          </cell>
          <cell r="F537" t="str">
            <v>12-12</v>
          </cell>
          <cell r="G537">
            <v>0</v>
          </cell>
        </row>
        <row r="538">
          <cell r="A538">
            <v>399020001</v>
          </cell>
          <cell r="B538" t="str">
            <v>主机架=1（可选）</v>
          </cell>
          <cell r="C538" t="str">
            <v>灰橡/砂白</v>
          </cell>
          <cell r="D538">
            <v>1</v>
          </cell>
          <cell r="E538" t="str">
            <v>包</v>
          </cell>
          <cell r="F538" t="str">
            <v>6-6</v>
          </cell>
          <cell r="G538">
            <v>0</v>
          </cell>
        </row>
        <row r="539">
          <cell r="A539">
            <v>399020008</v>
          </cell>
          <cell r="B539" t="str">
            <v>主机架=4（可选）</v>
          </cell>
          <cell r="C539" t="str">
            <v>灰橡/砂白</v>
          </cell>
          <cell r="D539">
            <v>1</v>
          </cell>
          <cell r="E539" t="str">
            <v>包</v>
          </cell>
          <cell r="F539" t="str">
            <v>11-11</v>
          </cell>
          <cell r="G539">
            <v>0</v>
          </cell>
        </row>
        <row r="540">
          <cell r="A540">
            <v>399880002</v>
          </cell>
          <cell r="B540" t="str">
            <v>蛇形管=1  （可选）</v>
          </cell>
          <cell r="C540" t="str">
            <v>常规</v>
          </cell>
          <cell r="D540">
            <v>1</v>
          </cell>
          <cell r="E540">
            <v>0</v>
          </cell>
          <cell r="F540" t="str">
            <v>1-1</v>
          </cell>
          <cell r="G540">
            <v>0</v>
          </cell>
        </row>
        <row r="541">
          <cell r="A541" t="str">
            <v>399010004-43</v>
          </cell>
          <cell r="B541" t="str">
            <v>欧扬钢脚=2</v>
          </cell>
          <cell r="C541" t="str">
            <v>碳灰</v>
          </cell>
          <cell r="D541">
            <v>1</v>
          </cell>
          <cell r="E541" t="str">
            <v>包</v>
          </cell>
          <cell r="F541" t="str">
            <v>5-3</v>
          </cell>
          <cell r="G541">
            <v>15</v>
          </cell>
        </row>
        <row r="542">
          <cell r="A542" t="str">
            <v>399010004-44</v>
          </cell>
          <cell r="B542" t="str">
            <v>欧扬钢脚=2</v>
          </cell>
          <cell r="C542" t="str">
            <v>碳灰</v>
          </cell>
          <cell r="D542">
            <v>1</v>
          </cell>
          <cell r="E542" t="str">
            <v>包</v>
          </cell>
          <cell r="F542" t="str">
            <v>5-3</v>
          </cell>
          <cell r="G542">
            <v>10</v>
          </cell>
        </row>
        <row r="543">
          <cell r="A543" t="str">
            <v>399010005-43</v>
          </cell>
          <cell r="B543" t="str">
            <v>欧扬挡板=1              欧扬横杆=2</v>
          </cell>
          <cell r="C543" t="str">
            <v>碳灰</v>
          </cell>
          <cell r="D543">
            <v>1</v>
          </cell>
          <cell r="E543" t="str">
            <v>包</v>
          </cell>
          <cell r="F543" t="str">
            <v>5-4</v>
          </cell>
          <cell r="G543">
            <v>15</v>
          </cell>
        </row>
        <row r="544">
          <cell r="A544" t="str">
            <v>399010005-44</v>
          </cell>
          <cell r="B544" t="str">
            <v>欧扬挡板=1              欧扬横杆=2</v>
          </cell>
          <cell r="C544" t="str">
            <v>碳灰</v>
          </cell>
          <cell r="D544">
            <v>1</v>
          </cell>
          <cell r="E544" t="str">
            <v>包</v>
          </cell>
          <cell r="F544" t="str">
            <v>5-4</v>
          </cell>
          <cell r="G544">
            <v>10</v>
          </cell>
        </row>
        <row r="545">
          <cell r="A545" t="str">
            <v>399010006-31</v>
          </cell>
          <cell r="B545" t="str">
            <v xml:space="preserve">固定柜=1 </v>
          </cell>
          <cell r="C545" t="str">
            <v>布纹/铁灰</v>
          </cell>
          <cell r="D545">
            <v>1</v>
          </cell>
          <cell r="E545" t="str">
            <v>包</v>
          </cell>
          <cell r="F545" t="str">
            <v>5-5</v>
          </cell>
          <cell r="G545">
            <v>0</v>
          </cell>
        </row>
        <row r="546">
          <cell r="A546" t="str">
            <v>399010006-32</v>
          </cell>
          <cell r="B546" t="str">
            <v xml:space="preserve">固定柜=1 </v>
          </cell>
          <cell r="C546" t="str">
            <v>布纹/铁灰</v>
          </cell>
          <cell r="D546">
            <v>1</v>
          </cell>
          <cell r="E546" t="str">
            <v>个</v>
          </cell>
          <cell r="F546" t="str">
            <v>5-5</v>
          </cell>
          <cell r="G546">
            <v>0</v>
          </cell>
        </row>
        <row r="547">
          <cell r="A547" t="str">
            <v>399020002-31</v>
          </cell>
          <cell r="B547" t="str">
            <v>固定柜=1（410*490*750</v>
          </cell>
          <cell r="C547" t="str">
            <v>灰橡/暖白</v>
          </cell>
          <cell r="D547">
            <v>1</v>
          </cell>
          <cell r="E547" t="str">
            <v>包</v>
          </cell>
          <cell r="F547" t="str">
            <v>5-5</v>
          </cell>
          <cell r="G547">
            <v>20</v>
          </cell>
        </row>
        <row r="548">
          <cell r="A548" t="str">
            <v>399020002-32</v>
          </cell>
          <cell r="B548" t="str">
            <v>固定柜=1（410*490*750</v>
          </cell>
          <cell r="C548" t="str">
            <v>灰橡/暖白</v>
          </cell>
          <cell r="D548">
            <v>1</v>
          </cell>
          <cell r="E548" t="str">
            <v>包</v>
          </cell>
          <cell r="F548" t="str">
            <v>5-5</v>
          </cell>
          <cell r="G548">
            <v>0</v>
          </cell>
        </row>
        <row r="549">
          <cell r="A549" t="str">
            <v>399020009-21</v>
          </cell>
          <cell r="B549" t="str">
            <v>柜脚=1</v>
          </cell>
          <cell r="C549" t="str">
            <v>砂白</v>
          </cell>
          <cell r="D549">
            <v>1</v>
          </cell>
          <cell r="E549" t="str">
            <v>包</v>
          </cell>
          <cell r="F549" t="str">
            <v>4-4</v>
          </cell>
          <cell r="G549">
            <v>40</v>
          </cell>
        </row>
        <row r="550">
          <cell r="A550" t="str">
            <v>399020009-22</v>
          </cell>
          <cell r="B550" t="str">
            <v>柜脚=1</v>
          </cell>
          <cell r="C550" t="str">
            <v>砂白</v>
          </cell>
          <cell r="D550">
            <v>1</v>
          </cell>
          <cell r="E550" t="str">
            <v>包</v>
          </cell>
          <cell r="F550" t="str">
            <v>3-3</v>
          </cell>
          <cell r="G550">
            <v>50</v>
          </cell>
        </row>
        <row r="551">
          <cell r="A551" t="str">
            <v>(空白)</v>
          </cell>
          <cell r="B551" t="str">
            <v>(空白)</v>
          </cell>
          <cell r="C551" t="str">
            <v>(空白)</v>
          </cell>
          <cell r="D551" t="str">
            <v>(空白)</v>
          </cell>
          <cell r="E551" t="str">
            <v>(空白)</v>
          </cell>
          <cell r="F551" t="str">
            <v>(空白)</v>
          </cell>
        </row>
        <row r="552">
          <cell r="A552">
            <v>316010500</v>
          </cell>
          <cell r="B552" t="str">
            <v>欧玛D2主管桌1800*800*760左</v>
          </cell>
          <cell r="C552" t="str">
            <v>123橡木+  暖白绒面</v>
          </cell>
          <cell r="D552">
            <v>0</v>
          </cell>
          <cell r="G552">
            <v>0</v>
          </cell>
        </row>
        <row r="553">
          <cell r="A553">
            <v>316010501</v>
          </cell>
          <cell r="B553" t="str">
            <v>主台面板=1
前挡板=1</v>
          </cell>
          <cell r="C553" t="str">
            <v>OF-123橡木浮雕</v>
          </cell>
          <cell r="D553">
            <v>1</v>
          </cell>
          <cell r="E553" t="str">
            <v>包</v>
          </cell>
          <cell r="F553" t="str">
            <v>4-1</v>
          </cell>
          <cell r="G553">
            <v>0</v>
          </cell>
        </row>
        <row r="554">
          <cell r="A554">
            <v>316010502</v>
          </cell>
          <cell r="B554" t="str">
            <v>附柜=1</v>
          </cell>
          <cell r="C554" t="str">
            <v>OF-123橡木浮雕OF-0721暖白绒面</v>
          </cell>
          <cell r="D554">
            <v>1</v>
          </cell>
          <cell r="E554" t="str">
            <v>包</v>
          </cell>
          <cell r="F554" t="str">
            <v>4-2</v>
          </cell>
          <cell r="G554">
            <v>0</v>
          </cell>
        </row>
        <row r="555">
          <cell r="A555">
            <v>316010503</v>
          </cell>
          <cell r="B555" t="str">
            <v>欧玛边脚=1
附柜支撑脚=1</v>
          </cell>
          <cell r="C555" t="str">
            <v>砂白</v>
          </cell>
          <cell r="D555">
            <v>1</v>
          </cell>
          <cell r="E555" t="str">
            <v>包</v>
          </cell>
          <cell r="F555" t="str">
            <v>4-3</v>
          </cell>
          <cell r="G555">
            <v>0</v>
          </cell>
        </row>
        <row r="556">
          <cell r="A556">
            <v>316010504</v>
          </cell>
          <cell r="B556" t="str">
            <v>欧玛拉杆=2</v>
          </cell>
          <cell r="C556" t="str">
            <v>砂白</v>
          </cell>
          <cell r="D556">
            <v>1</v>
          </cell>
          <cell r="E556" t="str">
            <v>包</v>
          </cell>
          <cell r="F556" t="str">
            <v>4-4</v>
          </cell>
          <cell r="G556">
            <v>0</v>
          </cell>
        </row>
        <row r="557">
          <cell r="A557">
            <v>316010505</v>
          </cell>
          <cell r="B557" t="str">
            <v>配件包＝1</v>
          </cell>
          <cell r="C557">
            <v>0</v>
          </cell>
          <cell r="D557">
            <v>1</v>
          </cell>
          <cell r="E557" t="str">
            <v>包</v>
          </cell>
          <cell r="F557" t="str">
            <v>4-5</v>
          </cell>
          <cell r="G557">
            <v>0</v>
          </cell>
        </row>
        <row r="558">
          <cell r="A558">
            <v>316050100</v>
          </cell>
          <cell r="B558" t="str">
            <v>欧玛C1A文件柜800*400*1600左</v>
          </cell>
          <cell r="C558" t="str">
            <v>门板蓝色（左）</v>
          </cell>
          <cell r="D558">
            <v>0</v>
          </cell>
          <cell r="G558">
            <v>0</v>
          </cell>
        </row>
        <row r="559">
          <cell r="A559">
            <v>316050101</v>
          </cell>
          <cell r="B559" t="str">
            <v>顶板=1
固层=1
活层=2
底板=1</v>
          </cell>
          <cell r="C559" t="str">
            <v>OF-0721暖白绒面</v>
          </cell>
          <cell r="D559">
            <v>1</v>
          </cell>
          <cell r="E559" t="str">
            <v>包</v>
          </cell>
          <cell r="F559" t="str">
            <v>3-1</v>
          </cell>
          <cell r="G559">
            <v>0</v>
          </cell>
        </row>
        <row r="560">
          <cell r="A560">
            <v>316050102</v>
          </cell>
          <cell r="B560" t="str">
            <v>背板=1
侧板=2
掩门=4</v>
          </cell>
          <cell r="C560" t="str">
            <v>OF-0721暖白绒面
OF-A78蓝色绒面</v>
          </cell>
          <cell r="D560">
            <v>1</v>
          </cell>
          <cell r="E560" t="str">
            <v>包</v>
          </cell>
          <cell r="F560" t="str">
            <v>3-2</v>
          </cell>
          <cell r="G560">
            <v>0</v>
          </cell>
        </row>
        <row r="561">
          <cell r="A561">
            <v>316050103</v>
          </cell>
          <cell r="B561" t="str">
            <v>欧玛柜脚=1
铝方脚=2</v>
          </cell>
          <cell r="C561" t="str">
            <v>砂白
氧化</v>
          </cell>
          <cell r="D561">
            <v>1</v>
          </cell>
          <cell r="E561" t="str">
            <v>包</v>
          </cell>
          <cell r="F561" t="str">
            <v>3-3</v>
          </cell>
          <cell r="G561">
            <v>0</v>
          </cell>
        </row>
        <row r="562">
          <cell r="A562">
            <v>3160500500</v>
          </cell>
          <cell r="B562" t="str">
            <v>欧玛C1A文件柜800*400*1600右</v>
          </cell>
          <cell r="C562" t="str">
            <v>门板蓝色（右）</v>
          </cell>
          <cell r="D562">
            <v>0</v>
          </cell>
          <cell r="G562">
            <v>0</v>
          </cell>
        </row>
        <row r="563">
          <cell r="A563">
            <v>3160500501</v>
          </cell>
          <cell r="B563" t="str">
            <v>顶板=1
固层=1
活层=2
底板=1</v>
          </cell>
          <cell r="C563" t="str">
            <v>OF-0721暖白绒面</v>
          </cell>
          <cell r="D563">
            <v>1</v>
          </cell>
          <cell r="E563" t="str">
            <v>包</v>
          </cell>
          <cell r="F563" t="str">
            <v>3-1</v>
          </cell>
          <cell r="G563">
            <v>0</v>
          </cell>
        </row>
        <row r="564">
          <cell r="A564">
            <v>3160500502</v>
          </cell>
          <cell r="B564" t="str">
            <v>背板=1
侧板=2
掩门=4</v>
          </cell>
          <cell r="C564" t="str">
            <v>OF-0721暖白绒面
OF-A78蓝色绒面</v>
          </cell>
          <cell r="D564">
            <v>1</v>
          </cell>
          <cell r="E564" t="str">
            <v>包</v>
          </cell>
          <cell r="F564" t="str">
            <v>3-2</v>
          </cell>
          <cell r="G564">
            <v>0</v>
          </cell>
        </row>
        <row r="565">
          <cell r="A565">
            <v>3160500503</v>
          </cell>
          <cell r="B565" t="str">
            <v>欧玛柜脚=1
铝方脚=2</v>
          </cell>
          <cell r="C565" t="str">
            <v>砂白
氧化</v>
          </cell>
          <cell r="D565">
            <v>1</v>
          </cell>
          <cell r="E565" t="str">
            <v>包</v>
          </cell>
          <cell r="F565" t="str">
            <v>3-3</v>
          </cell>
          <cell r="G565">
            <v>0</v>
          </cell>
        </row>
        <row r="566">
          <cell r="A566">
            <v>316050200</v>
          </cell>
          <cell r="B566" t="str">
            <v>欧玛C1B文件柜800*400*1600</v>
          </cell>
          <cell r="C566" t="str">
            <v>暖白绒面+橡木浮雕</v>
          </cell>
          <cell r="D566">
            <v>0</v>
          </cell>
          <cell r="G566">
            <v>0</v>
          </cell>
        </row>
        <row r="567">
          <cell r="A567">
            <v>316050201</v>
          </cell>
          <cell r="B567" t="str">
            <v>顶板=1
固层=1
活层=2
底板=1</v>
          </cell>
          <cell r="C567" t="str">
            <v>OF-0721暖白绒面</v>
          </cell>
          <cell r="D567">
            <v>1</v>
          </cell>
          <cell r="E567" t="str">
            <v>包</v>
          </cell>
          <cell r="F567" t="str">
            <v>3-1</v>
          </cell>
          <cell r="G567">
            <v>0</v>
          </cell>
        </row>
        <row r="568">
          <cell r="A568">
            <v>316050202</v>
          </cell>
          <cell r="B568" t="str">
            <v>背板=1
侧板=2
掩门=4</v>
          </cell>
          <cell r="C568" t="str">
            <v>OF-123橡木浮雕OF-0721暖白绒面</v>
          </cell>
          <cell r="D568">
            <v>1</v>
          </cell>
          <cell r="E568" t="str">
            <v>包</v>
          </cell>
          <cell r="F568" t="str">
            <v>3-2</v>
          </cell>
          <cell r="G568">
            <v>0</v>
          </cell>
        </row>
        <row r="569">
          <cell r="A569">
            <v>316050204</v>
          </cell>
          <cell r="B569" t="str">
            <v>欧玛柜脚=1
铝方脚=2</v>
          </cell>
          <cell r="C569" t="str">
            <v>砂白</v>
          </cell>
          <cell r="D569">
            <v>1</v>
          </cell>
          <cell r="E569" t="str">
            <v>包</v>
          </cell>
          <cell r="F569" t="str">
            <v>3-3</v>
          </cell>
          <cell r="G569">
            <v>0</v>
          </cell>
        </row>
        <row r="570">
          <cell r="A570">
            <v>316030400</v>
          </cell>
          <cell r="B570" t="str">
            <v>欧玛QT900洽谈桌Ø900*750</v>
          </cell>
          <cell r="C570" t="str">
            <v>暖白绒面+砂白</v>
          </cell>
          <cell r="D570">
            <v>0</v>
          </cell>
          <cell r="G570">
            <v>0</v>
          </cell>
        </row>
        <row r="571">
          <cell r="A571">
            <v>316030401</v>
          </cell>
          <cell r="B571" t="str">
            <v>面板=1</v>
          </cell>
          <cell r="C571" t="str">
            <v>OF-0721暖白绒面</v>
          </cell>
          <cell r="D571">
            <v>1</v>
          </cell>
          <cell r="E571" t="str">
            <v>包</v>
          </cell>
          <cell r="F571" t="str">
            <v>2-1</v>
          </cell>
          <cell r="G571">
            <v>0</v>
          </cell>
        </row>
        <row r="572">
          <cell r="A572">
            <v>316030402</v>
          </cell>
          <cell r="B572" t="str">
            <v>钢脚=3</v>
          </cell>
          <cell r="C572" t="str">
            <v>砂白</v>
          </cell>
          <cell r="D572">
            <v>1</v>
          </cell>
          <cell r="E572" t="str">
            <v>包</v>
          </cell>
          <cell r="F572" t="str">
            <v>2-2</v>
          </cell>
          <cell r="G572">
            <v>0</v>
          </cell>
        </row>
        <row r="573">
          <cell r="A573">
            <v>316050400</v>
          </cell>
          <cell r="B573" t="str">
            <v>欧玛C2B文件柜800*400*1600</v>
          </cell>
          <cell r="C573" t="str">
            <v>暖白绒面</v>
          </cell>
          <cell r="D573">
            <v>0</v>
          </cell>
          <cell r="G573">
            <v>0</v>
          </cell>
        </row>
        <row r="574">
          <cell r="A574">
            <v>316050401</v>
          </cell>
          <cell r="B574" t="str">
            <v>顶板=1
固层=1
活层=2
底板=1</v>
          </cell>
          <cell r="C574" t="str">
            <v>OF-0721暖白绒面</v>
          </cell>
          <cell r="D574">
            <v>1</v>
          </cell>
          <cell r="E574" t="str">
            <v>包</v>
          </cell>
          <cell r="F574" t="str">
            <v>4-1</v>
          </cell>
          <cell r="G574">
            <v>0</v>
          </cell>
        </row>
        <row r="575">
          <cell r="A575">
            <v>316050402</v>
          </cell>
          <cell r="B575" t="str">
            <v>背板=1
侧板=2
掩门=4</v>
          </cell>
          <cell r="C575" t="str">
            <v>OF-123橡木浮雕OF-0721暖白绒面</v>
          </cell>
          <cell r="D575">
            <v>1</v>
          </cell>
          <cell r="E575" t="str">
            <v>包</v>
          </cell>
          <cell r="F575" t="str">
            <v>4-2</v>
          </cell>
          <cell r="G575">
            <v>0</v>
          </cell>
        </row>
        <row r="576">
          <cell r="A576">
            <v>316050403</v>
          </cell>
          <cell r="B576" t="str">
            <v>欧玛柜脚=1
铝方脚=2</v>
          </cell>
          <cell r="C576" t="str">
            <v>砂白
氧化</v>
          </cell>
          <cell r="D576">
            <v>1</v>
          </cell>
          <cell r="E576" t="str">
            <v>包</v>
          </cell>
          <cell r="F576" t="str">
            <v>4-3</v>
          </cell>
          <cell r="G576">
            <v>0</v>
          </cell>
        </row>
        <row r="577">
          <cell r="A577">
            <v>316050404</v>
          </cell>
          <cell r="B577" t="str">
            <v>铝框门=2</v>
          </cell>
          <cell r="C577" t="str">
            <v>砂白</v>
          </cell>
          <cell r="D577">
            <v>1</v>
          </cell>
          <cell r="E577" t="str">
            <v>包</v>
          </cell>
          <cell r="F577" t="str">
            <v>4-4</v>
          </cell>
          <cell r="G577">
            <v>0</v>
          </cell>
        </row>
        <row r="578">
          <cell r="A578">
            <v>316050300</v>
          </cell>
          <cell r="B578" t="str">
            <v>欧玛C2A文件柜800*400*1600</v>
          </cell>
          <cell r="C578" t="str">
            <v>玻璃门</v>
          </cell>
          <cell r="D578">
            <v>0</v>
          </cell>
          <cell r="G578">
            <v>0</v>
          </cell>
        </row>
        <row r="579">
          <cell r="A579">
            <v>316050301</v>
          </cell>
          <cell r="B579" t="str">
            <v>顶板=1
固层=1
活层=2
底板=1</v>
          </cell>
          <cell r="C579" t="str">
            <v>OF-0721暖白绒面</v>
          </cell>
          <cell r="D579">
            <v>1</v>
          </cell>
          <cell r="E579" t="str">
            <v>包</v>
          </cell>
          <cell r="F579" t="str">
            <v>4-1</v>
          </cell>
          <cell r="G579">
            <v>0</v>
          </cell>
        </row>
        <row r="580">
          <cell r="A580">
            <v>316050302</v>
          </cell>
          <cell r="B580" t="str">
            <v>背板=1
侧板=2
掩门=4</v>
          </cell>
          <cell r="C580" t="str">
            <v>OF-0721暖白绒面</v>
          </cell>
          <cell r="D580">
            <v>1</v>
          </cell>
          <cell r="E580" t="str">
            <v>包</v>
          </cell>
          <cell r="F580" t="str">
            <v>4-2</v>
          </cell>
          <cell r="G580">
            <v>0</v>
          </cell>
        </row>
        <row r="581">
          <cell r="A581">
            <v>316050303</v>
          </cell>
          <cell r="B581" t="str">
            <v>欧玛柜脚=1
铝方脚=2</v>
          </cell>
          <cell r="C581" t="str">
            <v>砂白
氧化</v>
          </cell>
          <cell r="D581">
            <v>1</v>
          </cell>
          <cell r="E581" t="str">
            <v>包</v>
          </cell>
          <cell r="F581" t="str">
            <v>4-3</v>
          </cell>
          <cell r="G581">
            <v>0</v>
          </cell>
        </row>
        <row r="582">
          <cell r="A582">
            <v>316050304</v>
          </cell>
          <cell r="B582" t="str">
            <v>铝框门=2</v>
          </cell>
          <cell r="C582" t="str">
            <v>砂白</v>
          </cell>
          <cell r="D582">
            <v>1</v>
          </cell>
          <cell r="E582" t="str">
            <v>包</v>
          </cell>
          <cell r="F582" t="str">
            <v>4-4</v>
          </cell>
          <cell r="G582">
            <v>0</v>
          </cell>
        </row>
        <row r="583">
          <cell r="A583">
            <v>316020100</v>
          </cell>
          <cell r="B583" t="str">
            <v>欧玛LT1长茶几1200*600*42</v>
          </cell>
          <cell r="C583" t="str">
            <v>暖白绒面+蓝色</v>
          </cell>
          <cell r="D583">
            <v>0</v>
          </cell>
          <cell r="G583">
            <v>0</v>
          </cell>
        </row>
        <row r="584">
          <cell r="A584">
            <v>316020101</v>
          </cell>
          <cell r="B584" t="str">
            <v>面板=1
底板=1蓝色
外侧=1
中侧=1
背板=1</v>
          </cell>
          <cell r="C584" t="str">
            <v>OF-0721暖白绒面OF-A78蓝色绒面</v>
          </cell>
          <cell r="D584">
            <v>1</v>
          </cell>
          <cell r="E584" t="str">
            <v>包</v>
          </cell>
          <cell r="F584" t="str">
            <v>2-1</v>
          </cell>
          <cell r="G584">
            <v>0</v>
          </cell>
        </row>
        <row r="585">
          <cell r="A585">
            <v>316020102</v>
          </cell>
          <cell r="B585" t="str">
            <v>茶几钢架=1</v>
          </cell>
          <cell r="C585" t="str">
            <v>砂白</v>
          </cell>
          <cell r="D585">
            <v>1</v>
          </cell>
          <cell r="E585" t="str">
            <v>包</v>
          </cell>
          <cell r="F585" t="str">
            <v>2-2</v>
          </cell>
          <cell r="G585">
            <v>0</v>
          </cell>
        </row>
        <row r="586">
          <cell r="A586">
            <v>316020200</v>
          </cell>
          <cell r="B586" t="str">
            <v>欧玛LT2长茶几1200*600*420</v>
          </cell>
          <cell r="C586" t="str">
            <v>123橡木+  暖白绒面</v>
          </cell>
          <cell r="D586">
            <v>0</v>
          </cell>
          <cell r="G586">
            <v>0</v>
          </cell>
        </row>
        <row r="587">
          <cell r="A587">
            <v>316020201</v>
          </cell>
          <cell r="B587" t="str">
            <v>面板=1
底板=1
外侧=1
中侧=1
背板=1</v>
          </cell>
          <cell r="C587" t="str">
            <v>OF-123橡木浮雕OF-0721暖白绒面</v>
          </cell>
          <cell r="D587">
            <v>1</v>
          </cell>
          <cell r="E587" t="str">
            <v>包</v>
          </cell>
          <cell r="F587" t="str">
            <v>2-1</v>
          </cell>
          <cell r="G587">
            <v>0</v>
          </cell>
        </row>
        <row r="588">
          <cell r="A588">
            <v>316020202</v>
          </cell>
          <cell r="B588" t="str">
            <v>茶几钢架=1</v>
          </cell>
          <cell r="C588" t="str">
            <v>砂白</v>
          </cell>
          <cell r="D588">
            <v>1</v>
          </cell>
          <cell r="E588" t="str">
            <v>包</v>
          </cell>
          <cell r="F588" t="str">
            <v>2-2</v>
          </cell>
          <cell r="G588">
            <v>0</v>
          </cell>
        </row>
        <row r="589">
          <cell r="A589">
            <v>316020300</v>
          </cell>
          <cell r="B589" t="str">
            <v>欧玛ST1方茶几600*600*420</v>
          </cell>
          <cell r="C589" t="str">
            <v>暖白绒面</v>
          </cell>
          <cell r="D589">
            <v>0</v>
          </cell>
          <cell r="G589">
            <v>0</v>
          </cell>
        </row>
        <row r="590">
          <cell r="A590">
            <v>316020301</v>
          </cell>
          <cell r="B590" t="str">
            <v xml:space="preserve">面板=1
底板=1
外侧=1
</v>
          </cell>
          <cell r="C590" t="str">
            <v>OF-0721暖白绒面</v>
          </cell>
          <cell r="D590">
            <v>1</v>
          </cell>
          <cell r="E590" t="str">
            <v>包</v>
          </cell>
          <cell r="F590" t="str">
            <v>2-1</v>
          </cell>
          <cell r="G590">
            <v>0</v>
          </cell>
        </row>
        <row r="591">
          <cell r="A591">
            <v>316020302</v>
          </cell>
          <cell r="B591" t="str">
            <v>茶几钢架=1</v>
          </cell>
          <cell r="C591" t="str">
            <v>砂白</v>
          </cell>
          <cell r="D591">
            <v>1</v>
          </cell>
          <cell r="E591" t="str">
            <v>包</v>
          </cell>
          <cell r="F591" t="str">
            <v>2-2</v>
          </cell>
          <cell r="G591">
            <v>0</v>
          </cell>
        </row>
        <row r="592">
          <cell r="A592">
            <v>316020400</v>
          </cell>
          <cell r="B592" t="str">
            <v>欧玛ST2方茶几600*600*420</v>
          </cell>
          <cell r="C592" t="str">
            <v>123橡木浮雕</v>
          </cell>
          <cell r="D592">
            <v>0</v>
          </cell>
          <cell r="G592">
            <v>0</v>
          </cell>
        </row>
        <row r="593">
          <cell r="A593">
            <v>316020401</v>
          </cell>
          <cell r="B593" t="str">
            <v xml:space="preserve">面板=1
底板=1
外侧=1
</v>
          </cell>
          <cell r="C593" t="str">
            <v>OF-123橡木浮雕</v>
          </cell>
          <cell r="D593">
            <v>1</v>
          </cell>
          <cell r="E593" t="str">
            <v>包</v>
          </cell>
          <cell r="F593" t="str">
            <v>2-1</v>
          </cell>
          <cell r="G593">
            <v>0</v>
          </cell>
        </row>
        <row r="594">
          <cell r="A594">
            <v>316020402</v>
          </cell>
          <cell r="B594" t="str">
            <v>茶几钢架=1</v>
          </cell>
          <cell r="C594" t="str">
            <v>砂白</v>
          </cell>
          <cell r="D594">
            <v>1</v>
          </cell>
          <cell r="E594" t="str">
            <v>包</v>
          </cell>
          <cell r="F594" t="str">
            <v>2-2</v>
          </cell>
          <cell r="G594">
            <v>0</v>
          </cell>
        </row>
        <row r="595">
          <cell r="A595">
            <v>316010700</v>
          </cell>
          <cell r="B595" t="str">
            <v>欧玛D2主管桌1800*800*760右</v>
          </cell>
          <cell r="C595" t="str">
            <v>123橡木+  暖白绒面</v>
          </cell>
          <cell r="D595">
            <v>0</v>
          </cell>
          <cell r="G595">
            <v>0</v>
          </cell>
        </row>
        <row r="596">
          <cell r="A596">
            <v>316010701</v>
          </cell>
          <cell r="B596" t="str">
            <v>主台面板=1
前挡板=1</v>
          </cell>
          <cell r="C596" t="str">
            <v>OF-123橡木浮雕</v>
          </cell>
          <cell r="D596">
            <v>1</v>
          </cell>
          <cell r="E596" t="str">
            <v>包</v>
          </cell>
          <cell r="F596" t="str">
            <v>4-1</v>
          </cell>
          <cell r="G596">
            <v>0</v>
          </cell>
        </row>
        <row r="597">
          <cell r="A597">
            <v>316010702</v>
          </cell>
          <cell r="B597" t="str">
            <v>附柜=1</v>
          </cell>
          <cell r="C597" t="str">
            <v>OF-123橡木浮雕OF-0721暖白绒面</v>
          </cell>
          <cell r="D597">
            <v>1</v>
          </cell>
          <cell r="E597" t="str">
            <v>包</v>
          </cell>
          <cell r="F597" t="str">
            <v>4-2</v>
          </cell>
          <cell r="G597">
            <v>0</v>
          </cell>
        </row>
        <row r="598">
          <cell r="A598">
            <v>316010703</v>
          </cell>
          <cell r="B598" t="str">
            <v>欧玛边脚=1
附柜支撑脚=1</v>
          </cell>
          <cell r="C598" t="str">
            <v>砂白</v>
          </cell>
          <cell r="D598">
            <v>1</v>
          </cell>
          <cell r="E598" t="str">
            <v>包</v>
          </cell>
          <cell r="F598" t="str">
            <v>4-3</v>
          </cell>
          <cell r="G598">
            <v>0</v>
          </cell>
        </row>
        <row r="599">
          <cell r="A599">
            <v>316010704</v>
          </cell>
          <cell r="B599" t="str">
            <v>欧玛拉杆=2</v>
          </cell>
          <cell r="C599" t="str">
            <v>砂白</v>
          </cell>
          <cell r="D599">
            <v>1</v>
          </cell>
          <cell r="E599" t="str">
            <v>包</v>
          </cell>
          <cell r="F599" t="str">
            <v>4-4</v>
          </cell>
          <cell r="G599">
            <v>0</v>
          </cell>
        </row>
        <row r="600">
          <cell r="A600">
            <v>316010705</v>
          </cell>
          <cell r="B600" t="str">
            <v>配件包＝1</v>
          </cell>
          <cell r="C600">
            <v>0</v>
          </cell>
          <cell r="D600">
            <v>1</v>
          </cell>
          <cell r="E600" t="str">
            <v>包</v>
          </cell>
          <cell r="F600" t="str">
            <v>4-5</v>
          </cell>
          <cell r="G600">
            <v>0</v>
          </cell>
        </row>
        <row r="601">
          <cell r="A601">
            <v>316010200</v>
          </cell>
          <cell r="B601" t="str">
            <v>欧玛D1主管桌1800*800*760左</v>
          </cell>
          <cell r="C601" t="str">
            <v>暖白绒面+A78蓝色绒面</v>
          </cell>
          <cell r="D601">
            <v>0</v>
          </cell>
          <cell r="G601">
            <v>0</v>
          </cell>
        </row>
        <row r="602">
          <cell r="A602">
            <v>316010201</v>
          </cell>
          <cell r="B602" t="str">
            <v>主台面板=1
前挡板=1</v>
          </cell>
          <cell r="C602" t="str">
            <v>OF-0721暖白绒面OF-0721暖白绒面</v>
          </cell>
          <cell r="D602">
            <v>1</v>
          </cell>
          <cell r="E602" t="str">
            <v>包</v>
          </cell>
          <cell r="F602" t="str">
            <v>5-1</v>
          </cell>
          <cell r="G602">
            <v>0</v>
          </cell>
        </row>
        <row r="603">
          <cell r="A603">
            <v>316010202</v>
          </cell>
          <cell r="B603" t="str">
            <v>附柜=1</v>
          </cell>
          <cell r="C603" t="str">
            <v>OF-0721暖白绒面OF-A78蓝色绒面</v>
          </cell>
          <cell r="D603">
            <v>1</v>
          </cell>
          <cell r="E603" t="str">
            <v>包</v>
          </cell>
          <cell r="F603" t="str">
            <v>5-2</v>
          </cell>
          <cell r="G603">
            <v>0</v>
          </cell>
        </row>
        <row r="604">
          <cell r="A604">
            <v>316010203</v>
          </cell>
          <cell r="B604" t="str">
            <v>附柜抽屉=3</v>
          </cell>
          <cell r="C604" t="str">
            <v>OF-0721暖白绒面OF-A78蓝色绒面</v>
          </cell>
          <cell r="D604">
            <v>1</v>
          </cell>
          <cell r="E604" t="str">
            <v>包</v>
          </cell>
          <cell r="F604" t="str">
            <v>5-3</v>
          </cell>
          <cell r="G604">
            <v>0</v>
          </cell>
        </row>
        <row r="605">
          <cell r="A605">
            <v>316010204</v>
          </cell>
          <cell r="B605" t="str">
            <v>欧玛边脚=2
钢制走线槽=1</v>
          </cell>
          <cell r="C605" t="str">
            <v>砂白</v>
          </cell>
          <cell r="D605">
            <v>1</v>
          </cell>
          <cell r="E605" t="str">
            <v>包</v>
          </cell>
          <cell r="F605" t="str">
            <v>5-4</v>
          </cell>
          <cell r="G605">
            <v>0</v>
          </cell>
        </row>
        <row r="606">
          <cell r="A606">
            <v>316010205</v>
          </cell>
          <cell r="B606" t="str">
            <v>欧玛拉杆=2</v>
          </cell>
          <cell r="C606" t="str">
            <v>砂白</v>
          </cell>
          <cell r="D606">
            <v>1</v>
          </cell>
          <cell r="E606" t="str">
            <v>包</v>
          </cell>
          <cell r="F606" t="str">
            <v>5-5</v>
          </cell>
          <cell r="G606">
            <v>0</v>
          </cell>
        </row>
        <row r="607">
          <cell r="A607">
            <v>316010800</v>
          </cell>
          <cell r="B607" t="str">
            <v>欧玛D1主管桌1800*800*760右</v>
          </cell>
          <cell r="C607" t="str">
            <v>暖白绒面+A78蓝色绒面</v>
          </cell>
          <cell r="D607">
            <v>0</v>
          </cell>
          <cell r="G607">
            <v>0</v>
          </cell>
        </row>
        <row r="608">
          <cell r="A608">
            <v>316010801</v>
          </cell>
          <cell r="B608" t="str">
            <v>主台面板=1
前挡板=1</v>
          </cell>
          <cell r="C608" t="str">
            <v>OF-0721暖白绒面OF-0721暖白绒面</v>
          </cell>
          <cell r="D608">
            <v>1</v>
          </cell>
          <cell r="E608" t="str">
            <v>包</v>
          </cell>
          <cell r="F608" t="str">
            <v>5-1</v>
          </cell>
          <cell r="G608">
            <v>0</v>
          </cell>
        </row>
        <row r="609">
          <cell r="A609">
            <v>316010802</v>
          </cell>
          <cell r="B609" t="str">
            <v>附柜=1</v>
          </cell>
          <cell r="C609" t="str">
            <v>OF-0721暖白绒面OF-A78蓝色绒面</v>
          </cell>
          <cell r="D609">
            <v>1</v>
          </cell>
          <cell r="E609" t="str">
            <v>包</v>
          </cell>
          <cell r="F609" t="str">
            <v>5-2</v>
          </cell>
          <cell r="G609">
            <v>0</v>
          </cell>
        </row>
        <row r="610">
          <cell r="A610">
            <v>316010803</v>
          </cell>
          <cell r="B610" t="str">
            <v>附柜抽屉=3</v>
          </cell>
          <cell r="C610" t="str">
            <v>OF-0721暖白绒面OF-A78蓝色绒面</v>
          </cell>
          <cell r="D610">
            <v>1</v>
          </cell>
          <cell r="E610" t="str">
            <v>包</v>
          </cell>
          <cell r="F610" t="str">
            <v>5-3</v>
          </cell>
          <cell r="G610">
            <v>0</v>
          </cell>
        </row>
        <row r="611">
          <cell r="A611">
            <v>316010804</v>
          </cell>
          <cell r="B611" t="str">
            <v>欧玛边脚=2
钢制走线槽=1</v>
          </cell>
          <cell r="C611" t="str">
            <v>砂白</v>
          </cell>
          <cell r="D611">
            <v>1</v>
          </cell>
          <cell r="E611" t="str">
            <v>包</v>
          </cell>
          <cell r="F611" t="str">
            <v>5-4</v>
          </cell>
          <cell r="G611">
            <v>0</v>
          </cell>
        </row>
        <row r="612">
          <cell r="A612">
            <v>316010805</v>
          </cell>
          <cell r="B612" t="str">
            <v>欧玛拉杆=2</v>
          </cell>
          <cell r="C612" t="str">
            <v>砂白</v>
          </cell>
          <cell r="D612">
            <v>1</v>
          </cell>
          <cell r="E612" t="str">
            <v>包</v>
          </cell>
          <cell r="F612" t="str">
            <v>5-5</v>
          </cell>
          <cell r="G612">
            <v>0</v>
          </cell>
        </row>
        <row r="613">
          <cell r="A613">
            <v>316040300</v>
          </cell>
          <cell r="B613" t="str">
            <v>欧玛HS4直行四人位2800*1200*760</v>
          </cell>
          <cell r="C613">
            <v>0</v>
          </cell>
          <cell r="D613">
            <v>0</v>
          </cell>
          <cell r="G613">
            <v>0</v>
          </cell>
        </row>
        <row r="614">
          <cell r="A614">
            <v>316040301</v>
          </cell>
          <cell r="B614" t="str">
            <v>台面=2</v>
          </cell>
          <cell r="C614" t="str">
            <v>OF-0721暖白绒面</v>
          </cell>
          <cell r="D614">
            <v>1</v>
          </cell>
          <cell r="E614" t="str">
            <v>包</v>
          </cell>
          <cell r="F614" t="str">
            <v>7-1</v>
          </cell>
          <cell r="G614">
            <v>0</v>
          </cell>
        </row>
        <row r="615">
          <cell r="A615">
            <v>316040302</v>
          </cell>
          <cell r="B615" t="str">
            <v>装饰板=1</v>
          </cell>
          <cell r="C615" t="str">
            <v>OF-A78蓝色绒面</v>
          </cell>
          <cell r="D615">
            <v>1</v>
          </cell>
          <cell r="E615" t="str">
            <v>包</v>
          </cell>
          <cell r="F615" t="str">
            <v>7-2</v>
          </cell>
          <cell r="G615">
            <v>0</v>
          </cell>
        </row>
        <row r="616">
          <cell r="A616">
            <v>316040303</v>
          </cell>
          <cell r="B616" t="str">
            <v>桌上屏风=2</v>
          </cell>
          <cell r="C616" t="str">
            <v>OF-A78蓝色绒面</v>
          </cell>
          <cell r="D616">
            <v>1</v>
          </cell>
          <cell r="E616" t="str">
            <v>包</v>
          </cell>
          <cell r="F616" t="str">
            <v>7-3</v>
          </cell>
          <cell r="G616">
            <v>0</v>
          </cell>
        </row>
        <row r="617">
          <cell r="A617">
            <v>316040304</v>
          </cell>
          <cell r="B617" t="str">
            <v>欧玛边脚=2</v>
          </cell>
          <cell r="C617" t="str">
            <v>砂白</v>
          </cell>
          <cell r="D617">
            <v>1</v>
          </cell>
          <cell r="E617" t="str">
            <v>包</v>
          </cell>
          <cell r="F617" t="str">
            <v>7-4</v>
          </cell>
          <cell r="G617">
            <v>0</v>
          </cell>
        </row>
        <row r="618">
          <cell r="A618">
            <v>316040305</v>
          </cell>
          <cell r="B618" t="str">
            <v>拉杆=2
横杆=2</v>
          </cell>
          <cell r="C618" t="str">
            <v>砂白</v>
          </cell>
          <cell r="D618">
            <v>1</v>
          </cell>
          <cell r="E618" t="str">
            <v>包</v>
          </cell>
          <cell r="F618" t="str">
            <v>7-5</v>
          </cell>
          <cell r="G618">
            <v>0</v>
          </cell>
        </row>
        <row r="619">
          <cell r="A619">
            <v>316040306</v>
          </cell>
          <cell r="B619" t="str">
            <v>集成走线箱</v>
          </cell>
          <cell r="C619" t="str">
            <v>砂白</v>
          </cell>
          <cell r="D619">
            <v>1</v>
          </cell>
          <cell r="E619" t="str">
            <v>包</v>
          </cell>
          <cell r="F619" t="str">
            <v>7-6</v>
          </cell>
          <cell r="G619">
            <v>0</v>
          </cell>
        </row>
        <row r="620">
          <cell r="A620">
            <v>316040307</v>
          </cell>
          <cell r="B620" t="str">
            <v>屏风支撑架=2</v>
          </cell>
          <cell r="C620" t="str">
            <v>砂白</v>
          </cell>
          <cell r="D620">
            <v>1</v>
          </cell>
          <cell r="E620" t="str">
            <v>包</v>
          </cell>
          <cell r="F620" t="str">
            <v>7-7</v>
          </cell>
          <cell r="G620">
            <v>0</v>
          </cell>
        </row>
        <row r="621">
          <cell r="A621">
            <v>316040308</v>
          </cell>
          <cell r="B621" t="str">
            <v>活动柜＝4</v>
          </cell>
          <cell r="C621" t="str">
            <v>暖白+蓝色</v>
          </cell>
          <cell r="D621">
            <v>4</v>
          </cell>
          <cell r="E621" t="str">
            <v>包</v>
          </cell>
          <cell r="F621" t="str">
            <v>4-1，2，3，4</v>
          </cell>
          <cell r="G621">
            <v>18</v>
          </cell>
        </row>
        <row r="622">
          <cell r="A622">
            <v>316030300</v>
          </cell>
          <cell r="B622" t="str">
            <v>欧玛T3会议桌2800*1200*760</v>
          </cell>
          <cell r="C622">
            <v>0</v>
          </cell>
          <cell r="D622">
            <v>0</v>
          </cell>
          <cell r="G622">
            <v>0</v>
          </cell>
        </row>
        <row r="623">
          <cell r="A623">
            <v>316030301</v>
          </cell>
          <cell r="B623" t="str">
            <v>台面=2</v>
          </cell>
          <cell r="C623" t="str">
            <v>OF-0721暖白绒面</v>
          </cell>
          <cell r="D623">
            <v>1</v>
          </cell>
          <cell r="E623" t="str">
            <v>包</v>
          </cell>
          <cell r="F623" t="str">
            <v>5-1</v>
          </cell>
          <cell r="G623">
            <v>0</v>
          </cell>
        </row>
        <row r="624">
          <cell r="A624">
            <v>316030302</v>
          </cell>
          <cell r="B624" t="str">
            <v>装饰板=1</v>
          </cell>
          <cell r="C624" t="str">
            <v>OF-A78蓝色绒面</v>
          </cell>
          <cell r="D624">
            <v>1</v>
          </cell>
          <cell r="E624" t="str">
            <v>包</v>
          </cell>
          <cell r="F624" t="str">
            <v>5-2</v>
          </cell>
          <cell r="G624">
            <v>0</v>
          </cell>
        </row>
        <row r="625">
          <cell r="A625">
            <v>316030303</v>
          </cell>
          <cell r="B625" t="str">
            <v>欧玛钢架=2</v>
          </cell>
          <cell r="C625" t="str">
            <v>砂白</v>
          </cell>
          <cell r="D625">
            <v>1</v>
          </cell>
          <cell r="E625" t="str">
            <v>包</v>
          </cell>
          <cell r="F625" t="str">
            <v>5-3</v>
          </cell>
          <cell r="G625">
            <v>0</v>
          </cell>
        </row>
        <row r="626">
          <cell r="A626">
            <v>316030304</v>
          </cell>
          <cell r="B626" t="str">
            <v>拉杆=2
横杆=2</v>
          </cell>
          <cell r="C626" t="str">
            <v>砂白</v>
          </cell>
          <cell r="D626">
            <v>1</v>
          </cell>
          <cell r="E626" t="str">
            <v>包</v>
          </cell>
          <cell r="F626" t="str">
            <v>5-4</v>
          </cell>
          <cell r="G626">
            <v>0</v>
          </cell>
        </row>
        <row r="627">
          <cell r="A627">
            <v>316030305</v>
          </cell>
          <cell r="B627" t="str">
            <v>集成走线箱</v>
          </cell>
          <cell r="C627" t="str">
            <v>砂白</v>
          </cell>
          <cell r="D627">
            <v>1</v>
          </cell>
          <cell r="E627" t="str">
            <v>包</v>
          </cell>
          <cell r="F627" t="str">
            <v>5-5</v>
          </cell>
          <cell r="G627">
            <v>0</v>
          </cell>
        </row>
        <row r="628">
          <cell r="A628">
            <v>316010100</v>
          </cell>
          <cell r="B628" t="str">
            <v>欧玛D1主管桌1600*800*760</v>
          </cell>
          <cell r="C628" t="str">
            <v>暖白绒面</v>
          </cell>
          <cell r="D628">
            <v>0</v>
          </cell>
          <cell r="G628">
            <v>0</v>
          </cell>
        </row>
        <row r="629">
          <cell r="A629">
            <v>316010101</v>
          </cell>
          <cell r="B629" t="str">
            <v>主台面板=1
前挡板=1</v>
          </cell>
          <cell r="C629" t="str">
            <v>OF-0721暖白绒面OF-0721暖白绒面</v>
          </cell>
          <cell r="D629">
            <v>1</v>
          </cell>
          <cell r="E629" t="str">
            <v>包</v>
          </cell>
          <cell r="F629" t="str">
            <v>5-1</v>
          </cell>
          <cell r="G629">
            <v>0</v>
          </cell>
        </row>
        <row r="630">
          <cell r="A630">
            <v>316010102</v>
          </cell>
          <cell r="B630" t="str">
            <v>附柜=1</v>
          </cell>
          <cell r="C630" t="str">
            <v>OF-0721暖白绒面OF-A78蓝色绒面</v>
          </cell>
          <cell r="D630">
            <v>1</v>
          </cell>
          <cell r="E630" t="str">
            <v>包</v>
          </cell>
          <cell r="F630" t="str">
            <v>5-2</v>
          </cell>
          <cell r="G630">
            <v>0</v>
          </cell>
        </row>
        <row r="631">
          <cell r="A631">
            <v>316010103</v>
          </cell>
          <cell r="B631" t="str">
            <v>附柜抽屉=3</v>
          </cell>
          <cell r="C631" t="str">
            <v>OF-0721暖白绒面OF-A78蓝色绒面</v>
          </cell>
          <cell r="D631">
            <v>1</v>
          </cell>
          <cell r="E631" t="str">
            <v>包</v>
          </cell>
          <cell r="F631" t="str">
            <v>5-3</v>
          </cell>
          <cell r="G631">
            <v>0</v>
          </cell>
        </row>
        <row r="632">
          <cell r="A632">
            <v>316010104</v>
          </cell>
          <cell r="B632" t="str">
            <v>欧玛边脚=2
钢制走线槽=1</v>
          </cell>
          <cell r="C632" t="str">
            <v>砂白</v>
          </cell>
          <cell r="D632">
            <v>1</v>
          </cell>
          <cell r="E632" t="str">
            <v>包</v>
          </cell>
          <cell r="F632" t="str">
            <v>5-4</v>
          </cell>
          <cell r="G632">
            <v>0</v>
          </cell>
        </row>
        <row r="633">
          <cell r="A633">
            <v>316010105</v>
          </cell>
          <cell r="B633" t="str">
            <v>欧玛拉杆=2</v>
          </cell>
          <cell r="C633" t="str">
            <v>砂白</v>
          </cell>
          <cell r="D633">
            <v>1</v>
          </cell>
          <cell r="E633" t="str">
            <v>包</v>
          </cell>
          <cell r="F633" t="str">
            <v>5-5</v>
          </cell>
          <cell r="G633">
            <v>0</v>
          </cell>
        </row>
        <row r="634">
          <cell r="A634">
            <v>316010300</v>
          </cell>
          <cell r="B634" t="str">
            <v>欧玛D1主管桌2000*1000*760</v>
          </cell>
          <cell r="C634" t="str">
            <v>暖白绒面</v>
          </cell>
          <cell r="D634">
            <v>0</v>
          </cell>
          <cell r="G634">
            <v>0</v>
          </cell>
        </row>
        <row r="635">
          <cell r="A635">
            <v>316010301</v>
          </cell>
          <cell r="B635" t="str">
            <v>主台面板=1
前挡板=1</v>
          </cell>
          <cell r="C635" t="str">
            <v>OF-0721暖白绒面OF-0721暖白绒面</v>
          </cell>
          <cell r="D635">
            <v>1</v>
          </cell>
          <cell r="E635" t="str">
            <v>包</v>
          </cell>
          <cell r="F635" t="str">
            <v>5-1</v>
          </cell>
          <cell r="G635">
            <v>0</v>
          </cell>
        </row>
        <row r="636">
          <cell r="A636">
            <v>316010302</v>
          </cell>
          <cell r="B636" t="str">
            <v>附柜=1</v>
          </cell>
          <cell r="C636" t="str">
            <v>OF-0721暖白绒面OF-A78蓝色绒面</v>
          </cell>
          <cell r="D636">
            <v>1</v>
          </cell>
          <cell r="E636" t="str">
            <v>包</v>
          </cell>
          <cell r="F636" t="str">
            <v>5-2</v>
          </cell>
          <cell r="G636">
            <v>0</v>
          </cell>
        </row>
        <row r="637">
          <cell r="A637">
            <v>316010303</v>
          </cell>
          <cell r="B637" t="str">
            <v>附柜抽屉=3</v>
          </cell>
          <cell r="C637" t="str">
            <v>OF-0721暖白绒面OF-A78蓝色绒面</v>
          </cell>
          <cell r="D637">
            <v>1</v>
          </cell>
          <cell r="E637" t="str">
            <v>包</v>
          </cell>
          <cell r="F637" t="str">
            <v>5-3</v>
          </cell>
          <cell r="G637">
            <v>0</v>
          </cell>
        </row>
        <row r="638">
          <cell r="A638">
            <v>316010304</v>
          </cell>
          <cell r="B638" t="str">
            <v>欧玛边脚=2
钢制走线槽=1</v>
          </cell>
          <cell r="C638" t="str">
            <v>砂白</v>
          </cell>
          <cell r="D638">
            <v>1</v>
          </cell>
          <cell r="E638" t="str">
            <v>包</v>
          </cell>
          <cell r="F638" t="str">
            <v>5-4</v>
          </cell>
          <cell r="G638">
            <v>0</v>
          </cell>
        </row>
        <row r="639">
          <cell r="A639">
            <v>316010305</v>
          </cell>
          <cell r="B639" t="str">
            <v>欧玛拉杆=2</v>
          </cell>
          <cell r="C639" t="str">
            <v>砂白</v>
          </cell>
          <cell r="D639">
            <v>1</v>
          </cell>
          <cell r="E639" t="str">
            <v>包</v>
          </cell>
          <cell r="F639" t="str">
            <v>5-5</v>
          </cell>
          <cell r="G639">
            <v>0</v>
          </cell>
        </row>
        <row r="640">
          <cell r="A640">
            <v>316010400</v>
          </cell>
          <cell r="B640" t="str">
            <v>欧玛D2主管桌1600*800*760</v>
          </cell>
          <cell r="C640" t="str">
            <v>123橡木浮雕</v>
          </cell>
          <cell r="D640">
            <v>0</v>
          </cell>
          <cell r="G640">
            <v>0</v>
          </cell>
        </row>
        <row r="641">
          <cell r="A641">
            <v>316010401</v>
          </cell>
          <cell r="B641" t="str">
            <v>主台面板=1
前挡板=1</v>
          </cell>
          <cell r="C641" t="str">
            <v>OF-123橡木浮雕</v>
          </cell>
          <cell r="D641">
            <v>1</v>
          </cell>
          <cell r="E641" t="str">
            <v>包</v>
          </cell>
          <cell r="F641" t="str">
            <v>4-1</v>
          </cell>
          <cell r="G641">
            <v>0</v>
          </cell>
        </row>
        <row r="642">
          <cell r="A642">
            <v>316010402</v>
          </cell>
          <cell r="B642" t="str">
            <v>附柜=1</v>
          </cell>
          <cell r="C642" t="str">
            <v>OF-123橡木浮雕OF-0721暖白绒面</v>
          </cell>
          <cell r="D642">
            <v>1</v>
          </cell>
          <cell r="E642" t="str">
            <v>包</v>
          </cell>
          <cell r="F642" t="str">
            <v>4-2</v>
          </cell>
          <cell r="G642">
            <v>0</v>
          </cell>
        </row>
        <row r="643">
          <cell r="A643">
            <v>316010403</v>
          </cell>
          <cell r="B643" t="str">
            <v>欧玛边脚=1
附柜支撑脚=1</v>
          </cell>
          <cell r="C643" t="str">
            <v>砂白</v>
          </cell>
          <cell r="D643">
            <v>1</v>
          </cell>
          <cell r="E643" t="str">
            <v>包</v>
          </cell>
          <cell r="F643" t="str">
            <v>4-3</v>
          </cell>
          <cell r="G643">
            <v>0</v>
          </cell>
        </row>
        <row r="644">
          <cell r="A644">
            <v>316010404</v>
          </cell>
          <cell r="B644" t="str">
            <v>欧玛拉杆=2</v>
          </cell>
          <cell r="C644" t="str">
            <v>砂白</v>
          </cell>
          <cell r="D644">
            <v>1</v>
          </cell>
          <cell r="E644" t="str">
            <v>包</v>
          </cell>
          <cell r="F644" t="str">
            <v>4-4</v>
          </cell>
          <cell r="G644">
            <v>0</v>
          </cell>
        </row>
        <row r="645">
          <cell r="A645">
            <v>316010405</v>
          </cell>
          <cell r="B645">
            <v>0</v>
          </cell>
          <cell r="C645">
            <v>0</v>
          </cell>
          <cell r="D645">
            <v>0</v>
          </cell>
          <cell r="G645">
            <v>0</v>
          </cell>
        </row>
        <row r="646">
          <cell r="A646">
            <v>316010600</v>
          </cell>
          <cell r="B646" t="str">
            <v>欧玛D2主管桌2000*1000*760</v>
          </cell>
          <cell r="C646">
            <v>0</v>
          </cell>
          <cell r="D646">
            <v>0</v>
          </cell>
          <cell r="G646">
            <v>0</v>
          </cell>
        </row>
        <row r="647">
          <cell r="A647">
            <v>316010601</v>
          </cell>
          <cell r="B647" t="str">
            <v>主台面板=1
前挡板=1</v>
          </cell>
          <cell r="C647" t="str">
            <v>OF-123橡木浮雕</v>
          </cell>
          <cell r="D647">
            <v>1</v>
          </cell>
          <cell r="E647" t="str">
            <v>包</v>
          </cell>
          <cell r="F647" t="str">
            <v>4-1</v>
          </cell>
          <cell r="G647">
            <v>0</v>
          </cell>
        </row>
        <row r="648">
          <cell r="A648">
            <v>316010602</v>
          </cell>
          <cell r="B648" t="str">
            <v>附柜=1</v>
          </cell>
          <cell r="C648" t="str">
            <v>OF-123橡木浮雕OF-0721暖白绒面</v>
          </cell>
          <cell r="D648">
            <v>1</v>
          </cell>
          <cell r="E648" t="str">
            <v>包</v>
          </cell>
          <cell r="F648" t="str">
            <v>4-2</v>
          </cell>
          <cell r="G648">
            <v>0</v>
          </cell>
        </row>
        <row r="649">
          <cell r="A649">
            <v>316010603</v>
          </cell>
          <cell r="B649" t="str">
            <v>欧玛边脚=1
附柜支撑脚=1</v>
          </cell>
          <cell r="C649" t="str">
            <v>砂白</v>
          </cell>
          <cell r="D649">
            <v>1</v>
          </cell>
          <cell r="E649" t="str">
            <v>包</v>
          </cell>
          <cell r="F649" t="str">
            <v>4-3</v>
          </cell>
          <cell r="G649">
            <v>0</v>
          </cell>
        </row>
        <row r="650">
          <cell r="A650">
            <v>316010604</v>
          </cell>
          <cell r="B650" t="str">
            <v>欧玛拉杆=2</v>
          </cell>
          <cell r="C650" t="str">
            <v>砂白</v>
          </cell>
          <cell r="D650">
            <v>1</v>
          </cell>
          <cell r="E650" t="str">
            <v>包</v>
          </cell>
          <cell r="F650" t="str">
            <v>4-4</v>
          </cell>
          <cell r="G650">
            <v>0</v>
          </cell>
        </row>
        <row r="651">
          <cell r="A651">
            <v>316010605</v>
          </cell>
          <cell r="B651">
            <v>0</v>
          </cell>
          <cell r="C651">
            <v>0</v>
          </cell>
          <cell r="D651">
            <v>0</v>
          </cell>
          <cell r="G651">
            <v>0</v>
          </cell>
        </row>
        <row r="652">
          <cell r="A652">
            <v>316030100</v>
          </cell>
          <cell r="B652" t="str">
            <v>欧玛T1会议桌2200*1000*760</v>
          </cell>
          <cell r="C652">
            <v>0</v>
          </cell>
          <cell r="D652">
            <v>0</v>
          </cell>
          <cell r="G652">
            <v>0</v>
          </cell>
        </row>
        <row r="653">
          <cell r="A653">
            <v>316030101</v>
          </cell>
          <cell r="B653" t="str">
            <v>台面=1</v>
          </cell>
          <cell r="C653" t="str">
            <v>OF-0721暖白绒面</v>
          </cell>
          <cell r="D653">
            <v>1</v>
          </cell>
          <cell r="E653" t="str">
            <v>包</v>
          </cell>
          <cell r="F653" t="str">
            <v>3-1</v>
          </cell>
          <cell r="G653">
            <v>0</v>
          </cell>
        </row>
        <row r="654">
          <cell r="A654">
            <v>316030102</v>
          </cell>
          <cell r="B654" t="str">
            <v>欧玛钢脚=2</v>
          </cell>
          <cell r="C654" t="str">
            <v>砂白</v>
          </cell>
          <cell r="D654">
            <v>1</v>
          </cell>
          <cell r="E654" t="str">
            <v>包</v>
          </cell>
          <cell r="F654" t="str">
            <v>3-2</v>
          </cell>
          <cell r="G654">
            <v>0</v>
          </cell>
        </row>
        <row r="655">
          <cell r="A655">
            <v>316030103</v>
          </cell>
          <cell r="B655" t="str">
            <v>拉杆=2</v>
          </cell>
          <cell r="C655" t="str">
            <v>砂白</v>
          </cell>
          <cell r="D655">
            <v>1</v>
          </cell>
          <cell r="E655" t="str">
            <v>包</v>
          </cell>
          <cell r="F655" t="str">
            <v>3-3</v>
          </cell>
          <cell r="G655">
            <v>0</v>
          </cell>
        </row>
        <row r="656">
          <cell r="A656">
            <v>316030200</v>
          </cell>
          <cell r="B656" t="str">
            <v>欧玛T2会议桌2400*1200*760</v>
          </cell>
          <cell r="C656">
            <v>0</v>
          </cell>
          <cell r="D656">
            <v>0</v>
          </cell>
          <cell r="G656">
            <v>0</v>
          </cell>
        </row>
        <row r="657">
          <cell r="A657">
            <v>316030201</v>
          </cell>
          <cell r="B657" t="str">
            <v>面板=1</v>
          </cell>
          <cell r="C657" t="str">
            <v>OF-0721暖白绒面</v>
          </cell>
          <cell r="D657">
            <v>1</v>
          </cell>
          <cell r="E657" t="str">
            <v>包</v>
          </cell>
          <cell r="F657" t="str">
            <v>4-1</v>
          </cell>
          <cell r="G657">
            <v>0</v>
          </cell>
        </row>
        <row r="658">
          <cell r="A658">
            <v>316030202</v>
          </cell>
          <cell r="B658" t="str">
            <v>欧玛边脚=2</v>
          </cell>
          <cell r="C658" t="str">
            <v>砂白</v>
          </cell>
          <cell r="D658">
            <v>1</v>
          </cell>
          <cell r="E658" t="str">
            <v>包</v>
          </cell>
          <cell r="F658" t="str">
            <v>4-2</v>
          </cell>
          <cell r="G658">
            <v>0</v>
          </cell>
        </row>
        <row r="659">
          <cell r="A659">
            <v>316030203</v>
          </cell>
          <cell r="B659" t="str">
            <v>拉杆=2
横杆=2</v>
          </cell>
          <cell r="C659" t="str">
            <v>砂白</v>
          </cell>
          <cell r="D659">
            <v>1</v>
          </cell>
          <cell r="E659" t="str">
            <v>包</v>
          </cell>
          <cell r="F659" t="str">
            <v>4-3</v>
          </cell>
          <cell r="G659">
            <v>0</v>
          </cell>
        </row>
        <row r="660">
          <cell r="A660">
            <v>316030204</v>
          </cell>
          <cell r="B660" t="str">
            <v>集成走线箱</v>
          </cell>
          <cell r="C660" t="str">
            <v>砂白</v>
          </cell>
          <cell r="D660">
            <v>1</v>
          </cell>
          <cell r="E660" t="str">
            <v>包</v>
          </cell>
          <cell r="F660" t="str">
            <v>4-4</v>
          </cell>
          <cell r="G660">
            <v>0</v>
          </cell>
        </row>
        <row r="661">
          <cell r="A661">
            <v>316040100</v>
          </cell>
          <cell r="B661" t="str">
            <v>欧玛LY4直行四人位2800*1200*760</v>
          </cell>
          <cell r="C661">
            <v>0</v>
          </cell>
          <cell r="D661">
            <v>0</v>
          </cell>
          <cell r="G661">
            <v>0</v>
          </cell>
        </row>
        <row r="662">
          <cell r="A662">
            <v>316040101</v>
          </cell>
          <cell r="B662" t="str">
            <v>台面=2</v>
          </cell>
          <cell r="C662" t="str">
            <v>OF-0721暖白绒面</v>
          </cell>
          <cell r="D662">
            <v>1</v>
          </cell>
          <cell r="E662" t="str">
            <v>包</v>
          </cell>
          <cell r="F662" t="str">
            <v>7-1</v>
          </cell>
          <cell r="G662">
            <v>0</v>
          </cell>
        </row>
        <row r="663">
          <cell r="A663">
            <v>316040102</v>
          </cell>
          <cell r="B663" t="str">
            <v>装饰板=1</v>
          </cell>
          <cell r="C663" t="str">
            <v>OF-A78蓝色绒面</v>
          </cell>
          <cell r="D663">
            <v>1</v>
          </cell>
          <cell r="E663" t="str">
            <v>包</v>
          </cell>
          <cell r="F663" t="str">
            <v>7-2</v>
          </cell>
          <cell r="G663">
            <v>0</v>
          </cell>
        </row>
        <row r="664">
          <cell r="A664">
            <v>316040103</v>
          </cell>
          <cell r="B664" t="str">
            <v>桌上屏风=2</v>
          </cell>
          <cell r="C664" t="str">
            <v>OF-A78蓝色绒面</v>
          </cell>
          <cell r="D664">
            <v>1</v>
          </cell>
          <cell r="E664" t="str">
            <v>包</v>
          </cell>
          <cell r="F664" t="str">
            <v>7-3</v>
          </cell>
          <cell r="G664">
            <v>0</v>
          </cell>
        </row>
        <row r="665">
          <cell r="A665">
            <v>316040104</v>
          </cell>
          <cell r="B665" t="str">
            <v>欧玛边脚=2</v>
          </cell>
          <cell r="C665" t="str">
            <v>砂白</v>
          </cell>
          <cell r="D665">
            <v>1</v>
          </cell>
          <cell r="E665" t="str">
            <v>包</v>
          </cell>
          <cell r="F665" t="str">
            <v>7-4</v>
          </cell>
          <cell r="G665">
            <v>0</v>
          </cell>
        </row>
        <row r="666">
          <cell r="A666">
            <v>316040105</v>
          </cell>
          <cell r="B666" t="str">
            <v>拉杆=2
横杆=2</v>
          </cell>
          <cell r="C666" t="str">
            <v>砂白</v>
          </cell>
          <cell r="D666">
            <v>1</v>
          </cell>
          <cell r="E666" t="str">
            <v>包</v>
          </cell>
          <cell r="F666" t="str">
            <v>7-5</v>
          </cell>
          <cell r="G666">
            <v>0</v>
          </cell>
        </row>
        <row r="667">
          <cell r="A667">
            <v>316040106</v>
          </cell>
          <cell r="B667" t="str">
            <v>集成走线箱</v>
          </cell>
          <cell r="C667" t="str">
            <v>砂白</v>
          </cell>
          <cell r="D667">
            <v>1</v>
          </cell>
          <cell r="E667" t="str">
            <v>包</v>
          </cell>
          <cell r="F667" t="str">
            <v>7-6</v>
          </cell>
          <cell r="G667">
            <v>0</v>
          </cell>
        </row>
        <row r="668">
          <cell r="A668">
            <v>316040107</v>
          </cell>
          <cell r="B668" t="str">
            <v>屏风支撑架=2</v>
          </cell>
          <cell r="C668" t="str">
            <v>砂白</v>
          </cell>
          <cell r="D668">
            <v>1</v>
          </cell>
          <cell r="E668" t="str">
            <v>包</v>
          </cell>
          <cell r="F668" t="str">
            <v>7-7</v>
          </cell>
          <cell r="G668">
            <v>0</v>
          </cell>
        </row>
        <row r="669">
          <cell r="A669">
            <v>316040200</v>
          </cell>
          <cell r="B669" t="str">
            <v>欧玛HS4直行四人位2400*1200*760</v>
          </cell>
          <cell r="C669">
            <v>0</v>
          </cell>
          <cell r="D669">
            <v>0</v>
          </cell>
          <cell r="G669">
            <v>0</v>
          </cell>
        </row>
        <row r="670">
          <cell r="A670">
            <v>316040201</v>
          </cell>
          <cell r="B670" t="str">
            <v>面板=4</v>
          </cell>
          <cell r="C670" t="str">
            <v>OF-123橡木浮雕</v>
          </cell>
          <cell r="D670">
            <v>2</v>
          </cell>
          <cell r="E670" t="str">
            <v>包</v>
          </cell>
          <cell r="F670" t="str">
            <v>12-1（2）</v>
          </cell>
          <cell r="G670">
            <v>0</v>
          </cell>
        </row>
        <row r="671">
          <cell r="A671">
            <v>316040202</v>
          </cell>
          <cell r="B671" t="str">
            <v>桌面屏风=2</v>
          </cell>
          <cell r="C671" t="str">
            <v>OF-0721暖白绒面</v>
          </cell>
          <cell r="D671">
            <v>1</v>
          </cell>
          <cell r="E671" t="str">
            <v>包</v>
          </cell>
          <cell r="F671" t="str">
            <v>12-3</v>
          </cell>
          <cell r="G671">
            <v>0</v>
          </cell>
        </row>
        <row r="672">
          <cell r="A672">
            <v>316040203</v>
          </cell>
          <cell r="B672" t="str">
            <v>附柜=2</v>
          </cell>
          <cell r="C672" t="str">
            <v>OF-123橡木浮雕OF-0721暖白绒面</v>
          </cell>
          <cell r="D672">
            <v>2</v>
          </cell>
          <cell r="E672" t="str">
            <v>包</v>
          </cell>
          <cell r="F672" t="str">
            <v>12-4（5）</v>
          </cell>
          <cell r="G672">
            <v>0</v>
          </cell>
        </row>
        <row r="673">
          <cell r="A673">
            <v>316040204</v>
          </cell>
          <cell r="B673" t="str">
            <v>附柜抽屉=12</v>
          </cell>
          <cell r="C673" t="str">
            <v>OF-0721暖白绒面</v>
          </cell>
          <cell r="D673">
            <v>4</v>
          </cell>
          <cell r="E673" t="str">
            <v>包</v>
          </cell>
          <cell r="F673" t="str">
            <v>12-6（7）
（8）（9）</v>
          </cell>
          <cell r="G673">
            <v>0</v>
          </cell>
        </row>
        <row r="674">
          <cell r="A674">
            <v>316040205</v>
          </cell>
          <cell r="B674" t="str">
            <v>欧玛钢架=2</v>
          </cell>
          <cell r="C674" t="str">
            <v>砂白</v>
          </cell>
          <cell r="D674">
            <v>1</v>
          </cell>
          <cell r="E674" t="str">
            <v>包</v>
          </cell>
          <cell r="F674" t="str">
            <v>12-10</v>
          </cell>
          <cell r="G674">
            <v>0</v>
          </cell>
        </row>
        <row r="675">
          <cell r="A675">
            <v>316040206</v>
          </cell>
          <cell r="B675" t="str">
            <v>欧玛中脚=1</v>
          </cell>
          <cell r="C675" t="str">
            <v>砂白</v>
          </cell>
          <cell r="D675">
            <v>1</v>
          </cell>
          <cell r="E675" t="str">
            <v>包</v>
          </cell>
          <cell r="F675" t="str">
            <v>12-11</v>
          </cell>
          <cell r="G675">
            <v>0</v>
          </cell>
        </row>
        <row r="676">
          <cell r="A676">
            <v>316040207</v>
          </cell>
          <cell r="B676" t="str">
            <v>拉杆=1
功能梁=2</v>
          </cell>
          <cell r="C676" t="str">
            <v>砂白
氧化</v>
          </cell>
          <cell r="D676">
            <v>1</v>
          </cell>
          <cell r="E676" t="str">
            <v>包</v>
          </cell>
          <cell r="F676" t="str">
            <v>12-12</v>
          </cell>
          <cell r="G676">
            <v>0</v>
          </cell>
        </row>
        <row r="677">
          <cell r="A677">
            <v>316030500</v>
          </cell>
          <cell r="B677" t="str">
            <v>欧玛QT1000洽谈桌1000*750</v>
          </cell>
          <cell r="C677">
            <v>0</v>
          </cell>
          <cell r="D677">
            <v>0</v>
          </cell>
          <cell r="G677">
            <v>0</v>
          </cell>
        </row>
        <row r="678">
          <cell r="A678">
            <v>316030501</v>
          </cell>
          <cell r="B678" t="str">
            <v>面板=1</v>
          </cell>
          <cell r="C678" t="str">
            <v>OF-0721暖白绒面</v>
          </cell>
          <cell r="D678">
            <v>1</v>
          </cell>
          <cell r="E678" t="str">
            <v>包</v>
          </cell>
          <cell r="F678" t="str">
            <v>2-1</v>
          </cell>
          <cell r="G678">
            <v>0</v>
          </cell>
        </row>
        <row r="679">
          <cell r="A679">
            <v>316030502</v>
          </cell>
          <cell r="B679" t="str">
            <v>钢脚=3</v>
          </cell>
          <cell r="C679" t="str">
            <v>砂白</v>
          </cell>
          <cell r="D679">
            <v>1</v>
          </cell>
          <cell r="E679" t="str">
            <v>包</v>
          </cell>
          <cell r="F679" t="str">
            <v>2-2</v>
          </cell>
          <cell r="G679">
            <v>0</v>
          </cell>
        </row>
        <row r="680">
          <cell r="A680">
            <v>301010900</v>
          </cell>
          <cell r="B680" t="str">
            <v>面板欧扬D5款主管桌暖白（左边）</v>
          </cell>
          <cell r="C680" t="str">
            <v>暖白</v>
          </cell>
          <cell r="D680">
            <v>1</v>
          </cell>
          <cell r="E680" t="str">
            <v>包</v>
          </cell>
          <cell r="F680">
            <v>0</v>
          </cell>
          <cell r="G680">
            <v>0</v>
          </cell>
        </row>
        <row r="681">
          <cell r="A681">
            <v>301010901</v>
          </cell>
          <cell r="B681" t="str">
            <v>附柜</v>
          </cell>
          <cell r="C681" t="str">
            <v>暖白</v>
          </cell>
          <cell r="D681">
            <v>1</v>
          </cell>
          <cell r="E681" t="str">
            <v>包</v>
          </cell>
          <cell r="F681">
            <v>0</v>
          </cell>
          <cell r="G681">
            <v>0</v>
          </cell>
        </row>
        <row r="682">
          <cell r="A682">
            <v>301010902</v>
          </cell>
          <cell r="B682" t="str">
            <v>抽屉</v>
          </cell>
          <cell r="C682" t="str">
            <v>铁灰</v>
          </cell>
          <cell r="D682">
            <v>1</v>
          </cell>
          <cell r="E682" t="str">
            <v>包</v>
          </cell>
          <cell r="F682">
            <v>0</v>
          </cell>
          <cell r="G682">
            <v>0</v>
          </cell>
        </row>
        <row r="683">
          <cell r="A683">
            <v>301010903</v>
          </cell>
          <cell r="B683" t="str">
            <v>钢脚</v>
          </cell>
          <cell r="C683" t="str">
            <v>碳灰</v>
          </cell>
          <cell r="D683">
            <v>1</v>
          </cell>
          <cell r="E683" t="str">
            <v>包</v>
          </cell>
          <cell r="F683">
            <v>0</v>
          </cell>
          <cell r="G683">
            <v>0</v>
          </cell>
        </row>
        <row r="684">
          <cell r="A684">
            <v>301010904</v>
          </cell>
          <cell r="B684" t="str">
            <v>欧扬挡板=1.欧扬横杆=2</v>
          </cell>
          <cell r="C684" t="str">
            <v>碳灰</v>
          </cell>
          <cell r="D684">
            <v>1</v>
          </cell>
          <cell r="E684" t="str">
            <v>包</v>
          </cell>
          <cell r="F684">
            <v>0</v>
          </cell>
          <cell r="G684">
            <v>0</v>
          </cell>
        </row>
        <row r="685">
          <cell r="A685">
            <v>301011000</v>
          </cell>
          <cell r="B685" t="str">
            <v>面板欧扬D5款主管桌暖白（右边）</v>
          </cell>
          <cell r="C685" t="str">
            <v>暖白</v>
          </cell>
          <cell r="D685">
            <v>1</v>
          </cell>
          <cell r="E685" t="str">
            <v>包</v>
          </cell>
          <cell r="F685">
            <v>0</v>
          </cell>
          <cell r="G685">
            <v>0</v>
          </cell>
        </row>
        <row r="686">
          <cell r="A686">
            <v>301011001</v>
          </cell>
          <cell r="B686" t="str">
            <v>附柜</v>
          </cell>
          <cell r="C686" t="str">
            <v>暖白</v>
          </cell>
          <cell r="D686">
            <v>1</v>
          </cell>
          <cell r="E686" t="str">
            <v>包</v>
          </cell>
          <cell r="F686">
            <v>0</v>
          </cell>
          <cell r="G686">
            <v>0</v>
          </cell>
        </row>
        <row r="687">
          <cell r="A687">
            <v>301011002</v>
          </cell>
          <cell r="B687" t="str">
            <v>抽屉</v>
          </cell>
          <cell r="C687" t="str">
            <v>铁灰</v>
          </cell>
          <cell r="D687">
            <v>1</v>
          </cell>
          <cell r="E687" t="str">
            <v>包</v>
          </cell>
          <cell r="F687">
            <v>0</v>
          </cell>
          <cell r="G687">
            <v>0</v>
          </cell>
        </row>
        <row r="688">
          <cell r="A688">
            <v>301011003</v>
          </cell>
          <cell r="B688" t="str">
            <v>钢脚</v>
          </cell>
          <cell r="C688" t="str">
            <v>碳灰</v>
          </cell>
          <cell r="D688">
            <v>1</v>
          </cell>
          <cell r="E688" t="str">
            <v>包</v>
          </cell>
          <cell r="F688">
            <v>0</v>
          </cell>
          <cell r="G688">
            <v>0</v>
          </cell>
        </row>
        <row r="689">
          <cell r="A689">
            <v>301011004</v>
          </cell>
          <cell r="B689" t="str">
            <v>欧扬挡板=1.欧扬横杆=2</v>
          </cell>
          <cell r="C689" t="str">
            <v>碳灰</v>
          </cell>
          <cell r="D689">
            <v>1</v>
          </cell>
          <cell r="E689" t="str">
            <v>包</v>
          </cell>
          <cell r="F689">
            <v>0</v>
          </cell>
          <cell r="G689">
            <v>0</v>
          </cell>
        </row>
        <row r="690">
          <cell r="A690">
            <v>303020001</v>
          </cell>
          <cell r="B690" t="str">
            <v>面板梵高主管桌1800*800*760</v>
          </cell>
          <cell r="C690" t="str">
            <v>梨木浮雕</v>
          </cell>
          <cell r="D690">
            <v>1</v>
          </cell>
          <cell r="E690" t="str">
            <v>包</v>
          </cell>
          <cell r="F690">
            <v>0</v>
          </cell>
          <cell r="G690">
            <v>0</v>
          </cell>
        </row>
        <row r="691">
          <cell r="A691">
            <v>303020002</v>
          </cell>
          <cell r="B691" t="str">
            <v>附台面板</v>
          </cell>
          <cell r="C691" t="str">
            <v>梨木浮雕</v>
          </cell>
          <cell r="D691">
            <v>1</v>
          </cell>
          <cell r="E691" t="str">
            <v>包</v>
          </cell>
          <cell r="F691">
            <v>0</v>
          </cell>
          <cell r="G691">
            <v>0</v>
          </cell>
        </row>
        <row r="692">
          <cell r="A692">
            <v>303020003</v>
          </cell>
          <cell r="B692" t="str">
            <v xml:space="preserve">梵高边脚=2 钢制走线槽C/U单=1     </v>
          </cell>
          <cell r="C692" t="str">
            <v>碳灰</v>
          </cell>
          <cell r="D692">
            <v>1</v>
          </cell>
          <cell r="E692" t="str">
            <v>包</v>
          </cell>
          <cell r="F692">
            <v>0</v>
          </cell>
          <cell r="G692">
            <v>0</v>
          </cell>
        </row>
        <row r="693">
          <cell r="A693">
            <v>303020004</v>
          </cell>
          <cell r="B693" t="str">
            <v>梵高横杆A=2</v>
          </cell>
          <cell r="C693" t="str">
            <v>碳灰</v>
          </cell>
          <cell r="D693">
            <v>1</v>
          </cell>
          <cell r="E693" t="str">
            <v>包</v>
          </cell>
          <cell r="F693">
            <v>0</v>
          </cell>
          <cell r="G693">
            <v>0</v>
          </cell>
        </row>
        <row r="694">
          <cell r="A694">
            <v>303020005</v>
          </cell>
          <cell r="B694" t="str">
            <v>固定柜=1（430*510*765）</v>
          </cell>
          <cell r="C694" t="str">
            <v>梨木/铁灰</v>
          </cell>
          <cell r="D694">
            <v>1</v>
          </cell>
          <cell r="E694" t="str">
            <v>包</v>
          </cell>
          <cell r="F694">
            <v>0</v>
          </cell>
          <cell r="G694">
            <v>0</v>
          </cell>
        </row>
        <row r="695">
          <cell r="A695">
            <v>318330025</v>
          </cell>
          <cell r="B695" t="str">
            <v>单人位</v>
          </cell>
          <cell r="C695" t="str">
            <v>科一色卡15412-10</v>
          </cell>
          <cell r="D695">
            <v>1</v>
          </cell>
          <cell r="E695" t="str">
            <v>张</v>
          </cell>
          <cell r="F695" t="str">
            <v>1--1</v>
          </cell>
          <cell r="G695">
            <v>18</v>
          </cell>
        </row>
        <row r="696">
          <cell r="A696">
            <v>318330026</v>
          </cell>
          <cell r="B696" t="str">
            <v>三人位</v>
          </cell>
          <cell r="C696" t="str">
            <v>科一色卡15412-10</v>
          </cell>
          <cell r="D696">
            <v>1</v>
          </cell>
          <cell r="E696" t="str">
            <v>张</v>
          </cell>
          <cell r="F696" t="str">
            <v>1--1</v>
          </cell>
          <cell r="G696">
            <v>20</v>
          </cell>
        </row>
        <row r="697">
          <cell r="A697">
            <v>318330027</v>
          </cell>
          <cell r="B697" t="str">
            <v>单人位</v>
          </cell>
          <cell r="C697" t="str">
            <v>蓝色</v>
          </cell>
          <cell r="D697">
            <v>1</v>
          </cell>
          <cell r="E697" t="str">
            <v>张</v>
          </cell>
          <cell r="F697">
            <v>0</v>
          </cell>
          <cell r="G697">
            <v>0</v>
          </cell>
        </row>
        <row r="698">
          <cell r="A698">
            <v>318330028</v>
          </cell>
          <cell r="B698" t="str">
            <v>三人位</v>
          </cell>
          <cell r="C698" t="str">
            <v>蓝色</v>
          </cell>
          <cell r="D698">
            <v>1</v>
          </cell>
          <cell r="E698" t="str">
            <v>张</v>
          </cell>
          <cell r="F698">
            <v>0</v>
          </cell>
          <cell r="G698">
            <v>0</v>
          </cell>
        </row>
        <row r="699">
          <cell r="A699">
            <v>318330029</v>
          </cell>
          <cell r="B699" t="str">
            <v>单人位</v>
          </cell>
          <cell r="C699" t="str">
            <v>浅棕色</v>
          </cell>
          <cell r="D699">
            <v>1</v>
          </cell>
          <cell r="E699" t="str">
            <v>张</v>
          </cell>
          <cell r="F699">
            <v>20</v>
          </cell>
          <cell r="G699">
            <v>0</v>
          </cell>
        </row>
        <row r="700">
          <cell r="A700">
            <v>318330030</v>
          </cell>
          <cell r="B700" t="str">
            <v>三人位</v>
          </cell>
          <cell r="C700" t="str">
            <v>浅棕色</v>
          </cell>
          <cell r="D700">
            <v>1</v>
          </cell>
          <cell r="E700" t="str">
            <v>张</v>
          </cell>
          <cell r="F700">
            <v>10</v>
          </cell>
          <cell r="G700">
            <v>0</v>
          </cell>
        </row>
        <row r="701">
          <cell r="A701">
            <v>318270001</v>
          </cell>
          <cell r="B701">
            <v>0</v>
          </cell>
          <cell r="C701">
            <v>0</v>
          </cell>
          <cell r="D701">
            <v>1</v>
          </cell>
          <cell r="E701" t="str">
            <v>张</v>
          </cell>
          <cell r="F701">
            <v>0</v>
          </cell>
          <cell r="G701">
            <v>0</v>
          </cell>
        </row>
        <row r="702">
          <cell r="A702">
            <v>315000040</v>
          </cell>
          <cell r="B702" t="str">
            <v>3800*2800*80</v>
          </cell>
          <cell r="C702">
            <v>0</v>
          </cell>
          <cell r="D702">
            <v>0</v>
          </cell>
          <cell r="G702">
            <v>0</v>
          </cell>
        </row>
        <row r="703">
          <cell r="A703" t="str">
            <v>318330031</v>
          </cell>
          <cell r="B703" t="str">
            <v>单人位</v>
          </cell>
          <cell r="C703" t="str">
            <v>浅棕色</v>
          </cell>
          <cell r="D703">
            <v>0</v>
          </cell>
          <cell r="G703">
            <v>10</v>
          </cell>
        </row>
        <row r="704">
          <cell r="A704" t="str">
            <v>318330032</v>
          </cell>
          <cell r="B704" t="str">
            <v>三人位</v>
          </cell>
          <cell r="C704" t="str">
            <v>浅棕色</v>
          </cell>
          <cell r="D704">
            <v>0</v>
          </cell>
          <cell r="G704">
            <v>5</v>
          </cell>
        </row>
        <row r="705">
          <cell r="A705" t="str">
            <v>399880001-51</v>
          </cell>
          <cell r="B705" t="str">
            <v>固定柜=1</v>
          </cell>
          <cell r="C705" t="str">
            <v>暖白/铁灰</v>
          </cell>
          <cell r="D705">
            <v>1</v>
          </cell>
          <cell r="E705" t="str">
            <v>包</v>
          </cell>
          <cell r="F705" t="str">
            <v>6-3</v>
          </cell>
          <cell r="G705">
            <v>0</v>
          </cell>
        </row>
        <row r="706">
          <cell r="A706" t="str">
            <v>399050001-21</v>
          </cell>
          <cell r="B706" t="str">
            <v>D168梅花柱脚=4，   托臂=8</v>
          </cell>
          <cell r="C706" t="str">
            <v>氧化+闪银</v>
          </cell>
          <cell r="D706" t="str">
            <v>1</v>
          </cell>
          <cell r="E706" t="str">
            <v>包</v>
          </cell>
          <cell r="F706" t="str">
            <v>2-2</v>
          </cell>
          <cell r="G706">
            <v>0</v>
          </cell>
        </row>
        <row r="707">
          <cell r="A707" t="str">
            <v>399050001-22</v>
          </cell>
          <cell r="B707" t="str">
            <v>D168梅花柱脚=4，   托臂=8</v>
          </cell>
          <cell r="C707" t="str">
            <v>氧化+闪银</v>
          </cell>
          <cell r="D707" t="str">
            <v>1</v>
          </cell>
          <cell r="E707" t="str">
            <v>包</v>
          </cell>
          <cell r="F707" t="str">
            <v>2-2</v>
          </cell>
          <cell r="G707">
            <v>0</v>
          </cell>
        </row>
        <row r="708">
          <cell r="A708" t="str">
            <v>399880003-31</v>
          </cell>
          <cell r="B708" t="str">
            <v>活动柜</v>
          </cell>
          <cell r="C708" t="str">
            <v>暖白/铁灰</v>
          </cell>
          <cell r="D708" t="str">
            <v>4</v>
          </cell>
          <cell r="E708" t="str">
            <v>包</v>
          </cell>
          <cell r="F708" t="str">
            <v>12-3,4.5.6</v>
          </cell>
          <cell r="G708">
            <v>0</v>
          </cell>
        </row>
        <row r="709">
          <cell r="A709" t="str">
            <v>399010001-21</v>
          </cell>
          <cell r="B709" t="str">
            <v>欧扬钢脚=2</v>
          </cell>
          <cell r="C709" t="str">
            <v>碳灰</v>
          </cell>
          <cell r="D709">
            <v>1</v>
          </cell>
          <cell r="E709" t="str">
            <v>包</v>
          </cell>
          <cell r="F709" t="str">
            <v>4-2</v>
          </cell>
          <cell r="G709">
            <v>0</v>
          </cell>
        </row>
        <row r="710">
          <cell r="A710" t="str">
            <v>399010002-21</v>
          </cell>
          <cell r="B710" t="str">
            <v>欧扬挡板=1              欧扬横杆=2</v>
          </cell>
          <cell r="C710" t="str">
            <v>碳灰</v>
          </cell>
          <cell r="D710">
            <v>1</v>
          </cell>
          <cell r="E710" t="str">
            <v>包</v>
          </cell>
          <cell r="F710" t="str">
            <v>4-3</v>
          </cell>
          <cell r="G710">
            <v>0</v>
          </cell>
        </row>
        <row r="711">
          <cell r="A711" t="str">
            <v>399880001-52</v>
          </cell>
          <cell r="B711" t="str">
            <v>固定柜=1</v>
          </cell>
          <cell r="C711" t="str">
            <v>暖白/铁灰</v>
          </cell>
          <cell r="D711">
            <v>1</v>
          </cell>
          <cell r="E711" t="str">
            <v>个</v>
          </cell>
          <cell r="F711" t="str">
            <v>4-4</v>
          </cell>
          <cell r="G711">
            <v>0</v>
          </cell>
        </row>
        <row r="712">
          <cell r="A712" t="str">
            <v>399010001-22</v>
          </cell>
          <cell r="B712" t="str">
            <v>欧扬钢脚=2</v>
          </cell>
          <cell r="C712" t="str">
            <v>碳灰</v>
          </cell>
          <cell r="D712">
            <v>1</v>
          </cell>
          <cell r="E712" t="str">
            <v>包</v>
          </cell>
          <cell r="F712" t="str">
            <v>4-2</v>
          </cell>
          <cell r="G712">
            <v>0</v>
          </cell>
        </row>
        <row r="713">
          <cell r="A713" t="str">
            <v>399010002-22</v>
          </cell>
          <cell r="B713" t="str">
            <v>欧扬挡板=1              欧扬横杆=2</v>
          </cell>
          <cell r="C713" t="str">
            <v>碳灰</v>
          </cell>
          <cell r="D713">
            <v>1</v>
          </cell>
          <cell r="E713" t="str">
            <v>包</v>
          </cell>
          <cell r="F713" t="str">
            <v>4-3</v>
          </cell>
          <cell r="G713">
            <v>0</v>
          </cell>
        </row>
        <row r="714">
          <cell r="A714" t="str">
            <v>399880001-53</v>
          </cell>
          <cell r="B714" t="str">
            <v>固定柜=1</v>
          </cell>
          <cell r="C714" t="str">
            <v>暖白/铁灰</v>
          </cell>
          <cell r="D714">
            <v>1</v>
          </cell>
          <cell r="E714" t="str">
            <v>个</v>
          </cell>
          <cell r="F714" t="str">
            <v>4-4</v>
          </cell>
          <cell r="G714">
            <v>0</v>
          </cell>
        </row>
        <row r="715">
          <cell r="A715" t="str">
            <v>399010004-41</v>
          </cell>
          <cell r="B715" t="str">
            <v>欧扬钢脚=2</v>
          </cell>
          <cell r="C715" t="str">
            <v>碳灰</v>
          </cell>
          <cell r="D715">
            <v>1</v>
          </cell>
          <cell r="E715" t="str">
            <v>包</v>
          </cell>
          <cell r="F715" t="str">
            <v>5-3</v>
          </cell>
          <cell r="G715">
            <v>0</v>
          </cell>
        </row>
        <row r="716">
          <cell r="A716" t="str">
            <v>399010005-41</v>
          </cell>
          <cell r="B716" t="str">
            <v>欧扬挡板=1              欧扬横杆=2</v>
          </cell>
          <cell r="C716" t="str">
            <v>碳灰</v>
          </cell>
          <cell r="D716">
            <v>1</v>
          </cell>
          <cell r="E716" t="str">
            <v>包</v>
          </cell>
          <cell r="F716" t="str">
            <v>5-4</v>
          </cell>
          <cell r="G716">
            <v>0</v>
          </cell>
        </row>
        <row r="717">
          <cell r="A717" t="str">
            <v>399880001-54</v>
          </cell>
          <cell r="B717" t="str">
            <v xml:space="preserve">固定柜=1 </v>
          </cell>
          <cell r="C717" t="str">
            <v>暖白/铁灰</v>
          </cell>
          <cell r="D717">
            <v>1</v>
          </cell>
          <cell r="E717" t="str">
            <v>个</v>
          </cell>
          <cell r="F717" t="str">
            <v>5-5</v>
          </cell>
          <cell r="G717">
            <v>0</v>
          </cell>
        </row>
        <row r="718">
          <cell r="A718" t="str">
            <v>399010004-42</v>
          </cell>
          <cell r="B718" t="str">
            <v>欧扬钢脚=2</v>
          </cell>
          <cell r="C718" t="str">
            <v>碳灰</v>
          </cell>
          <cell r="D718">
            <v>1</v>
          </cell>
          <cell r="E718" t="str">
            <v>包</v>
          </cell>
          <cell r="F718" t="str">
            <v>5-3</v>
          </cell>
          <cell r="G718">
            <v>0</v>
          </cell>
        </row>
        <row r="719">
          <cell r="A719" t="str">
            <v>399010005-42</v>
          </cell>
          <cell r="B719" t="str">
            <v>欧扬挡板=1              欧扬横杆=2</v>
          </cell>
          <cell r="C719" t="str">
            <v>碳灰</v>
          </cell>
          <cell r="D719">
            <v>1</v>
          </cell>
          <cell r="E719" t="str">
            <v>包</v>
          </cell>
          <cell r="F719" t="str">
            <v>5-4</v>
          </cell>
          <cell r="G719">
            <v>0</v>
          </cell>
        </row>
        <row r="720">
          <cell r="A720" t="str">
            <v>399880001-55</v>
          </cell>
          <cell r="B720" t="str">
            <v xml:space="preserve">固定柜=1 </v>
          </cell>
          <cell r="C720" t="str">
            <v>暖白/铁灰</v>
          </cell>
          <cell r="D720">
            <v>1</v>
          </cell>
          <cell r="E720" t="str">
            <v>个</v>
          </cell>
          <cell r="F720" t="str">
            <v>5-5</v>
          </cell>
          <cell r="G720">
            <v>0</v>
          </cell>
        </row>
        <row r="721">
          <cell r="A721" t="str">
            <v>399010008-21</v>
          </cell>
          <cell r="B721" t="str">
            <v>欧扬茶几脚=2</v>
          </cell>
          <cell r="C721" t="str">
            <v>碳灰</v>
          </cell>
          <cell r="D721">
            <v>1</v>
          </cell>
          <cell r="E721" t="str">
            <v>包</v>
          </cell>
          <cell r="F721" t="str">
            <v>2-2</v>
          </cell>
          <cell r="G721">
            <v>0</v>
          </cell>
        </row>
        <row r="722">
          <cell r="A722" t="str">
            <v>399010009-21</v>
          </cell>
          <cell r="B722" t="str">
            <v>欧扬茶几脚=2</v>
          </cell>
          <cell r="C722" t="str">
            <v>碳灰</v>
          </cell>
          <cell r="D722">
            <v>1</v>
          </cell>
          <cell r="E722" t="str">
            <v>包</v>
          </cell>
          <cell r="F722" t="str">
            <v>2-2</v>
          </cell>
          <cell r="G722">
            <v>0</v>
          </cell>
        </row>
        <row r="723">
          <cell r="A723" t="str">
            <v>399010019-21</v>
          </cell>
          <cell r="B723" t="str">
            <v>茶几面板=1 小档板=1</v>
          </cell>
          <cell r="C723" t="str">
            <v>布纹</v>
          </cell>
          <cell r="D723">
            <v>1</v>
          </cell>
          <cell r="E723" t="str">
            <v>包</v>
          </cell>
          <cell r="F723" t="str">
            <v>2-1</v>
          </cell>
          <cell r="G723">
            <v>0</v>
          </cell>
        </row>
        <row r="724">
          <cell r="A724" t="str">
            <v>399010009-22</v>
          </cell>
          <cell r="B724" t="str">
            <v>欧扬茶几脚=2</v>
          </cell>
          <cell r="C724" t="str">
            <v>碳灰</v>
          </cell>
          <cell r="D724">
            <v>1</v>
          </cell>
          <cell r="E724" t="str">
            <v>包</v>
          </cell>
          <cell r="F724" t="str">
            <v>2-2</v>
          </cell>
          <cell r="G724">
            <v>0</v>
          </cell>
        </row>
        <row r="725">
          <cell r="A725" t="str">
            <v>399010020-21</v>
          </cell>
          <cell r="B725" t="str">
            <v>茶几面板=1 小档板=1</v>
          </cell>
          <cell r="C725" t="str">
            <v>布纹</v>
          </cell>
          <cell r="D725">
            <v>1</v>
          </cell>
          <cell r="E725" t="str">
            <v>包</v>
          </cell>
          <cell r="F725" t="str">
            <v>2-1</v>
          </cell>
          <cell r="G725">
            <v>0</v>
          </cell>
        </row>
        <row r="726">
          <cell r="A726" t="str">
            <v>399010008-22</v>
          </cell>
          <cell r="B726" t="str">
            <v>欧扬茶几脚=2</v>
          </cell>
          <cell r="C726" t="str">
            <v>碳灰</v>
          </cell>
          <cell r="D726">
            <v>1</v>
          </cell>
          <cell r="E726" t="str">
            <v>包</v>
          </cell>
          <cell r="F726" t="str">
            <v>2-2</v>
          </cell>
          <cell r="G726">
            <v>0</v>
          </cell>
        </row>
        <row r="727">
          <cell r="A727" t="str">
            <v>399010010-21</v>
          </cell>
          <cell r="B727" t="str">
            <v xml:space="preserve">台面板=2  平铁=2 </v>
          </cell>
          <cell r="C727" t="str">
            <v>布纹浮雕</v>
          </cell>
          <cell r="D727">
            <v>1</v>
          </cell>
          <cell r="E727" t="str">
            <v>包</v>
          </cell>
          <cell r="F727" t="str">
            <v>3-1</v>
          </cell>
          <cell r="G727">
            <v>0</v>
          </cell>
        </row>
        <row r="728">
          <cell r="A728" t="str">
            <v>399010011-21</v>
          </cell>
          <cell r="B728" t="str">
            <v>欧扬钢脚架=3 三角管=1</v>
          </cell>
          <cell r="C728" t="str">
            <v>碳灰</v>
          </cell>
          <cell r="D728">
            <v>1</v>
          </cell>
          <cell r="E728" t="str">
            <v>包</v>
          </cell>
          <cell r="F728" t="str">
            <v>2-2</v>
          </cell>
          <cell r="G728">
            <v>0</v>
          </cell>
        </row>
        <row r="729">
          <cell r="A729" t="str">
            <v>399010012-21</v>
          </cell>
          <cell r="B729" t="str">
            <v>欧扬钢脚架=3 三角管=1   配件包</v>
          </cell>
          <cell r="C729" t="str">
            <v>碳灰</v>
          </cell>
          <cell r="D729">
            <v>1</v>
          </cell>
          <cell r="E729" t="str">
            <v>包</v>
          </cell>
          <cell r="F729" t="str">
            <v>2-2</v>
          </cell>
          <cell r="G729">
            <v>0</v>
          </cell>
        </row>
        <row r="730">
          <cell r="A730" t="str">
            <v>399010011-22</v>
          </cell>
          <cell r="B730" t="str">
            <v>欧扬钢脚架=3 三角管=1</v>
          </cell>
          <cell r="C730" t="str">
            <v>碳灰</v>
          </cell>
          <cell r="D730">
            <v>1</v>
          </cell>
          <cell r="E730" t="str">
            <v>包</v>
          </cell>
          <cell r="F730" t="str">
            <v>2-2</v>
          </cell>
          <cell r="G730">
            <v>0</v>
          </cell>
        </row>
        <row r="731">
          <cell r="A731" t="str">
            <v>399010012-22</v>
          </cell>
          <cell r="B731" t="str">
            <v>欧扬钢脚架=3 三角管=1   配件包</v>
          </cell>
          <cell r="C731" t="str">
            <v>布纹</v>
          </cell>
          <cell r="D731">
            <v>1</v>
          </cell>
          <cell r="E731" t="str">
            <v>包</v>
          </cell>
          <cell r="F731" t="str">
            <v>2-2</v>
          </cell>
          <cell r="G731">
            <v>0</v>
          </cell>
        </row>
        <row r="732">
          <cell r="A732" t="str">
            <v>399010013-31</v>
          </cell>
          <cell r="B732" t="str">
            <v>台面板=2、</v>
          </cell>
          <cell r="C732" t="str">
            <v>布纹/浮雕</v>
          </cell>
          <cell r="D732">
            <v>2</v>
          </cell>
          <cell r="E732" t="str">
            <v>包</v>
          </cell>
          <cell r="F732" t="str">
            <v>11-1、2</v>
          </cell>
          <cell r="G732">
            <v>0</v>
          </cell>
        </row>
        <row r="733">
          <cell r="A733" t="str">
            <v>399010014-21</v>
          </cell>
          <cell r="B733" t="str">
            <v>欧扬钢脚C=2 欧扬钢脚D=1 加固圆盘=2</v>
          </cell>
          <cell r="C733" t="str">
            <v>碳灰</v>
          </cell>
          <cell r="D733">
            <v>1</v>
          </cell>
          <cell r="E733" t="str">
            <v>包</v>
          </cell>
          <cell r="F733" t="str">
            <v>11-7</v>
          </cell>
          <cell r="G733">
            <v>0</v>
          </cell>
        </row>
        <row r="734">
          <cell r="A734" t="str">
            <v>399010016-31</v>
          </cell>
          <cell r="B734" t="str">
            <v>功能梁=2</v>
          </cell>
          <cell r="C734" t="str">
            <v>氧化</v>
          </cell>
          <cell r="D734">
            <v>1</v>
          </cell>
          <cell r="E734" t="str">
            <v>包</v>
          </cell>
          <cell r="F734" t="str">
            <v>11-10</v>
          </cell>
          <cell r="G734">
            <v>0</v>
          </cell>
        </row>
        <row r="735">
          <cell r="A735" t="str">
            <v>399010015-21</v>
          </cell>
          <cell r="B735" t="str">
            <v>欧扬走线槽=2 欧扬横杆B=4</v>
          </cell>
          <cell r="C735" t="str">
            <v>碳灰</v>
          </cell>
          <cell r="D735">
            <v>1</v>
          </cell>
          <cell r="E735" t="str">
            <v>包</v>
          </cell>
          <cell r="F735" t="str">
            <v>11-8</v>
          </cell>
          <cell r="G735">
            <v>0</v>
          </cell>
        </row>
        <row r="736">
          <cell r="A736" t="str">
            <v>399010006-33</v>
          </cell>
          <cell r="B736" t="str">
            <v xml:space="preserve">固定柜=1 </v>
          </cell>
          <cell r="C736" t="str">
            <v>布纹/铁灰</v>
          </cell>
          <cell r="D736">
            <v>4</v>
          </cell>
          <cell r="E736" t="str">
            <v>个</v>
          </cell>
          <cell r="F736" t="str">
            <v>11-3、4.5.6</v>
          </cell>
          <cell r="G736">
            <v>0</v>
          </cell>
        </row>
        <row r="737">
          <cell r="A737" t="str">
            <v>399010013-32</v>
          </cell>
          <cell r="B737" t="str">
            <v>台面板=2</v>
          </cell>
          <cell r="C737" t="str">
            <v>布纹/浮雕</v>
          </cell>
          <cell r="D737">
            <v>2</v>
          </cell>
          <cell r="E737" t="str">
            <v>包</v>
          </cell>
          <cell r="F737" t="str">
            <v>10-1，2</v>
          </cell>
          <cell r="G737">
            <v>0</v>
          </cell>
        </row>
        <row r="738">
          <cell r="A738" t="str">
            <v>399010018-21</v>
          </cell>
          <cell r="B738" t="str">
            <v>桌上屏风=2</v>
          </cell>
          <cell r="C738" t="str">
            <v>铁灰</v>
          </cell>
          <cell r="D738">
            <v>1</v>
          </cell>
          <cell r="E738" t="str">
            <v>包</v>
          </cell>
          <cell r="F738" t="str">
            <v>10-9</v>
          </cell>
          <cell r="G738">
            <v>0</v>
          </cell>
        </row>
        <row r="739">
          <cell r="A739" t="str">
            <v>399010014-22</v>
          </cell>
          <cell r="B739" t="str">
            <v>欧扬钢脚C=2 欧扬钢脚D=1 加固圆盘=2</v>
          </cell>
          <cell r="C739" t="str">
            <v>碳灰</v>
          </cell>
          <cell r="D739">
            <v>1</v>
          </cell>
          <cell r="E739" t="str">
            <v>包</v>
          </cell>
          <cell r="F739" t="str">
            <v>10-7</v>
          </cell>
          <cell r="G739">
            <v>0</v>
          </cell>
        </row>
        <row r="740">
          <cell r="A740" t="str">
            <v>399010015-22</v>
          </cell>
          <cell r="B740" t="str">
            <v>欧扬走线槽=2 欧扬横杆B=4配件包</v>
          </cell>
          <cell r="C740" t="str">
            <v>碳灰</v>
          </cell>
          <cell r="D740">
            <v>1</v>
          </cell>
          <cell r="E740" t="str">
            <v>包</v>
          </cell>
          <cell r="F740" t="str">
            <v>10-8</v>
          </cell>
          <cell r="G740">
            <v>0</v>
          </cell>
        </row>
        <row r="741">
          <cell r="A741" t="str">
            <v>399010016-32</v>
          </cell>
          <cell r="B741" t="str">
            <v xml:space="preserve">功能梁=2  </v>
          </cell>
          <cell r="C741" t="str">
            <v>氧化</v>
          </cell>
          <cell r="D741">
            <v>1</v>
          </cell>
          <cell r="E741" t="str">
            <v>包</v>
          </cell>
          <cell r="F741" t="str">
            <v>10-10</v>
          </cell>
          <cell r="G741">
            <v>0</v>
          </cell>
        </row>
        <row r="742">
          <cell r="A742" t="str">
            <v>399010018-22</v>
          </cell>
          <cell r="B742" t="str">
            <v>桌上屏风=2</v>
          </cell>
          <cell r="C742" t="str">
            <v>铁灰</v>
          </cell>
          <cell r="D742">
            <v>1</v>
          </cell>
          <cell r="E742" t="str">
            <v>包</v>
          </cell>
          <cell r="F742" t="str">
            <v>10-9</v>
          </cell>
          <cell r="G742">
            <v>0</v>
          </cell>
        </row>
        <row r="743">
          <cell r="A743" t="str">
            <v>399880003-32</v>
          </cell>
          <cell r="B743" t="str">
            <v>活动柜=1 （420*520*640）</v>
          </cell>
          <cell r="C743" t="str">
            <v>暖白/铁灰</v>
          </cell>
          <cell r="D743" t="str">
            <v>1=4</v>
          </cell>
          <cell r="E743" t="str">
            <v>个</v>
          </cell>
          <cell r="F743" t="str">
            <v>10-3.4.5.6</v>
          </cell>
          <cell r="G743">
            <v>0</v>
          </cell>
        </row>
        <row r="744">
          <cell r="A744" t="str">
            <v>399010010-22</v>
          </cell>
          <cell r="B744" t="str">
            <v xml:space="preserve">台面板=2  平铁=2 </v>
          </cell>
          <cell r="C744" t="str">
            <v>布纹浮雕</v>
          </cell>
          <cell r="D744">
            <v>1</v>
          </cell>
          <cell r="E744" t="str">
            <v>包</v>
          </cell>
          <cell r="F744" t="str">
            <v>3-1</v>
          </cell>
          <cell r="G744">
            <v>0</v>
          </cell>
        </row>
        <row r="745">
          <cell r="A745" t="str">
            <v>399010013-33</v>
          </cell>
          <cell r="B745" t="str">
            <v>台面板=2</v>
          </cell>
          <cell r="C745" t="str">
            <v>布纹/浮雕</v>
          </cell>
          <cell r="D745">
            <v>2</v>
          </cell>
          <cell r="E745" t="str">
            <v>包</v>
          </cell>
          <cell r="F745" t="str">
            <v>10-1，2</v>
          </cell>
          <cell r="G745">
            <v>0</v>
          </cell>
        </row>
        <row r="746">
          <cell r="A746" t="str">
            <v>399010016-33</v>
          </cell>
          <cell r="B746" t="str">
            <v xml:space="preserve">功能梁=2  </v>
          </cell>
          <cell r="C746" t="str">
            <v>氧化</v>
          </cell>
          <cell r="D746">
            <v>1</v>
          </cell>
          <cell r="E746" t="str">
            <v>包</v>
          </cell>
          <cell r="F746" t="str">
            <v>10-10</v>
          </cell>
          <cell r="G746">
            <v>0</v>
          </cell>
        </row>
        <row r="747">
          <cell r="A747" t="str">
            <v>399010020-22</v>
          </cell>
          <cell r="B747" t="str">
            <v>茶几面板=1 小档板=1</v>
          </cell>
          <cell r="C747" t="str">
            <v>布纹</v>
          </cell>
          <cell r="D747">
            <v>1</v>
          </cell>
          <cell r="E747" t="str">
            <v>包</v>
          </cell>
          <cell r="F747" t="str">
            <v>2-1</v>
          </cell>
          <cell r="G747">
            <v>0</v>
          </cell>
        </row>
        <row r="748">
          <cell r="A748" t="str">
            <v>399010019-22</v>
          </cell>
          <cell r="B748" t="str">
            <v>茶几面板=1 小档板=1</v>
          </cell>
          <cell r="C748" t="str">
            <v>布纹</v>
          </cell>
          <cell r="D748">
            <v>1</v>
          </cell>
          <cell r="E748" t="str">
            <v>包</v>
          </cell>
          <cell r="F748" t="str">
            <v>2-1</v>
          </cell>
          <cell r="G748">
            <v>0</v>
          </cell>
        </row>
        <row r="749">
          <cell r="A749" t="str">
            <v>301010019-21</v>
          </cell>
          <cell r="B749" t="str">
            <v>欧扬钢脚=2</v>
          </cell>
          <cell r="C749" t="str">
            <v>砂白</v>
          </cell>
          <cell r="D749">
            <v>1</v>
          </cell>
          <cell r="E749" t="str">
            <v>包</v>
          </cell>
          <cell r="F749" t="str">
            <v>5-2</v>
          </cell>
          <cell r="G749">
            <v>0</v>
          </cell>
        </row>
        <row r="750">
          <cell r="A750" t="str">
            <v>301010020-21</v>
          </cell>
          <cell r="B750" t="str">
            <v>欧扬挡板=1.欧扬横杆=2</v>
          </cell>
          <cell r="C750" t="str">
            <v>砂白</v>
          </cell>
          <cell r="D750">
            <v>1</v>
          </cell>
          <cell r="E750" t="str">
            <v>包</v>
          </cell>
          <cell r="F750" t="str">
            <v>5-3</v>
          </cell>
          <cell r="G750">
            <v>0</v>
          </cell>
        </row>
        <row r="751">
          <cell r="A751" t="str">
            <v>301010023-21</v>
          </cell>
          <cell r="B751" t="str">
            <v>主机架=1（可选）</v>
          </cell>
          <cell r="C751" t="str">
            <v>布纹+砂白</v>
          </cell>
          <cell r="D751">
            <v>1</v>
          </cell>
          <cell r="E751" t="str">
            <v>包</v>
          </cell>
          <cell r="F751" t="str">
            <v>6-6</v>
          </cell>
          <cell r="G751">
            <v>0</v>
          </cell>
        </row>
        <row r="752">
          <cell r="A752" t="str">
            <v>301010019-22</v>
          </cell>
          <cell r="B752" t="str">
            <v>欧扬钢脚=2</v>
          </cell>
          <cell r="C752" t="str">
            <v>砂白</v>
          </cell>
          <cell r="D752">
            <v>1</v>
          </cell>
          <cell r="E752" t="str">
            <v>包</v>
          </cell>
          <cell r="F752" t="str">
            <v>5-2</v>
          </cell>
          <cell r="G752">
            <v>0</v>
          </cell>
        </row>
        <row r="753">
          <cell r="A753" t="str">
            <v>301010020-22</v>
          </cell>
          <cell r="B753" t="str">
            <v>欧扬挡板=1.欧扬横杆=2</v>
          </cell>
          <cell r="C753" t="str">
            <v>砂白</v>
          </cell>
          <cell r="D753">
            <v>1</v>
          </cell>
          <cell r="E753" t="str">
            <v>包</v>
          </cell>
          <cell r="F753" t="str">
            <v>5-3</v>
          </cell>
          <cell r="G753">
            <v>0</v>
          </cell>
        </row>
        <row r="754">
          <cell r="A754" t="str">
            <v>301010023-22</v>
          </cell>
          <cell r="B754" t="str">
            <v>主机架=1（可选）</v>
          </cell>
          <cell r="C754" t="str">
            <v>布纹+砂白</v>
          </cell>
          <cell r="D754">
            <v>1</v>
          </cell>
          <cell r="E754" t="str">
            <v>包</v>
          </cell>
          <cell r="F754" t="str">
            <v>6-6</v>
          </cell>
          <cell r="G754">
            <v>0</v>
          </cell>
        </row>
        <row r="755">
          <cell r="A755" t="str">
            <v>399020003-21</v>
          </cell>
          <cell r="B755" t="str">
            <v xml:space="preserve">台面板=2              </v>
          </cell>
          <cell r="C755" t="str">
            <v>灰橡/浮雕</v>
          </cell>
          <cell r="D755">
            <v>2</v>
          </cell>
          <cell r="E755" t="str">
            <v>包</v>
          </cell>
          <cell r="F755" t="str">
            <v>10-1,2</v>
          </cell>
          <cell r="G755">
            <v>0</v>
          </cell>
        </row>
        <row r="756">
          <cell r="A756" t="str">
            <v>399020004-21</v>
          </cell>
          <cell r="B756" t="str">
            <v>功能梁=2</v>
          </cell>
          <cell r="C756" t="str">
            <v>砂白</v>
          </cell>
          <cell r="D756">
            <v>1</v>
          </cell>
          <cell r="E756" t="str">
            <v>包</v>
          </cell>
          <cell r="F756" t="str">
            <v>10-10</v>
          </cell>
          <cell r="G756">
            <v>0</v>
          </cell>
        </row>
        <row r="757">
          <cell r="A757" t="str">
            <v>399020005-21</v>
          </cell>
          <cell r="B757" t="str">
            <v>屏风板=2</v>
          </cell>
          <cell r="C757" t="str">
            <v>树技纹</v>
          </cell>
          <cell r="D757">
            <v>1</v>
          </cell>
          <cell r="E757" t="str">
            <v>包</v>
          </cell>
          <cell r="F757" t="str">
            <v>10-9</v>
          </cell>
          <cell r="G757">
            <v>0</v>
          </cell>
        </row>
        <row r="758">
          <cell r="A758" t="str">
            <v>399020006-21</v>
          </cell>
          <cell r="B758" t="str">
            <v xml:space="preserve">欧典钢脚B=2  欧典钢脚C=1钢制走线槽A/单=2 </v>
          </cell>
          <cell r="C758" t="str">
            <v>砂白</v>
          </cell>
          <cell r="D758">
            <v>1</v>
          </cell>
          <cell r="E758" t="str">
            <v>包</v>
          </cell>
          <cell r="F758" t="str">
            <v>10-7</v>
          </cell>
          <cell r="G758">
            <v>0</v>
          </cell>
        </row>
        <row r="759">
          <cell r="A759" t="str">
            <v>399020007-21</v>
          </cell>
          <cell r="B759" t="str">
            <v>欧典横杆=4            配件包</v>
          </cell>
          <cell r="C759" t="str">
            <v>砂白</v>
          </cell>
          <cell r="D759">
            <v>1</v>
          </cell>
          <cell r="E759" t="str">
            <v>包</v>
          </cell>
          <cell r="F759" t="str">
            <v>10-8</v>
          </cell>
          <cell r="G759">
            <v>0</v>
          </cell>
        </row>
        <row r="760">
          <cell r="A760" t="str">
            <v>399020003-22</v>
          </cell>
          <cell r="B760" t="str">
            <v xml:space="preserve">台面板=2              </v>
          </cell>
          <cell r="C760" t="str">
            <v>灰橡/浮雕</v>
          </cell>
          <cell r="D760">
            <v>2</v>
          </cell>
          <cell r="E760" t="str">
            <v>包</v>
          </cell>
          <cell r="F760" t="str">
            <v>11-1,2</v>
          </cell>
          <cell r="G760">
            <v>0</v>
          </cell>
        </row>
        <row r="761">
          <cell r="A761" t="str">
            <v>399020004-22</v>
          </cell>
          <cell r="B761" t="str">
            <v>功能梁=2</v>
          </cell>
          <cell r="C761" t="str">
            <v>砂白</v>
          </cell>
          <cell r="D761">
            <v>1</v>
          </cell>
          <cell r="E761" t="str">
            <v>包</v>
          </cell>
          <cell r="F761" t="str">
            <v>11-10</v>
          </cell>
          <cell r="G761">
            <v>0</v>
          </cell>
        </row>
        <row r="762">
          <cell r="A762" t="str">
            <v>399020005-22</v>
          </cell>
          <cell r="B762" t="str">
            <v>屏风板=2</v>
          </cell>
          <cell r="C762" t="str">
            <v>树技纹</v>
          </cell>
          <cell r="D762">
            <v>1</v>
          </cell>
          <cell r="E762" t="str">
            <v>包</v>
          </cell>
          <cell r="F762" t="str">
            <v>11-9</v>
          </cell>
          <cell r="G762">
            <v>0</v>
          </cell>
        </row>
        <row r="763">
          <cell r="A763" t="str">
            <v>399020006-22</v>
          </cell>
          <cell r="B763" t="str">
            <v>欧典钢脚B=2            欧典钢脚C=1            钢制走线槽A/单=2</v>
          </cell>
          <cell r="C763" t="str">
            <v>砂白</v>
          </cell>
          <cell r="D763">
            <v>1</v>
          </cell>
          <cell r="E763" t="str">
            <v>包</v>
          </cell>
          <cell r="F763" t="str">
            <v>11-7</v>
          </cell>
          <cell r="G763">
            <v>0</v>
          </cell>
        </row>
        <row r="764">
          <cell r="A764" t="str">
            <v>399020007-22</v>
          </cell>
          <cell r="B764" t="str">
            <v>欧典横杆=4            配件包</v>
          </cell>
          <cell r="C764" t="str">
            <v>砂白</v>
          </cell>
          <cell r="D764">
            <v>1</v>
          </cell>
          <cell r="E764" t="str">
            <v>包</v>
          </cell>
          <cell r="F764" t="str">
            <v>11-8</v>
          </cell>
          <cell r="G764">
            <v>0</v>
          </cell>
        </row>
        <row r="765">
          <cell r="A765" t="str">
            <v>399020002-33</v>
          </cell>
          <cell r="B765" t="str">
            <v xml:space="preserve">地柜 </v>
          </cell>
          <cell r="C765" t="str">
            <v>灰橡/暖白</v>
          </cell>
          <cell r="D765" t="str">
            <v>1*4</v>
          </cell>
          <cell r="E765" t="str">
            <v>包</v>
          </cell>
          <cell r="F765" t="str">
            <v>12-3（5.6.4）</v>
          </cell>
          <cell r="G765">
            <v>0</v>
          </cell>
        </row>
        <row r="766">
          <cell r="A766" t="str">
            <v>303030002-21</v>
          </cell>
          <cell r="B766" t="str">
            <v>主台面</v>
          </cell>
          <cell r="C766" t="str">
            <v>枫木</v>
          </cell>
          <cell r="D766">
            <v>2</v>
          </cell>
          <cell r="E766" t="str">
            <v>包</v>
          </cell>
          <cell r="F766" t="str">
            <v>11-1,2</v>
          </cell>
          <cell r="G766">
            <v>0</v>
          </cell>
        </row>
        <row r="767">
          <cell r="A767" t="str">
            <v>303030004-21</v>
          </cell>
          <cell r="B767" t="str">
            <v>屏风板=2</v>
          </cell>
          <cell r="C767">
            <v>0</v>
          </cell>
          <cell r="D767">
            <v>1</v>
          </cell>
          <cell r="E767" t="str">
            <v>包</v>
          </cell>
          <cell r="F767" t="str">
            <v>11-4</v>
          </cell>
          <cell r="G767">
            <v>0</v>
          </cell>
        </row>
        <row r="768">
          <cell r="A768" t="str">
            <v>303030008-21</v>
          </cell>
          <cell r="B768" t="str">
            <v>拉杆=2</v>
          </cell>
          <cell r="C768" t="str">
            <v>碳灰</v>
          </cell>
          <cell r="D768">
            <v>1</v>
          </cell>
          <cell r="E768" t="str">
            <v>包</v>
          </cell>
          <cell r="F768" t="str">
            <v>11-10</v>
          </cell>
          <cell r="G768">
            <v>0</v>
          </cell>
        </row>
        <row r="769">
          <cell r="A769" t="str">
            <v>303030009-21</v>
          </cell>
          <cell r="B769" t="str">
            <v xml:space="preserve">功能梁=2 </v>
          </cell>
          <cell r="C769" t="str">
            <v>氧化</v>
          </cell>
          <cell r="D769">
            <v>1</v>
          </cell>
          <cell r="E769" t="str">
            <v>包</v>
          </cell>
          <cell r="F769" t="str">
            <v>11-11</v>
          </cell>
          <cell r="G769">
            <v>0</v>
          </cell>
        </row>
        <row r="770">
          <cell r="A770" t="str">
            <v>399030001-31</v>
          </cell>
          <cell r="B770" t="str">
            <v>主机架=4（可选）</v>
          </cell>
          <cell r="C770" t="str">
            <v>枫木/碳灰</v>
          </cell>
          <cell r="D770">
            <v>1</v>
          </cell>
          <cell r="E770" t="str">
            <v>包</v>
          </cell>
          <cell r="F770" t="str">
            <v>12-12</v>
          </cell>
          <cell r="G770">
            <v>0</v>
          </cell>
        </row>
        <row r="771">
          <cell r="A771" t="str">
            <v>303030002-22</v>
          </cell>
          <cell r="B771" t="str">
            <v>主台面</v>
          </cell>
          <cell r="C771" t="str">
            <v>枫木</v>
          </cell>
          <cell r="D771">
            <v>2</v>
          </cell>
          <cell r="E771" t="str">
            <v>包</v>
          </cell>
          <cell r="F771" t="str">
            <v>10-1.2</v>
          </cell>
          <cell r="G771">
            <v>0</v>
          </cell>
        </row>
        <row r="772">
          <cell r="A772" t="str">
            <v>303030004-22</v>
          </cell>
          <cell r="B772" t="str">
            <v>梵高边脚=2 钢制走线槽B=2  梵高中脚=1</v>
          </cell>
          <cell r="C772" t="str">
            <v>碳灰</v>
          </cell>
          <cell r="D772">
            <v>1</v>
          </cell>
          <cell r="E772" t="str">
            <v>包</v>
          </cell>
          <cell r="F772" t="str">
            <v>10-8</v>
          </cell>
          <cell r="G772">
            <v>0</v>
          </cell>
        </row>
        <row r="773">
          <cell r="A773" t="str">
            <v>399030001-32</v>
          </cell>
          <cell r="B773" t="str">
            <v>拉杆=2</v>
          </cell>
          <cell r="C773" t="str">
            <v>碳灰</v>
          </cell>
          <cell r="D773">
            <v>1</v>
          </cell>
          <cell r="E773" t="str">
            <v>包</v>
          </cell>
          <cell r="F773" t="str">
            <v>10-9</v>
          </cell>
          <cell r="G773">
            <v>0</v>
          </cell>
        </row>
        <row r="774">
          <cell r="A774" t="str">
            <v>303030008-22</v>
          </cell>
          <cell r="B774" t="str">
            <v xml:space="preserve">功能梁=2 </v>
          </cell>
          <cell r="C774" t="str">
            <v>氧化</v>
          </cell>
          <cell r="D774">
            <v>1</v>
          </cell>
          <cell r="E774" t="str">
            <v>包</v>
          </cell>
          <cell r="F774" t="str">
            <v>10-10</v>
          </cell>
          <cell r="G774">
            <v>0</v>
          </cell>
        </row>
        <row r="775">
          <cell r="A775" t="str">
            <v>303030009-22</v>
          </cell>
          <cell r="B775" t="str">
            <v>活动柜</v>
          </cell>
          <cell r="C775" t="str">
            <v>枫木/铁灰</v>
          </cell>
          <cell r="D775">
            <v>4</v>
          </cell>
          <cell r="E775" t="str">
            <v>个</v>
          </cell>
          <cell r="F775" t="str">
            <v>10-3.4.5.6</v>
          </cell>
          <cell r="G775">
            <v>0</v>
          </cell>
        </row>
        <row r="776">
          <cell r="A776" t="str">
            <v>399030001-33</v>
          </cell>
          <cell r="B776" t="str">
            <v>主机架=4（可选）</v>
          </cell>
          <cell r="C776" t="str">
            <v>枫木/碳灰</v>
          </cell>
          <cell r="D776">
            <v>1</v>
          </cell>
          <cell r="E776" t="str">
            <v>包</v>
          </cell>
          <cell r="F776" t="str">
            <v>11-11</v>
          </cell>
          <cell r="G776">
            <v>0</v>
          </cell>
        </row>
        <row r="777">
          <cell r="A777" t="str">
            <v>399880003-33</v>
          </cell>
          <cell r="B777" t="str">
            <v>活动柜=1</v>
          </cell>
          <cell r="C777" t="str">
            <v>暖白/铁灰</v>
          </cell>
          <cell r="D777">
            <v>2</v>
          </cell>
          <cell r="E777" t="str">
            <v>包</v>
          </cell>
          <cell r="F777" t="str">
            <v>12-3.4</v>
          </cell>
          <cell r="G777">
            <v>0</v>
          </cell>
        </row>
        <row r="778">
          <cell r="A778" t="str">
            <v>312110005-21</v>
          </cell>
          <cell r="B778" t="str">
            <v>中脚=1</v>
          </cell>
          <cell r="C778" t="str">
            <v>纯白+电镀</v>
          </cell>
          <cell r="D778">
            <v>1</v>
          </cell>
          <cell r="E778" t="str">
            <v>包</v>
          </cell>
          <cell r="F778" t="str">
            <v>9-5</v>
          </cell>
          <cell r="G778">
            <v>0</v>
          </cell>
        </row>
        <row r="779">
          <cell r="A779" t="str">
            <v>312110005-22</v>
          </cell>
          <cell r="B779" t="str">
            <v>拉杆=3/配件</v>
          </cell>
          <cell r="C779" t="str">
            <v>纯白</v>
          </cell>
          <cell r="D779">
            <v>1</v>
          </cell>
          <cell r="E779" t="str">
            <v>包</v>
          </cell>
          <cell r="F779" t="str">
            <v>9-6</v>
          </cell>
          <cell r="G779">
            <v>0</v>
          </cell>
        </row>
        <row r="780">
          <cell r="A780" t="str">
            <v>312110008-21</v>
          </cell>
          <cell r="B780" t="str">
            <v>装饰板</v>
          </cell>
          <cell r="C780">
            <v>0</v>
          </cell>
          <cell r="D780">
            <v>1</v>
          </cell>
          <cell r="E780" t="str">
            <v>包</v>
          </cell>
          <cell r="F780" t="str">
            <v>9-9</v>
          </cell>
          <cell r="G780">
            <v>0</v>
          </cell>
        </row>
        <row r="781">
          <cell r="A781" t="str">
            <v>312110008-22</v>
          </cell>
          <cell r="B781" t="str">
            <v>青花瓷会议台   2200*1000*750     QH-T2-20110</v>
          </cell>
          <cell r="C781">
            <v>0</v>
          </cell>
          <cell r="D781">
            <v>0</v>
          </cell>
          <cell r="G781">
            <v>0</v>
          </cell>
        </row>
        <row r="782">
          <cell r="A782" t="str">
            <v>399090001-21</v>
          </cell>
          <cell r="B782" t="str">
            <v>钢脚=3</v>
          </cell>
          <cell r="C782" t="str">
            <v>纯白+电镀</v>
          </cell>
          <cell r="D782">
            <v>1</v>
          </cell>
          <cell r="E782" t="str">
            <v>包</v>
          </cell>
          <cell r="F782" t="str">
            <v>2-2</v>
          </cell>
          <cell r="G782">
            <v>0</v>
          </cell>
        </row>
        <row r="783">
          <cell r="A783" t="str">
            <v>399090002-21</v>
          </cell>
          <cell r="B783" t="str">
            <v>钢脚=4</v>
          </cell>
          <cell r="C783" t="str">
            <v>纯白+电镀</v>
          </cell>
          <cell r="D783">
            <v>0</v>
          </cell>
          <cell r="G783">
            <v>0</v>
          </cell>
        </row>
        <row r="784">
          <cell r="A784" t="str">
            <v>399090003-21</v>
          </cell>
          <cell r="B784" t="str">
            <v>钢脚=4</v>
          </cell>
          <cell r="C784" t="str">
            <v>纯白+电镀</v>
          </cell>
          <cell r="D784">
            <v>0</v>
          </cell>
          <cell r="G784">
            <v>0</v>
          </cell>
        </row>
        <row r="785">
          <cell r="A785" t="str">
            <v>312040021-21</v>
          </cell>
          <cell r="B785">
            <v>0</v>
          </cell>
          <cell r="C785" t="str">
            <v>白玉石+海军蓝</v>
          </cell>
          <cell r="D785">
            <v>0</v>
          </cell>
          <cell r="G785">
            <v>0</v>
          </cell>
        </row>
        <row r="786">
          <cell r="A786" t="str">
            <v>312040021-22</v>
          </cell>
          <cell r="B786">
            <v>0</v>
          </cell>
          <cell r="C786">
            <v>0</v>
          </cell>
          <cell r="D786">
            <v>0</v>
          </cell>
          <cell r="G786">
            <v>0</v>
          </cell>
        </row>
        <row r="787">
          <cell r="A787" t="str">
            <v>399140001-31</v>
          </cell>
          <cell r="B787" t="str">
            <v>柜脚=1</v>
          </cell>
          <cell r="C787" t="str">
            <v>砂白</v>
          </cell>
          <cell r="D787" t="str">
            <v>1</v>
          </cell>
          <cell r="E787" t="str">
            <v>包</v>
          </cell>
          <cell r="F787" t="str">
            <v>3-3</v>
          </cell>
          <cell r="G787">
            <v>0</v>
          </cell>
        </row>
        <row r="788">
          <cell r="A788" t="str">
            <v>399140001-32</v>
          </cell>
          <cell r="B788" t="str">
            <v>柜脚</v>
          </cell>
          <cell r="C788" t="str">
            <v>砂白</v>
          </cell>
          <cell r="D788" t="str">
            <v>1</v>
          </cell>
          <cell r="E788" t="str">
            <v>包</v>
          </cell>
          <cell r="F788" t="str">
            <v>4-4</v>
          </cell>
          <cell r="G788">
            <v>0</v>
          </cell>
        </row>
        <row r="789">
          <cell r="A789" t="str">
            <v>399140001-33</v>
          </cell>
          <cell r="B789" t="str">
            <v>柜脚=1</v>
          </cell>
          <cell r="C789" t="str">
            <v>砂白</v>
          </cell>
          <cell r="D789" t="str">
            <v>1</v>
          </cell>
          <cell r="E789" t="str">
            <v>包</v>
          </cell>
          <cell r="F789" t="str">
            <v>4-3</v>
          </cell>
          <cell r="G789">
            <v>0</v>
          </cell>
        </row>
        <row r="790">
          <cell r="A790" t="str">
            <v>399090002-22</v>
          </cell>
          <cell r="B790" t="str">
            <v>钢脚=4</v>
          </cell>
          <cell r="C790" t="str">
            <v>纯白+电镀</v>
          </cell>
          <cell r="D790">
            <v>0</v>
          </cell>
          <cell r="G790">
            <v>0</v>
          </cell>
        </row>
        <row r="791">
          <cell r="A791" t="str">
            <v>399090003-22</v>
          </cell>
          <cell r="B791" t="str">
            <v>钢脚=4</v>
          </cell>
          <cell r="C791" t="str">
            <v>纯白+电镀</v>
          </cell>
          <cell r="D791">
            <v>0</v>
          </cell>
          <cell r="G791">
            <v>0</v>
          </cell>
        </row>
        <row r="792">
          <cell r="A792" t="str">
            <v>399090001-22</v>
          </cell>
          <cell r="B792" t="str">
            <v>钢脚=3</v>
          </cell>
          <cell r="C792" t="str">
            <v>纯白+电镀</v>
          </cell>
          <cell r="D792">
            <v>0</v>
          </cell>
          <cell r="G792">
            <v>0</v>
          </cell>
        </row>
        <row r="793">
          <cell r="A793" t="str">
            <v>318210009-1</v>
          </cell>
          <cell r="B793" t="str">
            <v>OF-CH102A 椅脚</v>
          </cell>
          <cell r="C793" t="str">
            <v>黑色/灰色条纹</v>
          </cell>
          <cell r="D793">
            <v>1</v>
          </cell>
          <cell r="E793" t="str">
            <v>包</v>
          </cell>
          <cell r="F793" t="str">
            <v>2-2</v>
          </cell>
          <cell r="G793">
            <v>0</v>
          </cell>
        </row>
        <row r="794">
          <cell r="A794" t="str">
            <v>318330021-21</v>
          </cell>
          <cell r="B794" t="str">
            <v>单人位</v>
          </cell>
          <cell r="C794" t="str">
            <v>白色/灰色</v>
          </cell>
          <cell r="D794">
            <v>1</v>
          </cell>
          <cell r="E794" t="str">
            <v>张</v>
          </cell>
          <cell r="F794" t="str">
            <v>1--1</v>
          </cell>
          <cell r="G794">
            <v>0</v>
          </cell>
        </row>
        <row r="795">
          <cell r="A795" t="str">
            <v>318330021-22</v>
          </cell>
          <cell r="B795" t="str">
            <v>单人位</v>
          </cell>
          <cell r="C795" t="str">
            <v>白色/灰色(带印花）</v>
          </cell>
          <cell r="D795">
            <v>1</v>
          </cell>
          <cell r="E795" t="str">
            <v>张</v>
          </cell>
          <cell r="F795" t="str">
            <v>1--1</v>
          </cell>
          <cell r="G795">
            <v>0</v>
          </cell>
        </row>
        <row r="796">
          <cell r="A796" t="str">
            <v>318250001</v>
          </cell>
          <cell r="B796" t="str">
            <v>OF-CH207A</v>
          </cell>
          <cell r="C796" t="str">
            <v>蓝色</v>
          </cell>
          <cell r="D796">
            <v>1</v>
          </cell>
          <cell r="E796" t="str">
            <v>张</v>
          </cell>
          <cell r="F796">
            <v>0</v>
          </cell>
          <cell r="G796">
            <v>0</v>
          </cell>
        </row>
        <row r="797">
          <cell r="A797" t="str">
            <v>318220017</v>
          </cell>
          <cell r="B797" t="str">
            <v>OF-CH207B</v>
          </cell>
          <cell r="C797" t="str">
            <v>蓝色</v>
          </cell>
          <cell r="D797">
            <v>1</v>
          </cell>
          <cell r="E797" t="str">
            <v>张</v>
          </cell>
          <cell r="F797">
            <v>0</v>
          </cell>
          <cell r="G797">
            <v>0</v>
          </cell>
        </row>
        <row r="798">
          <cell r="A798" t="str">
            <v>318250002</v>
          </cell>
          <cell r="B798" t="str">
            <v>OF-CH206A</v>
          </cell>
          <cell r="C798" t="str">
            <v>蓝色</v>
          </cell>
          <cell r="D798">
            <v>2</v>
          </cell>
          <cell r="E798" t="str">
            <v>张</v>
          </cell>
          <cell r="F798">
            <v>0</v>
          </cell>
          <cell r="G798">
            <v>0</v>
          </cell>
        </row>
        <row r="799">
          <cell r="A799" t="str">
            <v>318220018</v>
          </cell>
          <cell r="B799" t="str">
            <v>OF-CH206B</v>
          </cell>
          <cell r="C799" t="str">
            <v>蓝色</v>
          </cell>
          <cell r="D799">
            <v>2</v>
          </cell>
          <cell r="E799" t="str">
            <v>张</v>
          </cell>
          <cell r="F799">
            <v>0</v>
          </cell>
          <cell r="G799">
            <v>0</v>
          </cell>
        </row>
        <row r="800">
          <cell r="A800" t="str">
            <v>318210011</v>
          </cell>
          <cell r="B800" t="str">
            <v>180A</v>
          </cell>
          <cell r="C800" t="str">
            <v>黑色真皮</v>
          </cell>
          <cell r="D800">
            <v>2</v>
          </cell>
          <cell r="E800" t="str">
            <v>张</v>
          </cell>
          <cell r="F800">
            <v>0</v>
          </cell>
          <cell r="G800">
            <v>0</v>
          </cell>
        </row>
        <row r="801">
          <cell r="A801" t="str">
            <v>318210012</v>
          </cell>
          <cell r="B801" t="str">
            <v>180A</v>
          </cell>
          <cell r="C801" t="str">
            <v>黑色西皮</v>
          </cell>
          <cell r="D801">
            <v>2</v>
          </cell>
          <cell r="E801" t="str">
            <v>张</v>
          </cell>
          <cell r="F801">
            <v>0</v>
          </cell>
          <cell r="G801">
            <v>0</v>
          </cell>
        </row>
        <row r="802">
          <cell r="A802" t="str">
            <v>318230010</v>
          </cell>
          <cell r="B802" t="str">
            <v>180c</v>
          </cell>
          <cell r="C802" t="str">
            <v>黑色真皮</v>
          </cell>
          <cell r="D802">
            <v>2</v>
          </cell>
          <cell r="E802" t="str">
            <v>张</v>
          </cell>
          <cell r="F802">
            <v>0</v>
          </cell>
          <cell r="G802">
            <v>0</v>
          </cell>
        </row>
        <row r="803">
          <cell r="A803" t="str">
            <v>318230011</v>
          </cell>
          <cell r="B803" t="str">
            <v>180c</v>
          </cell>
          <cell r="C803" t="str">
            <v>黑色西皮</v>
          </cell>
          <cell r="D803">
            <v>2</v>
          </cell>
          <cell r="E803" t="str">
            <v>张</v>
          </cell>
          <cell r="F803">
            <v>0</v>
          </cell>
          <cell r="G803">
            <v>0</v>
          </cell>
        </row>
        <row r="804">
          <cell r="A804" t="str">
            <v>318230012</v>
          </cell>
          <cell r="B804" t="str">
            <v>OF-CH101C</v>
          </cell>
          <cell r="C804" t="str">
            <v>黑色+米黄</v>
          </cell>
          <cell r="D804">
            <v>2</v>
          </cell>
          <cell r="E804" t="str">
            <v>张</v>
          </cell>
          <cell r="F804">
            <v>0</v>
          </cell>
          <cell r="G804">
            <v>0</v>
          </cell>
        </row>
        <row r="805">
          <cell r="A805" t="str">
            <v>315000033-1</v>
          </cell>
          <cell r="B805" t="str">
            <v>368+608款</v>
          </cell>
          <cell r="C805">
            <v>0</v>
          </cell>
          <cell r="D805">
            <v>0</v>
          </cell>
          <cell r="G805">
            <v>0</v>
          </cell>
        </row>
        <row r="806">
          <cell r="A806" t="str">
            <v>315000034-1</v>
          </cell>
          <cell r="B806" t="str">
            <v>40+60款</v>
          </cell>
          <cell r="C806">
            <v>0</v>
          </cell>
          <cell r="D806">
            <v>0</v>
          </cell>
          <cell r="G806">
            <v>0</v>
          </cell>
        </row>
        <row r="807">
          <cell r="A807" t="str">
            <v>315000035-1</v>
          </cell>
          <cell r="B807" t="str">
            <v>168款</v>
          </cell>
          <cell r="C807">
            <v>0</v>
          </cell>
          <cell r="D807">
            <v>0</v>
          </cell>
          <cell r="G807">
            <v>0</v>
          </cell>
        </row>
        <row r="808">
          <cell r="A808" t="str">
            <v>315000039</v>
          </cell>
          <cell r="B808">
            <v>0</v>
          </cell>
          <cell r="C808" t="str">
            <v>砂白</v>
          </cell>
          <cell r="D808">
            <v>0</v>
          </cell>
          <cell r="G808">
            <v>0</v>
          </cell>
        </row>
        <row r="809">
          <cell r="A809" t="str">
            <v>318210004</v>
          </cell>
          <cell r="B809" t="str">
            <v>OF-CH102A</v>
          </cell>
          <cell r="C809" t="str">
            <v>黑色/橙色</v>
          </cell>
          <cell r="D809">
            <v>1</v>
          </cell>
          <cell r="E809" t="str">
            <v>张</v>
          </cell>
          <cell r="F809" t="str">
            <v>1--1</v>
          </cell>
          <cell r="G809">
            <v>0</v>
          </cell>
        </row>
        <row r="810">
          <cell r="A810" t="str">
            <v>总计</v>
          </cell>
          <cell r="G810">
            <v>1565</v>
          </cell>
        </row>
      </sheetData>
      <sheetData sheetId="4" refreshError="1"/>
      <sheetData sheetId="5" refreshError="1">
        <row r="1">
          <cell r="A1" t="str">
            <v>编码</v>
          </cell>
          <cell r="B1" t="str">
            <v>产品名称</v>
          </cell>
          <cell r="C1" t="str">
            <v>颜色</v>
          </cell>
          <cell r="D1" t="str">
            <v>2014年3月-2015年4月销售数据</v>
          </cell>
          <cell r="E1" t="str">
            <v>风险值</v>
          </cell>
          <cell r="F1" t="str">
            <v>出厂价</v>
          </cell>
          <cell r="G1" t="str">
            <v xml:space="preserve"> 合计</v>
          </cell>
          <cell r="H1" t="str">
            <v>系列</v>
          </cell>
          <cell r="I1" t="str">
            <v>安全库存</v>
          </cell>
        </row>
        <row r="2">
          <cell r="A2">
            <v>301010005</v>
          </cell>
          <cell r="B2" t="str">
            <v>欧扬主管桌 OYDN-D4-1715 1750*1500*760  左边</v>
          </cell>
          <cell r="C2" t="str">
            <v>暖白浮雕/铁灰/碳灰</v>
          </cell>
          <cell r="D2">
            <v>843</v>
          </cell>
          <cell r="E2">
            <v>5</v>
          </cell>
          <cell r="F2">
            <v>970</v>
          </cell>
          <cell r="G2">
            <v>9700</v>
          </cell>
          <cell r="H2" t="str">
            <v>欧扬</v>
          </cell>
          <cell r="I2">
            <v>10</v>
          </cell>
        </row>
        <row r="3">
          <cell r="A3">
            <v>301010008</v>
          </cell>
          <cell r="B3" t="str">
            <v>欧扬主管桌 OYDN-D4-1715 1750*1500*760  右边</v>
          </cell>
          <cell r="C3" t="str">
            <v>暖白浮雕/铁灰/碳灰</v>
          </cell>
          <cell r="E3">
            <v>5</v>
          </cell>
          <cell r="F3">
            <v>970</v>
          </cell>
          <cell r="G3">
            <v>9700</v>
          </cell>
          <cell r="H3" t="str">
            <v>欧扬</v>
          </cell>
          <cell r="I3">
            <v>10</v>
          </cell>
        </row>
        <row r="4">
          <cell r="A4">
            <v>301010011</v>
          </cell>
          <cell r="B4" t="str">
            <v>欧扬主管桌 OYDN-D4-1715 1750*1500*760  左边</v>
          </cell>
          <cell r="C4" t="str">
            <v>布纹/铁灰/碳灰</v>
          </cell>
          <cell r="E4">
            <v>5</v>
          </cell>
          <cell r="F4">
            <v>970</v>
          </cell>
          <cell r="G4">
            <v>9700</v>
          </cell>
          <cell r="H4" t="str">
            <v>欧扬</v>
          </cell>
          <cell r="I4">
            <v>10</v>
          </cell>
        </row>
        <row r="5">
          <cell r="A5">
            <v>301010014</v>
          </cell>
          <cell r="B5" t="str">
            <v>欧扬主管桌 OYDN-D4-1715 1750*1500*760  右边</v>
          </cell>
          <cell r="C5" t="str">
            <v>布纹/铁灰/碳灰</v>
          </cell>
          <cell r="E5">
            <v>5</v>
          </cell>
          <cell r="F5">
            <v>970</v>
          </cell>
          <cell r="G5">
            <v>9700</v>
          </cell>
          <cell r="H5" t="str">
            <v>欧扬</v>
          </cell>
          <cell r="I5">
            <v>10</v>
          </cell>
        </row>
        <row r="6">
          <cell r="A6">
            <v>301010900</v>
          </cell>
          <cell r="B6" t="str">
            <v>欧扬D5款主管桌暖白（左边）</v>
          </cell>
          <cell r="C6" t="str">
            <v>暖白/铁灰/碳灰</v>
          </cell>
          <cell r="I6">
            <v>0</v>
          </cell>
        </row>
        <row r="7">
          <cell r="A7">
            <v>301011000</v>
          </cell>
          <cell r="B7" t="str">
            <v>欧扬D5款主管桌暖白（右边）</v>
          </cell>
          <cell r="C7" t="str">
            <v>暖白/铁灰/碳灰</v>
          </cell>
          <cell r="I7">
            <v>0</v>
          </cell>
        </row>
        <row r="8">
          <cell r="A8">
            <v>301080001</v>
          </cell>
          <cell r="B8" t="str">
            <v>欧扬方茶几    OYAN-ST   600*600*420</v>
          </cell>
          <cell r="C8" t="str">
            <v>布纹/碳灰</v>
          </cell>
          <cell r="E8">
            <v>10</v>
          </cell>
          <cell r="F8">
            <v>228</v>
          </cell>
          <cell r="G8">
            <v>5700</v>
          </cell>
          <cell r="H8" t="str">
            <v>欧扬</v>
          </cell>
          <cell r="I8">
            <v>25</v>
          </cell>
        </row>
        <row r="9">
          <cell r="A9">
            <v>301070001</v>
          </cell>
          <cell r="B9" t="str">
            <v>欧扬长茶几    OYAN-LT   1200*600*420</v>
          </cell>
          <cell r="C9" t="str">
            <v>布纹/碳灰</v>
          </cell>
          <cell r="E9">
            <v>10</v>
          </cell>
          <cell r="F9">
            <v>276</v>
          </cell>
          <cell r="G9">
            <v>4140</v>
          </cell>
          <cell r="H9" t="str">
            <v>欧扬</v>
          </cell>
          <cell r="I9">
            <v>15</v>
          </cell>
        </row>
        <row r="10">
          <cell r="A10">
            <v>301110001</v>
          </cell>
          <cell r="B10" t="str">
            <v xml:space="preserve">欧扬蝴蝶型会议桌  OYAN-T3-2812 2800*1200*750 </v>
          </cell>
          <cell r="C10" t="str">
            <v>布纹/碳灰</v>
          </cell>
          <cell r="D10">
            <v>214</v>
          </cell>
          <cell r="E10">
            <v>5</v>
          </cell>
          <cell r="F10">
            <v>1440</v>
          </cell>
          <cell r="G10">
            <v>14400</v>
          </cell>
          <cell r="H10" t="str">
            <v>欧扬</v>
          </cell>
          <cell r="I10">
            <v>10</v>
          </cell>
        </row>
        <row r="11">
          <cell r="A11">
            <v>301100001</v>
          </cell>
          <cell r="B11" t="str">
            <v>欧扬圆台    
OYAN-YT-80  800*750</v>
          </cell>
          <cell r="C11" t="str">
            <v xml:space="preserve">暖白浮雕/碳灰 </v>
          </cell>
          <cell r="D11">
            <v>305</v>
          </cell>
          <cell r="E11">
            <v>5</v>
          </cell>
          <cell r="F11">
            <v>350</v>
          </cell>
          <cell r="G11">
            <v>3500</v>
          </cell>
          <cell r="H11" t="str">
            <v>欧扬</v>
          </cell>
          <cell r="I11">
            <v>10</v>
          </cell>
        </row>
        <row r="12">
          <cell r="A12">
            <v>301100003</v>
          </cell>
          <cell r="B12" t="str">
            <v>欧扬圆台       
OYAN-YT-80  800*750</v>
          </cell>
          <cell r="C12" t="str">
            <v xml:space="preserve">布纹/碳灰 </v>
          </cell>
          <cell r="E12">
            <v>5</v>
          </cell>
          <cell r="F12">
            <v>350</v>
          </cell>
          <cell r="G12">
            <v>3500</v>
          </cell>
          <cell r="H12" t="str">
            <v>欧扬</v>
          </cell>
          <cell r="I12">
            <v>10</v>
          </cell>
        </row>
        <row r="13">
          <cell r="A13">
            <v>301040008</v>
          </cell>
          <cell r="B13" t="str">
            <v xml:space="preserve">欧扬蝴蝶型四人位        OYAN-W2-2913  2900*1300*760       （无副台）       </v>
          </cell>
          <cell r="C13" t="str">
            <v>布纹/铁灰/碳灰</v>
          </cell>
          <cell r="D13">
            <v>397</v>
          </cell>
          <cell r="E13">
            <v>5</v>
          </cell>
          <cell r="F13">
            <v>2550</v>
          </cell>
          <cell r="G13">
            <v>25500</v>
          </cell>
          <cell r="H13" t="str">
            <v>欧扬</v>
          </cell>
          <cell r="I13">
            <v>10</v>
          </cell>
        </row>
        <row r="14">
          <cell r="A14">
            <v>302010001</v>
          </cell>
          <cell r="B14" t="str">
            <v xml:space="preserve">欧典主管桌     OD-D-1608  1600*1600*760 </v>
          </cell>
          <cell r="C14" t="str">
            <v>灰橡浮雕/暖白浮雕/砂白</v>
          </cell>
          <cell r="D14">
            <v>456</v>
          </cell>
          <cell r="E14">
            <v>10</v>
          </cell>
          <cell r="F14">
            <v>868</v>
          </cell>
          <cell r="G14">
            <v>17360</v>
          </cell>
          <cell r="H14" t="str">
            <v>欧典</v>
          </cell>
          <cell r="I14">
            <v>20</v>
          </cell>
        </row>
        <row r="15">
          <cell r="A15">
            <v>302010006</v>
          </cell>
          <cell r="B15" t="str">
            <v xml:space="preserve">欧典主管桌     OD-D-1816   1800*1600*760  </v>
          </cell>
          <cell r="C15" t="str">
            <v>灰橡浮雕/暖白浮雕/砂白</v>
          </cell>
          <cell r="D15">
            <v>1292</v>
          </cell>
          <cell r="E15">
            <v>20</v>
          </cell>
          <cell r="F15">
            <v>940</v>
          </cell>
          <cell r="G15">
            <v>28200</v>
          </cell>
          <cell r="H15" t="str">
            <v>欧典</v>
          </cell>
          <cell r="I15">
            <v>30</v>
          </cell>
        </row>
        <row r="16">
          <cell r="A16">
            <v>302110001</v>
          </cell>
          <cell r="B16" t="str">
            <v>欧典会议桌    OD-T1-2210   2200*1000*760</v>
          </cell>
          <cell r="C16" t="str">
            <v>灰橡浮雕/砂白</v>
          </cell>
          <cell r="D16">
            <v>33</v>
          </cell>
          <cell r="E16">
            <v>15</v>
          </cell>
          <cell r="F16">
            <v>710</v>
          </cell>
          <cell r="G16">
            <v>21300</v>
          </cell>
          <cell r="H16" t="str">
            <v>欧典</v>
          </cell>
          <cell r="I16">
            <v>30</v>
          </cell>
        </row>
        <row r="17">
          <cell r="A17">
            <v>302040001</v>
          </cell>
          <cell r="B17" t="str">
            <v>欧典四人位    OD-S1-2812   2800*1230*760</v>
          </cell>
          <cell r="C17" t="str">
            <v>灰橡浮雕/暖白浮雕/树枝纹/砂白</v>
          </cell>
          <cell r="D17">
            <v>437</v>
          </cell>
          <cell r="E17">
            <v>15</v>
          </cell>
          <cell r="F17">
            <v>2150</v>
          </cell>
          <cell r="G17">
            <v>64500</v>
          </cell>
          <cell r="H17" t="str">
            <v>欧典</v>
          </cell>
          <cell r="I17">
            <v>30</v>
          </cell>
        </row>
        <row r="18">
          <cell r="A18">
            <v>302060001</v>
          </cell>
          <cell r="B18" t="str">
            <v>欧典文件柜（玻璃门）     OD-C1-C0816 800*400*1600</v>
          </cell>
          <cell r="C18" t="str">
            <v>灰橡浮雕/暖白浮雕/砂白</v>
          </cell>
          <cell r="D18">
            <v>1482</v>
          </cell>
          <cell r="E18">
            <v>20</v>
          </cell>
          <cell r="F18">
            <v>726</v>
          </cell>
          <cell r="G18">
            <v>29040</v>
          </cell>
          <cell r="H18" t="str">
            <v>欧典</v>
          </cell>
          <cell r="I18">
            <v>40</v>
          </cell>
        </row>
        <row r="19">
          <cell r="A19">
            <v>302090001</v>
          </cell>
          <cell r="B19" t="str">
            <v xml:space="preserve">欧典文件柜    OD-C2-C0816  800*400*1600 </v>
          </cell>
          <cell r="C19" t="str">
            <v>灰橡浮雕/暖白浮雕</v>
          </cell>
          <cell r="E19">
            <v>15</v>
          </cell>
          <cell r="F19">
            <v>590</v>
          </cell>
          <cell r="G19">
            <v>17700</v>
          </cell>
          <cell r="H19" t="str">
            <v>欧典</v>
          </cell>
          <cell r="I19">
            <v>30</v>
          </cell>
        </row>
        <row r="20">
          <cell r="A20">
            <v>302070001</v>
          </cell>
          <cell r="B20" t="str">
            <v>欧典长几       OD-LT       1200*600*420</v>
          </cell>
          <cell r="C20" t="str">
            <v>灰橡浮雕/砂白</v>
          </cell>
          <cell r="D20">
            <v>368</v>
          </cell>
          <cell r="E20">
            <v>10</v>
          </cell>
          <cell r="F20">
            <v>276</v>
          </cell>
          <cell r="G20">
            <v>8280</v>
          </cell>
          <cell r="H20" t="str">
            <v>欧典</v>
          </cell>
          <cell r="I20">
            <v>30</v>
          </cell>
        </row>
        <row r="21">
          <cell r="A21">
            <v>302080001</v>
          </cell>
          <cell r="B21" t="str">
            <v>欧典方几       OD-ST  600*600*420</v>
          </cell>
          <cell r="C21" t="str">
            <v>灰橡浮雕/砂白</v>
          </cell>
          <cell r="D21">
            <v>318</v>
          </cell>
          <cell r="E21">
            <v>10</v>
          </cell>
          <cell r="F21">
            <v>228</v>
          </cell>
          <cell r="G21">
            <v>4560</v>
          </cell>
          <cell r="H21" t="str">
            <v>欧典</v>
          </cell>
          <cell r="I21">
            <v>20</v>
          </cell>
        </row>
        <row r="22">
          <cell r="A22">
            <v>303060001</v>
          </cell>
          <cell r="B22" t="str">
            <v>梵高文件柜    FG-C1-9019  900*420*1980</v>
          </cell>
          <cell r="C22" t="str">
            <v>梨木浮雕/碳灰/铝框</v>
          </cell>
          <cell r="D22">
            <v>1796</v>
          </cell>
          <cell r="E22">
            <v>15</v>
          </cell>
          <cell r="F22">
            <v>810</v>
          </cell>
          <cell r="G22">
            <v>24300</v>
          </cell>
          <cell r="H22" t="str">
            <v>梵高</v>
          </cell>
          <cell r="I22">
            <v>30</v>
          </cell>
        </row>
        <row r="23">
          <cell r="A23">
            <v>303010001</v>
          </cell>
          <cell r="B23" t="str">
            <v>梵高文件柜    FG-C2-9019  900*420*1980</v>
          </cell>
          <cell r="C23" t="str">
            <v>梨木浮雕</v>
          </cell>
          <cell r="E23">
            <v>10</v>
          </cell>
          <cell r="F23">
            <v>640</v>
          </cell>
          <cell r="G23">
            <v>16000</v>
          </cell>
          <cell r="H23" t="str">
            <v>梵高</v>
          </cell>
          <cell r="I23">
            <v>25</v>
          </cell>
        </row>
        <row r="24">
          <cell r="A24">
            <v>303010001</v>
          </cell>
          <cell r="B24" t="str">
            <v>梵高主管桌    FG-D-2120  2100*1000*760</v>
          </cell>
          <cell r="C24" t="str">
            <v>梨木浮雕/铁灰/碳灰</v>
          </cell>
          <cell r="D24">
            <v>319</v>
          </cell>
          <cell r="E24">
            <v>15</v>
          </cell>
          <cell r="F24">
            <v>1170</v>
          </cell>
          <cell r="G24">
            <v>29250</v>
          </cell>
          <cell r="H24" t="str">
            <v>梵高</v>
          </cell>
          <cell r="I24">
            <v>25</v>
          </cell>
        </row>
        <row r="25">
          <cell r="A25">
            <v>303020001</v>
          </cell>
          <cell r="B25" t="str">
            <v>梵高主管桌1800*800*760</v>
          </cell>
          <cell r="C25" t="str">
            <v>梨木浮雕/铁灰/碳灰</v>
          </cell>
          <cell r="D25">
            <v>153</v>
          </cell>
          <cell r="E25">
            <v>5</v>
          </cell>
          <cell r="F25">
            <v>860</v>
          </cell>
          <cell r="G25">
            <v>8600</v>
          </cell>
          <cell r="H25" t="str">
            <v>梵高</v>
          </cell>
          <cell r="I25">
            <v>10</v>
          </cell>
        </row>
        <row r="26">
          <cell r="A26">
            <v>303110001</v>
          </cell>
          <cell r="B26" t="str">
            <v>梵高会议桌    FG-T1-3212   3200*1200*760</v>
          </cell>
          <cell r="C26" t="str">
            <v>梨木浮雕/铁灰/碳灰</v>
          </cell>
          <cell r="D26">
            <v>447</v>
          </cell>
          <cell r="E26">
            <v>15</v>
          </cell>
          <cell r="F26">
            <v>1520</v>
          </cell>
          <cell r="G26">
            <v>45600</v>
          </cell>
          <cell r="H26" t="str">
            <v>梵高</v>
          </cell>
          <cell r="I26">
            <v>30</v>
          </cell>
        </row>
        <row r="27">
          <cell r="A27">
            <v>303070001</v>
          </cell>
          <cell r="B27" t="str">
            <v xml:space="preserve">梵高长茶几 1200*600*420   </v>
          </cell>
          <cell r="C27" t="str">
            <v>梨木浮雕/碳灰</v>
          </cell>
          <cell r="D27">
            <v>43</v>
          </cell>
          <cell r="E27">
            <v>5</v>
          </cell>
          <cell r="F27">
            <v>456</v>
          </cell>
          <cell r="G27">
            <v>6840</v>
          </cell>
          <cell r="H27" t="str">
            <v>梵高</v>
          </cell>
          <cell r="I27">
            <v>15</v>
          </cell>
        </row>
        <row r="28">
          <cell r="A28">
            <v>303080001</v>
          </cell>
          <cell r="B28" t="str">
            <v>梵高方几       FG-ST    600*600*420</v>
          </cell>
          <cell r="C28" t="str">
            <v>梨木浮雕/碳灰</v>
          </cell>
          <cell r="D28">
            <v>278</v>
          </cell>
          <cell r="E28">
            <v>5</v>
          </cell>
          <cell r="F28">
            <v>350</v>
          </cell>
          <cell r="G28">
            <v>7000</v>
          </cell>
          <cell r="H28" t="str">
            <v>梵高</v>
          </cell>
          <cell r="I28">
            <v>20</v>
          </cell>
        </row>
        <row r="29">
          <cell r="A29">
            <v>303100004</v>
          </cell>
          <cell r="B29" t="str">
            <v>梵高洽谈桌   800*750</v>
          </cell>
          <cell r="C29" t="str">
            <v>梨木浮雕/碳灰</v>
          </cell>
          <cell r="D29">
            <v>84</v>
          </cell>
          <cell r="E29">
            <v>5</v>
          </cell>
          <cell r="F29">
            <v>320</v>
          </cell>
          <cell r="G29">
            <v>3200</v>
          </cell>
          <cell r="H29" t="str">
            <v>梵高</v>
          </cell>
          <cell r="I29">
            <v>10</v>
          </cell>
        </row>
        <row r="30">
          <cell r="A30">
            <v>306040001</v>
          </cell>
          <cell r="B30" t="str">
            <v>168屏风四人位                 2400*1200*1150</v>
          </cell>
          <cell r="C30" t="str">
            <v>暖白浮雕/铁灰/树技纹</v>
          </cell>
          <cell r="D30">
            <v>470</v>
          </cell>
          <cell r="E30">
            <v>10</v>
          </cell>
          <cell r="F30">
            <v>1440</v>
          </cell>
          <cell r="G30">
            <v>36000</v>
          </cell>
          <cell r="H30" t="str">
            <v>168屏风</v>
          </cell>
          <cell r="I30">
            <v>25</v>
          </cell>
        </row>
        <row r="31">
          <cell r="A31">
            <v>301050001</v>
          </cell>
          <cell r="B31" t="str">
            <v>魔方文件柜  Mfan-CA09 2500*400*1745</v>
          </cell>
          <cell r="C31" t="str">
            <v>布纹/碳灰</v>
          </cell>
          <cell r="D31">
            <v>284</v>
          </cell>
          <cell r="E31">
            <v>10</v>
          </cell>
          <cell r="F31">
            <v>1620</v>
          </cell>
          <cell r="G31">
            <v>24300</v>
          </cell>
          <cell r="H31" t="str">
            <v>168屏风</v>
          </cell>
          <cell r="I31">
            <v>15</v>
          </cell>
        </row>
        <row r="32">
          <cell r="A32">
            <v>313010001</v>
          </cell>
          <cell r="B32" t="str">
            <v>欧格主管桌                                      OUGE-D1-1808 1800*800*760</v>
          </cell>
          <cell r="C32" t="str">
            <v>OF-521横纹进口暖白小瓦椤/砂白/进口暖白小瓦椤/砂白</v>
          </cell>
          <cell r="D32">
            <v>23</v>
          </cell>
          <cell r="E32">
            <v>3</v>
          </cell>
          <cell r="F32">
            <v>1700</v>
          </cell>
          <cell r="G32">
            <v>13600</v>
          </cell>
          <cell r="H32" t="str">
            <v>欧格</v>
          </cell>
          <cell r="I32">
            <v>8</v>
          </cell>
        </row>
        <row r="33">
          <cell r="A33">
            <v>313090001</v>
          </cell>
          <cell r="B33" t="str">
            <v>欧格文件柜                                      OUGE-C1-2418  2400*420*1850</v>
          </cell>
          <cell r="C33" t="str">
            <v>OF-521横纹进口暖白小瓦椤/进口暖白小瓦椤/砂白</v>
          </cell>
          <cell r="E33">
            <v>3</v>
          </cell>
          <cell r="F33">
            <v>1550</v>
          </cell>
          <cell r="G33">
            <v>12400</v>
          </cell>
          <cell r="H33" t="str">
            <v>欧格</v>
          </cell>
          <cell r="I33">
            <v>8</v>
          </cell>
        </row>
        <row r="34">
          <cell r="A34">
            <v>313110001</v>
          </cell>
          <cell r="B34" t="str">
            <v>欧格会议桌                                      OUGE-T2-2812   2800*1200*760</v>
          </cell>
          <cell r="C34" t="str">
            <v>OF-521横纹进口暖白小瓦椤/进口暖白小瓦椤/砂白</v>
          </cell>
          <cell r="D34">
            <v>52</v>
          </cell>
          <cell r="E34">
            <v>3</v>
          </cell>
          <cell r="F34">
            <v>1800</v>
          </cell>
          <cell r="G34">
            <v>14400</v>
          </cell>
          <cell r="H34" t="str">
            <v>欧格</v>
          </cell>
          <cell r="I34">
            <v>8</v>
          </cell>
        </row>
        <row r="35">
          <cell r="A35">
            <v>313040001</v>
          </cell>
          <cell r="B35" t="str">
            <v>欧格直形四人位
OUGE-D4-3212  3200*1200*760 ************** 2800*1200*760时不带附柜</v>
          </cell>
          <cell r="C35" t="str">
            <v>OF-521横纹进口暖白小瓦椤/进口暖白小瓦椤/茶色玻璃/砂白</v>
          </cell>
          <cell r="D35">
            <v>23</v>
          </cell>
          <cell r="E35">
            <v>3</v>
          </cell>
          <cell r="F35">
            <v>3520</v>
          </cell>
          <cell r="G35">
            <v>28160</v>
          </cell>
          <cell r="H35" t="str">
            <v>欧格</v>
          </cell>
          <cell r="I35">
            <v>8</v>
          </cell>
        </row>
        <row r="36">
          <cell r="A36">
            <v>313100001</v>
          </cell>
          <cell r="B36" t="str">
            <v>欧格洽谈桌
OUGE-T3-1010 1000*1000*750</v>
          </cell>
          <cell r="C36" t="str">
            <v>OF-521横纹小瓦椤/砂白</v>
          </cell>
          <cell r="D36">
            <v>90</v>
          </cell>
          <cell r="E36">
            <v>3</v>
          </cell>
          <cell r="F36">
            <v>650</v>
          </cell>
          <cell r="G36">
            <v>5200</v>
          </cell>
          <cell r="H36" t="str">
            <v>欧格</v>
          </cell>
          <cell r="I36">
            <v>8</v>
          </cell>
        </row>
        <row r="37">
          <cell r="A37">
            <v>308090009</v>
          </cell>
          <cell r="B37" t="str">
            <v>君悦文件柜            D2  2500*420*1860  C3</v>
          </cell>
          <cell r="C37" t="str">
            <v>黑栓/白色油漆</v>
          </cell>
          <cell r="E37">
            <v>2</v>
          </cell>
          <cell r="F37">
            <v>3530</v>
          </cell>
          <cell r="G37">
            <v>17650</v>
          </cell>
          <cell r="H37" t="str">
            <v>君悦</v>
          </cell>
          <cell r="I37">
            <v>5</v>
          </cell>
        </row>
        <row r="38">
          <cell r="A38">
            <v>308070002</v>
          </cell>
          <cell r="B38" t="str">
            <v>君悦长几      1200*600*420</v>
          </cell>
          <cell r="C38" t="str">
            <v>黑栓</v>
          </cell>
          <cell r="E38">
            <v>2</v>
          </cell>
          <cell r="F38">
            <v>480</v>
          </cell>
          <cell r="G38">
            <v>2400</v>
          </cell>
          <cell r="H38" t="str">
            <v>君悦</v>
          </cell>
          <cell r="I38">
            <v>5</v>
          </cell>
        </row>
        <row r="39">
          <cell r="A39">
            <v>308080002</v>
          </cell>
          <cell r="B39" t="str">
            <v>君悦方几      600*600*420</v>
          </cell>
          <cell r="C39" t="str">
            <v>黑栓</v>
          </cell>
          <cell r="E39">
            <v>2</v>
          </cell>
          <cell r="F39">
            <v>400</v>
          </cell>
          <cell r="G39">
            <v>2000</v>
          </cell>
          <cell r="H39" t="str">
            <v>君悦</v>
          </cell>
          <cell r="I39">
            <v>5</v>
          </cell>
        </row>
        <row r="40">
          <cell r="A40">
            <v>308010009</v>
          </cell>
          <cell r="B40" t="str">
            <v>君悦D1班台(B款）     2310*860*750           （左）</v>
          </cell>
          <cell r="C40" t="str">
            <v>黑栓/白色油漆</v>
          </cell>
          <cell r="E40">
            <v>2</v>
          </cell>
          <cell r="F40">
            <v>2960</v>
          </cell>
          <cell r="G40">
            <v>14800</v>
          </cell>
          <cell r="H40" t="str">
            <v>君悦</v>
          </cell>
          <cell r="I40">
            <v>5</v>
          </cell>
        </row>
        <row r="41">
          <cell r="A41">
            <v>308010014</v>
          </cell>
          <cell r="B41" t="str">
            <v>君悦D1班台（B款）      2310*860*750           （右）</v>
          </cell>
          <cell r="C41" t="str">
            <v>黑栓/白色油漆</v>
          </cell>
          <cell r="E41">
            <v>2</v>
          </cell>
          <cell r="F41">
            <v>2960</v>
          </cell>
          <cell r="G41">
            <v>14800</v>
          </cell>
          <cell r="H41" t="str">
            <v>君悦</v>
          </cell>
          <cell r="I41">
            <v>5</v>
          </cell>
        </row>
        <row r="42">
          <cell r="A42">
            <v>308010027</v>
          </cell>
          <cell r="B42" t="str">
            <v>CD2二抽活动柜（可选）</v>
          </cell>
          <cell r="C42" t="str">
            <v>OF-M27纯白</v>
          </cell>
          <cell r="E42">
            <v>2</v>
          </cell>
          <cell r="F42">
            <v>520</v>
          </cell>
          <cell r="G42">
            <v>2600</v>
          </cell>
          <cell r="H42" t="str">
            <v>君悦</v>
          </cell>
          <cell r="I42">
            <v>5</v>
          </cell>
        </row>
        <row r="43">
          <cell r="A43">
            <v>308010028</v>
          </cell>
          <cell r="B43" t="str">
            <v>CD3三抽活动柜（可选）</v>
          </cell>
          <cell r="C43" t="str">
            <v>OF-M27纯白</v>
          </cell>
          <cell r="E43">
            <v>2</v>
          </cell>
          <cell r="F43">
            <v>580</v>
          </cell>
          <cell r="G43">
            <v>2900</v>
          </cell>
          <cell r="H43" t="str">
            <v>君悦</v>
          </cell>
          <cell r="I43">
            <v>5</v>
          </cell>
        </row>
        <row r="44">
          <cell r="A44">
            <v>308010019</v>
          </cell>
          <cell r="B44" t="str">
            <v>立方前台   2800*900*1110</v>
          </cell>
          <cell r="C44" t="str">
            <v>中灰色油漆，亚光油漆/白色人/白色亚光油漆/橙色亚光油漆</v>
          </cell>
          <cell r="E44">
            <v>2</v>
          </cell>
          <cell r="F44">
            <v>4200</v>
          </cell>
          <cell r="G44">
            <v>21000</v>
          </cell>
          <cell r="H44" t="str">
            <v>君悦</v>
          </cell>
          <cell r="I44">
            <v>5</v>
          </cell>
        </row>
        <row r="45">
          <cell r="A45">
            <v>311080001</v>
          </cell>
          <cell r="B45" t="str">
            <v>梵龙方茶几    600*600*430</v>
          </cell>
          <cell r="C45" t="str">
            <v>铁灰OF-M14</v>
          </cell>
          <cell r="E45">
            <v>5</v>
          </cell>
          <cell r="F45">
            <v>450</v>
          </cell>
          <cell r="G45">
            <v>4500</v>
          </cell>
          <cell r="H45" t="str">
            <v>君悦</v>
          </cell>
          <cell r="I45">
            <v>10</v>
          </cell>
        </row>
        <row r="46">
          <cell r="A46">
            <v>311070001</v>
          </cell>
          <cell r="B46" t="str">
            <v>梵龙长茶几     940*600*430</v>
          </cell>
          <cell r="C46" t="str">
            <v>铁灰OF-M14</v>
          </cell>
          <cell r="E46">
            <v>5</v>
          </cell>
          <cell r="F46">
            <v>325</v>
          </cell>
          <cell r="G46">
            <v>3250</v>
          </cell>
          <cell r="H46" t="str">
            <v>君悦</v>
          </cell>
          <cell r="I46">
            <v>10</v>
          </cell>
        </row>
        <row r="47">
          <cell r="A47">
            <v>316010200</v>
          </cell>
          <cell r="B47" t="str">
            <v>欧玛D1主管桌1800*800*760暖白绒面+湖蓝绒面</v>
          </cell>
          <cell r="C47" t="str">
            <v>暖白绒面/A-78湖蓝/砂白</v>
          </cell>
          <cell r="D47">
            <v>9</v>
          </cell>
          <cell r="E47">
            <v>5</v>
          </cell>
          <cell r="F47">
            <v>1236</v>
          </cell>
          <cell r="G47">
            <v>12360</v>
          </cell>
          <cell r="H47" t="str">
            <v>欧玛</v>
          </cell>
          <cell r="I47">
            <v>10</v>
          </cell>
        </row>
        <row r="48">
          <cell r="A48">
            <v>316010500</v>
          </cell>
          <cell r="B48" t="str">
            <v>欧玛D2主管桌1800*800*760橡木浮雕+暖白浮雕</v>
          </cell>
          <cell r="C48" t="str">
            <v>橡木浮雕/暖白绒面/砂白</v>
          </cell>
          <cell r="D48">
            <v>9</v>
          </cell>
          <cell r="E48">
            <v>5</v>
          </cell>
          <cell r="F48">
            <v>1236</v>
          </cell>
          <cell r="G48">
            <v>12360</v>
          </cell>
          <cell r="H48" t="str">
            <v>欧玛</v>
          </cell>
          <cell r="I48">
            <v>10</v>
          </cell>
        </row>
        <row r="49">
          <cell r="A49">
            <v>316040100</v>
          </cell>
          <cell r="B49" t="str">
            <v>欧玛直行四人位2800*1200*760湖蓝绒面+暖白绒面</v>
          </cell>
          <cell r="C49" t="str">
            <v>湖蓝绒面+暖白绒面/砂白</v>
          </cell>
          <cell r="D49">
            <v>16</v>
          </cell>
          <cell r="E49">
            <v>5</v>
          </cell>
          <cell r="F49">
            <v>1700</v>
          </cell>
          <cell r="G49">
            <v>17000</v>
          </cell>
          <cell r="H49" t="str">
            <v>欧玛</v>
          </cell>
          <cell r="I49">
            <v>10</v>
          </cell>
        </row>
        <row r="50">
          <cell r="A50">
            <v>316020300</v>
          </cell>
          <cell r="B50" t="str">
            <v>欧玛方茶几600*600*420暖白绒面</v>
          </cell>
          <cell r="C50" t="str">
            <v>暖白绒面/砂白色</v>
          </cell>
          <cell r="D50">
            <v>38</v>
          </cell>
          <cell r="E50">
            <v>5</v>
          </cell>
          <cell r="F50">
            <v>220</v>
          </cell>
          <cell r="G50">
            <v>2200</v>
          </cell>
          <cell r="H50" t="str">
            <v>欧玛</v>
          </cell>
          <cell r="I50">
            <v>10</v>
          </cell>
        </row>
        <row r="51">
          <cell r="A51">
            <v>316020400</v>
          </cell>
          <cell r="B51" t="str">
            <v>欧玛方茶几600*600*420橡木浮雕</v>
          </cell>
          <cell r="C51" t="str">
            <v>橡木浮雕/
砂白色</v>
          </cell>
          <cell r="E51">
            <v>5</v>
          </cell>
          <cell r="F51">
            <v>220</v>
          </cell>
          <cell r="G51">
            <v>2200</v>
          </cell>
          <cell r="H51" t="str">
            <v>欧玛</v>
          </cell>
          <cell r="I51">
            <v>10</v>
          </cell>
        </row>
        <row r="52">
          <cell r="A52">
            <v>316020100</v>
          </cell>
          <cell r="B52" t="str">
            <v>欧玛长茶几1200*600*420暖白绒面/湖蓝色绒面</v>
          </cell>
          <cell r="C52" t="str">
            <v>暖白绒面/湖蓝色绒面/砂白色</v>
          </cell>
          <cell r="D52">
            <v>28</v>
          </cell>
          <cell r="E52">
            <v>5</v>
          </cell>
          <cell r="F52">
            <v>306</v>
          </cell>
          <cell r="G52">
            <v>3060</v>
          </cell>
          <cell r="H52" t="str">
            <v>欧玛</v>
          </cell>
          <cell r="I52">
            <v>10</v>
          </cell>
        </row>
        <row r="53">
          <cell r="A53">
            <v>316020200</v>
          </cell>
          <cell r="B53" t="str">
            <v>欧玛长茶几1200*600*420橡木浮雕/
暖白绒面</v>
          </cell>
          <cell r="C53" t="str">
            <v>橡木浮雕/OF-0721
暖白绒面/砂白色</v>
          </cell>
          <cell r="E53">
            <v>5</v>
          </cell>
          <cell r="F53">
            <v>306</v>
          </cell>
          <cell r="G53">
            <v>3060</v>
          </cell>
          <cell r="H53" t="str">
            <v>欧玛</v>
          </cell>
          <cell r="I53">
            <v>10</v>
          </cell>
        </row>
        <row r="54">
          <cell r="A54">
            <v>316030300</v>
          </cell>
          <cell r="B54" t="str">
            <v>欧玛会议桌2800*1200*760暖白绒面+湖蓝绒面</v>
          </cell>
          <cell r="C54" t="str">
            <v xml:space="preserve">暖白绒面/湖蓝绒面/砂白 </v>
          </cell>
          <cell r="D54">
            <v>11</v>
          </cell>
          <cell r="E54">
            <v>5</v>
          </cell>
          <cell r="F54">
            <v>1320</v>
          </cell>
          <cell r="G54">
            <v>13200</v>
          </cell>
          <cell r="H54" t="str">
            <v>欧玛</v>
          </cell>
          <cell r="I54">
            <v>10</v>
          </cell>
        </row>
        <row r="55">
          <cell r="A55">
            <v>316030400</v>
          </cell>
          <cell r="B55" t="str">
            <v>欧玛洽谈桌900*750暖白绒面</v>
          </cell>
          <cell r="C55" t="str">
            <v xml:space="preserve">暖白绒面/砂白 </v>
          </cell>
          <cell r="E55">
            <v>5</v>
          </cell>
          <cell r="F55">
            <v>376</v>
          </cell>
          <cell r="G55">
            <v>3760</v>
          </cell>
          <cell r="H55" t="str">
            <v>欧玛</v>
          </cell>
          <cell r="I55">
            <v>10</v>
          </cell>
        </row>
        <row r="56">
          <cell r="A56">
            <v>316050100</v>
          </cell>
          <cell r="B56" t="str">
            <v>欧玛C1A文件柜800*400*1600暖白绒面+湖蓝绒面（左）木门</v>
          </cell>
          <cell r="C56" t="str">
            <v>暖白绒面/湖蓝绒面</v>
          </cell>
          <cell r="D56">
            <v>46</v>
          </cell>
          <cell r="E56">
            <v>2</v>
          </cell>
          <cell r="F56">
            <v>590</v>
          </cell>
          <cell r="G56">
            <v>2950</v>
          </cell>
          <cell r="H56" t="str">
            <v>欧玛</v>
          </cell>
          <cell r="I56">
            <v>5</v>
          </cell>
        </row>
        <row r="57">
          <cell r="A57">
            <v>316050500</v>
          </cell>
          <cell r="B57" t="str">
            <v>欧玛C1A文件柜800*400*1600暖白绒面+湖蓝绒面（右）木门</v>
          </cell>
          <cell r="C57" t="str">
            <v>暖白绒面/湖蓝绒面</v>
          </cell>
          <cell r="E57">
            <v>2</v>
          </cell>
          <cell r="F57">
            <v>590</v>
          </cell>
          <cell r="G57">
            <v>2950</v>
          </cell>
          <cell r="H57" t="str">
            <v>欧玛</v>
          </cell>
          <cell r="I57">
            <v>5</v>
          </cell>
        </row>
        <row r="58">
          <cell r="A58">
            <v>316050300</v>
          </cell>
          <cell r="B58" t="str">
            <v>欧玛C2A文件柜800*400*1600暖白绒面（玻璃门）</v>
          </cell>
          <cell r="C58" t="str">
            <v>暖白绒面/砂白铝框清玻</v>
          </cell>
          <cell r="D58">
            <v>26</v>
          </cell>
          <cell r="E58">
            <v>2</v>
          </cell>
          <cell r="F58">
            <v>726</v>
          </cell>
          <cell r="G58">
            <v>3630</v>
          </cell>
          <cell r="H58" t="str">
            <v>欧玛</v>
          </cell>
          <cell r="I58">
            <v>5</v>
          </cell>
        </row>
        <row r="59">
          <cell r="A59">
            <v>316050200</v>
          </cell>
          <cell r="B59" t="str">
            <v>欧玛C1B文件柜800*400*1600暖白绒面/橡木浮雕（木门）</v>
          </cell>
          <cell r="C59" t="str">
            <v>暖白绒面/OF-0721
暖白绒面/橡木浮雕</v>
          </cell>
          <cell r="E59">
            <v>5</v>
          </cell>
          <cell r="F59">
            <v>590</v>
          </cell>
          <cell r="G59">
            <v>5900</v>
          </cell>
          <cell r="H59" t="str">
            <v>欧玛</v>
          </cell>
          <cell r="I59">
            <v>10</v>
          </cell>
        </row>
        <row r="60">
          <cell r="A60">
            <v>316050400</v>
          </cell>
          <cell r="B60" t="str">
            <v>欧玛C2B文件柜800*400*1600暖白绒面/橡木浮雕（玻璃门）</v>
          </cell>
          <cell r="C60" t="str">
            <v>暖白绒面/OF-0721
暖白绒面/橡木浮雕+砂白铝框清玻</v>
          </cell>
          <cell r="E60">
            <v>5</v>
          </cell>
          <cell r="F60">
            <v>726</v>
          </cell>
          <cell r="G60">
            <v>7260</v>
          </cell>
          <cell r="H60" t="str">
            <v>欧玛</v>
          </cell>
          <cell r="I60">
            <v>10</v>
          </cell>
        </row>
        <row r="61">
          <cell r="A61">
            <v>318330001</v>
          </cell>
          <cell r="B61" t="str">
            <v>梵龙沙发B1</v>
          </cell>
          <cell r="C61" t="str">
            <v>SF-2224+OL-2908</v>
          </cell>
          <cell r="E61">
            <v>10</v>
          </cell>
          <cell r="F61">
            <v>895.2</v>
          </cell>
          <cell r="G61">
            <v>17904</v>
          </cell>
          <cell r="H61" t="str">
            <v>沙发</v>
          </cell>
          <cell r="I61">
            <v>20</v>
          </cell>
        </row>
        <row r="62">
          <cell r="A62">
            <v>318330002</v>
          </cell>
          <cell r="B62" t="str">
            <v>梵龙沙发B2</v>
          </cell>
          <cell r="C62" t="str">
            <v>SF-2224+OL-2908</v>
          </cell>
          <cell r="E62">
            <v>10</v>
          </cell>
          <cell r="F62">
            <v>895.2</v>
          </cell>
          <cell r="G62">
            <v>17904</v>
          </cell>
          <cell r="H62" t="str">
            <v>沙发</v>
          </cell>
          <cell r="I62">
            <v>20</v>
          </cell>
        </row>
        <row r="63">
          <cell r="A63">
            <v>318330003</v>
          </cell>
          <cell r="B63" t="str">
            <v>梵龙沙发A1</v>
          </cell>
          <cell r="C63" t="str">
            <v>SF-2226+OL-2906</v>
          </cell>
          <cell r="E63">
            <v>10</v>
          </cell>
          <cell r="F63">
            <v>895.2</v>
          </cell>
          <cell r="G63">
            <v>17904</v>
          </cell>
          <cell r="H63" t="str">
            <v>沙发</v>
          </cell>
          <cell r="I63">
            <v>20</v>
          </cell>
        </row>
        <row r="64">
          <cell r="A64">
            <v>318330004</v>
          </cell>
          <cell r="B64" t="str">
            <v>梵龙沙发A2</v>
          </cell>
          <cell r="C64" t="str">
            <v>SF-2226+OL-2906</v>
          </cell>
          <cell r="E64">
            <v>10</v>
          </cell>
          <cell r="F64">
            <v>895.2</v>
          </cell>
          <cell r="G64">
            <v>17904</v>
          </cell>
          <cell r="H64" t="str">
            <v>沙发</v>
          </cell>
          <cell r="I64">
            <v>20</v>
          </cell>
        </row>
        <row r="65">
          <cell r="A65">
            <v>318330005</v>
          </cell>
          <cell r="B65" t="str">
            <v>梵高沙发</v>
          </cell>
          <cell r="C65" t="str">
            <v>(810W×830D×840H)OF-28-66/OF-28-61</v>
          </cell>
          <cell r="E65">
            <v>10</v>
          </cell>
          <cell r="F65">
            <v>796</v>
          </cell>
          <cell r="G65">
            <v>15920</v>
          </cell>
          <cell r="H65" t="str">
            <v>沙发</v>
          </cell>
          <cell r="I65">
            <v>20</v>
          </cell>
        </row>
        <row r="66">
          <cell r="A66">
            <v>318330006</v>
          </cell>
          <cell r="B66" t="str">
            <v>梵高沙发</v>
          </cell>
          <cell r="C66" t="str">
            <v>(1850W×830D×840H)OF-28-66/OF-28-61</v>
          </cell>
          <cell r="E66">
            <v>5</v>
          </cell>
          <cell r="F66">
            <v>1358</v>
          </cell>
          <cell r="G66">
            <v>13580</v>
          </cell>
          <cell r="H66" t="str">
            <v>沙发</v>
          </cell>
          <cell r="I66">
            <v>10</v>
          </cell>
        </row>
        <row r="67">
          <cell r="A67">
            <v>318330007</v>
          </cell>
          <cell r="B67" t="str">
            <v>欧扬沙发</v>
          </cell>
          <cell r="C67" t="str">
            <v>(800W×830D×800H)LN-537</v>
          </cell>
          <cell r="E67">
            <v>6</v>
          </cell>
          <cell r="F67">
            <v>480</v>
          </cell>
          <cell r="G67">
            <v>4800</v>
          </cell>
          <cell r="H67" t="str">
            <v>沙发</v>
          </cell>
          <cell r="I67">
            <v>10</v>
          </cell>
        </row>
        <row r="68">
          <cell r="A68">
            <v>318330008</v>
          </cell>
          <cell r="B68" t="str">
            <v>欧扬沙发</v>
          </cell>
          <cell r="C68" t="str">
            <v>(1850W×830D×800H)LN-537</v>
          </cell>
          <cell r="E68">
            <v>3</v>
          </cell>
          <cell r="F68">
            <v>890</v>
          </cell>
          <cell r="G68">
            <v>4450</v>
          </cell>
          <cell r="H68" t="str">
            <v>沙发</v>
          </cell>
          <cell r="I68">
            <v>5</v>
          </cell>
        </row>
        <row r="69">
          <cell r="A69">
            <v>318330011</v>
          </cell>
          <cell r="B69" t="str">
            <v>欧尚沙发-B款</v>
          </cell>
          <cell r="C69" t="str">
            <v>(800W×830D×800H)黑色+纯白钢架</v>
          </cell>
          <cell r="E69">
            <v>4</v>
          </cell>
          <cell r="F69">
            <v>680</v>
          </cell>
          <cell r="G69">
            <v>6800</v>
          </cell>
          <cell r="H69" t="str">
            <v>沙发</v>
          </cell>
          <cell r="I69">
            <v>10</v>
          </cell>
        </row>
        <row r="70">
          <cell r="A70">
            <v>318330012</v>
          </cell>
          <cell r="B70" t="str">
            <v>欧尚沙发-B款</v>
          </cell>
          <cell r="C70" t="str">
            <v>(1850W×830D×800H)黑色+纯白钢架</v>
          </cell>
          <cell r="E70">
            <v>2</v>
          </cell>
          <cell r="F70">
            <v>1150</v>
          </cell>
          <cell r="G70">
            <v>5750</v>
          </cell>
          <cell r="H70" t="str">
            <v>沙发</v>
          </cell>
          <cell r="I70">
            <v>5</v>
          </cell>
        </row>
        <row r="71">
          <cell r="A71">
            <v>318210009</v>
          </cell>
          <cell r="B71" t="str">
            <v>102A大班椅</v>
          </cell>
          <cell r="C71" t="str">
            <v>黑色/灰色条纹</v>
          </cell>
          <cell r="E71">
            <v>10</v>
          </cell>
          <cell r="F71">
            <v>498</v>
          </cell>
          <cell r="G71">
            <v>9960</v>
          </cell>
          <cell r="H71" t="str">
            <v>沙发</v>
          </cell>
          <cell r="I71">
            <v>20</v>
          </cell>
        </row>
        <row r="72">
          <cell r="B72" t="str">
            <v>102A中班椅</v>
          </cell>
          <cell r="C72" t="str">
            <v>黑色/灰色条纹</v>
          </cell>
          <cell r="E72">
            <v>10</v>
          </cell>
          <cell r="F72">
            <v>468</v>
          </cell>
          <cell r="G72">
            <v>9360</v>
          </cell>
          <cell r="H72" t="str">
            <v>沙发</v>
          </cell>
          <cell r="I72">
            <v>20</v>
          </cell>
        </row>
        <row r="73">
          <cell r="B73" t="str">
            <v>102A会议椅</v>
          </cell>
          <cell r="C73" t="str">
            <v>黑色/灰色条纹</v>
          </cell>
          <cell r="E73">
            <v>20</v>
          </cell>
          <cell r="F73">
            <v>276</v>
          </cell>
          <cell r="G73">
            <v>13800</v>
          </cell>
          <cell r="H73" t="str">
            <v>沙发</v>
          </cell>
          <cell r="I73">
            <v>50</v>
          </cell>
        </row>
        <row r="74">
          <cell r="A74" t="str">
            <v>318250001</v>
          </cell>
          <cell r="B74" t="str">
            <v>主管椅</v>
          </cell>
          <cell r="C74" t="str">
            <v>OF-CH207A   蓝色</v>
          </cell>
          <cell r="I74">
            <v>0</v>
          </cell>
        </row>
        <row r="75">
          <cell r="A75" t="str">
            <v>318220017</v>
          </cell>
          <cell r="B75" t="str">
            <v>职员椅</v>
          </cell>
          <cell r="C75" t="str">
            <v>OF-CH207B   蓝色</v>
          </cell>
          <cell r="I75">
            <v>0</v>
          </cell>
        </row>
        <row r="76">
          <cell r="A76" t="str">
            <v>318250002</v>
          </cell>
          <cell r="B76" t="str">
            <v>主管椅</v>
          </cell>
          <cell r="C76" t="str">
            <v>OF-CH206A   蓝色</v>
          </cell>
          <cell r="I76">
            <v>0</v>
          </cell>
        </row>
        <row r="77">
          <cell r="A77" t="str">
            <v>318220018</v>
          </cell>
          <cell r="B77" t="str">
            <v>职员椅</v>
          </cell>
          <cell r="C77" t="str">
            <v>OF-CH206B   蓝色</v>
          </cell>
          <cell r="I77">
            <v>0</v>
          </cell>
        </row>
        <row r="78">
          <cell r="A78">
            <v>318230004</v>
          </cell>
          <cell r="B78" t="str">
            <v>班前椅</v>
          </cell>
          <cell r="C78" t="str">
            <v>黑色/橙色</v>
          </cell>
          <cell r="D78" t="str">
            <v>扶手面改用木板加皮的，旧扶手供应商不再生产。</v>
          </cell>
          <cell r="E78">
            <v>10</v>
          </cell>
          <cell r="F78">
            <v>300</v>
          </cell>
          <cell r="G78">
            <v>9000</v>
          </cell>
          <cell r="H78" t="str">
            <v>沙发</v>
          </cell>
          <cell r="I78">
            <v>30</v>
          </cell>
        </row>
        <row r="79">
          <cell r="A79">
            <v>318330025</v>
          </cell>
          <cell r="B79" t="str">
            <v>欧典沙发</v>
          </cell>
          <cell r="C79" t="str">
            <v>(900W×810D×880H)科一色卡15412-10</v>
          </cell>
          <cell r="E79">
            <v>10</v>
          </cell>
          <cell r="F79">
            <v>710</v>
          </cell>
          <cell r="G79">
            <v>14200</v>
          </cell>
          <cell r="H79" t="str">
            <v>沙发</v>
          </cell>
          <cell r="I79">
            <v>20</v>
          </cell>
        </row>
        <row r="80">
          <cell r="A80">
            <v>318330026</v>
          </cell>
          <cell r="B80" t="str">
            <v>欧典沙发</v>
          </cell>
          <cell r="C80" t="str">
            <v>(1920W×810D×880H )科一色卡15412-10</v>
          </cell>
          <cell r="E80">
            <v>5</v>
          </cell>
          <cell r="F80">
            <v>1260</v>
          </cell>
          <cell r="G80">
            <v>12600</v>
          </cell>
          <cell r="H80" t="str">
            <v>沙发</v>
          </cell>
          <cell r="I80">
            <v>10</v>
          </cell>
        </row>
        <row r="81">
          <cell r="A81" t="str">
            <v>318330031</v>
          </cell>
          <cell r="B81" t="str">
            <v>欧典沙发（凯越沙发）</v>
          </cell>
          <cell r="C81" t="str">
            <v>(900W×810D×880H)浅棕色</v>
          </cell>
          <cell r="E81">
            <v>4</v>
          </cell>
          <cell r="F81">
            <v>710</v>
          </cell>
          <cell r="G81">
            <v>7100</v>
          </cell>
          <cell r="H81" t="str">
            <v>沙发</v>
          </cell>
          <cell r="I81">
            <v>10</v>
          </cell>
        </row>
        <row r="82">
          <cell r="A82" t="str">
            <v>318330032</v>
          </cell>
          <cell r="B82" t="str">
            <v>欧典沙发（凯越沙发）</v>
          </cell>
          <cell r="C82" t="str">
            <v>(1920W×810D×880H)浅棕色</v>
          </cell>
          <cell r="E82">
            <v>2</v>
          </cell>
          <cell r="F82">
            <v>1260</v>
          </cell>
          <cell r="G82">
            <v>6300</v>
          </cell>
          <cell r="H82" t="str">
            <v>沙发</v>
          </cell>
          <cell r="I82">
            <v>5</v>
          </cell>
        </row>
        <row r="83">
          <cell r="A83">
            <v>318220012</v>
          </cell>
          <cell r="B83" t="str">
            <v>OF-CH161A梵高职员椅A</v>
          </cell>
          <cell r="C83" t="str">
            <v>深灰/黑色</v>
          </cell>
          <cell r="E83">
            <v>20</v>
          </cell>
          <cell r="F83">
            <v>220</v>
          </cell>
          <cell r="G83">
            <v>11000</v>
          </cell>
          <cell r="H83" t="str">
            <v>沙发</v>
          </cell>
          <cell r="I83">
            <v>50</v>
          </cell>
        </row>
        <row r="84">
          <cell r="A84">
            <v>318230007</v>
          </cell>
          <cell r="B84" t="str">
            <v>OF-CH161C梵高会议椅B</v>
          </cell>
          <cell r="C84" t="str">
            <v>深灰/黑色</v>
          </cell>
          <cell r="E84">
            <v>20</v>
          </cell>
          <cell r="F84">
            <v>185</v>
          </cell>
          <cell r="G84">
            <v>9250</v>
          </cell>
          <cell r="H84" t="str">
            <v>沙发</v>
          </cell>
          <cell r="I84">
            <v>50</v>
          </cell>
        </row>
        <row r="85">
          <cell r="A85">
            <v>318330027</v>
          </cell>
          <cell r="B85" t="str">
            <v>欧玛沙发</v>
          </cell>
          <cell r="C85" t="str">
            <v>蓝色</v>
          </cell>
        </row>
        <row r="86">
          <cell r="A86">
            <v>318330028</v>
          </cell>
          <cell r="B86" t="str">
            <v>欧玛沙发</v>
          </cell>
          <cell r="C86" t="str">
            <v>蓝色</v>
          </cell>
        </row>
        <row r="87">
          <cell r="A87">
            <v>318330029</v>
          </cell>
          <cell r="B87" t="str">
            <v>欧玛沙发</v>
          </cell>
          <cell r="C87" t="str">
            <v>(900W×810D×880H)浅棕色西皮</v>
          </cell>
          <cell r="E87">
            <v>4</v>
          </cell>
          <cell r="F87">
            <v>750</v>
          </cell>
          <cell r="G87">
            <v>7500</v>
          </cell>
          <cell r="H87" t="str">
            <v>沙发</v>
          </cell>
          <cell r="I87">
            <v>10</v>
          </cell>
        </row>
        <row r="88">
          <cell r="A88">
            <v>318330030</v>
          </cell>
          <cell r="B88" t="str">
            <v>欧玛沙发</v>
          </cell>
          <cell r="C88" t="str">
            <v>(1920W×810D×880H)浅棕色西皮</v>
          </cell>
          <cell r="E88">
            <v>2</v>
          </cell>
          <cell r="F88">
            <v>1280</v>
          </cell>
          <cell r="G88">
            <v>6400</v>
          </cell>
          <cell r="H88" t="str">
            <v>沙发</v>
          </cell>
          <cell r="I88">
            <v>5</v>
          </cell>
        </row>
        <row r="89">
          <cell r="B89" t="str">
            <v>柱天下沙发</v>
          </cell>
        </row>
        <row r="90">
          <cell r="A90" t="str">
            <v>318210011</v>
          </cell>
          <cell r="B90" t="str">
            <v>180A  大班椅</v>
          </cell>
          <cell r="C90" t="str">
            <v>黑色真皮</v>
          </cell>
          <cell r="E90">
            <v>1</v>
          </cell>
          <cell r="F90">
            <v>1020</v>
          </cell>
          <cell r="G90">
            <v>3060</v>
          </cell>
          <cell r="H90" t="str">
            <v>沙发</v>
          </cell>
          <cell r="I90">
            <v>3</v>
          </cell>
        </row>
        <row r="91">
          <cell r="A91" t="str">
            <v>318210012</v>
          </cell>
          <cell r="B91" t="str">
            <v>180A  大班椅</v>
          </cell>
          <cell r="C91" t="str">
            <v>黑色西皮</v>
          </cell>
          <cell r="E91">
            <v>2</v>
          </cell>
          <cell r="F91">
            <v>650</v>
          </cell>
          <cell r="G91">
            <v>3250</v>
          </cell>
          <cell r="H91" t="str">
            <v>沙发</v>
          </cell>
          <cell r="I91">
            <v>5</v>
          </cell>
        </row>
        <row r="92">
          <cell r="A92" t="str">
            <v>318230010</v>
          </cell>
          <cell r="B92" t="str">
            <v>180c  班前椅</v>
          </cell>
          <cell r="C92" t="str">
            <v>黑色真皮</v>
          </cell>
          <cell r="I92">
            <v>0</v>
          </cell>
        </row>
        <row r="93">
          <cell r="A93" t="str">
            <v>318230011</v>
          </cell>
          <cell r="B93" t="str">
            <v>180c  班前椅</v>
          </cell>
          <cell r="C93" t="str">
            <v>黑色西皮</v>
          </cell>
          <cell r="I93">
            <v>0</v>
          </cell>
        </row>
        <row r="94">
          <cell r="A94" t="str">
            <v>318230012</v>
          </cell>
          <cell r="B94" t="str">
            <v>OF-CH101C  会客椅</v>
          </cell>
          <cell r="C94" t="str">
            <v>黑色+米黄</v>
          </cell>
          <cell r="I94">
            <v>0</v>
          </cell>
        </row>
        <row r="95">
          <cell r="A95">
            <v>318270001</v>
          </cell>
          <cell r="B95" t="str">
            <v>实木椅</v>
          </cell>
          <cell r="I95">
            <v>0</v>
          </cell>
        </row>
        <row r="96">
          <cell r="A96">
            <v>318210007</v>
          </cell>
          <cell r="B96" t="str">
            <v>190A</v>
          </cell>
          <cell r="C96" t="str">
            <v>黑色真皮</v>
          </cell>
          <cell r="E96">
            <v>1</v>
          </cell>
          <cell r="F96">
            <v>918</v>
          </cell>
          <cell r="G96">
            <v>2754</v>
          </cell>
          <cell r="H96" t="str">
            <v>沙发</v>
          </cell>
          <cell r="I96">
            <v>3</v>
          </cell>
        </row>
        <row r="97">
          <cell r="B97" t="str">
            <v>190C</v>
          </cell>
          <cell r="C97" t="str">
            <v>黑色真皮</v>
          </cell>
          <cell r="E97">
            <v>2</v>
          </cell>
          <cell r="F97">
            <v>770</v>
          </cell>
          <cell r="G97">
            <v>4620</v>
          </cell>
          <cell r="H97" t="str">
            <v>沙发</v>
          </cell>
          <cell r="I97">
            <v>6</v>
          </cell>
        </row>
        <row r="98">
          <cell r="A98">
            <v>318210008</v>
          </cell>
          <cell r="B98" t="str">
            <v>190A</v>
          </cell>
          <cell r="C98" t="str">
            <v>黑色西皮</v>
          </cell>
          <cell r="E98">
            <v>1</v>
          </cell>
          <cell r="F98">
            <v>568</v>
          </cell>
          <cell r="G98">
            <v>1704</v>
          </cell>
          <cell r="H98" t="str">
            <v>沙发</v>
          </cell>
          <cell r="I98">
            <v>3</v>
          </cell>
        </row>
        <row r="99">
          <cell r="A99">
            <v>318230008</v>
          </cell>
          <cell r="B99" t="str">
            <v>190C</v>
          </cell>
          <cell r="C99" t="str">
            <v>黑色西皮</v>
          </cell>
          <cell r="E99">
            <v>2</v>
          </cell>
          <cell r="F99">
            <v>420</v>
          </cell>
          <cell r="G99">
            <v>2520</v>
          </cell>
          <cell r="H99" t="str">
            <v>沙发</v>
          </cell>
          <cell r="I99">
            <v>6</v>
          </cell>
        </row>
        <row r="100">
          <cell r="B100" t="str">
            <v>中行的吧台椅C02</v>
          </cell>
          <cell r="C100" t="str">
            <v>黑色西皮</v>
          </cell>
          <cell r="E100">
            <v>5</v>
          </cell>
          <cell r="F100">
            <v>268</v>
          </cell>
          <cell r="G100">
            <v>2680</v>
          </cell>
          <cell r="H100" t="str">
            <v>沙发</v>
          </cell>
          <cell r="I100">
            <v>10</v>
          </cell>
        </row>
        <row r="101">
          <cell r="A101">
            <v>315000040</v>
          </cell>
          <cell r="B101" t="str">
            <v>第一代形象墙</v>
          </cell>
          <cell r="C101" t="str">
            <v>3800*2800*80</v>
          </cell>
          <cell r="I101">
            <v>0</v>
          </cell>
        </row>
        <row r="102">
          <cell r="A102">
            <v>315000020</v>
          </cell>
          <cell r="B102" t="str">
            <v>808第二代形像墙3800*2800*80</v>
          </cell>
          <cell r="E102">
            <v>2</v>
          </cell>
          <cell r="F102">
            <v>4800</v>
          </cell>
          <cell r="G102">
            <v>24000</v>
          </cell>
          <cell r="H102" t="str">
            <v>沙发</v>
          </cell>
          <cell r="I102">
            <v>5</v>
          </cell>
        </row>
        <row r="103">
          <cell r="A103">
            <v>315000033</v>
          </cell>
          <cell r="B103" t="str">
            <v>屏风小样</v>
          </cell>
          <cell r="C103" t="str">
            <v>368+608款</v>
          </cell>
          <cell r="E103">
            <v>5</v>
          </cell>
          <cell r="F103">
            <v>60</v>
          </cell>
          <cell r="G103">
            <v>1200</v>
          </cell>
          <cell r="H103" t="str">
            <v>屏风小样</v>
          </cell>
          <cell r="I103">
            <v>20</v>
          </cell>
        </row>
        <row r="104">
          <cell r="A104">
            <v>315000034</v>
          </cell>
          <cell r="B104" t="str">
            <v>屏风小样</v>
          </cell>
          <cell r="C104" t="str">
            <v xml:space="preserve">40+60款 </v>
          </cell>
          <cell r="E104">
            <v>5</v>
          </cell>
          <cell r="F104">
            <v>60</v>
          </cell>
          <cell r="G104">
            <v>0</v>
          </cell>
          <cell r="H104" t="str">
            <v>屏风小样</v>
          </cell>
          <cell r="I104">
            <v>0</v>
          </cell>
        </row>
        <row r="105">
          <cell r="A105">
            <v>315000035</v>
          </cell>
          <cell r="B105" t="str">
            <v>屏风小样</v>
          </cell>
          <cell r="C105" t="str">
            <v>168款</v>
          </cell>
          <cell r="E105">
            <v>5</v>
          </cell>
          <cell r="F105">
            <v>60</v>
          </cell>
          <cell r="G105">
            <v>1200</v>
          </cell>
          <cell r="H105" t="str">
            <v>屏风小样</v>
          </cell>
          <cell r="I105">
            <v>20</v>
          </cell>
        </row>
        <row r="106">
          <cell r="B106" t="str">
            <v>屏风小样</v>
          </cell>
          <cell r="C106" t="str">
            <v>33款</v>
          </cell>
          <cell r="E106">
            <v>5</v>
          </cell>
          <cell r="F106">
            <v>60</v>
          </cell>
          <cell r="G106">
            <v>1200</v>
          </cell>
          <cell r="H106" t="str">
            <v>屏风小样</v>
          </cell>
          <cell r="I106">
            <v>20</v>
          </cell>
        </row>
        <row r="107">
          <cell r="A107" t="str">
            <v>315000039</v>
          </cell>
          <cell r="B107" t="str">
            <v>168屏风</v>
          </cell>
          <cell r="C107" t="str">
            <v>168款</v>
          </cell>
          <cell r="I107">
            <v>0</v>
          </cell>
        </row>
        <row r="108">
          <cell r="A108">
            <v>315000001</v>
          </cell>
          <cell r="B108" t="str">
            <v>投标展标箱</v>
          </cell>
          <cell r="E108">
            <v>3</v>
          </cell>
          <cell r="F108">
            <v>500</v>
          </cell>
          <cell r="G108">
            <v>2500</v>
          </cell>
          <cell r="H108" t="str">
            <v>屏风小样</v>
          </cell>
          <cell r="I108">
            <v>5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671"/>
  <sheetViews>
    <sheetView tabSelected="1" workbookViewId="0">
      <selection activeCell="F11" sqref="F11"/>
    </sheetView>
  </sheetViews>
  <sheetFormatPr defaultColWidth="7.109375" defaultRowHeight="15.6"/>
  <cols>
    <col min="1" max="1" width="10.88671875" style="15" customWidth="1"/>
    <col min="2" max="2" width="12.33203125" style="18" customWidth="1"/>
    <col min="3" max="3" width="12.44140625" style="9" customWidth="1"/>
    <col min="4" max="4" width="11.33203125" style="16" customWidth="1"/>
    <col min="5" max="5" width="12.33203125" style="16" customWidth="1"/>
    <col min="6" max="7" width="7.109375" style="17"/>
    <col min="8" max="10" width="7.109375" style="18"/>
    <col min="11" max="13" width="7.109375" style="19"/>
    <col min="14" max="15" width="7.109375" style="20"/>
    <col min="16" max="16384" width="7.109375" style="9"/>
  </cols>
  <sheetData>
    <row r="1" spans="1:20">
      <c r="A1" s="2" t="s">
        <v>4</v>
      </c>
      <c r="B1" s="21" t="s">
        <v>5</v>
      </c>
      <c r="C1" s="22" t="s">
        <v>6</v>
      </c>
      <c r="D1" s="3" t="s">
        <v>7</v>
      </c>
      <c r="E1" s="3" t="s">
        <v>8</v>
      </c>
      <c r="F1" s="4" t="s">
        <v>9</v>
      </c>
      <c r="G1" s="5" t="s">
        <v>10</v>
      </c>
      <c r="H1" s="6" t="s">
        <v>11</v>
      </c>
      <c r="I1" s="6" t="s">
        <v>12</v>
      </c>
      <c r="J1" s="6" t="s">
        <v>13</v>
      </c>
      <c r="K1" s="7" t="s">
        <v>14</v>
      </c>
      <c r="L1" s="7" t="s">
        <v>15</v>
      </c>
      <c r="M1" s="7" t="s">
        <v>16</v>
      </c>
      <c r="N1" s="8" t="s">
        <v>17</v>
      </c>
      <c r="O1" s="8" t="s">
        <v>18</v>
      </c>
      <c r="Q1" s="10" t="s">
        <v>4</v>
      </c>
      <c r="R1" s="10" t="s">
        <v>19</v>
      </c>
      <c r="S1" s="10" t="s">
        <v>6</v>
      </c>
      <c r="T1" s="9" t="s">
        <v>20</v>
      </c>
    </row>
    <row r="2" spans="1:20">
      <c r="A2" s="40" t="s">
        <v>1092</v>
      </c>
      <c r="B2" s="6" t="s">
        <v>21</v>
      </c>
      <c r="C2" s="23">
        <v>305010002</v>
      </c>
      <c r="D2" s="24" t="s">
        <v>22</v>
      </c>
      <c r="E2" s="24" t="s">
        <v>23</v>
      </c>
      <c r="F2" s="23">
        <v>1</v>
      </c>
      <c r="G2" s="23" t="s">
        <v>24</v>
      </c>
      <c r="H2" s="23" t="s">
        <v>25</v>
      </c>
      <c r="I2" s="23">
        <v>0</v>
      </c>
      <c r="J2" s="23" t="s">
        <v>26</v>
      </c>
      <c r="K2" s="25">
        <v>607</v>
      </c>
      <c r="L2" s="25"/>
      <c r="M2" s="25" t="e">
        <f>VLOOKUP(A:A,[1]进仓汇总!A$1:G$65536,7,0)</f>
        <v>#N/A</v>
      </c>
      <c r="N2" s="26" t="s">
        <v>27</v>
      </c>
      <c r="O2" s="26"/>
      <c r="Q2" s="11"/>
      <c r="R2" s="12" t="e">
        <f ca="1">look(#REF!,A$1:D$671,2,ROW(#REF!))</f>
        <v>#NAME?</v>
      </c>
      <c r="S2" s="12" t="e">
        <f ca="1">look(#REF!,A$1:D$671,3,ROW(#REF!))</f>
        <v>#NAME?</v>
      </c>
      <c r="T2" s="22" t="e">
        <f ca="1">+look(#REF!,A$1:D$671,4,ROW(#REF!))</f>
        <v>#NAME?</v>
      </c>
    </row>
    <row r="3" spans="1:20">
      <c r="A3" s="42"/>
      <c r="B3" s="6" t="s">
        <v>21</v>
      </c>
      <c r="C3" s="23">
        <v>305010003</v>
      </c>
      <c r="D3" s="24" t="s">
        <v>28</v>
      </c>
      <c r="E3" s="24" t="s">
        <v>23</v>
      </c>
      <c r="F3" s="23">
        <v>1</v>
      </c>
      <c r="G3" s="23" t="s">
        <v>24</v>
      </c>
      <c r="H3" s="23" t="s">
        <v>29</v>
      </c>
      <c r="I3" s="23">
        <v>0</v>
      </c>
      <c r="J3" s="23" t="s">
        <v>26</v>
      </c>
      <c r="K3" s="25">
        <v>607</v>
      </c>
      <c r="L3" s="25"/>
      <c r="M3" s="25" t="e">
        <f>VLOOKUP(A:A,[1]进仓汇总!A$1:G$65536,7,0)</f>
        <v>#N/A</v>
      </c>
      <c r="N3" s="26" t="s">
        <v>27</v>
      </c>
      <c r="O3" s="26"/>
      <c r="Q3" s="11"/>
      <c r="R3" s="12" t="e">
        <f ca="1">look(#REF!,A$1:D$671,2,ROW(A2))</f>
        <v>#NAME?</v>
      </c>
      <c r="S3" s="12" t="e">
        <f ca="1">look(#REF!,A$1:D$671,3,ROW(A2))</f>
        <v>#NAME?</v>
      </c>
      <c r="T3" s="22" t="e">
        <f ca="1">+look(#REF!,A$1:D$671,4,ROW(A2))</f>
        <v>#NAME?</v>
      </c>
    </row>
    <row r="4" spans="1:20">
      <c r="A4" s="42"/>
      <c r="B4" s="6" t="s">
        <v>21</v>
      </c>
      <c r="C4" s="23" t="s">
        <v>30</v>
      </c>
      <c r="D4" s="24" t="s">
        <v>31</v>
      </c>
      <c r="E4" s="24" t="s">
        <v>32</v>
      </c>
      <c r="F4" s="23">
        <v>1</v>
      </c>
      <c r="G4" s="23" t="s">
        <v>24</v>
      </c>
      <c r="H4" s="23" t="s">
        <v>33</v>
      </c>
      <c r="I4" s="23">
        <v>0</v>
      </c>
      <c r="J4" s="23" t="s">
        <v>26</v>
      </c>
      <c r="K4" s="25">
        <v>607</v>
      </c>
      <c r="L4" s="25"/>
      <c r="M4" s="25" t="e">
        <f>VLOOKUP(A:A,[1]进仓汇总!A$1:G$65536,7,0)</f>
        <v>#N/A</v>
      </c>
      <c r="N4" s="26" t="s">
        <v>27</v>
      </c>
      <c r="O4" s="26"/>
      <c r="Q4" s="11"/>
      <c r="R4" s="12" t="e">
        <f ca="1">look(#REF!,A$1:D$671,2,ROW(A3))</f>
        <v>#NAME?</v>
      </c>
      <c r="S4" s="12" t="e">
        <f ca="1">look(#REF!,A$1:D$671,3,ROW(A3))</f>
        <v>#NAME?</v>
      </c>
      <c r="T4" s="22" t="e">
        <f ca="1">+look(#REF!,A$1:D$671,4,ROW(A3))</f>
        <v>#NAME?</v>
      </c>
    </row>
    <row r="5" spans="1:20">
      <c r="A5" s="42"/>
      <c r="B5" s="6" t="s">
        <v>21</v>
      </c>
      <c r="C5" s="23">
        <v>305010004</v>
      </c>
      <c r="D5" s="24" t="s">
        <v>34</v>
      </c>
      <c r="E5" s="24" t="s">
        <v>35</v>
      </c>
      <c r="F5" s="23">
        <v>1</v>
      </c>
      <c r="G5" s="23" t="s">
        <v>24</v>
      </c>
      <c r="H5" s="23" t="s">
        <v>36</v>
      </c>
      <c r="I5" s="23">
        <v>0</v>
      </c>
      <c r="J5" s="23" t="s">
        <v>26</v>
      </c>
      <c r="K5" s="25">
        <v>607</v>
      </c>
      <c r="L5" s="25"/>
      <c r="M5" s="25" t="e">
        <f>VLOOKUP(A:A,[1]进仓汇总!A$1:G$65536,7,0)</f>
        <v>#N/A</v>
      </c>
      <c r="N5" s="26" t="s">
        <v>27</v>
      </c>
      <c r="O5" s="26"/>
      <c r="Q5" s="11"/>
      <c r="R5" s="12" t="e">
        <f ca="1">look(#REF!,A$1:D$671,2,ROW(A4))</f>
        <v>#NAME?</v>
      </c>
      <c r="S5" s="12" t="e">
        <f ca="1">look(#REF!,A$1:D$671,3,ROW(A4))</f>
        <v>#NAME?</v>
      </c>
      <c r="T5" s="22" t="e">
        <f ca="1">+look(#REF!,A$1:D$671,4,ROW(A4))</f>
        <v>#NAME?</v>
      </c>
    </row>
    <row r="6" spans="1:20">
      <c r="A6" s="42"/>
      <c r="B6" s="6" t="s">
        <v>21</v>
      </c>
      <c r="C6" s="23">
        <v>305010005</v>
      </c>
      <c r="D6" s="24" t="s">
        <v>37</v>
      </c>
      <c r="E6" s="24" t="s">
        <v>38</v>
      </c>
      <c r="F6" s="23">
        <v>1</v>
      </c>
      <c r="G6" s="23" t="s">
        <v>24</v>
      </c>
      <c r="H6" s="23" t="s">
        <v>39</v>
      </c>
      <c r="I6" s="23">
        <v>0</v>
      </c>
      <c r="J6" s="23" t="s">
        <v>26</v>
      </c>
      <c r="K6" s="25">
        <v>607</v>
      </c>
      <c r="L6" s="25"/>
      <c r="M6" s="25" t="e">
        <f>VLOOKUP(A:A,[1]进仓汇总!A$1:G$65536,7,0)</f>
        <v>#N/A</v>
      </c>
      <c r="N6" s="26" t="s">
        <v>27</v>
      </c>
      <c r="O6" s="26"/>
      <c r="Q6" s="11"/>
      <c r="R6" s="12" t="e">
        <f ca="1">look(#REF!,A$1:D$671,2,ROW(A5))</f>
        <v>#NAME?</v>
      </c>
      <c r="S6" s="12" t="e">
        <f ca="1">look(#REF!,A$1:D$671,3,ROW(A5))</f>
        <v>#NAME?</v>
      </c>
      <c r="T6" s="22" t="e">
        <f ca="1">+look(#REF!,A$1:D$671,4,ROW(A5))</f>
        <v>#NAME?</v>
      </c>
    </row>
    <row r="7" spans="1:20">
      <c r="A7" s="42"/>
      <c r="B7" s="6" t="s">
        <v>21</v>
      </c>
      <c r="C7" s="23">
        <v>305010006</v>
      </c>
      <c r="D7" s="24" t="s">
        <v>40</v>
      </c>
      <c r="E7" s="24" t="s">
        <v>38</v>
      </c>
      <c r="F7" s="23" t="s">
        <v>41</v>
      </c>
      <c r="G7" s="23" t="s">
        <v>24</v>
      </c>
      <c r="H7" s="23" t="s">
        <v>42</v>
      </c>
      <c r="I7" s="23">
        <v>0</v>
      </c>
      <c r="J7" s="23" t="s">
        <v>26</v>
      </c>
      <c r="K7" s="25">
        <v>607</v>
      </c>
      <c r="L7" s="25"/>
      <c r="M7" s="25" t="e">
        <f>VLOOKUP(A:A,[1]进仓汇总!A$1:G$65536,7,0)</f>
        <v>#N/A</v>
      </c>
      <c r="N7" s="26" t="s">
        <v>27</v>
      </c>
      <c r="O7" s="26"/>
      <c r="Q7" s="11"/>
      <c r="R7" s="12" t="e">
        <f ca="1">look(#REF!,A$1:D$671,2,ROW(A6))</f>
        <v>#NAME?</v>
      </c>
      <c r="S7" s="12" t="e">
        <f ca="1">look(#REF!,A$1:D$671,3,ROW(A6))</f>
        <v>#NAME?</v>
      </c>
      <c r="T7" s="22" t="e">
        <f ca="1">+look(#REF!,A$1:D$671,4,ROW(A6))</f>
        <v>#NAME?</v>
      </c>
    </row>
    <row r="8" spans="1:20">
      <c r="A8" s="41"/>
      <c r="B8" s="6" t="s">
        <v>21</v>
      </c>
      <c r="C8" s="23">
        <v>305010007</v>
      </c>
      <c r="D8" s="24" t="s">
        <v>43</v>
      </c>
      <c r="E8" s="24" t="s">
        <v>44</v>
      </c>
      <c r="F8" s="23" t="s">
        <v>41</v>
      </c>
      <c r="G8" s="23" t="s">
        <v>24</v>
      </c>
      <c r="H8" s="23" t="s">
        <v>45</v>
      </c>
      <c r="I8" s="23">
        <v>0</v>
      </c>
      <c r="J8" s="23" t="s">
        <v>26</v>
      </c>
      <c r="K8" s="25">
        <v>607</v>
      </c>
      <c r="L8" s="25"/>
      <c r="M8" s="25" t="e">
        <f>VLOOKUP(A:A,[1]进仓汇总!A$1:G$65536,7,0)</f>
        <v>#N/A</v>
      </c>
      <c r="N8" s="26" t="s">
        <v>27</v>
      </c>
      <c r="O8" s="26"/>
      <c r="Q8" s="11"/>
      <c r="R8" s="12" t="e">
        <f ca="1">look(#REF!,A$1:D$671,2,ROW(A7))</f>
        <v>#NAME?</v>
      </c>
      <c r="S8" s="12" t="e">
        <f ca="1">look(#REF!,A$1:D$671,3,ROW(A7))</f>
        <v>#NAME?</v>
      </c>
      <c r="T8" s="22" t="e">
        <f ca="1">+look(#REF!,A$1:D$671,4,ROW(A7))</f>
        <v>#NAME?</v>
      </c>
    </row>
    <row r="9" spans="1:20">
      <c r="A9" s="40" t="s">
        <v>1093</v>
      </c>
      <c r="B9" s="6" t="s">
        <v>46</v>
      </c>
      <c r="C9" s="23">
        <v>305040002</v>
      </c>
      <c r="D9" s="24" t="s">
        <v>47</v>
      </c>
      <c r="E9" s="24" t="s">
        <v>48</v>
      </c>
      <c r="F9" s="23" t="s">
        <v>49</v>
      </c>
      <c r="G9" s="23" t="s">
        <v>24</v>
      </c>
      <c r="H9" s="23" t="s">
        <v>50</v>
      </c>
      <c r="I9" s="23">
        <v>0</v>
      </c>
      <c r="J9" s="23" t="s">
        <v>51</v>
      </c>
      <c r="K9" s="25" t="s">
        <v>52</v>
      </c>
      <c r="L9" s="25"/>
      <c r="M9" s="25" t="e">
        <f>VLOOKUP(A:A,[1]进仓汇总!A$1:G$65536,7,0)</f>
        <v>#N/A</v>
      </c>
      <c r="N9" s="26" t="s">
        <v>27</v>
      </c>
      <c r="O9" s="26"/>
      <c r="R9" s="12" t="e">
        <f ca="1">look(#REF!,A$1:D$671,2,ROW(#REF!))</f>
        <v>#NAME?</v>
      </c>
      <c r="S9" s="12" t="e">
        <f ca="1">look(#REF!,A$1:D$671,3,ROW(#REF!))</f>
        <v>#NAME?</v>
      </c>
      <c r="T9" s="22" t="e">
        <f ca="1">+look(#REF!,A$1:D$671,4,ROW(#REF!))</f>
        <v>#NAME?</v>
      </c>
    </row>
    <row r="10" spans="1:20">
      <c r="A10" s="42"/>
      <c r="B10" s="6" t="s">
        <v>46</v>
      </c>
      <c r="C10" s="23" t="s">
        <v>53</v>
      </c>
      <c r="D10" s="24" t="s">
        <v>54</v>
      </c>
      <c r="E10" s="24" t="s">
        <v>32</v>
      </c>
      <c r="F10" s="23" t="s">
        <v>55</v>
      </c>
      <c r="G10" s="23" t="s">
        <v>24</v>
      </c>
      <c r="H10" s="23" t="s">
        <v>56</v>
      </c>
      <c r="I10" s="23">
        <v>0</v>
      </c>
      <c r="J10" s="23" t="s">
        <v>51</v>
      </c>
      <c r="K10" s="25" t="s">
        <v>57</v>
      </c>
      <c r="L10" s="25"/>
      <c r="M10" s="25" t="e">
        <f>VLOOKUP(A:A,[1]进仓汇总!A$1:G$65536,7,0)</f>
        <v>#N/A</v>
      </c>
      <c r="N10" s="26" t="s">
        <v>27</v>
      </c>
      <c r="O10" s="26"/>
      <c r="R10" s="12" t="e">
        <f ca="1">look(#REF!,A$1:D$671,2,ROW(A9))</f>
        <v>#NAME?</v>
      </c>
      <c r="S10" s="12" t="e">
        <f ca="1">look(#REF!,A$1:D$671,3,ROW(A9))</f>
        <v>#NAME?</v>
      </c>
      <c r="T10" s="22" t="e">
        <f ca="1">+look(#REF!,A$1:D$671,4,ROW(A9))</f>
        <v>#NAME?</v>
      </c>
    </row>
    <row r="11" spans="1:20">
      <c r="A11" s="42"/>
      <c r="B11" s="6" t="s">
        <v>46</v>
      </c>
      <c r="C11" s="23">
        <v>305040004</v>
      </c>
      <c r="D11" s="24" t="s">
        <v>58</v>
      </c>
      <c r="E11" s="24" t="s">
        <v>59</v>
      </c>
      <c r="F11" s="23" t="s">
        <v>41</v>
      </c>
      <c r="G11" s="23" t="s">
        <v>24</v>
      </c>
      <c r="H11" s="23" t="s">
        <v>60</v>
      </c>
      <c r="I11" s="23">
        <v>0</v>
      </c>
      <c r="J11" s="23" t="s">
        <v>51</v>
      </c>
      <c r="K11" s="25">
        <v>608</v>
      </c>
      <c r="L11" s="25"/>
      <c r="M11" s="25" t="e">
        <f>VLOOKUP(A:A,[1]进仓汇总!A$1:G$65536,7,0)</f>
        <v>#N/A</v>
      </c>
      <c r="N11" s="26" t="s">
        <v>27</v>
      </c>
      <c r="O11" s="26"/>
      <c r="R11" s="12" t="e">
        <f ca="1">look(#REF!,A$1:D$671,2,ROW(A10))</f>
        <v>#NAME?</v>
      </c>
      <c r="S11" s="12" t="e">
        <f ca="1">look(#REF!,A$1:D$671,3,ROW(A10))</f>
        <v>#NAME?</v>
      </c>
      <c r="T11" s="22" t="e">
        <f ca="1">+look(#REF!,A$1:D$671,4,ROW(A10))</f>
        <v>#NAME?</v>
      </c>
    </row>
    <row r="12" spans="1:20">
      <c r="A12" s="42"/>
      <c r="B12" s="6" t="s">
        <v>46</v>
      </c>
      <c r="C12" s="23">
        <v>305040005</v>
      </c>
      <c r="D12" s="24" t="s">
        <v>61</v>
      </c>
      <c r="E12" s="24" t="s">
        <v>59</v>
      </c>
      <c r="F12" s="23" t="s">
        <v>41</v>
      </c>
      <c r="G12" s="23" t="s">
        <v>24</v>
      </c>
      <c r="H12" s="23" t="s">
        <v>62</v>
      </c>
      <c r="I12" s="23">
        <v>0</v>
      </c>
      <c r="J12" s="23" t="s">
        <v>51</v>
      </c>
      <c r="K12" s="25">
        <v>608</v>
      </c>
      <c r="L12" s="25"/>
      <c r="M12" s="25" t="e">
        <f>VLOOKUP(A:A,[1]进仓汇总!A$1:G$65536,7,0)</f>
        <v>#N/A</v>
      </c>
      <c r="N12" s="26" t="s">
        <v>27</v>
      </c>
      <c r="O12" s="26"/>
      <c r="R12" s="12" t="e">
        <f ca="1">look(#REF!,A$1:D$671,2,ROW(A11))</f>
        <v>#NAME?</v>
      </c>
      <c r="S12" s="12" t="e">
        <f ca="1">look(#REF!,A$1:D$671,3,ROW(A11))</f>
        <v>#NAME?</v>
      </c>
      <c r="T12" s="22" t="e">
        <f ca="1">+look(#REF!,A$1:D$671,4,ROW(A11))</f>
        <v>#NAME?</v>
      </c>
    </row>
    <row r="13" spans="1:20">
      <c r="A13" s="42"/>
      <c r="B13" s="6" t="s">
        <v>46</v>
      </c>
      <c r="C13" s="23">
        <v>305040006</v>
      </c>
      <c r="D13" s="24" t="s">
        <v>63</v>
      </c>
      <c r="E13" s="24" t="s">
        <v>59</v>
      </c>
      <c r="F13" s="23" t="s">
        <v>49</v>
      </c>
      <c r="G13" s="23" t="s">
        <v>24</v>
      </c>
      <c r="H13" s="23" t="s">
        <v>64</v>
      </c>
      <c r="I13" s="23">
        <v>0</v>
      </c>
      <c r="J13" s="23" t="s">
        <v>51</v>
      </c>
      <c r="K13" s="25">
        <v>608</v>
      </c>
      <c r="L13" s="25"/>
      <c r="M13" s="25" t="e">
        <f>VLOOKUP(A:A,[1]进仓汇总!A$1:G$65536,7,0)</f>
        <v>#N/A</v>
      </c>
      <c r="N13" s="26" t="s">
        <v>27</v>
      </c>
      <c r="O13" s="26"/>
      <c r="R13" s="12" t="e">
        <f ca="1">look(#REF!,A$1:D$671,2,ROW(A12))</f>
        <v>#NAME?</v>
      </c>
      <c r="S13" s="12" t="e">
        <f ca="1">look(#REF!,A$1:D$671,3,ROW(A12))</f>
        <v>#NAME?</v>
      </c>
      <c r="T13" s="22" t="e">
        <f ca="1">+look(#REF!,A$1:D$671,4,ROW(A12))</f>
        <v>#NAME?</v>
      </c>
    </row>
    <row r="14" spans="1:20">
      <c r="A14" s="42"/>
      <c r="B14" s="6" t="s">
        <v>46</v>
      </c>
      <c r="C14" s="23">
        <v>305040007</v>
      </c>
      <c r="D14" s="24" t="s">
        <v>65</v>
      </c>
      <c r="E14" s="24" t="s">
        <v>66</v>
      </c>
      <c r="F14" s="23" t="s">
        <v>41</v>
      </c>
      <c r="G14" s="23" t="s">
        <v>24</v>
      </c>
      <c r="H14" s="23" t="s">
        <v>67</v>
      </c>
      <c r="I14" s="23">
        <v>0</v>
      </c>
      <c r="J14" s="23" t="s">
        <v>51</v>
      </c>
      <c r="K14" s="25">
        <v>608</v>
      </c>
      <c r="L14" s="25"/>
      <c r="M14" s="25" t="e">
        <f>VLOOKUP(A:A,[1]进仓汇总!A$1:G$65536,7,0)</f>
        <v>#N/A</v>
      </c>
      <c r="N14" s="26" t="s">
        <v>27</v>
      </c>
      <c r="O14" s="26"/>
    </row>
    <row r="15" spans="1:20">
      <c r="A15" s="41"/>
      <c r="B15" s="6" t="s">
        <v>46</v>
      </c>
      <c r="C15" s="23">
        <v>305040008</v>
      </c>
      <c r="D15" s="24" t="s">
        <v>68</v>
      </c>
      <c r="E15" s="24" t="s">
        <v>69</v>
      </c>
      <c r="F15" s="23" t="s">
        <v>41</v>
      </c>
      <c r="G15" s="23" t="s">
        <v>24</v>
      </c>
      <c r="H15" s="23" t="s">
        <v>70</v>
      </c>
      <c r="I15" s="23">
        <v>0</v>
      </c>
      <c r="J15" s="23" t="s">
        <v>51</v>
      </c>
      <c r="K15" s="25">
        <v>608</v>
      </c>
      <c r="L15" s="25"/>
      <c r="M15" s="25" t="e">
        <f>VLOOKUP(A:A,[1]进仓汇总!A$1:G$65536,7,0)</f>
        <v>#N/A</v>
      </c>
      <c r="N15" s="26" t="s">
        <v>27</v>
      </c>
      <c r="O15" s="26"/>
    </row>
    <row r="16" spans="1:20">
      <c r="A16" s="23" t="s">
        <v>1094</v>
      </c>
      <c r="B16" s="6" t="s">
        <v>46</v>
      </c>
      <c r="C16" s="24"/>
      <c r="D16" s="24" t="s">
        <v>71</v>
      </c>
      <c r="E16" s="24" t="s">
        <v>44</v>
      </c>
      <c r="F16" s="23" t="s">
        <v>41</v>
      </c>
      <c r="G16" s="23" t="s">
        <v>24</v>
      </c>
      <c r="H16" s="23" t="s">
        <v>72</v>
      </c>
      <c r="I16" s="23">
        <v>0</v>
      </c>
      <c r="J16" s="23"/>
      <c r="K16" s="25">
        <v>608</v>
      </c>
      <c r="L16" s="25"/>
      <c r="M16" s="25" t="e">
        <f>VLOOKUP(A:A,[1]进仓汇总!A$1:G$65536,7,0)</f>
        <v>#N/A</v>
      </c>
      <c r="N16" s="26" t="s">
        <v>27</v>
      </c>
      <c r="O16" s="26"/>
    </row>
    <row r="17" spans="1:19">
      <c r="A17" s="23" t="s">
        <v>1095</v>
      </c>
      <c r="B17" s="6" t="s">
        <v>46</v>
      </c>
      <c r="C17" s="24"/>
      <c r="D17" s="3" t="s">
        <v>73</v>
      </c>
      <c r="E17" s="3" t="s">
        <v>32</v>
      </c>
      <c r="F17" s="27"/>
      <c r="G17" s="27" t="s">
        <v>24</v>
      </c>
      <c r="H17" s="23" t="s">
        <v>74</v>
      </c>
      <c r="I17" s="23">
        <v>0</v>
      </c>
      <c r="J17" s="23"/>
      <c r="K17" s="25" t="s">
        <v>75</v>
      </c>
      <c r="L17" s="25"/>
      <c r="M17" s="25" t="e">
        <f>VLOOKUP(A:A,[1]进仓汇总!A$1:G$65536,7,0)</f>
        <v>#N/A</v>
      </c>
      <c r="N17" s="26" t="s">
        <v>27</v>
      </c>
      <c r="O17" s="26"/>
      <c r="Q17" s="13"/>
      <c r="R17" s="13"/>
      <c r="S17" s="13"/>
    </row>
    <row r="18" spans="1:19" s="13" customFormat="1">
      <c r="A18" s="40" t="s">
        <v>1096</v>
      </c>
      <c r="B18" s="6" t="s">
        <v>76</v>
      </c>
      <c r="C18" s="24"/>
      <c r="D18" s="3" t="s">
        <v>77</v>
      </c>
      <c r="E18" s="3"/>
      <c r="F18" s="3"/>
      <c r="G18" s="3"/>
      <c r="H18" s="27"/>
      <c r="I18" s="27">
        <v>0</v>
      </c>
      <c r="J18" s="27" t="s">
        <v>78</v>
      </c>
      <c r="K18" s="25">
        <v>906</v>
      </c>
      <c r="L18" s="25">
        <v>1012</v>
      </c>
      <c r="M18" s="25" t="e">
        <f>VLOOKUP(A:A,[1]进仓汇总!A$1:G$65536,7,0)</f>
        <v>#N/A</v>
      </c>
      <c r="N18" s="26" t="s">
        <v>79</v>
      </c>
      <c r="O18" s="26"/>
      <c r="Q18" s="9"/>
      <c r="R18" s="9"/>
      <c r="S18" s="9"/>
    </row>
    <row r="19" spans="1:19">
      <c r="A19" s="42"/>
      <c r="B19" s="6" t="s">
        <v>80</v>
      </c>
      <c r="C19" s="23">
        <v>301010002</v>
      </c>
      <c r="D19" s="24" t="s">
        <v>81</v>
      </c>
      <c r="E19" s="24" t="s">
        <v>82</v>
      </c>
      <c r="F19" s="24">
        <v>1</v>
      </c>
      <c r="G19" s="24" t="s">
        <v>24</v>
      </c>
      <c r="H19" s="23" t="s">
        <v>83</v>
      </c>
      <c r="I19" s="23">
        <v>0</v>
      </c>
      <c r="J19" s="23" t="s">
        <v>78</v>
      </c>
      <c r="K19" s="25">
        <v>906</v>
      </c>
      <c r="L19" s="25">
        <v>0</v>
      </c>
      <c r="M19" s="25" t="e">
        <f>VLOOKUP(A:A,[1]进仓汇总!A$1:G$65536,7,0)</f>
        <v>#N/A</v>
      </c>
      <c r="N19" s="26" t="s">
        <v>79</v>
      </c>
      <c r="O19" s="26"/>
    </row>
    <row r="20" spans="1:19">
      <c r="A20" s="42"/>
      <c r="B20" s="6" t="s">
        <v>80</v>
      </c>
      <c r="C20" s="23" t="s">
        <v>84</v>
      </c>
      <c r="D20" s="24" t="s">
        <v>85</v>
      </c>
      <c r="E20" s="24" t="s">
        <v>86</v>
      </c>
      <c r="F20" s="24">
        <v>1</v>
      </c>
      <c r="G20" s="24" t="s">
        <v>24</v>
      </c>
      <c r="H20" s="23" t="s">
        <v>87</v>
      </c>
      <c r="I20" s="23">
        <v>0</v>
      </c>
      <c r="J20" s="23" t="s">
        <v>78</v>
      </c>
      <c r="K20" s="25">
        <v>906</v>
      </c>
      <c r="L20" s="25">
        <v>0</v>
      </c>
      <c r="M20" s="25" t="e">
        <f>VLOOKUP(A:A,[1]进仓汇总!A$1:G$65536,7,0)</f>
        <v>#N/A</v>
      </c>
      <c r="N20" s="26" t="s">
        <v>79</v>
      </c>
      <c r="O20" s="26"/>
    </row>
    <row r="21" spans="1:19">
      <c r="A21" s="42"/>
      <c r="B21" s="6" t="s">
        <v>80</v>
      </c>
      <c r="C21" s="23" t="s">
        <v>88</v>
      </c>
      <c r="D21" s="24" t="s">
        <v>89</v>
      </c>
      <c r="E21" s="24" t="s">
        <v>86</v>
      </c>
      <c r="F21" s="24">
        <v>1</v>
      </c>
      <c r="G21" s="24" t="s">
        <v>24</v>
      </c>
      <c r="H21" s="23" t="s">
        <v>90</v>
      </c>
      <c r="I21" s="23">
        <v>0</v>
      </c>
      <c r="J21" s="23" t="s">
        <v>78</v>
      </c>
      <c r="K21" s="25">
        <v>906</v>
      </c>
      <c r="L21" s="25">
        <v>0</v>
      </c>
      <c r="M21" s="25" t="e">
        <f>VLOOKUP(A:A,[1]进仓汇总!A$1:G$65536,7,0)</f>
        <v>#N/A</v>
      </c>
      <c r="N21" s="26" t="s">
        <v>79</v>
      </c>
      <c r="O21" s="26"/>
    </row>
    <row r="22" spans="1:19">
      <c r="A22" s="42"/>
      <c r="B22" s="6" t="s">
        <v>80</v>
      </c>
      <c r="C22" s="23" t="s">
        <v>91</v>
      </c>
      <c r="D22" s="24" t="s">
        <v>92</v>
      </c>
      <c r="E22" s="24" t="s">
        <v>93</v>
      </c>
      <c r="F22" s="24">
        <v>1</v>
      </c>
      <c r="G22" s="24" t="s">
        <v>94</v>
      </c>
      <c r="H22" s="23" t="s">
        <v>95</v>
      </c>
      <c r="I22" s="23">
        <v>0</v>
      </c>
      <c r="J22" s="23" t="s">
        <v>78</v>
      </c>
      <c r="K22" s="25">
        <v>904</v>
      </c>
      <c r="L22" s="25">
        <v>0</v>
      </c>
      <c r="M22" s="25" t="e">
        <f>VLOOKUP(A:A,[1]进仓汇总!A$1:G$65536,7,0)</f>
        <v>#N/A</v>
      </c>
      <c r="N22" s="26" t="s">
        <v>79</v>
      </c>
      <c r="O22" s="26">
        <v>-1</v>
      </c>
    </row>
    <row r="23" spans="1:19">
      <c r="A23" s="41"/>
      <c r="B23" s="6" t="s">
        <v>80</v>
      </c>
      <c r="C23" s="23">
        <v>399010003</v>
      </c>
      <c r="D23" s="24" t="s">
        <v>96</v>
      </c>
      <c r="E23" s="24" t="s">
        <v>97</v>
      </c>
      <c r="F23" s="24">
        <v>1</v>
      </c>
      <c r="G23" s="24" t="s">
        <v>24</v>
      </c>
      <c r="H23" s="23" t="s">
        <v>98</v>
      </c>
      <c r="I23" s="23">
        <v>0</v>
      </c>
      <c r="J23" s="23"/>
      <c r="K23" s="25">
        <v>904</v>
      </c>
      <c r="L23" s="25">
        <v>0</v>
      </c>
      <c r="M23" s="25" t="e">
        <f>VLOOKUP(A:A,[1]进仓汇总!A$1:G$65536,7,0)</f>
        <v>#N/A</v>
      </c>
      <c r="N23" s="26" t="s">
        <v>79</v>
      </c>
      <c r="O23" s="26"/>
    </row>
    <row r="24" spans="1:19">
      <c r="A24" s="40" t="s">
        <v>1097</v>
      </c>
      <c r="B24" s="6" t="s">
        <v>99</v>
      </c>
      <c r="C24" s="23">
        <v>301010004</v>
      </c>
      <c r="D24" s="24" t="s">
        <v>100</v>
      </c>
      <c r="E24" s="24" t="s">
        <v>82</v>
      </c>
      <c r="F24" s="24">
        <v>1</v>
      </c>
      <c r="G24" s="24" t="s">
        <v>24</v>
      </c>
      <c r="H24" s="23" t="s">
        <v>83</v>
      </c>
      <c r="I24" s="23">
        <v>0</v>
      </c>
      <c r="J24" s="23" t="s">
        <v>78</v>
      </c>
      <c r="K24" s="25">
        <v>904</v>
      </c>
      <c r="L24" s="25">
        <v>1012</v>
      </c>
      <c r="M24" s="25" t="e">
        <f>VLOOKUP(A:A,[1]进仓汇总!A$1:G$65536,7,0)</f>
        <v>#N/A</v>
      </c>
      <c r="N24" s="26" t="s">
        <v>79</v>
      </c>
      <c r="O24" s="26"/>
    </row>
    <row r="25" spans="1:19">
      <c r="A25" s="42"/>
      <c r="B25" s="6" t="s">
        <v>99</v>
      </c>
      <c r="C25" s="23" t="s">
        <v>101</v>
      </c>
      <c r="D25" s="24" t="s">
        <v>85</v>
      </c>
      <c r="E25" s="24" t="s">
        <v>86</v>
      </c>
      <c r="F25" s="24">
        <v>1</v>
      </c>
      <c r="G25" s="24" t="s">
        <v>24</v>
      </c>
      <c r="H25" s="23" t="s">
        <v>87</v>
      </c>
      <c r="I25" s="23">
        <v>0</v>
      </c>
      <c r="J25" s="23" t="s">
        <v>78</v>
      </c>
      <c r="K25" s="25">
        <v>904</v>
      </c>
      <c r="L25" s="25">
        <v>0</v>
      </c>
      <c r="M25" s="25" t="e">
        <f>VLOOKUP(A:A,[1]进仓汇总!A$1:G$65536,7,0)</f>
        <v>#N/A</v>
      </c>
      <c r="N25" s="26" t="s">
        <v>79</v>
      </c>
      <c r="O25" s="26"/>
    </row>
    <row r="26" spans="1:19">
      <c r="A26" s="42"/>
      <c r="B26" s="6" t="s">
        <v>99</v>
      </c>
      <c r="C26" s="23" t="s">
        <v>102</v>
      </c>
      <c r="D26" s="24" t="s">
        <v>89</v>
      </c>
      <c r="E26" s="24" t="s">
        <v>86</v>
      </c>
      <c r="F26" s="24">
        <v>1</v>
      </c>
      <c r="G26" s="24" t="s">
        <v>24</v>
      </c>
      <c r="H26" s="23" t="s">
        <v>90</v>
      </c>
      <c r="I26" s="23">
        <v>0</v>
      </c>
      <c r="J26" s="23" t="s">
        <v>78</v>
      </c>
      <c r="K26" s="25">
        <v>904</v>
      </c>
      <c r="L26" s="25">
        <v>0</v>
      </c>
      <c r="M26" s="25" t="e">
        <f>VLOOKUP(A:A,[1]进仓汇总!A$1:G$65536,7,0)</f>
        <v>#N/A</v>
      </c>
      <c r="N26" s="26" t="s">
        <v>79</v>
      </c>
      <c r="O26" s="26"/>
    </row>
    <row r="27" spans="1:19">
      <c r="A27" s="41"/>
      <c r="B27" s="6" t="s">
        <v>99</v>
      </c>
      <c r="C27" s="23" t="s">
        <v>103</v>
      </c>
      <c r="D27" s="24" t="s">
        <v>92</v>
      </c>
      <c r="E27" s="24" t="s">
        <v>32</v>
      </c>
      <c r="F27" s="24">
        <v>1</v>
      </c>
      <c r="G27" s="24" t="s">
        <v>94</v>
      </c>
      <c r="H27" s="23" t="s">
        <v>95</v>
      </c>
      <c r="I27" s="23">
        <v>0</v>
      </c>
      <c r="J27" s="23"/>
      <c r="K27" s="25" t="s">
        <v>104</v>
      </c>
      <c r="L27" s="25">
        <v>0</v>
      </c>
      <c r="M27" s="25" t="e">
        <f>VLOOKUP(A:A,[1]进仓汇总!A$1:G$65536,7,0)</f>
        <v>#N/A</v>
      </c>
      <c r="N27" s="26" t="s">
        <v>79</v>
      </c>
      <c r="O27" s="26"/>
    </row>
    <row r="28" spans="1:19">
      <c r="A28" s="40" t="s">
        <v>1098</v>
      </c>
      <c r="B28" s="6" t="s">
        <v>105</v>
      </c>
      <c r="C28" s="23">
        <v>301010006</v>
      </c>
      <c r="D28" s="24" t="s">
        <v>106</v>
      </c>
      <c r="E28" s="24" t="s">
        <v>107</v>
      </c>
      <c r="F28" s="24">
        <v>1</v>
      </c>
      <c r="G28" s="24" t="s">
        <v>24</v>
      </c>
      <c r="H28" s="23" t="s">
        <v>108</v>
      </c>
      <c r="I28" s="23">
        <v>10</v>
      </c>
      <c r="J28" s="23" t="s">
        <v>78</v>
      </c>
      <c r="K28" s="25">
        <v>908</v>
      </c>
      <c r="L28" s="25"/>
      <c r="M28" s="25" t="e">
        <f>VLOOKUP(A:A,[1]进仓汇总!A$1:G$65536,7,0)</f>
        <v>#N/A</v>
      </c>
      <c r="N28" s="26" t="s">
        <v>79</v>
      </c>
      <c r="O28" s="26"/>
    </row>
    <row r="29" spans="1:19">
      <c r="A29" s="42"/>
      <c r="B29" s="6" t="s">
        <v>105</v>
      </c>
      <c r="C29" s="23">
        <v>301010007</v>
      </c>
      <c r="D29" s="24" t="s">
        <v>109</v>
      </c>
      <c r="E29" s="24" t="s">
        <v>107</v>
      </c>
      <c r="F29" s="24">
        <v>1</v>
      </c>
      <c r="G29" s="24" t="s">
        <v>24</v>
      </c>
      <c r="H29" s="23" t="s">
        <v>110</v>
      </c>
      <c r="I29" s="23">
        <v>10</v>
      </c>
      <c r="J29" s="23" t="s">
        <v>78</v>
      </c>
      <c r="K29" s="25">
        <v>908</v>
      </c>
      <c r="L29" s="25"/>
      <c r="M29" s="25" t="e">
        <f>VLOOKUP(A:A,[1]进仓汇总!A$1:G$65536,7,0)</f>
        <v>#N/A</v>
      </c>
      <c r="N29" s="26" t="s">
        <v>79</v>
      </c>
      <c r="O29" s="26"/>
    </row>
    <row r="30" spans="1:19">
      <c r="A30" s="42"/>
      <c r="B30" s="6" t="s">
        <v>105</v>
      </c>
      <c r="C30" s="23" t="s">
        <v>111</v>
      </c>
      <c r="D30" s="24" t="s">
        <v>85</v>
      </c>
      <c r="E30" s="24" t="s">
        <v>86</v>
      </c>
      <c r="F30" s="24">
        <v>1</v>
      </c>
      <c r="G30" s="24" t="s">
        <v>24</v>
      </c>
      <c r="H30" s="23" t="s">
        <v>112</v>
      </c>
      <c r="I30" s="23">
        <v>10</v>
      </c>
      <c r="J30" s="23" t="s">
        <v>78</v>
      </c>
      <c r="K30" s="25">
        <v>908</v>
      </c>
      <c r="L30" s="25"/>
      <c r="M30" s="25" t="e">
        <f>VLOOKUP(A:A,[1]进仓汇总!A$1:G$65536,7,0)</f>
        <v>#N/A</v>
      </c>
      <c r="N30" s="26" t="s">
        <v>79</v>
      </c>
      <c r="O30" s="26"/>
    </row>
    <row r="31" spans="1:19">
      <c r="A31" s="42"/>
      <c r="B31" s="6" t="s">
        <v>105</v>
      </c>
      <c r="C31" s="23" t="s">
        <v>113</v>
      </c>
      <c r="D31" s="24" t="s">
        <v>89</v>
      </c>
      <c r="E31" s="24" t="s">
        <v>86</v>
      </c>
      <c r="F31" s="24">
        <v>1</v>
      </c>
      <c r="G31" s="24" t="s">
        <v>24</v>
      </c>
      <c r="H31" s="23" t="s">
        <v>114</v>
      </c>
      <c r="I31" s="23">
        <v>10</v>
      </c>
      <c r="J31" s="23" t="s">
        <v>78</v>
      </c>
      <c r="K31" s="25">
        <v>908</v>
      </c>
      <c r="L31" s="25"/>
      <c r="M31" s="25" t="e">
        <f>VLOOKUP(A:A,[1]进仓汇总!A$1:G$65536,7,0)</f>
        <v>#N/A</v>
      </c>
      <c r="N31" s="26" t="s">
        <v>79</v>
      </c>
      <c r="O31" s="26"/>
    </row>
    <row r="32" spans="1:19">
      <c r="A32" s="41"/>
      <c r="B32" s="6" t="s">
        <v>105</v>
      </c>
      <c r="C32" s="23" t="s">
        <v>115</v>
      </c>
      <c r="D32" s="24" t="s">
        <v>116</v>
      </c>
      <c r="E32" s="24" t="s">
        <v>32</v>
      </c>
      <c r="F32" s="24">
        <v>1</v>
      </c>
      <c r="G32" s="24" t="s">
        <v>94</v>
      </c>
      <c r="H32" s="23" t="s">
        <v>98</v>
      </c>
      <c r="I32" s="23">
        <v>10</v>
      </c>
      <c r="J32" s="23" t="s">
        <v>78</v>
      </c>
      <c r="K32" s="25">
        <v>908</v>
      </c>
      <c r="L32" s="25"/>
      <c r="M32" s="25" t="e">
        <f>VLOOKUP(A:A,[1]进仓汇总!A$1:G$65536,7,0)</f>
        <v>#N/A</v>
      </c>
      <c r="N32" s="26" t="s">
        <v>79</v>
      </c>
      <c r="O32" s="26"/>
    </row>
    <row r="33" spans="1:15">
      <c r="A33" s="40" t="s">
        <v>1099</v>
      </c>
      <c r="B33" s="6" t="s">
        <v>117</v>
      </c>
      <c r="C33" s="23">
        <v>301010009</v>
      </c>
      <c r="D33" s="24" t="s">
        <v>118</v>
      </c>
      <c r="E33" s="24" t="s">
        <v>107</v>
      </c>
      <c r="F33" s="24">
        <v>1</v>
      </c>
      <c r="G33" s="24" t="s">
        <v>24</v>
      </c>
      <c r="H33" s="23" t="s">
        <v>108</v>
      </c>
      <c r="I33" s="23">
        <v>10</v>
      </c>
      <c r="J33" s="23" t="s">
        <v>78</v>
      </c>
      <c r="K33" s="25">
        <v>908</v>
      </c>
      <c r="L33" s="25"/>
      <c r="M33" s="25" t="e">
        <f>VLOOKUP(A:A,[1]进仓汇总!A$1:G$65536,7,0)</f>
        <v>#N/A</v>
      </c>
      <c r="N33" s="26" t="s">
        <v>79</v>
      </c>
      <c r="O33" s="26"/>
    </row>
    <row r="34" spans="1:15">
      <c r="A34" s="42"/>
      <c r="B34" s="6" t="s">
        <v>117</v>
      </c>
      <c r="C34" s="23">
        <v>301010010</v>
      </c>
      <c r="D34" s="24" t="s">
        <v>119</v>
      </c>
      <c r="E34" s="24" t="s">
        <v>107</v>
      </c>
      <c r="F34" s="24">
        <v>1</v>
      </c>
      <c r="G34" s="24" t="s">
        <v>24</v>
      </c>
      <c r="H34" s="23" t="s">
        <v>110</v>
      </c>
      <c r="I34" s="23">
        <v>10</v>
      </c>
      <c r="J34" s="23" t="s">
        <v>78</v>
      </c>
      <c r="K34" s="25">
        <v>908</v>
      </c>
      <c r="L34" s="25"/>
      <c r="M34" s="25" t="e">
        <f>VLOOKUP(A:A,[1]进仓汇总!A$1:G$65536,7,0)</f>
        <v>#N/A</v>
      </c>
      <c r="N34" s="26" t="s">
        <v>79</v>
      </c>
      <c r="O34" s="26"/>
    </row>
    <row r="35" spans="1:15">
      <c r="A35" s="42"/>
      <c r="B35" s="6" t="s">
        <v>117</v>
      </c>
      <c r="C35" s="23" t="s">
        <v>120</v>
      </c>
      <c r="D35" s="24" t="s">
        <v>85</v>
      </c>
      <c r="E35" s="24" t="s">
        <v>86</v>
      </c>
      <c r="F35" s="24">
        <v>1</v>
      </c>
      <c r="G35" s="24" t="s">
        <v>24</v>
      </c>
      <c r="H35" s="23" t="s">
        <v>112</v>
      </c>
      <c r="I35" s="23">
        <v>10</v>
      </c>
      <c r="J35" s="23" t="s">
        <v>78</v>
      </c>
      <c r="K35" s="25">
        <v>908</v>
      </c>
      <c r="L35" s="25"/>
      <c r="M35" s="25" t="e">
        <f>VLOOKUP(A:A,[1]进仓汇总!A$1:G$65536,7,0)</f>
        <v>#N/A</v>
      </c>
      <c r="N35" s="26" t="s">
        <v>79</v>
      </c>
      <c r="O35" s="26"/>
    </row>
    <row r="36" spans="1:15">
      <c r="A36" s="42"/>
      <c r="B36" s="6" t="s">
        <v>117</v>
      </c>
      <c r="C36" s="23" t="s">
        <v>121</v>
      </c>
      <c r="D36" s="24" t="s">
        <v>89</v>
      </c>
      <c r="E36" s="24" t="s">
        <v>86</v>
      </c>
      <c r="F36" s="24">
        <v>1</v>
      </c>
      <c r="G36" s="24" t="s">
        <v>24</v>
      </c>
      <c r="H36" s="23" t="s">
        <v>114</v>
      </c>
      <c r="I36" s="23">
        <v>10</v>
      </c>
      <c r="J36" s="23" t="s">
        <v>78</v>
      </c>
      <c r="K36" s="25">
        <v>908</v>
      </c>
      <c r="L36" s="25"/>
      <c r="M36" s="25" t="e">
        <f>VLOOKUP(A:A,[1]进仓汇总!A$1:G$65536,7,0)</f>
        <v>#N/A</v>
      </c>
      <c r="N36" s="26" t="s">
        <v>79</v>
      </c>
      <c r="O36" s="26"/>
    </row>
    <row r="37" spans="1:15">
      <c r="A37" s="41"/>
      <c r="B37" s="6" t="s">
        <v>117</v>
      </c>
      <c r="C37" s="23" t="s">
        <v>122</v>
      </c>
      <c r="D37" s="24" t="s">
        <v>116</v>
      </c>
      <c r="E37" s="24" t="s">
        <v>32</v>
      </c>
      <c r="F37" s="24">
        <v>1</v>
      </c>
      <c r="G37" s="24" t="s">
        <v>94</v>
      </c>
      <c r="H37" s="23" t="s">
        <v>98</v>
      </c>
      <c r="I37" s="23">
        <v>10</v>
      </c>
      <c r="J37" s="23" t="s">
        <v>78</v>
      </c>
      <c r="K37" s="25">
        <v>908</v>
      </c>
      <c r="L37" s="25"/>
      <c r="M37" s="25" t="e">
        <f>VLOOKUP(A:A,[1]进仓汇总!A$1:G$65536,7,0)</f>
        <v>#N/A</v>
      </c>
      <c r="N37" s="26" t="s">
        <v>79</v>
      </c>
      <c r="O37" s="26"/>
    </row>
    <row r="38" spans="1:15">
      <c r="A38" s="40" t="s">
        <v>1100</v>
      </c>
      <c r="B38" s="6" t="s">
        <v>105</v>
      </c>
      <c r="C38" s="23">
        <v>301010012</v>
      </c>
      <c r="D38" s="24" t="s">
        <v>106</v>
      </c>
      <c r="E38" s="24" t="s">
        <v>123</v>
      </c>
      <c r="F38" s="24">
        <v>1</v>
      </c>
      <c r="G38" s="24" t="s">
        <v>24</v>
      </c>
      <c r="H38" s="23" t="s">
        <v>108</v>
      </c>
      <c r="I38" s="23">
        <v>10</v>
      </c>
      <c r="J38" s="23" t="s">
        <v>78</v>
      </c>
      <c r="K38" s="25">
        <v>1002</v>
      </c>
      <c r="L38" s="25"/>
      <c r="M38" s="25" t="e">
        <f>VLOOKUP(A:A,[1]进仓汇总!A$1:G$65536,7,0)</f>
        <v>#N/A</v>
      </c>
      <c r="N38" s="26" t="s">
        <v>79</v>
      </c>
      <c r="O38" s="26"/>
    </row>
    <row r="39" spans="1:15">
      <c r="A39" s="42"/>
      <c r="B39" s="6" t="s">
        <v>105</v>
      </c>
      <c r="C39" s="23">
        <v>301010013</v>
      </c>
      <c r="D39" s="24" t="s">
        <v>119</v>
      </c>
      <c r="E39" s="24" t="s">
        <v>123</v>
      </c>
      <c r="F39" s="24">
        <v>1</v>
      </c>
      <c r="G39" s="24" t="s">
        <v>24</v>
      </c>
      <c r="H39" s="23" t="s">
        <v>110</v>
      </c>
      <c r="I39" s="23">
        <v>10</v>
      </c>
      <c r="J39" s="23" t="s">
        <v>78</v>
      </c>
      <c r="K39" s="25">
        <v>1002</v>
      </c>
      <c r="L39" s="25"/>
      <c r="M39" s="25" t="e">
        <f>VLOOKUP(A:A,[1]进仓汇总!A$1:G$65536,7,0)</f>
        <v>#N/A</v>
      </c>
      <c r="N39" s="26" t="s">
        <v>79</v>
      </c>
      <c r="O39" s="26"/>
    </row>
    <row r="40" spans="1:15">
      <c r="A40" s="42"/>
      <c r="B40" s="6" t="s">
        <v>105</v>
      </c>
      <c r="C40" s="23" t="s">
        <v>124</v>
      </c>
      <c r="D40" s="24" t="s">
        <v>85</v>
      </c>
      <c r="E40" s="24" t="s">
        <v>86</v>
      </c>
      <c r="F40" s="24">
        <v>1</v>
      </c>
      <c r="G40" s="24" t="s">
        <v>24</v>
      </c>
      <c r="H40" s="23" t="s">
        <v>112</v>
      </c>
      <c r="I40" s="23">
        <v>10</v>
      </c>
      <c r="J40" s="23" t="s">
        <v>78</v>
      </c>
      <c r="K40" s="25">
        <v>1002</v>
      </c>
      <c r="L40" s="25"/>
      <c r="M40" s="25" t="e">
        <f>VLOOKUP(A:A,[1]进仓汇总!A$1:G$65536,7,0)</f>
        <v>#N/A</v>
      </c>
      <c r="N40" s="26" t="s">
        <v>79</v>
      </c>
      <c r="O40" s="26"/>
    </row>
    <row r="41" spans="1:15">
      <c r="A41" s="42"/>
      <c r="B41" s="6" t="s">
        <v>105</v>
      </c>
      <c r="C41" s="23" t="s">
        <v>125</v>
      </c>
      <c r="D41" s="24" t="s">
        <v>89</v>
      </c>
      <c r="E41" s="24" t="s">
        <v>86</v>
      </c>
      <c r="F41" s="24">
        <v>1</v>
      </c>
      <c r="G41" s="24" t="s">
        <v>24</v>
      </c>
      <c r="H41" s="23" t="s">
        <v>114</v>
      </c>
      <c r="I41" s="23">
        <v>10</v>
      </c>
      <c r="J41" s="23" t="s">
        <v>78</v>
      </c>
      <c r="K41" s="25">
        <v>1002</v>
      </c>
      <c r="L41" s="25"/>
      <c r="M41" s="25" t="e">
        <f>VLOOKUP(A:A,[1]进仓汇总!A$1:G$65536,7,0)</f>
        <v>#N/A</v>
      </c>
      <c r="N41" s="26" t="s">
        <v>79</v>
      </c>
      <c r="O41" s="26"/>
    </row>
    <row r="42" spans="1:15">
      <c r="A42" s="41"/>
      <c r="B42" s="6" t="s">
        <v>105</v>
      </c>
      <c r="C42" s="23" t="s">
        <v>126</v>
      </c>
      <c r="D42" s="24" t="s">
        <v>116</v>
      </c>
      <c r="E42" s="24" t="s">
        <v>127</v>
      </c>
      <c r="F42" s="24">
        <v>1</v>
      </c>
      <c r="G42" s="24" t="s">
        <v>24</v>
      </c>
      <c r="H42" s="23" t="s">
        <v>98</v>
      </c>
      <c r="I42" s="23">
        <v>10</v>
      </c>
      <c r="J42" s="23" t="s">
        <v>78</v>
      </c>
      <c r="K42" s="25">
        <v>1002</v>
      </c>
      <c r="L42" s="25"/>
      <c r="M42" s="25" t="e">
        <f>VLOOKUP(A:A,[1]进仓汇总!A$1:G$65536,7,0)</f>
        <v>#N/A</v>
      </c>
      <c r="N42" s="26" t="s">
        <v>79</v>
      </c>
      <c r="O42" s="26"/>
    </row>
    <row r="43" spans="1:15">
      <c r="A43" s="40" t="s">
        <v>1101</v>
      </c>
      <c r="B43" s="6" t="s">
        <v>117</v>
      </c>
      <c r="C43" s="23">
        <v>301010015</v>
      </c>
      <c r="D43" s="24" t="s">
        <v>128</v>
      </c>
      <c r="E43" s="24" t="s">
        <v>123</v>
      </c>
      <c r="F43" s="24">
        <v>1</v>
      </c>
      <c r="G43" s="24" t="s">
        <v>24</v>
      </c>
      <c r="H43" s="23" t="s">
        <v>108</v>
      </c>
      <c r="I43" s="23">
        <v>10</v>
      </c>
      <c r="J43" s="23" t="s">
        <v>78</v>
      </c>
      <c r="K43" s="25">
        <v>1001</v>
      </c>
      <c r="L43" s="25"/>
      <c r="M43" s="25" t="e">
        <f>VLOOKUP(A:A,[1]进仓汇总!A$1:G$65536,7,0)</f>
        <v>#N/A</v>
      </c>
      <c r="N43" s="26" t="s">
        <v>79</v>
      </c>
      <c r="O43" s="26"/>
    </row>
    <row r="44" spans="1:15">
      <c r="A44" s="42"/>
      <c r="B44" s="6" t="s">
        <v>117</v>
      </c>
      <c r="C44" s="23">
        <v>301010016</v>
      </c>
      <c r="D44" s="24" t="s">
        <v>119</v>
      </c>
      <c r="E44" s="24" t="s">
        <v>123</v>
      </c>
      <c r="F44" s="24">
        <v>1</v>
      </c>
      <c r="G44" s="24" t="s">
        <v>24</v>
      </c>
      <c r="H44" s="23" t="s">
        <v>129</v>
      </c>
      <c r="I44" s="23">
        <v>10</v>
      </c>
      <c r="J44" s="23" t="s">
        <v>78</v>
      </c>
      <c r="K44" s="25">
        <v>1001</v>
      </c>
      <c r="L44" s="25"/>
      <c r="M44" s="25" t="e">
        <f>VLOOKUP(A:A,[1]进仓汇总!A$1:G$65536,7,0)</f>
        <v>#N/A</v>
      </c>
      <c r="N44" s="26" t="s">
        <v>79</v>
      </c>
      <c r="O44" s="26"/>
    </row>
    <row r="45" spans="1:15">
      <c r="A45" s="42"/>
      <c r="B45" s="6" t="s">
        <v>117</v>
      </c>
      <c r="C45" s="23" t="s">
        <v>130</v>
      </c>
      <c r="D45" s="24" t="s">
        <v>85</v>
      </c>
      <c r="E45" s="24" t="s">
        <v>86</v>
      </c>
      <c r="F45" s="24">
        <v>1</v>
      </c>
      <c r="G45" s="24" t="s">
        <v>24</v>
      </c>
      <c r="H45" s="23" t="s">
        <v>112</v>
      </c>
      <c r="I45" s="23">
        <v>10</v>
      </c>
      <c r="J45" s="23" t="s">
        <v>78</v>
      </c>
      <c r="K45" s="25">
        <v>1001</v>
      </c>
      <c r="L45" s="25"/>
      <c r="M45" s="25" t="e">
        <f>VLOOKUP(A:A,[1]进仓汇总!A$1:G$65536,7,0)</f>
        <v>#N/A</v>
      </c>
      <c r="N45" s="26" t="s">
        <v>79</v>
      </c>
      <c r="O45" s="26"/>
    </row>
    <row r="46" spans="1:15">
      <c r="A46" s="42"/>
      <c r="B46" s="6" t="s">
        <v>117</v>
      </c>
      <c r="C46" s="23" t="s">
        <v>131</v>
      </c>
      <c r="D46" s="24" t="s">
        <v>89</v>
      </c>
      <c r="E46" s="24" t="s">
        <v>86</v>
      </c>
      <c r="F46" s="24">
        <v>1</v>
      </c>
      <c r="G46" s="24" t="s">
        <v>24</v>
      </c>
      <c r="H46" s="23" t="s">
        <v>114</v>
      </c>
      <c r="I46" s="23">
        <v>10</v>
      </c>
      <c r="J46" s="23" t="s">
        <v>78</v>
      </c>
      <c r="K46" s="25">
        <v>1001</v>
      </c>
      <c r="L46" s="25"/>
      <c r="M46" s="25" t="e">
        <f>VLOOKUP(A:A,[1]进仓汇总!A$1:G$65536,7,0)</f>
        <v>#N/A</v>
      </c>
      <c r="N46" s="26" t="s">
        <v>79</v>
      </c>
      <c r="O46" s="26"/>
    </row>
    <row r="47" spans="1:15">
      <c r="A47" s="42"/>
      <c r="B47" s="6" t="s">
        <v>117</v>
      </c>
      <c r="C47" s="23" t="s">
        <v>132</v>
      </c>
      <c r="D47" s="24" t="s">
        <v>116</v>
      </c>
      <c r="E47" s="24" t="s">
        <v>127</v>
      </c>
      <c r="F47" s="24">
        <v>1</v>
      </c>
      <c r="G47" s="24" t="s">
        <v>94</v>
      </c>
      <c r="H47" s="23" t="s">
        <v>98</v>
      </c>
      <c r="I47" s="23">
        <v>10</v>
      </c>
      <c r="J47" s="23" t="s">
        <v>78</v>
      </c>
      <c r="K47" s="25">
        <v>1009</v>
      </c>
      <c r="L47" s="25"/>
      <c r="M47" s="25" t="e">
        <f>VLOOKUP(A:A,[1]进仓汇总!A$1:G$65536,7,0)</f>
        <v>#N/A</v>
      </c>
      <c r="N47" s="26" t="s">
        <v>79</v>
      </c>
      <c r="O47" s="26"/>
    </row>
    <row r="48" spans="1:15">
      <c r="A48" s="41"/>
      <c r="B48" s="6" t="s">
        <v>117</v>
      </c>
      <c r="C48" s="23">
        <v>399010007</v>
      </c>
      <c r="D48" s="24" t="s">
        <v>96</v>
      </c>
      <c r="E48" s="24" t="s">
        <v>133</v>
      </c>
      <c r="F48" s="24">
        <v>1</v>
      </c>
      <c r="G48" s="24" t="s">
        <v>24</v>
      </c>
      <c r="H48" s="23" t="s">
        <v>42</v>
      </c>
      <c r="I48" s="23">
        <v>10</v>
      </c>
      <c r="J48" s="23" t="s">
        <v>78</v>
      </c>
      <c r="K48" s="25">
        <v>1009</v>
      </c>
      <c r="L48" s="25"/>
      <c r="M48" s="25" t="e">
        <f>VLOOKUP(A:A,[1]进仓汇总!A$1:G$65536,7,0)</f>
        <v>#N/A</v>
      </c>
      <c r="N48" s="26" t="s">
        <v>79</v>
      </c>
      <c r="O48" s="26">
        <v>-7</v>
      </c>
    </row>
    <row r="49" spans="1:19">
      <c r="A49" s="40" t="s">
        <v>1102</v>
      </c>
      <c r="B49" s="6" t="s">
        <v>134</v>
      </c>
      <c r="C49" s="23">
        <v>301070002</v>
      </c>
      <c r="D49" s="24" t="s">
        <v>135</v>
      </c>
      <c r="E49" s="24" t="s">
        <v>82</v>
      </c>
      <c r="F49" s="24">
        <v>1</v>
      </c>
      <c r="G49" s="24" t="s">
        <v>24</v>
      </c>
      <c r="H49" s="23" t="s">
        <v>136</v>
      </c>
      <c r="I49" s="23">
        <v>15</v>
      </c>
      <c r="J49" s="23" t="s">
        <v>137</v>
      </c>
      <c r="K49" s="25">
        <v>1009</v>
      </c>
      <c r="L49" s="25"/>
      <c r="M49" s="25" t="e">
        <f>VLOOKUP(A:A,[1]进仓汇总!A$1:G$65536,7,0)</f>
        <v>#N/A</v>
      </c>
      <c r="N49" s="26" t="s">
        <v>79</v>
      </c>
      <c r="O49" s="26"/>
    </row>
    <row r="50" spans="1:19">
      <c r="A50" s="41"/>
      <c r="B50" s="6" t="s">
        <v>134</v>
      </c>
      <c r="C50" s="23" t="s">
        <v>138</v>
      </c>
      <c r="D50" s="24" t="s">
        <v>139</v>
      </c>
      <c r="E50" s="24" t="s">
        <v>86</v>
      </c>
      <c r="F50" s="24">
        <v>1</v>
      </c>
      <c r="G50" s="24" t="s">
        <v>24</v>
      </c>
      <c r="H50" s="23" t="s">
        <v>140</v>
      </c>
      <c r="I50" s="23">
        <v>15</v>
      </c>
      <c r="J50" s="23" t="s">
        <v>137</v>
      </c>
      <c r="K50" s="25">
        <v>1009</v>
      </c>
      <c r="L50" s="25"/>
      <c r="M50" s="25" t="e">
        <f>VLOOKUP(A:A,[1]进仓汇总!A$1:G$65536,7,0)</f>
        <v>#N/A</v>
      </c>
      <c r="N50" s="26" t="s">
        <v>79</v>
      </c>
      <c r="O50" s="26"/>
    </row>
    <row r="51" spans="1:19">
      <c r="A51" s="40" t="s">
        <v>1103</v>
      </c>
      <c r="B51" s="6" t="s">
        <v>141</v>
      </c>
      <c r="C51" s="23">
        <v>301080002</v>
      </c>
      <c r="D51" s="24" t="s">
        <v>135</v>
      </c>
      <c r="E51" s="24" t="s">
        <v>82</v>
      </c>
      <c r="F51" s="24">
        <v>1</v>
      </c>
      <c r="G51" s="24" t="s">
        <v>24</v>
      </c>
      <c r="H51" s="23" t="s">
        <v>136</v>
      </c>
      <c r="I51" s="23">
        <v>25</v>
      </c>
      <c r="J51" s="23" t="s">
        <v>137</v>
      </c>
      <c r="K51" s="25">
        <v>1009</v>
      </c>
      <c r="L51" s="25"/>
      <c r="M51" s="25" t="e">
        <f>VLOOKUP(A:A,[1]进仓汇总!A$1:G$65536,7,0)</f>
        <v>#N/A</v>
      </c>
      <c r="N51" s="26" t="s">
        <v>79</v>
      </c>
      <c r="O51" s="26"/>
    </row>
    <row r="52" spans="1:19">
      <c r="A52" s="41"/>
      <c r="B52" s="6" t="s">
        <v>141</v>
      </c>
      <c r="C52" s="23" t="s">
        <v>142</v>
      </c>
      <c r="D52" s="24" t="s">
        <v>139</v>
      </c>
      <c r="E52" s="24" t="s">
        <v>86</v>
      </c>
      <c r="F52" s="24">
        <v>1</v>
      </c>
      <c r="G52" s="24" t="s">
        <v>24</v>
      </c>
      <c r="H52" s="23" t="s">
        <v>140</v>
      </c>
      <c r="I52" s="23">
        <v>25</v>
      </c>
      <c r="J52" s="23" t="s">
        <v>137</v>
      </c>
      <c r="K52" s="25">
        <v>1009</v>
      </c>
      <c r="L52" s="25"/>
      <c r="M52" s="25" t="e">
        <f>VLOOKUP(A:A,[1]进仓汇总!A$1:G$65536,7,0)</f>
        <v>#N/A</v>
      </c>
      <c r="N52" s="26" t="s">
        <v>79</v>
      </c>
      <c r="O52" s="26"/>
    </row>
    <row r="53" spans="1:19">
      <c r="A53" s="40" t="s">
        <v>1104</v>
      </c>
      <c r="B53" s="6" t="s">
        <v>143</v>
      </c>
      <c r="C53" s="23" t="s">
        <v>144</v>
      </c>
      <c r="D53" s="24" t="s">
        <v>135</v>
      </c>
      <c r="E53" s="24" t="s">
        <v>145</v>
      </c>
      <c r="F53" s="24">
        <v>1</v>
      </c>
      <c r="G53" s="24" t="s">
        <v>24</v>
      </c>
      <c r="H53" s="23" t="s">
        <v>136</v>
      </c>
      <c r="I53" s="23">
        <v>0</v>
      </c>
      <c r="J53" s="23" t="s">
        <v>78</v>
      </c>
      <c r="K53" s="25">
        <v>909</v>
      </c>
      <c r="L53" s="25"/>
      <c r="M53" s="25" t="e">
        <f>VLOOKUP(A:A,[1]进仓汇总!A$1:G$65536,7,0)</f>
        <v>#N/A</v>
      </c>
      <c r="N53" s="26" t="s">
        <v>79</v>
      </c>
      <c r="O53" s="26"/>
    </row>
    <row r="54" spans="1:19">
      <c r="A54" s="41"/>
      <c r="B54" s="6" t="s">
        <v>143</v>
      </c>
      <c r="C54" s="23" t="s">
        <v>146</v>
      </c>
      <c r="D54" s="24" t="s">
        <v>139</v>
      </c>
      <c r="E54" s="24" t="s">
        <v>86</v>
      </c>
      <c r="F54" s="24">
        <v>1</v>
      </c>
      <c r="G54" s="24" t="s">
        <v>24</v>
      </c>
      <c r="H54" s="23" t="s">
        <v>140</v>
      </c>
      <c r="I54" s="23">
        <v>0</v>
      </c>
      <c r="J54" s="23" t="s">
        <v>78</v>
      </c>
      <c r="K54" s="25">
        <v>909</v>
      </c>
      <c r="L54" s="25"/>
      <c r="M54" s="25" t="e">
        <f>VLOOKUP(A:A,[1]进仓汇总!A$1:G$65536,7,0)</f>
        <v>#N/A</v>
      </c>
      <c r="N54" s="26" t="s">
        <v>79</v>
      </c>
      <c r="O54" s="26"/>
    </row>
    <row r="55" spans="1:19">
      <c r="A55" s="40" t="s">
        <v>1105</v>
      </c>
      <c r="B55" s="6" t="s">
        <v>147</v>
      </c>
      <c r="C55" s="23" t="s">
        <v>148</v>
      </c>
      <c r="D55" s="24" t="s">
        <v>135</v>
      </c>
      <c r="E55" s="24" t="s">
        <v>145</v>
      </c>
      <c r="F55" s="24">
        <v>1</v>
      </c>
      <c r="G55" s="24" t="s">
        <v>24</v>
      </c>
      <c r="H55" s="23" t="s">
        <v>136</v>
      </c>
      <c r="I55" s="23">
        <v>0</v>
      </c>
      <c r="J55" s="23" t="s">
        <v>78</v>
      </c>
      <c r="K55" s="25">
        <v>909</v>
      </c>
      <c r="L55" s="25"/>
      <c r="M55" s="25" t="e">
        <f>VLOOKUP(A:A,[1]进仓汇总!A$1:G$65536,7,0)</f>
        <v>#N/A</v>
      </c>
      <c r="N55" s="26" t="s">
        <v>79</v>
      </c>
      <c r="O55" s="26"/>
    </row>
    <row r="56" spans="1:19">
      <c r="A56" s="41"/>
      <c r="B56" s="6" t="s">
        <v>147</v>
      </c>
      <c r="C56" s="23" t="s">
        <v>149</v>
      </c>
      <c r="D56" s="24" t="s">
        <v>139</v>
      </c>
      <c r="E56" s="24" t="s">
        <v>86</v>
      </c>
      <c r="F56" s="24">
        <v>1</v>
      </c>
      <c r="G56" s="24" t="s">
        <v>24</v>
      </c>
      <c r="H56" s="23" t="s">
        <v>140</v>
      </c>
      <c r="I56" s="23">
        <v>0</v>
      </c>
      <c r="J56" s="23" t="s">
        <v>78</v>
      </c>
      <c r="K56" s="25">
        <v>909</v>
      </c>
      <c r="L56" s="25"/>
      <c r="M56" s="25" t="e">
        <f>VLOOKUP(A:A,[1]进仓汇总!A$1:G$65536,7,0)</f>
        <v>#N/A</v>
      </c>
      <c r="N56" s="26" t="s">
        <v>79</v>
      </c>
      <c r="O56" s="26"/>
      <c r="Q56" s="13"/>
      <c r="R56" s="13"/>
      <c r="S56" s="13"/>
    </row>
    <row r="57" spans="1:19" s="13" customFormat="1">
      <c r="A57" s="40" t="s">
        <v>1106</v>
      </c>
      <c r="B57" s="6" t="s">
        <v>150</v>
      </c>
      <c r="C57" s="23" t="s">
        <v>151</v>
      </c>
      <c r="D57" s="24" t="s">
        <v>152</v>
      </c>
      <c r="E57" s="24" t="s">
        <v>123</v>
      </c>
      <c r="F57" s="24">
        <v>1</v>
      </c>
      <c r="G57" s="24" t="s">
        <v>24</v>
      </c>
      <c r="H57" s="23" t="s">
        <v>153</v>
      </c>
      <c r="I57" s="23">
        <v>10</v>
      </c>
      <c r="J57" s="23" t="s">
        <v>78</v>
      </c>
      <c r="K57" s="25" t="s">
        <v>154</v>
      </c>
      <c r="L57" s="25"/>
      <c r="M57" s="25" t="e">
        <f>VLOOKUP(A:A,[1]进仓汇总!A$1:G$65536,7,0)</f>
        <v>#N/A</v>
      </c>
      <c r="N57" s="26" t="s">
        <v>79</v>
      </c>
      <c r="O57" s="26"/>
      <c r="Q57" s="9"/>
      <c r="R57" s="9"/>
      <c r="S57" s="9"/>
    </row>
    <row r="58" spans="1:19">
      <c r="A58" s="42"/>
      <c r="B58" s="6" t="s">
        <v>150</v>
      </c>
      <c r="C58" s="23">
        <v>301110002</v>
      </c>
      <c r="D58" s="24" t="s">
        <v>155</v>
      </c>
      <c r="E58" s="24" t="s">
        <v>86</v>
      </c>
      <c r="F58" s="24">
        <v>1</v>
      </c>
      <c r="G58" s="24" t="s">
        <v>24</v>
      </c>
      <c r="H58" s="23" t="s">
        <v>156</v>
      </c>
      <c r="I58" s="23">
        <v>10</v>
      </c>
      <c r="J58" s="23" t="s">
        <v>78</v>
      </c>
      <c r="K58" s="25" t="s">
        <v>157</v>
      </c>
      <c r="L58" s="25"/>
      <c r="M58" s="25" t="e">
        <f>VLOOKUP(A:A,[1]进仓汇总!A$1:G$65536,7,0)</f>
        <v>#N/A</v>
      </c>
      <c r="N58" s="26" t="s">
        <v>79</v>
      </c>
      <c r="O58" s="26"/>
    </row>
    <row r="59" spans="1:19">
      <c r="A59" s="41"/>
      <c r="B59" s="6" t="s">
        <v>150</v>
      </c>
      <c r="C59" s="23">
        <v>301110003</v>
      </c>
      <c r="D59" s="24" t="s">
        <v>158</v>
      </c>
      <c r="E59" s="24" t="s">
        <v>86</v>
      </c>
      <c r="F59" s="24">
        <v>1</v>
      </c>
      <c r="G59" s="24" t="s">
        <v>24</v>
      </c>
      <c r="H59" s="23" t="s">
        <v>159</v>
      </c>
      <c r="I59" s="23">
        <v>10</v>
      </c>
      <c r="J59" s="23" t="s">
        <v>78</v>
      </c>
      <c r="K59" s="25" t="s">
        <v>157</v>
      </c>
      <c r="L59" s="25"/>
      <c r="M59" s="25" t="e">
        <f>VLOOKUP(A:A,[1]进仓汇总!A$1:G$65536,7,0)</f>
        <v>#N/A</v>
      </c>
      <c r="N59" s="26" t="s">
        <v>79</v>
      </c>
      <c r="O59" s="26"/>
    </row>
    <row r="60" spans="1:19">
      <c r="A60" s="40" t="s">
        <v>1107</v>
      </c>
      <c r="B60" s="6" t="s">
        <v>160</v>
      </c>
      <c r="C60" s="23">
        <v>301110005</v>
      </c>
      <c r="D60" s="24" t="s">
        <v>161</v>
      </c>
      <c r="E60" s="24" t="s">
        <v>82</v>
      </c>
      <c r="F60" s="24">
        <v>1</v>
      </c>
      <c r="G60" s="24" t="s">
        <v>24</v>
      </c>
      <c r="H60" s="23" t="s">
        <v>153</v>
      </c>
      <c r="I60" s="23">
        <v>0</v>
      </c>
      <c r="J60" s="23" t="s">
        <v>78</v>
      </c>
      <c r="K60" s="25" t="s">
        <v>162</v>
      </c>
      <c r="L60" s="25"/>
      <c r="M60" s="25" t="e">
        <f>VLOOKUP(A:A,[1]进仓汇总!A$1:G$65536,7,0)</f>
        <v>#N/A</v>
      </c>
      <c r="N60" s="26" t="s">
        <v>79</v>
      </c>
      <c r="O60" s="26"/>
    </row>
    <row r="61" spans="1:19">
      <c r="A61" s="42"/>
      <c r="B61" s="6" t="s">
        <v>160</v>
      </c>
      <c r="C61" s="23">
        <v>301110006</v>
      </c>
      <c r="D61" s="24" t="s">
        <v>155</v>
      </c>
      <c r="E61" s="24" t="s">
        <v>86</v>
      </c>
      <c r="F61" s="24">
        <v>1</v>
      </c>
      <c r="G61" s="24" t="s">
        <v>24</v>
      </c>
      <c r="H61" s="23" t="s">
        <v>156</v>
      </c>
      <c r="I61" s="23">
        <v>0</v>
      </c>
      <c r="J61" s="23" t="s">
        <v>78</v>
      </c>
      <c r="K61" s="25" t="s">
        <v>163</v>
      </c>
      <c r="L61" s="25"/>
      <c r="M61" s="25" t="e">
        <f>VLOOKUP(A:A,[1]进仓汇总!A$1:G$65536,7,0)</f>
        <v>#N/A</v>
      </c>
      <c r="N61" s="26" t="s">
        <v>79</v>
      </c>
      <c r="O61" s="26"/>
    </row>
    <row r="62" spans="1:19">
      <c r="A62" s="41"/>
      <c r="B62" s="6" t="s">
        <v>160</v>
      </c>
      <c r="C62" s="23">
        <v>301110007</v>
      </c>
      <c r="D62" s="24" t="s">
        <v>158</v>
      </c>
      <c r="E62" s="24" t="s">
        <v>86</v>
      </c>
      <c r="F62" s="24">
        <v>1</v>
      </c>
      <c r="G62" s="24" t="s">
        <v>24</v>
      </c>
      <c r="H62" s="23" t="s">
        <v>159</v>
      </c>
      <c r="I62" s="23">
        <v>0</v>
      </c>
      <c r="J62" s="23" t="s">
        <v>78</v>
      </c>
      <c r="K62" s="25" t="s">
        <v>163</v>
      </c>
      <c r="L62" s="25"/>
      <c r="M62" s="25" t="e">
        <f>VLOOKUP(A:A,[1]进仓汇总!A$1:G$65536,7,0)</f>
        <v>#N/A</v>
      </c>
      <c r="N62" s="26" t="s">
        <v>79</v>
      </c>
      <c r="O62" s="26"/>
    </row>
    <row r="63" spans="1:19">
      <c r="A63" s="40" t="s">
        <v>1108</v>
      </c>
      <c r="B63" s="6" t="s">
        <v>164</v>
      </c>
      <c r="C63" s="23">
        <v>301100002</v>
      </c>
      <c r="D63" s="24" t="s">
        <v>165</v>
      </c>
      <c r="E63" s="24" t="s">
        <v>107</v>
      </c>
      <c r="F63" s="24">
        <v>1</v>
      </c>
      <c r="G63" s="24" t="s">
        <v>24</v>
      </c>
      <c r="H63" s="23" t="s">
        <v>136</v>
      </c>
      <c r="I63" s="23">
        <v>10</v>
      </c>
      <c r="J63" s="23" t="s">
        <v>78</v>
      </c>
      <c r="K63" s="25">
        <v>910</v>
      </c>
      <c r="L63" s="25">
        <v>410</v>
      </c>
      <c r="M63" s="25" t="e">
        <f>VLOOKUP(A:A,[1]进仓汇总!A$1:G$65536,7,0)</f>
        <v>#N/A</v>
      </c>
      <c r="N63" s="26" t="s">
        <v>79</v>
      </c>
      <c r="O63" s="26"/>
    </row>
    <row r="64" spans="1:19">
      <c r="A64" s="41"/>
      <c r="B64" s="6" t="s">
        <v>164</v>
      </c>
      <c r="C64" s="23" t="s">
        <v>166</v>
      </c>
      <c r="D64" s="24" t="s">
        <v>167</v>
      </c>
      <c r="E64" s="24" t="s">
        <v>86</v>
      </c>
      <c r="F64" s="24">
        <v>1</v>
      </c>
      <c r="G64" s="24" t="s">
        <v>24</v>
      </c>
      <c r="H64" s="23" t="s">
        <v>140</v>
      </c>
      <c r="I64" s="23">
        <v>10</v>
      </c>
      <c r="J64" s="23" t="s">
        <v>78</v>
      </c>
      <c r="K64" s="25">
        <v>910</v>
      </c>
      <c r="L64" s="25">
        <v>0</v>
      </c>
      <c r="M64" s="25" t="e">
        <f>VLOOKUP(A:A,[1]进仓汇总!A$1:G$65536,7,0)</f>
        <v>#N/A</v>
      </c>
      <c r="N64" s="26" t="s">
        <v>79</v>
      </c>
      <c r="O64" s="26"/>
    </row>
    <row r="65" spans="1:15">
      <c r="A65" s="40" t="s">
        <v>1109</v>
      </c>
      <c r="B65" s="6" t="s">
        <v>168</v>
      </c>
      <c r="C65" s="23">
        <v>301100004</v>
      </c>
      <c r="D65" s="24" t="s">
        <v>165</v>
      </c>
      <c r="E65" s="24" t="s">
        <v>169</v>
      </c>
      <c r="F65" s="24">
        <v>1</v>
      </c>
      <c r="G65" s="24" t="s">
        <v>24</v>
      </c>
      <c r="H65" s="23" t="s">
        <v>136</v>
      </c>
      <c r="I65" s="23">
        <v>10</v>
      </c>
      <c r="J65" s="23" t="s">
        <v>78</v>
      </c>
      <c r="K65" s="25" t="s">
        <v>170</v>
      </c>
      <c r="L65" s="25">
        <v>350</v>
      </c>
      <c r="M65" s="25" t="e">
        <f>VLOOKUP(A:A,[1]进仓汇总!A$1:G$65536,7,0)</f>
        <v>#N/A</v>
      </c>
      <c r="N65" s="26" t="s">
        <v>79</v>
      </c>
      <c r="O65" s="26"/>
    </row>
    <row r="66" spans="1:15">
      <c r="A66" s="41"/>
      <c r="B66" s="6" t="s">
        <v>168</v>
      </c>
      <c r="C66" s="23" t="s">
        <v>171</v>
      </c>
      <c r="D66" s="24" t="s">
        <v>172</v>
      </c>
      <c r="E66" s="24" t="s">
        <v>86</v>
      </c>
      <c r="F66" s="24">
        <v>1</v>
      </c>
      <c r="G66" s="24" t="s">
        <v>24</v>
      </c>
      <c r="H66" s="23" t="s">
        <v>140</v>
      </c>
      <c r="I66" s="23">
        <v>10</v>
      </c>
      <c r="J66" s="23" t="s">
        <v>78</v>
      </c>
      <c r="K66" s="25">
        <v>910</v>
      </c>
      <c r="L66" s="25">
        <v>0</v>
      </c>
      <c r="M66" s="25" t="e">
        <f>VLOOKUP(A:A,[1]进仓汇总!A$1:G$65536,7,0)</f>
        <v>#N/A</v>
      </c>
      <c r="N66" s="26" t="s">
        <v>79</v>
      </c>
      <c r="O66" s="26"/>
    </row>
    <row r="67" spans="1:15">
      <c r="A67" s="40" t="s">
        <v>1110</v>
      </c>
      <c r="B67" s="6" t="s">
        <v>164</v>
      </c>
      <c r="C67" s="23">
        <v>301100006</v>
      </c>
      <c r="D67" s="24" t="s">
        <v>165</v>
      </c>
      <c r="E67" s="24" t="s">
        <v>145</v>
      </c>
      <c r="F67" s="24">
        <v>1</v>
      </c>
      <c r="G67" s="24" t="s">
        <v>24</v>
      </c>
      <c r="H67" s="23" t="s">
        <v>136</v>
      </c>
      <c r="I67" s="23">
        <v>0</v>
      </c>
      <c r="J67" s="23" t="s">
        <v>78</v>
      </c>
      <c r="K67" s="25">
        <v>910</v>
      </c>
      <c r="L67" s="25">
        <v>410</v>
      </c>
      <c r="M67" s="25" t="e">
        <f>VLOOKUP(A:A,[1]进仓汇总!A$1:G$65536,7,0)</f>
        <v>#N/A</v>
      </c>
      <c r="N67" s="26" t="s">
        <v>79</v>
      </c>
      <c r="O67" s="26"/>
    </row>
    <row r="68" spans="1:15">
      <c r="A68" s="41"/>
      <c r="B68" s="6" t="s">
        <v>164</v>
      </c>
      <c r="C68" s="23" t="s">
        <v>173</v>
      </c>
      <c r="D68" s="24" t="s">
        <v>167</v>
      </c>
      <c r="E68" s="24" t="s">
        <v>86</v>
      </c>
      <c r="F68" s="24">
        <v>1</v>
      </c>
      <c r="G68" s="24" t="s">
        <v>24</v>
      </c>
      <c r="H68" s="23" t="s">
        <v>140</v>
      </c>
      <c r="I68" s="23">
        <v>0</v>
      </c>
      <c r="J68" s="23" t="s">
        <v>78</v>
      </c>
      <c r="K68" s="25">
        <v>910</v>
      </c>
      <c r="L68" s="25">
        <v>0</v>
      </c>
      <c r="M68" s="25" t="e">
        <f>VLOOKUP(A:A,[1]进仓汇总!A$1:G$65536,7,0)</f>
        <v>#N/A</v>
      </c>
      <c r="N68" s="26" t="s">
        <v>79</v>
      </c>
      <c r="O68" s="26"/>
    </row>
    <row r="69" spans="1:15">
      <c r="A69" s="40" t="s">
        <v>1111</v>
      </c>
      <c r="B69" s="6" t="s">
        <v>174</v>
      </c>
      <c r="C69" s="23">
        <v>301100008</v>
      </c>
      <c r="D69" s="24" t="s">
        <v>165</v>
      </c>
      <c r="E69" s="24" t="s">
        <v>145</v>
      </c>
      <c r="F69" s="24">
        <v>1</v>
      </c>
      <c r="G69" s="24" t="s">
        <v>24</v>
      </c>
      <c r="H69" s="23" t="s">
        <v>136</v>
      </c>
      <c r="I69" s="23">
        <v>0</v>
      </c>
      <c r="J69" s="23" t="s">
        <v>78</v>
      </c>
      <c r="K69" s="25">
        <v>909</v>
      </c>
      <c r="L69" s="25"/>
      <c r="M69" s="25" t="e">
        <f>VLOOKUP(A:A,[1]进仓汇总!A$1:G$65536,7,0)</f>
        <v>#N/A</v>
      </c>
      <c r="N69" s="26" t="s">
        <v>79</v>
      </c>
      <c r="O69" s="26"/>
    </row>
    <row r="70" spans="1:15">
      <c r="A70" s="41"/>
      <c r="B70" s="6" t="s">
        <v>174</v>
      </c>
      <c r="C70" s="23" t="s">
        <v>175</v>
      </c>
      <c r="D70" s="24" t="s">
        <v>172</v>
      </c>
      <c r="E70" s="24" t="s">
        <v>145</v>
      </c>
      <c r="F70" s="24">
        <v>1</v>
      </c>
      <c r="G70" s="24" t="s">
        <v>24</v>
      </c>
      <c r="H70" s="23" t="s">
        <v>140</v>
      </c>
      <c r="I70" s="23">
        <v>0</v>
      </c>
      <c r="J70" s="23" t="s">
        <v>78</v>
      </c>
      <c r="K70" s="25" t="s">
        <v>176</v>
      </c>
      <c r="L70" s="25"/>
      <c r="M70" s="25" t="e">
        <f>VLOOKUP(A:A,[1]进仓汇总!A$1:G$65536,7,0)</f>
        <v>#N/A</v>
      </c>
      <c r="N70" s="26" t="s">
        <v>79</v>
      </c>
      <c r="O70" s="26"/>
    </row>
    <row r="71" spans="1:15">
      <c r="A71" s="40" t="s">
        <v>1112</v>
      </c>
      <c r="B71" s="6" t="s">
        <v>177</v>
      </c>
      <c r="C71" s="23" t="s">
        <v>178</v>
      </c>
      <c r="D71" s="24" t="s">
        <v>179</v>
      </c>
      <c r="E71" s="24" t="s">
        <v>180</v>
      </c>
      <c r="F71" s="24">
        <v>2</v>
      </c>
      <c r="G71" s="24" t="s">
        <v>24</v>
      </c>
      <c r="H71" s="23" t="s">
        <v>181</v>
      </c>
      <c r="I71" s="23">
        <v>0</v>
      </c>
      <c r="J71" s="23" t="s">
        <v>26</v>
      </c>
      <c r="K71" s="25" t="s">
        <v>182</v>
      </c>
      <c r="L71" s="25"/>
      <c r="M71" s="25" t="e">
        <f>VLOOKUP(A:A,[1]进仓汇总!A$1:G$65536,7,0)</f>
        <v>#N/A</v>
      </c>
      <c r="N71" s="26" t="s">
        <v>79</v>
      </c>
      <c r="O71" s="26"/>
    </row>
    <row r="72" spans="1:15">
      <c r="A72" s="42"/>
      <c r="B72" s="6" t="s">
        <v>177</v>
      </c>
      <c r="C72" s="23">
        <v>301030002</v>
      </c>
      <c r="D72" s="24" t="s">
        <v>183</v>
      </c>
      <c r="E72" s="24" t="s">
        <v>180</v>
      </c>
      <c r="F72" s="24">
        <v>1</v>
      </c>
      <c r="G72" s="24" t="s">
        <v>24</v>
      </c>
      <c r="H72" s="23" t="s">
        <v>184</v>
      </c>
      <c r="I72" s="23">
        <v>0</v>
      </c>
      <c r="J72" s="23" t="s">
        <v>26</v>
      </c>
      <c r="K72" s="25" t="s">
        <v>185</v>
      </c>
      <c r="L72" s="25"/>
      <c r="M72" s="25" t="e">
        <f>VLOOKUP(A:A,[1]进仓汇总!A$1:G$65536,7,0)</f>
        <v>#N/A</v>
      </c>
      <c r="N72" s="26" t="s">
        <v>79</v>
      </c>
      <c r="O72" s="26"/>
    </row>
    <row r="73" spans="1:15">
      <c r="A73" s="42"/>
      <c r="B73" s="6" t="s">
        <v>177</v>
      </c>
      <c r="C73" s="23">
        <v>301030003</v>
      </c>
      <c r="D73" s="24" t="s">
        <v>186</v>
      </c>
      <c r="E73" s="24" t="s">
        <v>187</v>
      </c>
      <c r="F73" s="24">
        <v>1</v>
      </c>
      <c r="G73" s="24" t="s">
        <v>24</v>
      </c>
      <c r="H73" s="23" t="s">
        <v>188</v>
      </c>
      <c r="I73" s="23">
        <v>0</v>
      </c>
      <c r="J73" s="23" t="s">
        <v>26</v>
      </c>
      <c r="K73" s="25" t="s">
        <v>185</v>
      </c>
      <c r="L73" s="25"/>
      <c r="M73" s="25" t="e">
        <f>VLOOKUP(A:A,[1]进仓汇总!A$1:G$65536,7,0)</f>
        <v>#N/A</v>
      </c>
      <c r="N73" s="26" t="s">
        <v>79</v>
      </c>
      <c r="O73" s="26"/>
    </row>
    <row r="74" spans="1:15">
      <c r="A74" s="42"/>
      <c r="B74" s="6" t="s">
        <v>177</v>
      </c>
      <c r="C74" s="23" t="s">
        <v>189</v>
      </c>
      <c r="D74" s="24" t="s">
        <v>155</v>
      </c>
      <c r="E74" s="24" t="s">
        <v>86</v>
      </c>
      <c r="F74" s="24">
        <v>1</v>
      </c>
      <c r="G74" s="24" t="s">
        <v>24</v>
      </c>
      <c r="H74" s="23" t="s">
        <v>190</v>
      </c>
      <c r="I74" s="23">
        <v>0</v>
      </c>
      <c r="J74" s="23" t="s">
        <v>26</v>
      </c>
      <c r="K74" s="25">
        <v>903</v>
      </c>
      <c r="L74" s="25"/>
      <c r="M74" s="25" t="e">
        <f>VLOOKUP(A:A,[1]进仓汇总!A$1:G$65536,7,0)</f>
        <v>#N/A</v>
      </c>
      <c r="N74" s="26" t="s">
        <v>79</v>
      </c>
      <c r="O74" s="26"/>
    </row>
    <row r="75" spans="1:15">
      <c r="A75" s="42"/>
      <c r="B75" s="6" t="s">
        <v>177</v>
      </c>
      <c r="C75" s="23" t="s">
        <v>191</v>
      </c>
      <c r="D75" s="24" t="s">
        <v>192</v>
      </c>
      <c r="E75" s="24" t="s">
        <v>66</v>
      </c>
      <c r="F75" s="24">
        <v>1</v>
      </c>
      <c r="G75" s="24" t="s">
        <v>24</v>
      </c>
      <c r="H75" s="23" t="s">
        <v>193</v>
      </c>
      <c r="I75" s="23">
        <v>0</v>
      </c>
      <c r="J75" s="23" t="s">
        <v>26</v>
      </c>
      <c r="K75" s="25" t="s">
        <v>194</v>
      </c>
      <c r="L75" s="25"/>
      <c r="M75" s="25" t="e">
        <f>VLOOKUP(A:A,[1]进仓汇总!A$1:G$65536,7,0)</f>
        <v>#N/A</v>
      </c>
      <c r="N75" s="26" t="s">
        <v>79</v>
      </c>
      <c r="O75" s="26"/>
    </row>
    <row r="76" spans="1:15">
      <c r="A76" s="42"/>
      <c r="B76" s="6" t="s">
        <v>177</v>
      </c>
      <c r="C76" s="23" t="s">
        <v>195</v>
      </c>
      <c r="D76" s="24" t="s">
        <v>196</v>
      </c>
      <c r="E76" s="24" t="s">
        <v>86</v>
      </c>
      <c r="F76" s="24">
        <v>1</v>
      </c>
      <c r="G76" s="24" t="s">
        <v>24</v>
      </c>
      <c r="H76" s="23" t="s">
        <v>197</v>
      </c>
      <c r="I76" s="23">
        <v>0</v>
      </c>
      <c r="J76" s="23" t="s">
        <v>26</v>
      </c>
      <c r="K76" s="25" t="s">
        <v>185</v>
      </c>
      <c r="L76" s="25"/>
      <c r="M76" s="25" t="e">
        <f>VLOOKUP(A:A,[1]进仓汇总!A$1:G$65536,7,0)</f>
        <v>#N/A</v>
      </c>
      <c r="N76" s="26" t="s">
        <v>79</v>
      </c>
      <c r="O76" s="26"/>
    </row>
    <row r="77" spans="1:15">
      <c r="A77" s="42"/>
      <c r="B77" s="6" t="s">
        <v>177</v>
      </c>
      <c r="C77" s="23" t="s">
        <v>198</v>
      </c>
      <c r="D77" s="24" t="s">
        <v>116</v>
      </c>
      <c r="E77" s="24" t="s">
        <v>127</v>
      </c>
      <c r="F77" s="24">
        <v>4</v>
      </c>
      <c r="G77" s="24" t="s">
        <v>94</v>
      </c>
      <c r="H77" s="23" t="s">
        <v>199</v>
      </c>
      <c r="I77" s="23">
        <v>0</v>
      </c>
      <c r="J77" s="23" t="s">
        <v>200</v>
      </c>
      <c r="K77" s="25" t="s">
        <v>201</v>
      </c>
      <c r="L77" s="25"/>
      <c r="M77" s="25" t="e">
        <f>VLOOKUP(A:A,[1]进仓汇总!A$1:G$65536,7,0)</f>
        <v>#N/A</v>
      </c>
      <c r="N77" s="26" t="s">
        <v>79</v>
      </c>
      <c r="O77" s="26"/>
    </row>
    <row r="78" spans="1:15">
      <c r="A78" s="41"/>
      <c r="B78" s="6" t="s">
        <v>177</v>
      </c>
      <c r="C78" s="23">
        <v>399010017</v>
      </c>
      <c r="D78" s="24" t="s">
        <v>71</v>
      </c>
      <c r="E78" s="24" t="s">
        <v>133</v>
      </c>
      <c r="F78" s="24">
        <v>1</v>
      </c>
      <c r="G78" s="24" t="s">
        <v>24</v>
      </c>
      <c r="H78" s="23" t="s">
        <v>70</v>
      </c>
      <c r="I78" s="23">
        <v>0</v>
      </c>
      <c r="J78" s="23" t="s">
        <v>26</v>
      </c>
      <c r="K78" s="25">
        <v>903</v>
      </c>
      <c r="L78" s="25"/>
      <c r="M78" s="25" t="e">
        <f>VLOOKUP(A:A,[1]进仓汇总!A$1:G$65536,7,0)</f>
        <v>#N/A</v>
      </c>
      <c r="N78" s="26" t="s">
        <v>79</v>
      </c>
      <c r="O78" s="26"/>
    </row>
    <row r="79" spans="1:15">
      <c r="A79" s="40" t="s">
        <v>1113</v>
      </c>
      <c r="B79" s="6" t="s">
        <v>202</v>
      </c>
      <c r="C79" s="23" t="s">
        <v>203</v>
      </c>
      <c r="D79" s="24" t="s">
        <v>161</v>
      </c>
      <c r="E79" s="24" t="s">
        <v>180</v>
      </c>
      <c r="F79" s="24">
        <v>2</v>
      </c>
      <c r="G79" s="24" t="s">
        <v>24</v>
      </c>
      <c r="H79" s="23" t="s">
        <v>204</v>
      </c>
      <c r="I79" s="23">
        <v>20</v>
      </c>
      <c r="J79" s="23" t="s">
        <v>137</v>
      </c>
      <c r="K79" s="25">
        <v>902</v>
      </c>
      <c r="L79" s="25"/>
      <c r="M79" s="25" t="e">
        <f>VLOOKUP(A:A,[1]进仓汇总!A$1:G$65536,7,0)</f>
        <v>#N/A</v>
      </c>
      <c r="N79" s="26" t="s">
        <v>79</v>
      </c>
      <c r="O79" s="26"/>
    </row>
    <row r="80" spans="1:15">
      <c r="A80" s="42"/>
      <c r="B80" s="6" t="s">
        <v>202</v>
      </c>
      <c r="C80" s="23" t="s">
        <v>205</v>
      </c>
      <c r="D80" s="24" t="s">
        <v>206</v>
      </c>
      <c r="E80" s="24" t="s">
        <v>207</v>
      </c>
      <c r="F80" s="24">
        <v>1</v>
      </c>
      <c r="G80" s="24" t="s">
        <v>24</v>
      </c>
      <c r="H80" s="23" t="s">
        <v>208</v>
      </c>
      <c r="I80" s="23">
        <v>10</v>
      </c>
      <c r="J80" s="23" t="s">
        <v>78</v>
      </c>
      <c r="K80" s="25">
        <v>902</v>
      </c>
      <c r="L80" s="25"/>
      <c r="M80" s="25" t="e">
        <f>VLOOKUP(A:A,[1]进仓汇总!A$1:G$65536,7,0)</f>
        <v>#N/A</v>
      </c>
      <c r="N80" s="26" t="s">
        <v>79</v>
      </c>
      <c r="O80" s="26"/>
    </row>
    <row r="81" spans="1:19">
      <c r="A81" s="42"/>
      <c r="B81" s="6" t="s">
        <v>202</v>
      </c>
      <c r="C81" s="23" t="s">
        <v>209</v>
      </c>
      <c r="D81" s="24" t="s">
        <v>155</v>
      </c>
      <c r="E81" s="24" t="s">
        <v>86</v>
      </c>
      <c r="F81" s="24">
        <v>1</v>
      </c>
      <c r="G81" s="24" t="s">
        <v>24</v>
      </c>
      <c r="H81" s="23" t="s">
        <v>210</v>
      </c>
      <c r="I81" s="23">
        <v>10</v>
      </c>
      <c r="J81" s="23" t="s">
        <v>78</v>
      </c>
      <c r="K81" s="25">
        <v>902</v>
      </c>
      <c r="L81" s="25"/>
      <c r="M81" s="25" t="e">
        <f>VLOOKUP(A:A,[1]进仓汇总!A$1:G$65536,7,0)</f>
        <v>#N/A</v>
      </c>
      <c r="N81" s="26" t="s">
        <v>79</v>
      </c>
      <c r="O81" s="26"/>
    </row>
    <row r="82" spans="1:19">
      <c r="A82" s="42"/>
      <c r="B82" s="6" t="s">
        <v>202</v>
      </c>
      <c r="C82" s="23" t="s">
        <v>211</v>
      </c>
      <c r="D82" s="24" t="s">
        <v>212</v>
      </c>
      <c r="E82" s="24" t="s">
        <v>86</v>
      </c>
      <c r="F82" s="24">
        <v>1</v>
      </c>
      <c r="G82" s="24" t="s">
        <v>24</v>
      </c>
      <c r="H82" s="23" t="s">
        <v>213</v>
      </c>
      <c r="I82" s="23">
        <v>10</v>
      </c>
      <c r="J82" s="23" t="s">
        <v>78</v>
      </c>
      <c r="K82" s="25">
        <v>902</v>
      </c>
      <c r="L82" s="25"/>
      <c r="M82" s="25" t="e">
        <f>VLOOKUP(A:A,[1]进仓汇总!A$1:G$65536,7,0)</f>
        <v>#N/A</v>
      </c>
      <c r="N82" s="26" t="s">
        <v>79</v>
      </c>
      <c r="O82" s="26"/>
    </row>
    <row r="83" spans="1:19">
      <c r="A83" s="42"/>
      <c r="B83" s="6" t="s">
        <v>202</v>
      </c>
      <c r="C83" s="23" t="s">
        <v>214</v>
      </c>
      <c r="D83" s="24" t="s">
        <v>215</v>
      </c>
      <c r="E83" s="24" t="s">
        <v>66</v>
      </c>
      <c r="F83" s="24">
        <v>1</v>
      </c>
      <c r="G83" s="24" t="s">
        <v>24</v>
      </c>
      <c r="H83" s="23" t="s">
        <v>216</v>
      </c>
      <c r="I83" s="23">
        <v>10</v>
      </c>
      <c r="J83" s="23" t="s">
        <v>78</v>
      </c>
      <c r="K83" s="25">
        <v>902</v>
      </c>
      <c r="L83" s="25"/>
      <c r="M83" s="25" t="e">
        <f>VLOOKUP(A:A,[1]进仓汇总!A$1:G$65536,7,0)</f>
        <v>#N/A</v>
      </c>
      <c r="N83" s="26" t="s">
        <v>79</v>
      </c>
      <c r="O83" s="26"/>
    </row>
    <row r="84" spans="1:19">
      <c r="A84" s="41"/>
      <c r="B84" s="6" t="s">
        <v>202</v>
      </c>
      <c r="C84" s="23">
        <v>301040009</v>
      </c>
      <c r="D84" s="24" t="s">
        <v>217</v>
      </c>
      <c r="E84" s="24" t="s">
        <v>127</v>
      </c>
      <c r="F84" s="24">
        <v>4</v>
      </c>
      <c r="G84" s="24" t="s">
        <v>94</v>
      </c>
      <c r="H84" s="23" t="s">
        <v>218</v>
      </c>
      <c r="I84" s="23">
        <v>40</v>
      </c>
      <c r="J84" s="23" t="s">
        <v>219</v>
      </c>
      <c r="K84" s="25" t="s">
        <v>104</v>
      </c>
      <c r="L84" s="25"/>
      <c r="M84" s="25" t="e">
        <f>VLOOKUP(A:A,[1]进仓汇总!A$1:G$65536,7,0)</f>
        <v>#N/A</v>
      </c>
      <c r="N84" s="26" t="s">
        <v>79</v>
      </c>
      <c r="O84" s="26"/>
    </row>
    <row r="85" spans="1:19">
      <c r="A85" s="40" t="s">
        <v>1114</v>
      </c>
      <c r="B85" s="6" t="s">
        <v>220</v>
      </c>
      <c r="C85" s="23">
        <v>301040002</v>
      </c>
      <c r="D85" s="24" t="s">
        <v>161</v>
      </c>
      <c r="E85" s="24" t="s">
        <v>107</v>
      </c>
      <c r="F85" s="24">
        <v>2</v>
      </c>
      <c r="G85" s="24" t="s">
        <v>24</v>
      </c>
      <c r="H85" s="23" t="s">
        <v>204</v>
      </c>
      <c r="I85" s="23">
        <v>0</v>
      </c>
      <c r="J85" s="23" t="s">
        <v>221</v>
      </c>
      <c r="K85" s="25">
        <v>901</v>
      </c>
      <c r="L85" s="25"/>
      <c r="M85" s="25" t="e">
        <f>VLOOKUP(A:A,[1]进仓汇总!A$1:G$65536,7,0)</f>
        <v>#N/A</v>
      </c>
      <c r="N85" s="26" t="s">
        <v>79</v>
      </c>
      <c r="O85" s="26"/>
    </row>
    <row r="86" spans="1:19">
      <c r="A86" s="42"/>
      <c r="B86" s="6" t="s">
        <v>220</v>
      </c>
      <c r="C86" s="23" t="s">
        <v>222</v>
      </c>
      <c r="D86" s="24" t="s">
        <v>206</v>
      </c>
      <c r="E86" s="24" t="s">
        <v>207</v>
      </c>
      <c r="F86" s="24">
        <v>1</v>
      </c>
      <c r="G86" s="24" t="s">
        <v>24</v>
      </c>
      <c r="H86" s="23" t="s">
        <v>208</v>
      </c>
      <c r="I86" s="23">
        <v>0</v>
      </c>
      <c r="J86" s="23" t="s">
        <v>26</v>
      </c>
      <c r="K86" s="25">
        <v>901</v>
      </c>
      <c r="L86" s="25"/>
      <c r="M86" s="25" t="e">
        <f>VLOOKUP(A:A,[1]进仓汇总!A$1:G$65536,7,0)</f>
        <v>#N/A</v>
      </c>
      <c r="N86" s="26" t="s">
        <v>79</v>
      </c>
      <c r="O86" s="26"/>
    </row>
    <row r="87" spans="1:19">
      <c r="A87" s="42"/>
      <c r="B87" s="6" t="s">
        <v>220</v>
      </c>
      <c r="C87" s="23">
        <v>301040003</v>
      </c>
      <c r="D87" s="24" t="s">
        <v>223</v>
      </c>
      <c r="E87" s="24" t="s">
        <v>86</v>
      </c>
      <c r="F87" s="24">
        <v>1</v>
      </c>
      <c r="G87" s="24" t="s">
        <v>24</v>
      </c>
      <c r="H87" s="23" t="s">
        <v>210</v>
      </c>
      <c r="I87" s="23">
        <v>0</v>
      </c>
      <c r="J87" s="23" t="s">
        <v>26</v>
      </c>
      <c r="K87" s="25">
        <v>901</v>
      </c>
      <c r="L87" s="25"/>
      <c r="M87" s="25" t="e">
        <f>VLOOKUP(A:A,[1]进仓汇总!A$1:G$65536,7,0)</f>
        <v>#N/A</v>
      </c>
      <c r="N87" s="26" t="s">
        <v>79</v>
      </c>
      <c r="O87" s="26"/>
    </row>
    <row r="88" spans="1:19">
      <c r="A88" s="42"/>
      <c r="B88" s="6" t="s">
        <v>220</v>
      </c>
      <c r="C88" s="23">
        <v>301040004</v>
      </c>
      <c r="D88" s="24" t="s">
        <v>224</v>
      </c>
      <c r="E88" s="24" t="s">
        <v>66</v>
      </c>
      <c r="F88" s="24">
        <v>1</v>
      </c>
      <c r="G88" s="24" t="s">
        <v>24</v>
      </c>
      <c r="H88" s="23" t="s">
        <v>216</v>
      </c>
      <c r="I88" s="23">
        <v>0</v>
      </c>
      <c r="J88" s="23" t="s">
        <v>26</v>
      </c>
      <c r="K88" s="25">
        <v>901</v>
      </c>
      <c r="L88" s="25"/>
      <c r="M88" s="25" t="e">
        <f>VLOOKUP(A:A,[1]进仓汇总!A$1:G$65536,7,0)</f>
        <v>#N/A</v>
      </c>
      <c r="N88" s="26" t="s">
        <v>79</v>
      </c>
      <c r="O88" s="26"/>
    </row>
    <row r="89" spans="1:19">
      <c r="A89" s="42"/>
      <c r="B89" s="6" t="s">
        <v>220</v>
      </c>
      <c r="C89" s="23">
        <v>301040006</v>
      </c>
      <c r="D89" s="24" t="s">
        <v>196</v>
      </c>
      <c r="E89" s="24" t="s">
        <v>86</v>
      </c>
      <c r="F89" s="24">
        <v>1</v>
      </c>
      <c r="G89" s="24" t="s">
        <v>24</v>
      </c>
      <c r="H89" s="23" t="s">
        <v>213</v>
      </c>
      <c r="I89" s="23">
        <v>0</v>
      </c>
      <c r="J89" s="23" t="s">
        <v>26</v>
      </c>
      <c r="K89" s="25">
        <v>901</v>
      </c>
      <c r="L89" s="25"/>
      <c r="M89" s="25" t="e">
        <f>VLOOKUP(A:A,[1]进仓汇总!A$1:G$65536,7,0)</f>
        <v>#N/A</v>
      </c>
      <c r="N89" s="26" t="s">
        <v>79</v>
      </c>
      <c r="O89" s="26"/>
    </row>
    <row r="90" spans="1:19">
      <c r="A90" s="41"/>
      <c r="B90" s="6" t="s">
        <v>220</v>
      </c>
      <c r="C90" s="23" t="s">
        <v>225</v>
      </c>
      <c r="D90" s="24" t="s">
        <v>217</v>
      </c>
      <c r="E90" s="24" t="s">
        <v>32</v>
      </c>
      <c r="F90" s="24" t="s">
        <v>226</v>
      </c>
      <c r="G90" s="24" t="s">
        <v>94</v>
      </c>
      <c r="H90" s="23" t="s">
        <v>227</v>
      </c>
      <c r="I90" s="23">
        <v>0</v>
      </c>
      <c r="J90" s="23"/>
      <c r="K90" s="25" t="s">
        <v>104</v>
      </c>
      <c r="L90" s="25"/>
      <c r="M90" s="25" t="e">
        <f>VLOOKUP(A:A,[1]进仓汇总!A$1:G$65536,7,0)</f>
        <v>#N/A</v>
      </c>
      <c r="N90" s="26" t="s">
        <v>79</v>
      </c>
      <c r="O90" s="26"/>
    </row>
    <row r="91" spans="1:19">
      <c r="A91" s="23" t="s">
        <v>1115</v>
      </c>
      <c r="B91" s="6" t="s">
        <v>220</v>
      </c>
      <c r="C91" s="24"/>
      <c r="D91" s="24" t="s">
        <v>228</v>
      </c>
      <c r="E91" s="24" t="s">
        <v>97</v>
      </c>
      <c r="F91" s="24">
        <v>1</v>
      </c>
      <c r="G91" s="24" t="s">
        <v>24</v>
      </c>
      <c r="H91" s="23" t="s">
        <v>184</v>
      </c>
      <c r="I91" s="23">
        <v>0</v>
      </c>
      <c r="J91" s="23"/>
      <c r="K91" s="25">
        <v>901</v>
      </c>
      <c r="L91" s="25"/>
      <c r="M91" s="25" t="e">
        <f>VLOOKUP(A:A,[1]进仓汇总!A$1:G$65536,7,0)</f>
        <v>#N/A</v>
      </c>
      <c r="N91" s="26" t="s">
        <v>79</v>
      </c>
      <c r="O91" s="26"/>
    </row>
    <row r="92" spans="1:19">
      <c r="A92" s="23" t="s">
        <v>1116</v>
      </c>
      <c r="B92" s="6" t="s">
        <v>220</v>
      </c>
      <c r="C92" s="24"/>
      <c r="D92" s="24" t="s">
        <v>229</v>
      </c>
      <c r="E92" s="24" t="s">
        <v>82</v>
      </c>
      <c r="F92" s="24">
        <v>1</v>
      </c>
      <c r="G92" s="24" t="s">
        <v>24</v>
      </c>
      <c r="H92" s="23" t="s">
        <v>70</v>
      </c>
      <c r="I92" s="23">
        <v>0</v>
      </c>
      <c r="J92" s="23" t="s">
        <v>26</v>
      </c>
      <c r="K92" s="25" t="s">
        <v>230</v>
      </c>
      <c r="L92" s="25"/>
      <c r="M92" s="25" t="e">
        <f>VLOOKUP(A:A,[1]进仓汇总!A$1:G$65536,7,0)</f>
        <v>#N/A</v>
      </c>
      <c r="N92" s="26" t="s">
        <v>79</v>
      </c>
      <c r="O92" s="26"/>
    </row>
    <row r="93" spans="1:19">
      <c r="A93" s="23" t="s">
        <v>1117</v>
      </c>
      <c r="B93" s="6" t="s">
        <v>231</v>
      </c>
      <c r="C93" s="24"/>
      <c r="D93" s="24" t="s">
        <v>231</v>
      </c>
      <c r="E93" s="24" t="s">
        <v>232</v>
      </c>
      <c r="F93" s="24"/>
      <c r="G93" s="24"/>
      <c r="H93" s="23"/>
      <c r="I93" s="23">
        <v>0</v>
      </c>
      <c r="J93" s="23"/>
      <c r="K93" s="25" t="s">
        <v>201</v>
      </c>
      <c r="L93" s="25"/>
      <c r="M93" s="25" t="e">
        <f>VLOOKUP(A:A,[1]进仓汇总!A$1:G$65536,7,0)</f>
        <v>#N/A</v>
      </c>
      <c r="N93" s="26" t="s">
        <v>79</v>
      </c>
      <c r="O93" s="26"/>
      <c r="Q93" s="13"/>
      <c r="R93" s="13"/>
      <c r="S93" s="13"/>
    </row>
    <row r="94" spans="1:19" s="13" customFormat="1">
      <c r="A94" s="40" t="s">
        <v>1118</v>
      </c>
      <c r="B94" s="6" t="s">
        <v>233</v>
      </c>
      <c r="C94" s="23" t="s">
        <v>234</v>
      </c>
      <c r="D94" s="24" t="s">
        <v>152</v>
      </c>
      <c r="E94" s="24" t="s">
        <v>123</v>
      </c>
      <c r="F94" s="24">
        <v>1</v>
      </c>
      <c r="G94" s="24" t="s">
        <v>24</v>
      </c>
      <c r="H94" s="23" t="s">
        <v>153</v>
      </c>
      <c r="I94" s="23">
        <v>0</v>
      </c>
      <c r="J94" s="23" t="s">
        <v>78</v>
      </c>
      <c r="K94" s="25">
        <v>906</v>
      </c>
      <c r="L94" s="25"/>
      <c r="M94" s="25" t="e">
        <f>VLOOKUP(A:A,[1]进仓汇总!A$1:G$65536,7,0)</f>
        <v>#N/A</v>
      </c>
      <c r="N94" s="26" t="s">
        <v>235</v>
      </c>
      <c r="O94" s="26"/>
      <c r="Q94" s="9"/>
      <c r="R94" s="9"/>
      <c r="S94" s="9"/>
    </row>
    <row r="95" spans="1:19">
      <c r="A95" s="42"/>
      <c r="B95" s="6" t="s">
        <v>233</v>
      </c>
      <c r="C95" s="23">
        <v>301110009</v>
      </c>
      <c r="D95" s="24" t="s">
        <v>155</v>
      </c>
      <c r="E95" s="24" t="s">
        <v>236</v>
      </c>
      <c r="F95" s="24">
        <v>1</v>
      </c>
      <c r="G95" s="24" t="s">
        <v>24</v>
      </c>
      <c r="H95" s="23" t="s">
        <v>156</v>
      </c>
      <c r="I95" s="23">
        <v>0</v>
      </c>
      <c r="J95" s="23" t="s">
        <v>78</v>
      </c>
      <c r="K95" s="25">
        <v>906</v>
      </c>
      <c r="L95" s="25"/>
      <c r="M95" s="25" t="e">
        <f>VLOOKUP(A:A,[1]进仓汇总!A$1:G$65536,7,0)</f>
        <v>#N/A</v>
      </c>
      <c r="N95" s="26" t="s">
        <v>235</v>
      </c>
      <c r="O95" s="26"/>
    </row>
    <row r="96" spans="1:19">
      <c r="A96" s="41"/>
      <c r="B96" s="6" t="s">
        <v>233</v>
      </c>
      <c r="C96" s="23">
        <v>301110010</v>
      </c>
      <c r="D96" s="24" t="s">
        <v>158</v>
      </c>
      <c r="E96" s="24" t="s">
        <v>237</v>
      </c>
      <c r="F96" s="24">
        <v>1</v>
      </c>
      <c r="G96" s="24" t="s">
        <v>24</v>
      </c>
      <c r="H96" s="23" t="s">
        <v>159</v>
      </c>
      <c r="I96" s="23">
        <v>0</v>
      </c>
      <c r="J96" s="23" t="s">
        <v>78</v>
      </c>
      <c r="K96" s="25">
        <v>906</v>
      </c>
      <c r="L96" s="25"/>
      <c r="M96" s="25" t="e">
        <f>VLOOKUP(A:A,[1]进仓汇总!A$1:G$65536,7,0)</f>
        <v>#N/A</v>
      </c>
      <c r="N96" s="26" t="s">
        <v>235</v>
      </c>
      <c r="O96" s="26"/>
    </row>
    <row r="97" spans="1:15">
      <c r="A97" s="40" t="s">
        <v>1119</v>
      </c>
      <c r="B97" s="6" t="s">
        <v>238</v>
      </c>
      <c r="C97" s="23" t="s">
        <v>239</v>
      </c>
      <c r="D97" s="24" t="s">
        <v>161</v>
      </c>
      <c r="E97" s="24" t="s">
        <v>180</v>
      </c>
      <c r="F97" s="24">
        <v>2</v>
      </c>
      <c r="G97" s="24" t="s">
        <v>24</v>
      </c>
      <c r="H97" s="23" t="s">
        <v>240</v>
      </c>
      <c r="I97" s="23">
        <v>0</v>
      </c>
      <c r="J97" s="23" t="s">
        <v>26</v>
      </c>
      <c r="K97" s="25">
        <v>904</v>
      </c>
      <c r="L97" s="25"/>
      <c r="M97" s="25" t="e">
        <f>VLOOKUP(A:A,[1]进仓汇总!A$1:G$65536,7,0)</f>
        <v>#N/A</v>
      </c>
      <c r="N97" s="26" t="s">
        <v>235</v>
      </c>
      <c r="O97" s="26"/>
    </row>
    <row r="98" spans="1:15">
      <c r="A98" s="42"/>
      <c r="B98" s="6" t="s">
        <v>238</v>
      </c>
      <c r="C98" s="23">
        <v>301040011</v>
      </c>
      <c r="D98" s="24" t="s">
        <v>186</v>
      </c>
      <c r="E98" s="24" t="s">
        <v>207</v>
      </c>
      <c r="F98" s="24">
        <v>1</v>
      </c>
      <c r="G98" s="24" t="s">
        <v>24</v>
      </c>
      <c r="H98" s="23" t="s">
        <v>208</v>
      </c>
      <c r="I98" s="23">
        <v>0</v>
      </c>
      <c r="J98" s="23" t="s">
        <v>26</v>
      </c>
      <c r="K98" s="25">
        <v>904</v>
      </c>
      <c r="L98" s="25"/>
      <c r="M98" s="25" t="e">
        <f>VLOOKUP(A:A,[1]进仓汇总!A$1:G$65536,7,0)</f>
        <v>#N/A</v>
      </c>
      <c r="N98" s="26" t="s">
        <v>235</v>
      </c>
      <c r="O98" s="26"/>
    </row>
    <row r="99" spans="1:15">
      <c r="A99" s="42"/>
      <c r="B99" s="6" t="s">
        <v>238</v>
      </c>
      <c r="C99" s="23">
        <v>301040012</v>
      </c>
      <c r="D99" s="24" t="s">
        <v>155</v>
      </c>
      <c r="E99" s="24" t="s">
        <v>237</v>
      </c>
      <c r="F99" s="24">
        <v>1</v>
      </c>
      <c r="G99" s="24" t="s">
        <v>24</v>
      </c>
      <c r="H99" s="23" t="s">
        <v>210</v>
      </c>
      <c r="I99" s="23">
        <v>0</v>
      </c>
      <c r="J99" s="23" t="s">
        <v>26</v>
      </c>
      <c r="K99" s="25">
        <v>904</v>
      </c>
      <c r="L99" s="25"/>
      <c r="M99" s="25" t="e">
        <f>VLOOKUP(A:A,[1]进仓汇总!A$1:G$65536,7,0)</f>
        <v>#N/A</v>
      </c>
      <c r="N99" s="26" t="s">
        <v>235</v>
      </c>
      <c r="O99" s="26"/>
    </row>
    <row r="100" spans="1:15">
      <c r="A100" s="42"/>
      <c r="B100" s="6" t="s">
        <v>238</v>
      </c>
      <c r="C100" s="23">
        <v>301040013</v>
      </c>
      <c r="D100" s="24" t="s">
        <v>212</v>
      </c>
      <c r="E100" s="24" t="s">
        <v>237</v>
      </c>
      <c r="F100" s="24">
        <v>1</v>
      </c>
      <c r="G100" s="24" t="s">
        <v>24</v>
      </c>
      <c r="H100" s="23" t="s">
        <v>213</v>
      </c>
      <c r="I100" s="23">
        <v>0</v>
      </c>
      <c r="J100" s="23" t="s">
        <v>26</v>
      </c>
      <c r="K100" s="25">
        <v>904</v>
      </c>
      <c r="L100" s="25"/>
      <c r="M100" s="25" t="e">
        <f>VLOOKUP(A:A,[1]进仓汇总!A$1:G$65536,7,0)</f>
        <v>#N/A</v>
      </c>
      <c r="N100" s="26" t="s">
        <v>235</v>
      </c>
      <c r="O100" s="26"/>
    </row>
    <row r="101" spans="1:15">
      <c r="A101" s="42"/>
      <c r="B101" s="6" t="s">
        <v>238</v>
      </c>
      <c r="C101" s="23" t="s">
        <v>241</v>
      </c>
      <c r="D101" s="24" t="s">
        <v>215</v>
      </c>
      <c r="E101" s="24" t="s">
        <v>66</v>
      </c>
      <c r="F101" s="24">
        <v>1</v>
      </c>
      <c r="G101" s="24" t="s">
        <v>24</v>
      </c>
      <c r="H101" s="23" t="s">
        <v>216</v>
      </c>
      <c r="I101" s="23">
        <v>0</v>
      </c>
      <c r="J101" s="23" t="s">
        <v>26</v>
      </c>
      <c r="K101" s="25">
        <v>904</v>
      </c>
      <c r="L101" s="25"/>
      <c r="M101" s="25" t="e">
        <f>VLOOKUP(A:A,[1]进仓汇总!A$1:G$65536,7,0)</f>
        <v>#N/A</v>
      </c>
      <c r="N101" s="26" t="s">
        <v>235</v>
      </c>
      <c r="O101" s="26"/>
    </row>
    <row r="102" spans="1:15">
      <c r="A102" s="42"/>
      <c r="B102" s="6" t="s">
        <v>238</v>
      </c>
      <c r="C102" s="23">
        <v>301040014</v>
      </c>
      <c r="D102" s="24" t="s">
        <v>242</v>
      </c>
      <c r="E102" s="24" t="s">
        <v>243</v>
      </c>
      <c r="F102" s="24">
        <v>4</v>
      </c>
      <c r="G102" s="24" t="s">
        <v>94</v>
      </c>
      <c r="H102" s="23" t="s">
        <v>218</v>
      </c>
      <c r="I102" s="23">
        <v>0</v>
      </c>
      <c r="J102" s="23"/>
      <c r="K102" s="25" t="s">
        <v>104</v>
      </c>
      <c r="L102" s="25"/>
      <c r="M102" s="25" t="e">
        <f>VLOOKUP(A:A,[1]进仓汇总!A$1:G$65536,7,0)</f>
        <v>#N/A</v>
      </c>
      <c r="N102" s="26" t="s">
        <v>235</v>
      </c>
      <c r="O102" s="26"/>
    </row>
    <row r="103" spans="1:15">
      <c r="A103" s="41"/>
      <c r="B103" s="6" t="s">
        <v>238</v>
      </c>
      <c r="C103" s="23">
        <v>301040015</v>
      </c>
      <c r="D103" s="24" t="s">
        <v>244</v>
      </c>
      <c r="E103" s="24" t="s">
        <v>245</v>
      </c>
      <c r="F103" s="24">
        <v>1</v>
      </c>
      <c r="G103" s="24" t="s">
        <v>24</v>
      </c>
      <c r="H103" s="23" t="s">
        <v>246</v>
      </c>
      <c r="I103" s="23">
        <v>0</v>
      </c>
      <c r="J103" s="23"/>
      <c r="K103" s="25">
        <v>904</v>
      </c>
      <c r="L103" s="25">
        <v>38</v>
      </c>
      <c r="M103" s="25" t="e">
        <f>VLOOKUP(A:A,[1]进仓汇总!A$1:G$65536,7,0)</f>
        <v>#N/A</v>
      </c>
      <c r="N103" s="26" t="s">
        <v>235</v>
      </c>
      <c r="O103" s="26"/>
    </row>
    <row r="104" spans="1:15">
      <c r="A104" s="40" t="s">
        <v>1120</v>
      </c>
      <c r="B104" s="6" t="s">
        <v>247</v>
      </c>
      <c r="C104" s="23" t="s">
        <v>248</v>
      </c>
      <c r="D104" s="24" t="s">
        <v>135</v>
      </c>
      <c r="E104" s="24" t="s">
        <v>145</v>
      </c>
      <c r="F104" s="24">
        <v>1</v>
      </c>
      <c r="G104" s="24" t="s">
        <v>24</v>
      </c>
      <c r="H104" s="23" t="s">
        <v>136</v>
      </c>
      <c r="I104" s="23">
        <v>0</v>
      </c>
      <c r="J104" s="23" t="s">
        <v>78</v>
      </c>
      <c r="K104" s="25">
        <v>908</v>
      </c>
      <c r="L104" s="25"/>
      <c r="M104" s="25" t="e">
        <f>VLOOKUP(A:A,[1]进仓汇总!A$1:G$65536,7,0)</f>
        <v>#N/A</v>
      </c>
      <c r="N104" s="26" t="s">
        <v>235</v>
      </c>
      <c r="O104" s="26"/>
    </row>
    <row r="105" spans="1:15">
      <c r="A105" s="41"/>
      <c r="B105" s="6" t="s">
        <v>247</v>
      </c>
      <c r="C105" s="23">
        <v>301070005</v>
      </c>
      <c r="D105" s="24" t="s">
        <v>139</v>
      </c>
      <c r="E105" s="24" t="s">
        <v>237</v>
      </c>
      <c r="F105" s="24">
        <v>1</v>
      </c>
      <c r="G105" s="24" t="s">
        <v>24</v>
      </c>
      <c r="H105" s="23" t="s">
        <v>140</v>
      </c>
      <c r="I105" s="23">
        <v>0</v>
      </c>
      <c r="J105" s="23" t="s">
        <v>78</v>
      </c>
      <c r="K105" s="25">
        <v>908</v>
      </c>
      <c r="L105" s="25"/>
      <c r="M105" s="25" t="e">
        <f>VLOOKUP(A:A,[1]进仓汇总!A$1:G$65536,7,0)</f>
        <v>#N/A</v>
      </c>
      <c r="N105" s="26" t="s">
        <v>235</v>
      </c>
      <c r="O105" s="26"/>
    </row>
    <row r="106" spans="1:15">
      <c r="A106" s="40" t="s">
        <v>1121</v>
      </c>
      <c r="B106" s="6" t="s">
        <v>249</v>
      </c>
      <c r="C106" s="23" t="s">
        <v>250</v>
      </c>
      <c r="D106" s="24" t="s">
        <v>135</v>
      </c>
      <c r="E106" s="24" t="s">
        <v>145</v>
      </c>
      <c r="F106" s="24">
        <v>1</v>
      </c>
      <c r="G106" s="24" t="s">
        <v>24</v>
      </c>
      <c r="H106" s="23" t="s">
        <v>136</v>
      </c>
      <c r="I106" s="23">
        <v>0</v>
      </c>
      <c r="J106" s="23" t="s">
        <v>78</v>
      </c>
      <c r="K106" s="25">
        <v>908</v>
      </c>
      <c r="L106" s="25"/>
      <c r="M106" s="25" t="e">
        <f>VLOOKUP(A:A,[1]进仓汇总!A$1:G$65536,7,0)</f>
        <v>#N/A</v>
      </c>
      <c r="N106" s="26" t="s">
        <v>235</v>
      </c>
      <c r="O106" s="26"/>
    </row>
    <row r="107" spans="1:15">
      <c r="A107" s="41"/>
      <c r="B107" s="6" t="s">
        <v>249</v>
      </c>
      <c r="C107" s="23">
        <v>301080005</v>
      </c>
      <c r="D107" s="24" t="s">
        <v>139</v>
      </c>
      <c r="E107" s="24" t="s">
        <v>237</v>
      </c>
      <c r="F107" s="24">
        <v>1</v>
      </c>
      <c r="G107" s="24" t="s">
        <v>24</v>
      </c>
      <c r="H107" s="23" t="s">
        <v>140</v>
      </c>
      <c r="I107" s="23">
        <v>0</v>
      </c>
      <c r="J107" s="23" t="s">
        <v>78</v>
      </c>
      <c r="K107" s="25">
        <v>908</v>
      </c>
      <c r="L107" s="25"/>
      <c r="M107" s="25" t="e">
        <f>VLOOKUP(A:A,[1]进仓汇总!A$1:G$65536,7,0)</f>
        <v>#N/A</v>
      </c>
      <c r="N107" s="26" t="s">
        <v>235</v>
      </c>
      <c r="O107" s="26"/>
    </row>
    <row r="108" spans="1:15">
      <c r="A108" s="40" t="s">
        <v>1122</v>
      </c>
      <c r="B108" s="6" t="s">
        <v>251</v>
      </c>
      <c r="C108" s="23">
        <v>301010018</v>
      </c>
      <c r="D108" s="24" t="s">
        <v>252</v>
      </c>
      <c r="E108" s="24" t="s">
        <v>145</v>
      </c>
      <c r="F108" s="24">
        <v>1</v>
      </c>
      <c r="G108" s="24" t="s">
        <v>24</v>
      </c>
      <c r="H108" s="23" t="s">
        <v>108</v>
      </c>
      <c r="I108" s="23">
        <v>0</v>
      </c>
      <c r="J108" s="23" t="s">
        <v>26</v>
      </c>
      <c r="K108" s="25">
        <v>1010</v>
      </c>
      <c r="L108" s="25">
        <v>1060</v>
      </c>
      <c r="M108" s="25" t="e">
        <f>VLOOKUP(A:A,[1]进仓汇总!A$1:G$65536,7,0)</f>
        <v>#N/A</v>
      </c>
      <c r="N108" s="26" t="s">
        <v>235</v>
      </c>
      <c r="O108" s="26"/>
    </row>
    <row r="109" spans="1:15">
      <c r="A109" s="42"/>
      <c r="B109" s="6" t="s">
        <v>251</v>
      </c>
      <c r="C109" s="23" t="s">
        <v>253</v>
      </c>
      <c r="D109" s="24" t="s">
        <v>85</v>
      </c>
      <c r="E109" s="24" t="s">
        <v>237</v>
      </c>
      <c r="F109" s="24">
        <v>1</v>
      </c>
      <c r="G109" s="24" t="s">
        <v>24</v>
      </c>
      <c r="H109" s="23" t="s">
        <v>254</v>
      </c>
      <c r="I109" s="23">
        <v>0</v>
      </c>
      <c r="J109" s="23" t="s">
        <v>26</v>
      </c>
      <c r="K109" s="25">
        <v>1010</v>
      </c>
      <c r="L109" s="25">
        <v>0</v>
      </c>
      <c r="M109" s="25" t="e">
        <f>VLOOKUP(A:A,[1]进仓汇总!A$1:G$65536,7,0)</f>
        <v>#N/A</v>
      </c>
      <c r="N109" s="26" t="s">
        <v>235</v>
      </c>
      <c r="O109" s="26"/>
    </row>
    <row r="110" spans="1:15">
      <c r="A110" s="42"/>
      <c r="B110" s="6" t="s">
        <v>251</v>
      </c>
      <c r="C110" s="23" t="s">
        <v>255</v>
      </c>
      <c r="D110" s="24" t="s">
        <v>256</v>
      </c>
      <c r="E110" s="24" t="s">
        <v>237</v>
      </c>
      <c r="F110" s="24">
        <v>1</v>
      </c>
      <c r="G110" s="24" t="s">
        <v>24</v>
      </c>
      <c r="H110" s="23" t="s">
        <v>257</v>
      </c>
      <c r="I110" s="23">
        <v>0</v>
      </c>
      <c r="J110" s="23" t="s">
        <v>26</v>
      </c>
      <c r="K110" s="25">
        <v>1010</v>
      </c>
      <c r="L110" s="25">
        <v>0</v>
      </c>
      <c r="M110" s="25" t="e">
        <f>VLOOKUP(A:A,[1]进仓汇总!A$1:G$65536,7,0)</f>
        <v>#N/A</v>
      </c>
      <c r="N110" s="26" t="s">
        <v>235</v>
      </c>
      <c r="O110" s="26"/>
    </row>
    <row r="111" spans="1:15">
      <c r="A111" s="42"/>
      <c r="B111" s="6" t="s">
        <v>251</v>
      </c>
      <c r="C111" s="23">
        <v>301010021</v>
      </c>
      <c r="D111" s="24" t="s">
        <v>258</v>
      </c>
      <c r="E111" s="24" t="s">
        <v>259</v>
      </c>
      <c r="F111" s="24">
        <v>1</v>
      </c>
      <c r="G111" s="24" t="s">
        <v>24</v>
      </c>
      <c r="H111" s="23" t="s">
        <v>260</v>
      </c>
      <c r="I111" s="23">
        <v>0</v>
      </c>
      <c r="J111" s="23" t="s">
        <v>26</v>
      </c>
      <c r="K111" s="25">
        <v>1010</v>
      </c>
      <c r="L111" s="25">
        <v>0</v>
      </c>
      <c r="M111" s="25" t="e">
        <f>VLOOKUP(A:A,[1]进仓汇总!A$1:G$65536,7,0)</f>
        <v>#N/A</v>
      </c>
      <c r="N111" s="26" t="s">
        <v>235</v>
      </c>
      <c r="O111" s="26"/>
    </row>
    <row r="112" spans="1:15">
      <c r="A112" s="42"/>
      <c r="B112" s="6" t="s">
        <v>251</v>
      </c>
      <c r="C112" s="23">
        <v>301010022</v>
      </c>
      <c r="D112" s="24" t="s">
        <v>261</v>
      </c>
      <c r="E112" s="24" t="s">
        <v>262</v>
      </c>
      <c r="F112" s="24">
        <v>1</v>
      </c>
      <c r="G112" s="24" t="s">
        <v>24</v>
      </c>
      <c r="H112" s="23" t="s">
        <v>263</v>
      </c>
      <c r="I112" s="23">
        <v>0</v>
      </c>
      <c r="J112" s="23" t="s">
        <v>26</v>
      </c>
      <c r="K112" s="25">
        <v>1010</v>
      </c>
      <c r="L112" s="25">
        <v>0</v>
      </c>
      <c r="M112" s="25" t="e">
        <f>VLOOKUP(A:A,[1]进仓汇总!A$1:G$65536,7,0)</f>
        <v>#N/A</v>
      </c>
      <c r="N112" s="26" t="s">
        <v>235</v>
      </c>
      <c r="O112" s="26"/>
    </row>
    <row r="113" spans="1:15">
      <c r="A113" s="41"/>
      <c r="B113" s="6" t="s">
        <v>251</v>
      </c>
      <c r="C113" s="23" t="s">
        <v>264</v>
      </c>
      <c r="D113" s="24" t="s">
        <v>265</v>
      </c>
      <c r="E113" s="24" t="s">
        <v>266</v>
      </c>
      <c r="F113" s="24">
        <v>1</v>
      </c>
      <c r="G113" s="24" t="s">
        <v>24</v>
      </c>
      <c r="H113" s="23" t="s">
        <v>42</v>
      </c>
      <c r="I113" s="23">
        <v>0</v>
      </c>
      <c r="J113" s="23"/>
      <c r="K113" s="25">
        <v>1010</v>
      </c>
      <c r="L113" s="25">
        <v>0</v>
      </c>
      <c r="M113" s="25" t="e">
        <f>VLOOKUP(A:A,[1]进仓汇总!A$1:G$65536,7,0)</f>
        <v>#N/A</v>
      </c>
      <c r="N113" s="26" t="s">
        <v>235</v>
      </c>
      <c r="O113" s="26"/>
    </row>
    <row r="114" spans="1:15">
      <c r="A114" s="40" t="s">
        <v>1123</v>
      </c>
      <c r="B114" s="6" t="s">
        <v>267</v>
      </c>
      <c r="C114" s="23">
        <v>301010025</v>
      </c>
      <c r="D114" s="24" t="s">
        <v>252</v>
      </c>
      <c r="E114" s="24" t="s">
        <v>145</v>
      </c>
      <c r="F114" s="24">
        <v>1</v>
      </c>
      <c r="G114" s="24" t="s">
        <v>24</v>
      </c>
      <c r="H114" s="23" t="s">
        <v>108</v>
      </c>
      <c r="I114" s="23">
        <v>0</v>
      </c>
      <c r="J114" s="23" t="s">
        <v>26</v>
      </c>
      <c r="K114" s="25">
        <v>1007</v>
      </c>
      <c r="L114" s="25">
        <v>1060</v>
      </c>
      <c r="M114" s="25" t="e">
        <f>VLOOKUP(A:A,[1]进仓汇总!A$1:G$65536,7,0)</f>
        <v>#N/A</v>
      </c>
      <c r="N114" s="26" t="s">
        <v>235</v>
      </c>
      <c r="O114" s="26"/>
    </row>
    <row r="115" spans="1:15">
      <c r="A115" s="42"/>
      <c r="B115" s="6" t="s">
        <v>267</v>
      </c>
      <c r="C115" s="23" t="s">
        <v>268</v>
      </c>
      <c r="D115" s="24" t="s">
        <v>85</v>
      </c>
      <c r="E115" s="24" t="s">
        <v>237</v>
      </c>
      <c r="F115" s="24">
        <v>1</v>
      </c>
      <c r="G115" s="24" t="s">
        <v>24</v>
      </c>
      <c r="H115" s="23" t="s">
        <v>254</v>
      </c>
      <c r="I115" s="23">
        <v>0</v>
      </c>
      <c r="J115" s="23" t="s">
        <v>26</v>
      </c>
      <c r="K115" s="25">
        <v>1007</v>
      </c>
      <c r="L115" s="25">
        <v>0</v>
      </c>
      <c r="M115" s="25" t="e">
        <f>VLOOKUP(A:A,[1]进仓汇总!A$1:G$65536,7,0)</f>
        <v>#N/A</v>
      </c>
      <c r="N115" s="26" t="s">
        <v>235</v>
      </c>
      <c r="O115" s="26"/>
    </row>
    <row r="116" spans="1:15">
      <c r="A116" s="42"/>
      <c r="B116" s="6" t="s">
        <v>267</v>
      </c>
      <c r="C116" s="23" t="s">
        <v>269</v>
      </c>
      <c r="D116" s="24" t="s">
        <v>256</v>
      </c>
      <c r="E116" s="24" t="s">
        <v>237</v>
      </c>
      <c r="F116" s="24">
        <v>1</v>
      </c>
      <c r="G116" s="24" t="s">
        <v>24</v>
      </c>
      <c r="H116" s="23" t="s">
        <v>257</v>
      </c>
      <c r="I116" s="23">
        <v>0</v>
      </c>
      <c r="J116" s="23" t="s">
        <v>26</v>
      </c>
      <c r="K116" s="25">
        <v>1007</v>
      </c>
      <c r="L116" s="25">
        <v>0</v>
      </c>
      <c r="M116" s="25" t="e">
        <f>VLOOKUP(A:A,[1]进仓汇总!A$1:G$65536,7,0)</f>
        <v>#N/A</v>
      </c>
      <c r="N116" s="26" t="s">
        <v>235</v>
      </c>
      <c r="O116" s="26"/>
    </row>
    <row r="117" spans="1:15">
      <c r="A117" s="42"/>
      <c r="B117" s="6" t="s">
        <v>267</v>
      </c>
      <c r="C117" s="23">
        <v>301010026</v>
      </c>
      <c r="D117" s="24" t="s">
        <v>258</v>
      </c>
      <c r="E117" s="24" t="s">
        <v>259</v>
      </c>
      <c r="F117" s="24">
        <v>1</v>
      </c>
      <c r="G117" s="24" t="s">
        <v>24</v>
      </c>
      <c r="H117" s="23" t="s">
        <v>260</v>
      </c>
      <c r="I117" s="23">
        <v>0</v>
      </c>
      <c r="J117" s="23" t="s">
        <v>26</v>
      </c>
      <c r="K117" s="25">
        <v>1007</v>
      </c>
      <c r="L117" s="25">
        <v>0</v>
      </c>
      <c r="M117" s="25" t="e">
        <f>VLOOKUP(A:A,[1]进仓汇总!A$1:G$65536,7,0)</f>
        <v>#N/A</v>
      </c>
      <c r="N117" s="26" t="s">
        <v>235</v>
      </c>
      <c r="O117" s="26"/>
    </row>
    <row r="118" spans="1:15">
      <c r="A118" s="42"/>
      <c r="B118" s="6" t="s">
        <v>267</v>
      </c>
      <c r="C118" s="23">
        <v>301010027</v>
      </c>
      <c r="D118" s="24" t="s">
        <v>261</v>
      </c>
      <c r="E118" s="24" t="s">
        <v>262</v>
      </c>
      <c r="F118" s="24">
        <v>1</v>
      </c>
      <c r="G118" s="24" t="s">
        <v>24</v>
      </c>
      <c r="H118" s="23" t="s">
        <v>263</v>
      </c>
      <c r="I118" s="23">
        <v>0</v>
      </c>
      <c r="J118" s="23" t="s">
        <v>26</v>
      </c>
      <c r="K118" s="25">
        <v>1007</v>
      </c>
      <c r="L118" s="25">
        <v>0</v>
      </c>
      <c r="M118" s="25" t="e">
        <f>VLOOKUP(A:A,[1]进仓汇总!A$1:G$65536,7,0)</f>
        <v>#N/A</v>
      </c>
      <c r="N118" s="26" t="s">
        <v>235</v>
      </c>
      <c r="O118" s="26"/>
    </row>
    <row r="119" spans="1:15">
      <c r="A119" s="41"/>
      <c r="B119" s="6" t="s">
        <v>267</v>
      </c>
      <c r="C119" s="23" t="s">
        <v>270</v>
      </c>
      <c r="D119" s="24" t="s">
        <v>265</v>
      </c>
      <c r="E119" s="24" t="s">
        <v>266</v>
      </c>
      <c r="F119" s="24">
        <v>1</v>
      </c>
      <c r="G119" s="24" t="s">
        <v>24</v>
      </c>
      <c r="H119" s="23" t="s">
        <v>42</v>
      </c>
      <c r="I119" s="23">
        <v>0</v>
      </c>
      <c r="J119" s="23"/>
      <c r="K119" s="25">
        <v>1007</v>
      </c>
      <c r="L119" s="25">
        <v>0</v>
      </c>
      <c r="M119" s="25" t="e">
        <f>VLOOKUP(A:A,[1]进仓汇总!A$1:G$65536,7,0)</f>
        <v>#N/A</v>
      </c>
      <c r="N119" s="26" t="s">
        <v>235</v>
      </c>
      <c r="O119" s="26"/>
    </row>
    <row r="120" spans="1:15">
      <c r="A120" s="40" t="s">
        <v>1124</v>
      </c>
      <c r="B120" s="6" t="s">
        <v>271</v>
      </c>
      <c r="C120" s="23">
        <v>301010900</v>
      </c>
      <c r="D120" s="24" t="s">
        <v>272</v>
      </c>
      <c r="E120" s="24" t="s">
        <v>273</v>
      </c>
      <c r="F120" s="24">
        <v>1</v>
      </c>
      <c r="G120" s="24" t="s">
        <v>24</v>
      </c>
      <c r="H120" s="23"/>
      <c r="I120" s="23" t="e">
        <f>+VLOOKUP(A:A,[1]安全库存!A$1:I$65536,9,0)</f>
        <v>#N/A</v>
      </c>
      <c r="J120" s="23" t="s">
        <v>26</v>
      </c>
      <c r="K120" s="25">
        <v>1009</v>
      </c>
      <c r="L120" s="25">
        <v>1060</v>
      </c>
      <c r="M120" s="25" t="e">
        <f>VLOOKUP(A:A,[1]进仓汇总!A$1:G$65536,7,0)</f>
        <v>#N/A</v>
      </c>
      <c r="N120" s="26" t="s">
        <v>235</v>
      </c>
      <c r="O120" s="26"/>
    </row>
    <row r="121" spans="1:15">
      <c r="A121" s="42"/>
      <c r="B121" s="6" t="s">
        <v>274</v>
      </c>
      <c r="C121" s="23">
        <v>301010901</v>
      </c>
      <c r="D121" s="24" t="s">
        <v>275</v>
      </c>
      <c r="E121" s="24" t="s">
        <v>273</v>
      </c>
      <c r="F121" s="24">
        <v>1</v>
      </c>
      <c r="G121" s="24" t="s">
        <v>24</v>
      </c>
      <c r="H121" s="23"/>
      <c r="I121" s="23">
        <v>0</v>
      </c>
      <c r="J121" s="23" t="s">
        <v>26</v>
      </c>
      <c r="K121" s="25">
        <v>1009</v>
      </c>
      <c r="L121" s="25">
        <v>0</v>
      </c>
      <c r="M121" s="25" t="e">
        <f>VLOOKUP(A:A,[1]进仓汇总!A$1:G$65536,7,0)</f>
        <v>#N/A</v>
      </c>
      <c r="N121" s="26" t="s">
        <v>235</v>
      </c>
      <c r="O121" s="26"/>
    </row>
    <row r="122" spans="1:15">
      <c r="A122" s="42"/>
      <c r="B122" s="6" t="s">
        <v>274</v>
      </c>
      <c r="C122" s="23">
        <v>301010902</v>
      </c>
      <c r="D122" s="24" t="s">
        <v>276</v>
      </c>
      <c r="E122" s="24" t="s">
        <v>277</v>
      </c>
      <c r="F122" s="24">
        <v>1</v>
      </c>
      <c r="G122" s="24" t="s">
        <v>24</v>
      </c>
      <c r="H122" s="23"/>
      <c r="I122" s="23">
        <v>0</v>
      </c>
      <c r="J122" s="23" t="s">
        <v>26</v>
      </c>
      <c r="K122" s="25">
        <v>1009</v>
      </c>
      <c r="L122" s="25">
        <v>0</v>
      </c>
      <c r="M122" s="25" t="e">
        <f>VLOOKUP(A:A,[1]进仓汇总!A$1:G$65536,7,0)</f>
        <v>#N/A</v>
      </c>
      <c r="N122" s="26" t="s">
        <v>235</v>
      </c>
      <c r="O122" s="26"/>
    </row>
    <row r="123" spans="1:15">
      <c r="A123" s="42"/>
      <c r="B123" s="6" t="s">
        <v>274</v>
      </c>
      <c r="C123" s="23">
        <v>301010903</v>
      </c>
      <c r="D123" s="24" t="s">
        <v>278</v>
      </c>
      <c r="E123" s="24" t="s">
        <v>279</v>
      </c>
      <c r="F123" s="24">
        <v>1</v>
      </c>
      <c r="G123" s="24" t="s">
        <v>24</v>
      </c>
      <c r="H123" s="23"/>
      <c r="I123" s="23">
        <v>0</v>
      </c>
      <c r="J123" s="23" t="s">
        <v>26</v>
      </c>
      <c r="K123" s="25">
        <v>1009</v>
      </c>
      <c r="L123" s="25">
        <v>0</v>
      </c>
      <c r="M123" s="25" t="e">
        <f>VLOOKUP(A:A,[1]进仓汇总!A$1:G$65536,7,0)</f>
        <v>#N/A</v>
      </c>
      <c r="N123" s="26" t="s">
        <v>235</v>
      </c>
      <c r="O123" s="26"/>
    </row>
    <row r="124" spans="1:15">
      <c r="A124" s="41"/>
      <c r="B124" s="6" t="s">
        <v>274</v>
      </c>
      <c r="C124" s="23">
        <v>301010904</v>
      </c>
      <c r="D124" s="24" t="s">
        <v>256</v>
      </c>
      <c r="E124" s="24" t="s">
        <v>279</v>
      </c>
      <c r="F124" s="24">
        <v>1</v>
      </c>
      <c r="G124" s="24" t="s">
        <v>24</v>
      </c>
      <c r="H124" s="23"/>
      <c r="I124" s="23">
        <v>0</v>
      </c>
      <c r="J124" s="23" t="s">
        <v>26</v>
      </c>
      <c r="K124" s="25">
        <v>1009</v>
      </c>
      <c r="L124" s="25">
        <v>0</v>
      </c>
      <c r="M124" s="25" t="e">
        <f>VLOOKUP(A:A,[1]进仓汇总!A$1:G$65536,7,0)</f>
        <v>#N/A</v>
      </c>
      <c r="N124" s="26" t="s">
        <v>235</v>
      </c>
      <c r="O124" s="26"/>
    </row>
    <row r="125" spans="1:15">
      <c r="A125" s="40" t="s">
        <v>1125</v>
      </c>
      <c r="B125" s="6" t="s">
        <v>280</v>
      </c>
      <c r="C125" s="23">
        <v>301011000</v>
      </c>
      <c r="D125" s="24" t="s">
        <v>281</v>
      </c>
      <c r="E125" s="24" t="s">
        <v>273</v>
      </c>
      <c r="F125" s="24">
        <v>1</v>
      </c>
      <c r="G125" s="24" t="s">
        <v>24</v>
      </c>
      <c r="H125" s="23"/>
      <c r="I125" s="23" t="e">
        <f>+VLOOKUP(A:A,[1]安全库存!A$1:I$65536,9,0)</f>
        <v>#N/A</v>
      </c>
      <c r="J125" s="23" t="s">
        <v>26</v>
      </c>
      <c r="K125" s="25">
        <v>1009</v>
      </c>
      <c r="L125" s="25">
        <v>1060</v>
      </c>
      <c r="M125" s="25" t="e">
        <f>VLOOKUP(A:A,[1]进仓汇总!A$1:G$65536,7,0)</f>
        <v>#N/A</v>
      </c>
      <c r="N125" s="26" t="s">
        <v>235</v>
      </c>
      <c r="O125" s="26"/>
    </row>
    <row r="126" spans="1:15">
      <c r="A126" s="42"/>
      <c r="B126" s="6" t="s">
        <v>282</v>
      </c>
      <c r="C126" s="23">
        <v>301011001</v>
      </c>
      <c r="D126" s="24" t="s">
        <v>275</v>
      </c>
      <c r="E126" s="24" t="s">
        <v>273</v>
      </c>
      <c r="F126" s="24">
        <v>1</v>
      </c>
      <c r="G126" s="24" t="s">
        <v>24</v>
      </c>
      <c r="H126" s="23"/>
      <c r="I126" s="23">
        <v>0</v>
      </c>
      <c r="J126" s="23" t="s">
        <v>26</v>
      </c>
      <c r="K126" s="25">
        <v>1009</v>
      </c>
      <c r="L126" s="25">
        <v>0</v>
      </c>
      <c r="M126" s="25" t="e">
        <f>VLOOKUP(A:A,[1]进仓汇总!A$1:G$65536,7,0)</f>
        <v>#N/A</v>
      </c>
      <c r="N126" s="26" t="s">
        <v>235</v>
      </c>
      <c r="O126" s="26"/>
    </row>
    <row r="127" spans="1:15">
      <c r="A127" s="42"/>
      <c r="B127" s="6" t="s">
        <v>282</v>
      </c>
      <c r="C127" s="23">
        <v>301011002</v>
      </c>
      <c r="D127" s="24" t="s">
        <v>276</v>
      </c>
      <c r="E127" s="24" t="s">
        <v>283</v>
      </c>
      <c r="F127" s="24">
        <v>1</v>
      </c>
      <c r="G127" s="24" t="s">
        <v>24</v>
      </c>
      <c r="H127" s="23"/>
      <c r="I127" s="23">
        <v>0</v>
      </c>
      <c r="J127" s="23" t="s">
        <v>26</v>
      </c>
      <c r="K127" s="25">
        <v>1009</v>
      </c>
      <c r="L127" s="25">
        <v>0</v>
      </c>
      <c r="M127" s="25" t="e">
        <f>VLOOKUP(A:A,[1]进仓汇总!A$1:G$65536,7,0)</f>
        <v>#N/A</v>
      </c>
      <c r="N127" s="26" t="s">
        <v>235</v>
      </c>
      <c r="O127" s="26"/>
    </row>
    <row r="128" spans="1:15">
      <c r="A128" s="42"/>
      <c r="B128" s="6" t="s">
        <v>282</v>
      </c>
      <c r="C128" s="23">
        <v>301011003</v>
      </c>
      <c r="D128" s="24" t="s">
        <v>278</v>
      </c>
      <c r="E128" s="24" t="s">
        <v>279</v>
      </c>
      <c r="F128" s="24">
        <v>1</v>
      </c>
      <c r="G128" s="24" t="s">
        <v>24</v>
      </c>
      <c r="H128" s="23"/>
      <c r="I128" s="23">
        <v>0</v>
      </c>
      <c r="J128" s="23" t="s">
        <v>26</v>
      </c>
      <c r="K128" s="25">
        <v>1009</v>
      </c>
      <c r="L128" s="25">
        <v>0</v>
      </c>
      <c r="M128" s="25" t="e">
        <f>VLOOKUP(A:A,[1]进仓汇总!A$1:G$65536,7,0)</f>
        <v>#N/A</v>
      </c>
      <c r="N128" s="26" t="s">
        <v>235</v>
      </c>
      <c r="O128" s="26"/>
    </row>
    <row r="129" spans="1:15">
      <c r="A129" s="41"/>
      <c r="B129" s="6" t="s">
        <v>282</v>
      </c>
      <c r="C129" s="23">
        <v>301011004</v>
      </c>
      <c r="D129" s="24" t="s">
        <v>256</v>
      </c>
      <c r="E129" s="24" t="s">
        <v>279</v>
      </c>
      <c r="F129" s="24">
        <v>1</v>
      </c>
      <c r="G129" s="24" t="s">
        <v>24</v>
      </c>
      <c r="H129" s="23"/>
      <c r="I129" s="23">
        <v>0</v>
      </c>
      <c r="J129" s="23" t="s">
        <v>26</v>
      </c>
      <c r="K129" s="25">
        <v>1009</v>
      </c>
      <c r="L129" s="25">
        <v>0</v>
      </c>
      <c r="M129" s="25" t="e">
        <f>VLOOKUP(A:A,[1]进仓汇总!A$1:G$65536,7,0)</f>
        <v>#N/A</v>
      </c>
      <c r="N129" s="26" t="s">
        <v>235</v>
      </c>
      <c r="O129" s="26"/>
    </row>
    <row r="130" spans="1:15">
      <c r="A130" s="40" t="s">
        <v>1126</v>
      </c>
      <c r="B130" s="6" t="s">
        <v>284</v>
      </c>
      <c r="C130" s="23">
        <v>304010002</v>
      </c>
      <c r="D130" s="24" t="s">
        <v>285</v>
      </c>
      <c r="E130" s="24" t="s">
        <v>286</v>
      </c>
      <c r="F130" s="24">
        <v>1</v>
      </c>
      <c r="G130" s="24" t="s">
        <v>24</v>
      </c>
      <c r="H130" s="23" t="s">
        <v>108</v>
      </c>
      <c r="I130" s="23">
        <v>0</v>
      </c>
      <c r="J130" s="23" t="s">
        <v>287</v>
      </c>
      <c r="K130" s="25">
        <v>701</v>
      </c>
      <c r="L130" s="25"/>
      <c r="M130" s="25" t="e">
        <f>VLOOKUP(A:A,[1]进仓汇总!A$1:G$65536,7,0)</f>
        <v>#N/A</v>
      </c>
      <c r="N130" s="26" t="s">
        <v>288</v>
      </c>
      <c r="O130" s="26"/>
    </row>
    <row r="131" spans="1:15">
      <c r="A131" s="42"/>
      <c r="B131" s="6" t="s">
        <v>284</v>
      </c>
      <c r="C131" s="23">
        <v>304010003</v>
      </c>
      <c r="D131" s="24" t="s">
        <v>119</v>
      </c>
      <c r="E131" s="24" t="s">
        <v>286</v>
      </c>
      <c r="F131" s="24">
        <v>1</v>
      </c>
      <c r="G131" s="24" t="s">
        <v>24</v>
      </c>
      <c r="H131" s="23" t="s">
        <v>254</v>
      </c>
      <c r="I131" s="23">
        <v>0</v>
      </c>
      <c r="J131" s="23" t="s">
        <v>287</v>
      </c>
      <c r="K131" s="25">
        <v>701</v>
      </c>
      <c r="L131" s="25"/>
      <c r="M131" s="25" t="e">
        <f>VLOOKUP(A:A,[1]进仓汇总!A$1:G$65536,7,0)</f>
        <v>#N/A</v>
      </c>
      <c r="N131" s="26" t="s">
        <v>288</v>
      </c>
      <c r="O131" s="26"/>
    </row>
    <row r="132" spans="1:15">
      <c r="A132" s="42"/>
      <c r="B132" s="6" t="s">
        <v>284</v>
      </c>
      <c r="C132" s="23">
        <v>304010004</v>
      </c>
      <c r="D132" s="24" t="s">
        <v>289</v>
      </c>
      <c r="E132" s="24" t="s">
        <v>290</v>
      </c>
      <c r="F132" s="24">
        <v>1</v>
      </c>
      <c r="G132" s="24" t="s">
        <v>24</v>
      </c>
      <c r="H132" s="23" t="s">
        <v>257</v>
      </c>
      <c r="I132" s="23">
        <v>0</v>
      </c>
      <c r="J132" s="23" t="s">
        <v>287</v>
      </c>
      <c r="K132" s="25">
        <v>701</v>
      </c>
      <c r="L132" s="25"/>
      <c r="M132" s="25" t="e">
        <f>VLOOKUP(A:A,[1]进仓汇总!A$1:G$65536,7,0)</f>
        <v>#N/A</v>
      </c>
      <c r="N132" s="26" t="s">
        <v>288</v>
      </c>
      <c r="O132" s="26"/>
    </row>
    <row r="133" spans="1:15">
      <c r="A133" s="42"/>
      <c r="B133" s="6" t="s">
        <v>284</v>
      </c>
      <c r="C133" s="23">
        <v>304010005</v>
      </c>
      <c r="D133" s="24" t="s">
        <v>291</v>
      </c>
      <c r="E133" s="24" t="s">
        <v>292</v>
      </c>
      <c r="F133" s="24">
        <v>1</v>
      </c>
      <c r="G133" s="24" t="s">
        <v>24</v>
      </c>
      <c r="H133" s="23" t="s">
        <v>260</v>
      </c>
      <c r="I133" s="23">
        <v>0</v>
      </c>
      <c r="J133" s="23" t="s">
        <v>287</v>
      </c>
      <c r="K133" s="25">
        <v>701</v>
      </c>
      <c r="L133" s="25"/>
      <c r="M133" s="25" t="e">
        <f>VLOOKUP(A:A,[1]进仓汇总!A$1:G$65536,7,0)</f>
        <v>#N/A</v>
      </c>
      <c r="N133" s="26" t="s">
        <v>288</v>
      </c>
      <c r="O133" s="26"/>
    </row>
    <row r="134" spans="1:15">
      <c r="A134" s="42"/>
      <c r="B134" s="6" t="s">
        <v>284</v>
      </c>
      <c r="C134" s="23">
        <v>304010006</v>
      </c>
      <c r="D134" s="24" t="s">
        <v>293</v>
      </c>
      <c r="E134" s="24" t="s">
        <v>294</v>
      </c>
      <c r="F134" s="24">
        <v>1</v>
      </c>
      <c r="G134" s="24" t="s">
        <v>24</v>
      </c>
      <c r="H134" s="23" t="s">
        <v>263</v>
      </c>
      <c r="I134" s="23">
        <v>0</v>
      </c>
      <c r="J134" s="23"/>
      <c r="K134" s="25" t="s">
        <v>104</v>
      </c>
      <c r="L134" s="25"/>
      <c r="M134" s="25" t="e">
        <f>VLOOKUP(A:A,[1]进仓汇总!A$1:G$65536,7,0)</f>
        <v>#N/A</v>
      </c>
      <c r="N134" s="26" t="s">
        <v>288</v>
      </c>
      <c r="O134" s="26"/>
    </row>
    <row r="135" spans="1:15">
      <c r="A135" s="41"/>
      <c r="B135" s="6" t="s">
        <v>284</v>
      </c>
      <c r="C135" s="23">
        <v>304010007</v>
      </c>
      <c r="D135" s="24" t="s">
        <v>295</v>
      </c>
      <c r="E135" s="24" t="s">
        <v>296</v>
      </c>
      <c r="F135" s="24">
        <v>1</v>
      </c>
      <c r="G135" s="24" t="s">
        <v>24</v>
      </c>
      <c r="H135" s="23" t="s">
        <v>297</v>
      </c>
      <c r="I135" s="23">
        <v>0</v>
      </c>
      <c r="J135" s="23"/>
      <c r="K135" s="25">
        <v>701</v>
      </c>
      <c r="L135" s="25"/>
      <c r="M135" s="25" t="e">
        <f>VLOOKUP(A:A,[1]进仓汇总!A$1:G$65536,7,0)</f>
        <v>#N/A</v>
      </c>
      <c r="N135" s="26" t="s">
        <v>288</v>
      </c>
      <c r="O135" s="26"/>
    </row>
    <row r="136" spans="1:15">
      <c r="A136" s="43">
        <v>304060001</v>
      </c>
      <c r="B136" s="6" t="s">
        <v>298</v>
      </c>
      <c r="C136" s="23">
        <v>304060002</v>
      </c>
      <c r="D136" s="24" t="s">
        <v>299</v>
      </c>
      <c r="E136" s="24" t="s">
        <v>300</v>
      </c>
      <c r="F136" s="24">
        <v>1</v>
      </c>
      <c r="G136" s="24" t="s">
        <v>24</v>
      </c>
      <c r="H136" s="23" t="s">
        <v>153</v>
      </c>
      <c r="I136" s="23">
        <v>0</v>
      </c>
      <c r="J136" s="23" t="s">
        <v>301</v>
      </c>
      <c r="K136" s="25">
        <v>702</v>
      </c>
      <c r="L136" s="25"/>
      <c r="M136" s="25">
        <f>VLOOKUP(A:A,[1]进仓汇总!A$1:G$65536,7,0)</f>
        <v>0</v>
      </c>
      <c r="N136" s="26" t="s">
        <v>288</v>
      </c>
      <c r="O136" s="26"/>
    </row>
    <row r="137" spans="1:15">
      <c r="A137" s="45"/>
      <c r="B137" s="6" t="s">
        <v>298</v>
      </c>
      <c r="C137" s="23">
        <v>304060003</v>
      </c>
      <c r="D137" s="24" t="s">
        <v>302</v>
      </c>
      <c r="E137" s="24" t="s">
        <v>300</v>
      </c>
      <c r="F137" s="24">
        <v>1</v>
      </c>
      <c r="G137" s="24" t="s">
        <v>24</v>
      </c>
      <c r="H137" s="23" t="s">
        <v>156</v>
      </c>
      <c r="I137" s="23">
        <v>0</v>
      </c>
      <c r="J137" s="23" t="s">
        <v>301</v>
      </c>
      <c r="K137" s="25">
        <v>702</v>
      </c>
      <c r="L137" s="25"/>
      <c r="M137" s="25" t="e">
        <f>VLOOKUP(A:A,[1]进仓汇总!A$1:G$65536,7,0)</f>
        <v>#N/A</v>
      </c>
      <c r="N137" s="26" t="s">
        <v>288</v>
      </c>
      <c r="O137" s="26"/>
    </row>
    <row r="138" spans="1:15">
      <c r="A138" s="44"/>
      <c r="B138" s="6" t="s">
        <v>298</v>
      </c>
      <c r="C138" s="23">
        <v>304060004</v>
      </c>
      <c r="D138" s="24" t="s">
        <v>303</v>
      </c>
      <c r="E138" s="24" t="s">
        <v>66</v>
      </c>
      <c r="F138" s="24">
        <v>1</v>
      </c>
      <c r="G138" s="24" t="s">
        <v>24</v>
      </c>
      <c r="H138" s="23" t="s">
        <v>159</v>
      </c>
      <c r="I138" s="23">
        <v>0</v>
      </c>
      <c r="J138" s="23" t="s">
        <v>301</v>
      </c>
      <c r="K138" s="25">
        <v>702</v>
      </c>
      <c r="L138" s="25"/>
      <c r="M138" s="25" t="e">
        <f>VLOOKUP(A:A,[1]进仓汇总!A$1:G$65536,7,0)</f>
        <v>#N/A</v>
      </c>
      <c r="N138" s="26" t="s">
        <v>288</v>
      </c>
      <c r="O138" s="26"/>
    </row>
    <row r="139" spans="1:15">
      <c r="A139" s="40" t="s">
        <v>1127</v>
      </c>
      <c r="B139" s="6" t="s">
        <v>304</v>
      </c>
      <c r="C139" s="23">
        <v>304090002</v>
      </c>
      <c r="D139" s="24" t="s">
        <v>305</v>
      </c>
      <c r="E139" s="24" t="s">
        <v>306</v>
      </c>
      <c r="F139" s="24">
        <v>1</v>
      </c>
      <c r="G139" s="24" t="s">
        <v>24</v>
      </c>
      <c r="H139" s="23" t="s">
        <v>136</v>
      </c>
      <c r="I139" s="23">
        <v>0</v>
      </c>
      <c r="J139" s="23" t="s">
        <v>301</v>
      </c>
      <c r="K139" s="25" t="s">
        <v>307</v>
      </c>
      <c r="L139" s="25"/>
      <c r="M139" s="25" t="e">
        <f>VLOOKUP(A:A,[1]进仓汇总!A$1:G$65536,7,0)</f>
        <v>#N/A</v>
      </c>
      <c r="N139" s="26" t="s">
        <v>288</v>
      </c>
      <c r="O139" s="26"/>
    </row>
    <row r="140" spans="1:15">
      <c r="A140" s="41"/>
      <c r="B140" s="6" t="s">
        <v>304</v>
      </c>
      <c r="C140" s="23">
        <v>304090003</v>
      </c>
      <c r="D140" s="24" t="s">
        <v>308</v>
      </c>
      <c r="E140" s="24" t="s">
        <v>306</v>
      </c>
      <c r="F140" s="24">
        <v>1</v>
      </c>
      <c r="G140" s="24" t="s">
        <v>24</v>
      </c>
      <c r="H140" s="23" t="s">
        <v>140</v>
      </c>
      <c r="I140" s="23">
        <v>0</v>
      </c>
      <c r="J140" s="23" t="s">
        <v>301</v>
      </c>
      <c r="K140" s="25" t="s">
        <v>309</v>
      </c>
      <c r="L140" s="25"/>
      <c r="M140" s="25" t="e">
        <f>VLOOKUP(A:A,[1]进仓汇总!A$1:G$65536,7,0)</f>
        <v>#N/A</v>
      </c>
      <c r="N140" s="26" t="s">
        <v>288</v>
      </c>
      <c r="O140" s="26"/>
    </row>
    <row r="141" spans="1:15">
      <c r="A141" s="40" t="s">
        <v>1128</v>
      </c>
      <c r="B141" s="6" t="s">
        <v>310</v>
      </c>
      <c r="C141" s="23">
        <v>304110002</v>
      </c>
      <c r="D141" s="24" t="s">
        <v>311</v>
      </c>
      <c r="E141" s="24" t="s">
        <v>312</v>
      </c>
      <c r="F141" s="24">
        <v>1</v>
      </c>
      <c r="G141" s="24" t="s">
        <v>24</v>
      </c>
      <c r="H141" s="23" t="s">
        <v>153</v>
      </c>
      <c r="I141" s="23">
        <v>0</v>
      </c>
      <c r="J141" s="23"/>
      <c r="K141" s="25">
        <v>0</v>
      </c>
      <c r="L141" s="25"/>
      <c r="M141" s="25" t="e">
        <f>VLOOKUP(A:A,[1]进仓汇总!A$1:G$65536,7,0)</f>
        <v>#N/A</v>
      </c>
      <c r="N141" s="26" t="s">
        <v>288</v>
      </c>
      <c r="O141" s="26"/>
    </row>
    <row r="142" spans="1:15">
      <c r="A142" s="42"/>
      <c r="B142" s="6" t="s">
        <v>310</v>
      </c>
      <c r="C142" s="23">
        <v>304110003</v>
      </c>
      <c r="D142" s="24" t="s">
        <v>313</v>
      </c>
      <c r="E142" s="24" t="s">
        <v>290</v>
      </c>
      <c r="F142" s="24">
        <v>1</v>
      </c>
      <c r="G142" s="24" t="s">
        <v>24</v>
      </c>
      <c r="H142" s="23" t="s">
        <v>159</v>
      </c>
      <c r="I142" s="23">
        <v>0</v>
      </c>
      <c r="J142" s="23"/>
      <c r="K142" s="25">
        <v>0</v>
      </c>
      <c r="L142" s="25"/>
      <c r="M142" s="25" t="e">
        <f>VLOOKUP(A:A,[1]进仓汇总!A$1:G$65536,7,0)</f>
        <v>#N/A</v>
      </c>
      <c r="N142" s="26" t="s">
        <v>288</v>
      </c>
      <c r="O142" s="26"/>
    </row>
    <row r="143" spans="1:15">
      <c r="A143" s="41"/>
      <c r="B143" s="6" t="s">
        <v>310</v>
      </c>
      <c r="C143" s="23">
        <v>304110004</v>
      </c>
      <c r="D143" s="24" t="s">
        <v>291</v>
      </c>
      <c r="E143" s="24" t="s">
        <v>290</v>
      </c>
      <c r="F143" s="24">
        <v>1</v>
      </c>
      <c r="G143" s="24" t="s">
        <v>24</v>
      </c>
      <c r="H143" s="23" t="s">
        <v>159</v>
      </c>
      <c r="I143" s="23">
        <v>0</v>
      </c>
      <c r="J143" s="23"/>
      <c r="K143" s="25">
        <v>0</v>
      </c>
      <c r="L143" s="25"/>
      <c r="M143" s="25" t="e">
        <f>VLOOKUP(A:A,[1]进仓汇总!A$1:G$65536,7,0)</f>
        <v>#N/A</v>
      </c>
      <c r="N143" s="26" t="s">
        <v>288</v>
      </c>
      <c r="O143" s="26"/>
    </row>
    <row r="144" spans="1:15">
      <c r="A144" s="40" t="s">
        <v>1129</v>
      </c>
      <c r="B144" s="6" t="s">
        <v>314</v>
      </c>
      <c r="C144" s="23">
        <v>304070002</v>
      </c>
      <c r="D144" s="24" t="s">
        <v>315</v>
      </c>
      <c r="E144" s="24" t="s">
        <v>312</v>
      </c>
      <c r="F144" s="24">
        <v>1</v>
      </c>
      <c r="G144" s="24" t="s">
        <v>24</v>
      </c>
      <c r="H144" s="23" t="s">
        <v>153</v>
      </c>
      <c r="I144" s="23">
        <v>0</v>
      </c>
      <c r="J144" s="23" t="s">
        <v>78</v>
      </c>
      <c r="K144" s="25" t="s">
        <v>316</v>
      </c>
      <c r="L144" s="25"/>
      <c r="M144" s="25" t="e">
        <f>VLOOKUP(A:A,[1]进仓汇总!A$1:G$65536,7,0)</f>
        <v>#N/A</v>
      </c>
      <c r="N144" s="26" t="s">
        <v>288</v>
      </c>
      <c r="O144" s="26"/>
    </row>
    <row r="145" spans="1:19">
      <c r="A145" s="42"/>
      <c r="B145" s="6" t="s">
        <v>314</v>
      </c>
      <c r="C145" s="23">
        <v>304070003</v>
      </c>
      <c r="D145" s="24" t="s">
        <v>317</v>
      </c>
      <c r="E145" s="24" t="s">
        <v>290</v>
      </c>
      <c r="F145" s="24">
        <v>1</v>
      </c>
      <c r="G145" s="24" t="s">
        <v>24</v>
      </c>
      <c r="H145" s="23" t="s">
        <v>156</v>
      </c>
      <c r="I145" s="23">
        <v>0</v>
      </c>
      <c r="J145" s="23" t="s">
        <v>78</v>
      </c>
      <c r="K145" s="25" t="s">
        <v>316</v>
      </c>
      <c r="L145" s="25"/>
      <c r="M145" s="25" t="e">
        <f>VLOOKUP(A:A,[1]进仓汇总!A$1:G$65536,7,0)</f>
        <v>#N/A</v>
      </c>
      <c r="N145" s="26" t="s">
        <v>288</v>
      </c>
      <c r="O145" s="26"/>
    </row>
    <row r="146" spans="1:19">
      <c r="A146" s="41"/>
      <c r="B146" s="6" t="s">
        <v>314</v>
      </c>
      <c r="C146" s="23">
        <v>304070004</v>
      </c>
      <c r="D146" s="24" t="s">
        <v>291</v>
      </c>
      <c r="E146" s="24" t="s">
        <v>290</v>
      </c>
      <c r="F146" s="24">
        <v>1</v>
      </c>
      <c r="G146" s="24" t="s">
        <v>24</v>
      </c>
      <c r="H146" s="23" t="s">
        <v>159</v>
      </c>
      <c r="I146" s="23">
        <v>0</v>
      </c>
      <c r="J146" s="23" t="s">
        <v>78</v>
      </c>
      <c r="K146" s="25" t="s">
        <v>316</v>
      </c>
      <c r="L146" s="25"/>
      <c r="M146" s="25" t="e">
        <f>VLOOKUP(A:A,[1]进仓汇总!A$1:G$65536,7,0)</f>
        <v>#N/A</v>
      </c>
      <c r="N146" s="26" t="s">
        <v>288</v>
      </c>
      <c r="O146" s="26"/>
    </row>
    <row r="147" spans="1:19">
      <c r="A147" s="40" t="s">
        <v>1130</v>
      </c>
      <c r="B147" s="6" t="s">
        <v>318</v>
      </c>
      <c r="C147" s="23">
        <v>304080002</v>
      </c>
      <c r="D147" s="24" t="s">
        <v>315</v>
      </c>
      <c r="E147" s="24" t="s">
        <v>312</v>
      </c>
      <c r="F147" s="24">
        <v>1</v>
      </c>
      <c r="G147" s="24" t="s">
        <v>24</v>
      </c>
      <c r="H147" s="23" t="s">
        <v>153</v>
      </c>
      <c r="I147" s="23">
        <v>0</v>
      </c>
      <c r="J147" s="23" t="s">
        <v>78</v>
      </c>
      <c r="K147" s="25">
        <v>703</v>
      </c>
      <c r="L147" s="25"/>
      <c r="M147" s="25" t="e">
        <f>VLOOKUP(A:A,[1]进仓汇总!A$1:G$65536,7,0)</f>
        <v>#N/A</v>
      </c>
      <c r="N147" s="26" t="s">
        <v>288</v>
      </c>
      <c r="O147" s="26"/>
    </row>
    <row r="148" spans="1:19">
      <c r="A148" s="42"/>
      <c r="B148" s="6" t="s">
        <v>318</v>
      </c>
      <c r="C148" s="23">
        <v>304080003</v>
      </c>
      <c r="D148" s="24" t="s">
        <v>319</v>
      </c>
      <c r="E148" s="24" t="s">
        <v>290</v>
      </c>
      <c r="F148" s="24">
        <v>1</v>
      </c>
      <c r="G148" s="24" t="s">
        <v>24</v>
      </c>
      <c r="H148" s="23" t="s">
        <v>156</v>
      </c>
      <c r="I148" s="23">
        <v>0</v>
      </c>
      <c r="J148" s="23" t="s">
        <v>78</v>
      </c>
      <c r="K148" s="25">
        <v>703</v>
      </c>
      <c r="L148" s="25"/>
      <c r="M148" s="25" t="e">
        <f>VLOOKUP(A:A,[1]进仓汇总!A$1:G$65536,7,0)</f>
        <v>#N/A</v>
      </c>
      <c r="N148" s="26" t="s">
        <v>288</v>
      </c>
      <c r="O148" s="26"/>
    </row>
    <row r="149" spans="1:19">
      <c r="A149" s="41"/>
      <c r="B149" s="6" t="s">
        <v>318</v>
      </c>
      <c r="C149" s="23">
        <v>304080004</v>
      </c>
      <c r="D149" s="24" t="s">
        <v>291</v>
      </c>
      <c r="E149" s="24" t="s">
        <v>290</v>
      </c>
      <c r="F149" s="24">
        <v>1</v>
      </c>
      <c r="G149" s="24" t="s">
        <v>24</v>
      </c>
      <c r="H149" s="23" t="s">
        <v>159</v>
      </c>
      <c r="I149" s="23">
        <v>0</v>
      </c>
      <c r="J149" s="23" t="s">
        <v>78</v>
      </c>
      <c r="K149" s="25">
        <v>703</v>
      </c>
      <c r="L149" s="25"/>
      <c r="M149" s="25" t="e">
        <f>VLOOKUP(A:A,[1]进仓汇总!A$1:G$65536,7,0)</f>
        <v>#N/A</v>
      </c>
      <c r="N149" s="26" t="s">
        <v>288</v>
      </c>
      <c r="O149" s="26"/>
    </row>
    <row r="150" spans="1:19">
      <c r="A150" s="40" t="s">
        <v>1131</v>
      </c>
      <c r="B150" s="6" t="s">
        <v>320</v>
      </c>
      <c r="C150" s="23">
        <v>304040002</v>
      </c>
      <c r="D150" s="24" t="s">
        <v>321</v>
      </c>
      <c r="E150" s="24" t="s">
        <v>322</v>
      </c>
      <c r="F150" s="24">
        <v>2</v>
      </c>
      <c r="G150" s="24" t="s">
        <v>24</v>
      </c>
      <c r="H150" s="23" t="s">
        <v>323</v>
      </c>
      <c r="I150" s="23">
        <v>0</v>
      </c>
      <c r="J150" s="23" t="s">
        <v>26</v>
      </c>
      <c r="K150" s="25">
        <v>704</v>
      </c>
      <c r="L150" s="25"/>
      <c r="M150" s="25" t="e">
        <f>VLOOKUP(A:A,[1]进仓汇总!A$1:G$65536,7,0)</f>
        <v>#N/A</v>
      </c>
      <c r="N150" s="26" t="s">
        <v>288</v>
      </c>
      <c r="O150" s="26"/>
    </row>
    <row r="151" spans="1:19">
      <c r="A151" s="42"/>
      <c r="B151" s="6" t="s">
        <v>320</v>
      </c>
      <c r="C151" s="23">
        <v>304040003</v>
      </c>
      <c r="D151" s="24" t="s">
        <v>324</v>
      </c>
      <c r="E151" s="24" t="s">
        <v>325</v>
      </c>
      <c r="F151" s="24">
        <v>1</v>
      </c>
      <c r="G151" s="24" t="s">
        <v>24</v>
      </c>
      <c r="H151" s="23" t="s">
        <v>210</v>
      </c>
      <c r="I151" s="23">
        <v>0</v>
      </c>
      <c r="J151" s="23" t="s">
        <v>26</v>
      </c>
      <c r="K151" s="25">
        <v>704</v>
      </c>
      <c r="L151" s="25"/>
      <c r="M151" s="25" t="e">
        <f>VLOOKUP(A:A,[1]进仓汇总!A$1:G$65536,7,0)</f>
        <v>#N/A</v>
      </c>
      <c r="N151" s="26" t="s">
        <v>288</v>
      </c>
      <c r="O151" s="26"/>
    </row>
    <row r="152" spans="1:19">
      <c r="A152" s="42"/>
      <c r="B152" s="6" t="s">
        <v>320</v>
      </c>
      <c r="C152" s="23">
        <v>304040004</v>
      </c>
      <c r="D152" s="24" t="s">
        <v>326</v>
      </c>
      <c r="E152" s="24" t="s">
        <v>325</v>
      </c>
      <c r="F152" s="24">
        <v>1</v>
      </c>
      <c r="G152" s="24" t="s">
        <v>24</v>
      </c>
      <c r="H152" s="23" t="s">
        <v>213</v>
      </c>
      <c r="I152" s="23">
        <v>0</v>
      </c>
      <c r="J152" s="23" t="s">
        <v>26</v>
      </c>
      <c r="K152" s="25">
        <v>704</v>
      </c>
      <c r="L152" s="25"/>
      <c r="M152" s="25" t="e">
        <f>VLOOKUP(A:A,[1]进仓汇总!A$1:G$65536,7,0)</f>
        <v>#N/A</v>
      </c>
      <c r="N152" s="26" t="s">
        <v>288</v>
      </c>
      <c r="O152" s="26"/>
    </row>
    <row r="153" spans="1:19">
      <c r="A153" s="42"/>
      <c r="B153" s="6" t="s">
        <v>320</v>
      </c>
      <c r="C153" s="23">
        <v>304040005</v>
      </c>
      <c r="D153" s="24" t="s">
        <v>327</v>
      </c>
      <c r="E153" s="24"/>
      <c r="F153" s="24">
        <v>1</v>
      </c>
      <c r="G153" s="24" t="s">
        <v>24</v>
      </c>
      <c r="H153" s="23" t="s">
        <v>216</v>
      </c>
      <c r="I153" s="23">
        <v>0</v>
      </c>
      <c r="J153" s="23" t="s">
        <v>26</v>
      </c>
      <c r="K153" s="25">
        <v>704</v>
      </c>
      <c r="L153" s="25"/>
      <c r="M153" s="25" t="e">
        <f>VLOOKUP(A:A,[1]进仓汇总!A$1:G$65536,7,0)</f>
        <v>#N/A</v>
      </c>
      <c r="N153" s="26" t="s">
        <v>288</v>
      </c>
      <c r="O153" s="26"/>
    </row>
    <row r="154" spans="1:19">
      <c r="A154" s="42"/>
      <c r="B154" s="6" t="s">
        <v>320</v>
      </c>
      <c r="C154" s="23">
        <v>304040006</v>
      </c>
      <c r="D154" s="24" t="s">
        <v>206</v>
      </c>
      <c r="E154" s="24" t="s">
        <v>328</v>
      </c>
      <c r="F154" s="24">
        <v>1</v>
      </c>
      <c r="G154" s="24" t="s">
        <v>24</v>
      </c>
      <c r="H154" s="23" t="s">
        <v>208</v>
      </c>
      <c r="I154" s="23">
        <v>0</v>
      </c>
      <c r="J154" s="23" t="s">
        <v>26</v>
      </c>
      <c r="K154" s="25">
        <v>704</v>
      </c>
      <c r="L154" s="25"/>
      <c r="M154" s="25" t="e">
        <f>VLOOKUP(A:A,[1]进仓汇总!A$1:G$65536,7,0)</f>
        <v>#N/A</v>
      </c>
      <c r="N154" s="26" t="s">
        <v>288</v>
      </c>
      <c r="O154" s="26"/>
    </row>
    <row r="155" spans="1:19">
      <c r="A155" s="42"/>
      <c r="B155" s="6" t="s">
        <v>320</v>
      </c>
      <c r="C155" s="23">
        <v>304040007</v>
      </c>
      <c r="D155" s="24" t="s">
        <v>329</v>
      </c>
      <c r="E155" s="24" t="s">
        <v>330</v>
      </c>
      <c r="F155" s="24">
        <v>4</v>
      </c>
      <c r="G155" s="24" t="s">
        <v>24</v>
      </c>
      <c r="H155" s="23" t="s">
        <v>331</v>
      </c>
      <c r="I155" s="23">
        <v>0</v>
      </c>
      <c r="J155" s="23"/>
      <c r="K155" s="25" t="s">
        <v>104</v>
      </c>
      <c r="L155" s="25"/>
      <c r="M155" s="25" t="e">
        <f>VLOOKUP(A:A,[1]进仓汇总!A$1:G$65536,7,0)</f>
        <v>#N/A</v>
      </c>
      <c r="N155" s="26" t="s">
        <v>288</v>
      </c>
      <c r="O155" s="26"/>
    </row>
    <row r="156" spans="1:19">
      <c r="A156" s="41"/>
      <c r="B156" s="6" t="s">
        <v>320</v>
      </c>
      <c r="C156" s="23">
        <v>304040008</v>
      </c>
      <c r="D156" s="24" t="s">
        <v>244</v>
      </c>
      <c r="E156" s="24" t="s">
        <v>332</v>
      </c>
      <c r="F156" s="24">
        <v>1</v>
      </c>
      <c r="G156" s="24" t="s">
        <v>24</v>
      </c>
      <c r="H156" s="23" t="s">
        <v>246</v>
      </c>
      <c r="I156" s="23">
        <v>0</v>
      </c>
      <c r="J156" s="23"/>
      <c r="K156" s="25">
        <v>704</v>
      </c>
      <c r="L156" s="25"/>
      <c r="M156" s="25" t="e">
        <f>VLOOKUP(A:A,[1]进仓汇总!A$1:G$65536,7,0)</f>
        <v>#N/A</v>
      </c>
      <c r="N156" s="26" t="s">
        <v>288</v>
      </c>
      <c r="O156" s="26"/>
      <c r="Q156" s="13"/>
      <c r="R156" s="13"/>
      <c r="S156" s="13"/>
    </row>
    <row r="157" spans="1:19" s="13" customFormat="1">
      <c r="A157" s="40" t="s">
        <v>1132</v>
      </c>
      <c r="B157" s="6" t="s">
        <v>333</v>
      </c>
      <c r="C157" s="23">
        <v>302010002</v>
      </c>
      <c r="D157" s="24" t="s">
        <v>334</v>
      </c>
      <c r="E157" s="24" t="s">
        <v>335</v>
      </c>
      <c r="F157" s="24">
        <v>1</v>
      </c>
      <c r="G157" s="24" t="s">
        <v>24</v>
      </c>
      <c r="H157" s="23" t="s">
        <v>108</v>
      </c>
      <c r="I157" s="23">
        <v>20</v>
      </c>
      <c r="J157" s="23" t="s">
        <v>78</v>
      </c>
      <c r="K157" s="25">
        <v>802</v>
      </c>
      <c r="L157" s="25">
        <v>990</v>
      </c>
      <c r="M157" s="25" t="e">
        <f>VLOOKUP(A:A,[1]进仓汇总!A$1:G$65536,7,0)</f>
        <v>#N/A</v>
      </c>
      <c r="N157" s="26" t="s">
        <v>336</v>
      </c>
      <c r="O157" s="26"/>
    </row>
    <row r="158" spans="1:19" s="13" customFormat="1">
      <c r="A158" s="42"/>
      <c r="B158" s="6" t="s">
        <v>333</v>
      </c>
      <c r="C158" s="23">
        <v>302010003</v>
      </c>
      <c r="D158" s="24" t="s">
        <v>119</v>
      </c>
      <c r="E158" s="24" t="s">
        <v>335</v>
      </c>
      <c r="F158" s="24">
        <v>1</v>
      </c>
      <c r="G158" s="24" t="s">
        <v>24</v>
      </c>
      <c r="H158" s="23" t="s">
        <v>110</v>
      </c>
      <c r="I158" s="23">
        <v>20</v>
      </c>
      <c r="J158" s="23" t="s">
        <v>78</v>
      </c>
      <c r="K158" s="25">
        <v>802</v>
      </c>
      <c r="L158" s="25">
        <v>0</v>
      </c>
      <c r="M158" s="25" t="e">
        <f>VLOOKUP(A:A,[1]进仓汇总!A$1:G$65536,7,0)</f>
        <v>#N/A</v>
      </c>
      <c r="N158" s="26" t="s">
        <v>336</v>
      </c>
      <c r="O158" s="26"/>
    </row>
    <row r="159" spans="1:19" s="13" customFormat="1">
      <c r="A159" s="42"/>
      <c r="B159" s="6" t="s">
        <v>333</v>
      </c>
      <c r="C159" s="23">
        <v>302010004</v>
      </c>
      <c r="D159" s="24" t="s">
        <v>337</v>
      </c>
      <c r="E159" s="24" t="s">
        <v>237</v>
      </c>
      <c r="F159" s="24">
        <v>1</v>
      </c>
      <c r="G159" s="24" t="s">
        <v>24</v>
      </c>
      <c r="H159" s="23" t="s">
        <v>112</v>
      </c>
      <c r="I159" s="23">
        <v>20</v>
      </c>
      <c r="J159" s="23" t="s">
        <v>78</v>
      </c>
      <c r="K159" s="25">
        <v>802</v>
      </c>
      <c r="L159" s="25">
        <v>0</v>
      </c>
      <c r="M159" s="25" t="e">
        <f>VLOOKUP(A:A,[1]进仓汇总!A$1:G$65536,7,0)</f>
        <v>#N/A</v>
      </c>
      <c r="N159" s="26" t="s">
        <v>336</v>
      </c>
      <c r="O159" s="26"/>
    </row>
    <row r="160" spans="1:19" s="13" customFormat="1">
      <c r="A160" s="42"/>
      <c r="B160" s="6" t="s">
        <v>333</v>
      </c>
      <c r="C160" s="23">
        <v>302010005</v>
      </c>
      <c r="D160" s="24" t="s">
        <v>338</v>
      </c>
      <c r="E160" s="24" t="s">
        <v>237</v>
      </c>
      <c r="F160" s="24">
        <v>1</v>
      </c>
      <c r="G160" s="24" t="s">
        <v>24</v>
      </c>
      <c r="H160" s="23" t="s">
        <v>114</v>
      </c>
      <c r="I160" s="23">
        <v>20</v>
      </c>
      <c r="J160" s="23" t="s">
        <v>78</v>
      </c>
      <c r="K160" s="25" t="s">
        <v>339</v>
      </c>
      <c r="L160" s="25">
        <v>0</v>
      </c>
      <c r="M160" s="25" t="e">
        <f>VLOOKUP(A:A,[1]进仓汇总!A$1:G$65536,7,0)</f>
        <v>#N/A</v>
      </c>
      <c r="N160" s="26" t="s">
        <v>336</v>
      </c>
      <c r="O160" s="26"/>
    </row>
    <row r="161" spans="1:19" s="13" customFormat="1">
      <c r="A161" s="41"/>
      <c r="B161" s="6" t="s">
        <v>333</v>
      </c>
      <c r="C161" s="23" t="s">
        <v>340</v>
      </c>
      <c r="D161" s="24" t="s">
        <v>341</v>
      </c>
      <c r="E161" s="24" t="s">
        <v>342</v>
      </c>
      <c r="F161" s="24">
        <v>1</v>
      </c>
      <c r="G161" s="24" t="s">
        <v>24</v>
      </c>
      <c r="H161" s="23" t="s">
        <v>98</v>
      </c>
      <c r="I161" s="23">
        <v>20</v>
      </c>
      <c r="J161" s="23"/>
      <c r="K161" s="25" t="s">
        <v>104</v>
      </c>
      <c r="L161" s="25">
        <v>0</v>
      </c>
      <c r="M161" s="25" t="e">
        <f>VLOOKUP(A:A,[1]进仓汇总!A$1:G$65536,7,0)</f>
        <v>#N/A</v>
      </c>
      <c r="N161" s="26" t="s">
        <v>336</v>
      </c>
      <c r="O161" s="26">
        <v>-3</v>
      </c>
    </row>
    <row r="162" spans="1:19" s="13" customFormat="1">
      <c r="A162" s="23" t="s">
        <v>1133</v>
      </c>
      <c r="B162" s="6" t="s">
        <v>333</v>
      </c>
      <c r="C162" s="23">
        <v>399020001</v>
      </c>
      <c r="D162" s="24" t="s">
        <v>343</v>
      </c>
      <c r="E162" s="24" t="s">
        <v>344</v>
      </c>
      <c r="F162" s="24">
        <v>1</v>
      </c>
      <c r="G162" s="24" t="s">
        <v>24</v>
      </c>
      <c r="H162" s="23" t="s">
        <v>345</v>
      </c>
      <c r="I162" s="23">
        <v>20</v>
      </c>
      <c r="J162" s="23"/>
      <c r="K162" s="25" t="s">
        <v>339</v>
      </c>
      <c r="L162" s="25">
        <v>0</v>
      </c>
      <c r="M162" s="25" t="e">
        <f>VLOOKUP(A:A,[1]进仓汇总!A$1:G$65536,7,0)</f>
        <v>#N/A</v>
      </c>
      <c r="N162" s="26" t="s">
        <v>336</v>
      </c>
      <c r="O162" s="26"/>
      <c r="Q162" s="9"/>
      <c r="R162" s="9"/>
      <c r="S162" s="9"/>
    </row>
    <row r="163" spans="1:19">
      <c r="A163" s="40" t="s">
        <v>1134</v>
      </c>
      <c r="B163" s="6" t="s">
        <v>346</v>
      </c>
      <c r="C163" s="23">
        <v>302010007</v>
      </c>
      <c r="D163" s="24" t="s">
        <v>347</v>
      </c>
      <c r="E163" s="24" t="s">
        <v>335</v>
      </c>
      <c r="F163" s="24">
        <v>1</v>
      </c>
      <c r="G163" s="24" t="s">
        <v>24</v>
      </c>
      <c r="H163" s="23" t="s">
        <v>108</v>
      </c>
      <c r="I163" s="23">
        <v>30</v>
      </c>
      <c r="J163" s="23" t="s">
        <v>137</v>
      </c>
      <c r="K163" s="25" t="s">
        <v>348</v>
      </c>
      <c r="L163" s="25">
        <v>940</v>
      </c>
      <c r="M163" s="25" t="e">
        <f>VLOOKUP(A:A,[1]进仓汇总!A$1:G$65536,7,0)</f>
        <v>#N/A</v>
      </c>
      <c r="N163" s="26" t="s">
        <v>336</v>
      </c>
      <c r="O163" s="26"/>
    </row>
    <row r="164" spans="1:19">
      <c r="A164" s="42"/>
      <c r="B164" s="6" t="s">
        <v>346</v>
      </c>
      <c r="C164" s="23">
        <v>302010008</v>
      </c>
      <c r="D164" s="24" t="s">
        <v>119</v>
      </c>
      <c r="E164" s="24" t="s">
        <v>335</v>
      </c>
      <c r="F164" s="24">
        <v>1</v>
      </c>
      <c r="G164" s="24" t="s">
        <v>24</v>
      </c>
      <c r="H164" s="23" t="s">
        <v>110</v>
      </c>
      <c r="I164" s="23">
        <v>30</v>
      </c>
      <c r="J164" s="23" t="s">
        <v>137</v>
      </c>
      <c r="K164" s="25">
        <v>801</v>
      </c>
      <c r="L164" s="25">
        <v>0</v>
      </c>
      <c r="M164" s="25" t="e">
        <f>VLOOKUP(A:A,[1]进仓汇总!A$1:G$65536,7,0)</f>
        <v>#N/A</v>
      </c>
      <c r="N164" s="26" t="s">
        <v>336</v>
      </c>
      <c r="O164" s="26"/>
    </row>
    <row r="165" spans="1:19">
      <c r="A165" s="42"/>
      <c r="B165" s="6" t="s">
        <v>346</v>
      </c>
      <c r="C165" s="23">
        <v>302010009</v>
      </c>
      <c r="D165" s="24" t="s">
        <v>349</v>
      </c>
      <c r="E165" s="24" t="s">
        <v>237</v>
      </c>
      <c r="F165" s="24">
        <v>1</v>
      </c>
      <c r="G165" s="24" t="s">
        <v>24</v>
      </c>
      <c r="H165" s="23" t="s">
        <v>112</v>
      </c>
      <c r="I165" s="23">
        <v>30</v>
      </c>
      <c r="J165" s="23" t="s">
        <v>137</v>
      </c>
      <c r="K165" s="25">
        <v>801</v>
      </c>
      <c r="L165" s="25">
        <v>0</v>
      </c>
      <c r="M165" s="25" t="e">
        <f>VLOOKUP(A:A,[1]进仓汇总!A$1:G$65536,7,0)</f>
        <v>#N/A</v>
      </c>
      <c r="N165" s="26" t="s">
        <v>336</v>
      </c>
      <c r="O165" s="26"/>
    </row>
    <row r="166" spans="1:19">
      <c r="A166" s="42"/>
      <c r="B166" s="6" t="s">
        <v>346</v>
      </c>
      <c r="C166" s="23">
        <v>302010010</v>
      </c>
      <c r="D166" s="24" t="s">
        <v>338</v>
      </c>
      <c r="E166" s="24" t="s">
        <v>237</v>
      </c>
      <c r="F166" s="24">
        <v>1</v>
      </c>
      <c r="G166" s="24" t="s">
        <v>24</v>
      </c>
      <c r="H166" s="23" t="s">
        <v>114</v>
      </c>
      <c r="I166" s="23">
        <v>30</v>
      </c>
      <c r="J166" s="23" t="s">
        <v>137</v>
      </c>
      <c r="K166" s="25" t="s">
        <v>350</v>
      </c>
      <c r="L166" s="25">
        <v>0</v>
      </c>
      <c r="M166" s="25" t="e">
        <f>VLOOKUP(A:A,[1]进仓汇总!A$1:G$65536,7,0)</f>
        <v>#N/A</v>
      </c>
      <c r="N166" s="26" t="s">
        <v>336</v>
      </c>
      <c r="O166" s="26"/>
    </row>
    <row r="167" spans="1:19">
      <c r="A167" s="41"/>
      <c r="B167" s="6" t="s">
        <v>346</v>
      </c>
      <c r="C167" s="23" t="s">
        <v>351</v>
      </c>
      <c r="D167" s="24" t="s">
        <v>341</v>
      </c>
      <c r="E167" s="24" t="s">
        <v>342</v>
      </c>
      <c r="F167" s="24">
        <v>1</v>
      </c>
      <c r="G167" s="24" t="s">
        <v>24</v>
      </c>
      <c r="H167" s="23" t="s">
        <v>98</v>
      </c>
      <c r="I167" s="23">
        <v>30</v>
      </c>
      <c r="J167" s="23"/>
      <c r="K167" s="25" t="s">
        <v>104</v>
      </c>
      <c r="L167" s="25">
        <v>0</v>
      </c>
      <c r="M167" s="25" t="e">
        <f>VLOOKUP(A:A,[1]进仓汇总!A$1:G$65536,7,0)</f>
        <v>#N/A</v>
      </c>
      <c r="N167" s="26" t="s">
        <v>336</v>
      </c>
      <c r="O167" s="26"/>
    </row>
    <row r="168" spans="1:19">
      <c r="A168" s="23" t="s">
        <v>1135</v>
      </c>
      <c r="B168" s="6" t="s">
        <v>352</v>
      </c>
      <c r="C168" s="24"/>
      <c r="D168" s="24" t="s">
        <v>311</v>
      </c>
      <c r="E168" s="24" t="s">
        <v>353</v>
      </c>
      <c r="F168" s="24">
        <v>1</v>
      </c>
      <c r="G168" s="24" t="s">
        <v>24</v>
      </c>
      <c r="H168" s="23" t="s">
        <v>153</v>
      </c>
      <c r="I168" s="23">
        <v>30</v>
      </c>
      <c r="J168" s="23" t="s">
        <v>221</v>
      </c>
      <c r="K168" s="25" t="s">
        <v>354</v>
      </c>
      <c r="L168" s="25">
        <v>710</v>
      </c>
      <c r="M168" s="25" t="e">
        <f>VLOOKUP(A:A,[1]进仓汇总!A$1:G$65536,7,0)</f>
        <v>#N/A</v>
      </c>
      <c r="N168" s="26" t="s">
        <v>336</v>
      </c>
      <c r="O168" s="26"/>
    </row>
    <row r="169" spans="1:19">
      <c r="A169" s="23" t="s">
        <v>1136</v>
      </c>
      <c r="B169" s="6" t="s">
        <v>352</v>
      </c>
      <c r="C169" s="24"/>
      <c r="D169" s="24" t="s">
        <v>355</v>
      </c>
      <c r="E169" s="24" t="s">
        <v>237</v>
      </c>
      <c r="F169" s="24">
        <v>1</v>
      </c>
      <c r="G169" s="24" t="s">
        <v>24</v>
      </c>
      <c r="H169" s="23" t="s">
        <v>156</v>
      </c>
      <c r="I169" s="23">
        <v>30</v>
      </c>
      <c r="J169" s="23" t="s">
        <v>221</v>
      </c>
      <c r="K169" s="25" t="s">
        <v>356</v>
      </c>
      <c r="L169" s="25">
        <v>0</v>
      </c>
      <c r="M169" s="25" t="e">
        <f>VLOOKUP(A:A,[1]进仓汇总!A$1:G$65536,7,0)</f>
        <v>#N/A</v>
      </c>
      <c r="N169" s="26" t="s">
        <v>336</v>
      </c>
      <c r="O169" s="26"/>
    </row>
    <row r="170" spans="1:19">
      <c r="A170" s="23" t="s">
        <v>1137</v>
      </c>
      <c r="B170" s="6" t="s">
        <v>352</v>
      </c>
      <c r="C170" s="24"/>
      <c r="D170" s="24" t="s">
        <v>338</v>
      </c>
      <c r="E170" s="24" t="s">
        <v>237</v>
      </c>
      <c r="F170" s="24">
        <v>1</v>
      </c>
      <c r="G170" s="24" t="s">
        <v>24</v>
      </c>
      <c r="H170" s="23" t="s">
        <v>159</v>
      </c>
      <c r="I170" s="23">
        <v>30</v>
      </c>
      <c r="J170" s="23" t="s">
        <v>221</v>
      </c>
      <c r="K170" s="25" t="s">
        <v>356</v>
      </c>
      <c r="L170" s="25">
        <v>0</v>
      </c>
      <c r="M170" s="25" t="e">
        <f>VLOOKUP(A:A,[1]进仓汇总!A$1:G$65536,7,0)</f>
        <v>#N/A</v>
      </c>
      <c r="N170" s="26" t="s">
        <v>336</v>
      </c>
      <c r="O170" s="26"/>
    </row>
    <row r="171" spans="1:19">
      <c r="A171" s="40" t="s">
        <v>1138</v>
      </c>
      <c r="B171" s="6" t="s">
        <v>357</v>
      </c>
      <c r="C171" s="23" t="s">
        <v>358</v>
      </c>
      <c r="D171" s="24" t="s">
        <v>359</v>
      </c>
      <c r="E171" s="24" t="s">
        <v>353</v>
      </c>
      <c r="F171" s="24">
        <v>2</v>
      </c>
      <c r="G171" s="24" t="s">
        <v>24</v>
      </c>
      <c r="H171" s="23" t="s">
        <v>323</v>
      </c>
      <c r="I171" s="23">
        <v>30</v>
      </c>
      <c r="J171" s="23" t="s">
        <v>221</v>
      </c>
      <c r="K171" s="25" t="s">
        <v>360</v>
      </c>
      <c r="L171" s="25"/>
      <c r="M171" s="25" t="e">
        <f>VLOOKUP(A:A,[1]进仓汇总!A$1:G$65536,7,0)</f>
        <v>#N/A</v>
      </c>
      <c r="N171" s="26" t="s">
        <v>336</v>
      </c>
      <c r="O171" s="26"/>
    </row>
    <row r="172" spans="1:19">
      <c r="A172" s="42"/>
      <c r="B172" s="6" t="s">
        <v>357</v>
      </c>
      <c r="C172" s="23" t="s">
        <v>361</v>
      </c>
      <c r="D172" s="24" t="s">
        <v>192</v>
      </c>
      <c r="E172" s="24" t="s">
        <v>237</v>
      </c>
      <c r="F172" s="24">
        <v>1</v>
      </c>
      <c r="G172" s="24" t="s">
        <v>24</v>
      </c>
      <c r="H172" s="23" t="s">
        <v>216</v>
      </c>
      <c r="I172" s="23">
        <v>30</v>
      </c>
      <c r="J172" s="23" t="s">
        <v>221</v>
      </c>
      <c r="K172" s="25" t="s">
        <v>360</v>
      </c>
      <c r="L172" s="25"/>
      <c r="M172" s="25" t="e">
        <f>VLOOKUP(A:A,[1]进仓汇总!A$1:G$65536,7,0)</f>
        <v>#N/A</v>
      </c>
      <c r="N172" s="26" t="s">
        <v>336</v>
      </c>
      <c r="O172" s="26"/>
    </row>
    <row r="173" spans="1:19">
      <c r="A173" s="42"/>
      <c r="B173" s="6" t="s">
        <v>357</v>
      </c>
      <c r="C173" s="23" t="s">
        <v>362</v>
      </c>
      <c r="D173" s="24" t="s">
        <v>363</v>
      </c>
      <c r="E173" s="24" t="s">
        <v>364</v>
      </c>
      <c r="F173" s="24">
        <v>1</v>
      </c>
      <c r="G173" s="24" t="s">
        <v>24</v>
      </c>
      <c r="H173" s="23" t="s">
        <v>208</v>
      </c>
      <c r="I173" s="23">
        <v>30</v>
      </c>
      <c r="J173" s="23" t="s">
        <v>221</v>
      </c>
      <c r="K173" s="25" t="s">
        <v>360</v>
      </c>
      <c r="L173" s="25"/>
      <c r="M173" s="25" t="e">
        <f>VLOOKUP(A:A,[1]进仓汇总!A$1:G$65536,7,0)</f>
        <v>#N/A</v>
      </c>
      <c r="N173" s="26" t="s">
        <v>336</v>
      </c>
      <c r="O173" s="26"/>
    </row>
    <row r="174" spans="1:19">
      <c r="A174" s="42"/>
      <c r="B174" s="6" t="s">
        <v>357</v>
      </c>
      <c r="C174" s="23" t="s">
        <v>365</v>
      </c>
      <c r="D174" s="24" t="s">
        <v>366</v>
      </c>
      <c r="E174" s="24" t="s">
        <v>237</v>
      </c>
      <c r="F174" s="24">
        <v>1</v>
      </c>
      <c r="G174" s="24" t="s">
        <v>24</v>
      </c>
      <c r="H174" s="23" t="s">
        <v>210</v>
      </c>
      <c r="I174" s="23">
        <v>30</v>
      </c>
      <c r="J174" s="23" t="s">
        <v>221</v>
      </c>
      <c r="K174" s="25" t="s">
        <v>367</v>
      </c>
      <c r="L174" s="25"/>
      <c r="M174" s="25" t="e">
        <f>VLOOKUP(A:A,[1]进仓汇总!A$1:G$65536,7,0)</f>
        <v>#N/A</v>
      </c>
      <c r="N174" s="26" t="s">
        <v>336</v>
      </c>
      <c r="O174" s="26"/>
    </row>
    <row r="175" spans="1:19">
      <c r="A175" s="41"/>
      <c r="B175" s="6" t="s">
        <v>357</v>
      </c>
      <c r="C175" s="23" t="s">
        <v>368</v>
      </c>
      <c r="D175" s="24" t="s">
        <v>369</v>
      </c>
      <c r="E175" s="24" t="s">
        <v>237</v>
      </c>
      <c r="F175" s="24">
        <v>1</v>
      </c>
      <c r="G175" s="24" t="s">
        <v>24</v>
      </c>
      <c r="H175" s="23" t="s">
        <v>213</v>
      </c>
      <c r="I175" s="23">
        <v>30</v>
      </c>
      <c r="J175" s="23" t="s">
        <v>221</v>
      </c>
      <c r="K175" s="25" t="s">
        <v>360</v>
      </c>
      <c r="L175" s="25"/>
      <c r="M175" s="25" t="e">
        <f>VLOOKUP(A:A,[1]进仓汇总!A$1:G$65536,7,0)</f>
        <v>#N/A</v>
      </c>
      <c r="N175" s="26" t="s">
        <v>336</v>
      </c>
      <c r="O175" s="26"/>
    </row>
    <row r="176" spans="1:19">
      <c r="A176" s="23" t="s">
        <v>1139</v>
      </c>
      <c r="B176" s="6" t="s">
        <v>357</v>
      </c>
      <c r="C176" s="24"/>
      <c r="D176" s="24" t="s">
        <v>370</v>
      </c>
      <c r="E176" s="24" t="s">
        <v>342</v>
      </c>
      <c r="F176" s="24" t="s">
        <v>371</v>
      </c>
      <c r="G176" s="24" t="s">
        <v>24</v>
      </c>
      <c r="H176" s="23" t="s">
        <v>372</v>
      </c>
      <c r="I176" s="23">
        <v>30</v>
      </c>
      <c r="J176" s="23" t="s">
        <v>26</v>
      </c>
      <c r="K176" s="25" t="s">
        <v>201</v>
      </c>
      <c r="L176" s="25"/>
      <c r="M176" s="25" t="e">
        <f>VLOOKUP(A:A,[1]进仓汇总!A$1:G$65536,7,0)</f>
        <v>#N/A</v>
      </c>
      <c r="N176" s="26" t="s">
        <v>336</v>
      </c>
      <c r="O176" s="26"/>
    </row>
    <row r="177" spans="1:19">
      <c r="A177" s="23" t="s">
        <v>1140</v>
      </c>
      <c r="B177" s="6" t="s">
        <v>357</v>
      </c>
      <c r="C177" s="24"/>
      <c r="D177" s="24" t="s">
        <v>244</v>
      </c>
      <c r="E177" s="24" t="s">
        <v>344</v>
      </c>
      <c r="F177" s="24">
        <v>1</v>
      </c>
      <c r="G177" s="24" t="s">
        <v>24</v>
      </c>
      <c r="H177" s="23" t="s">
        <v>246</v>
      </c>
      <c r="I177" s="23">
        <v>30</v>
      </c>
      <c r="J177" s="23"/>
      <c r="K177" s="25" t="s">
        <v>373</v>
      </c>
      <c r="L177" s="25"/>
      <c r="M177" s="25" t="e">
        <f>VLOOKUP(A:A,[1]进仓汇总!A$1:G$65536,7,0)</f>
        <v>#N/A</v>
      </c>
      <c r="N177" s="26" t="s">
        <v>336</v>
      </c>
      <c r="O177" s="26">
        <v>-15</v>
      </c>
    </row>
    <row r="178" spans="1:19">
      <c r="A178" s="40" t="s">
        <v>1141</v>
      </c>
      <c r="B178" s="6" t="s">
        <v>374</v>
      </c>
      <c r="C178" s="23" t="s">
        <v>375</v>
      </c>
      <c r="D178" s="24" t="s">
        <v>359</v>
      </c>
      <c r="E178" s="24" t="s">
        <v>353</v>
      </c>
      <c r="F178" s="24">
        <v>2</v>
      </c>
      <c r="G178" s="24" t="s">
        <v>24</v>
      </c>
      <c r="H178" s="23" t="s">
        <v>376</v>
      </c>
      <c r="I178" s="23">
        <v>0</v>
      </c>
      <c r="J178" s="23" t="s">
        <v>26</v>
      </c>
      <c r="K178" s="25">
        <v>0</v>
      </c>
      <c r="L178" s="25"/>
      <c r="M178" s="25" t="e">
        <f>VLOOKUP(A:A,[1]进仓汇总!A$1:G$65536,7,0)</f>
        <v>#N/A</v>
      </c>
      <c r="N178" s="26" t="s">
        <v>336</v>
      </c>
      <c r="O178" s="26"/>
    </row>
    <row r="179" spans="1:19">
      <c r="A179" s="42"/>
      <c r="B179" s="6" t="s">
        <v>374</v>
      </c>
      <c r="C179" s="23">
        <v>302030002</v>
      </c>
      <c r="D179" s="24" t="s">
        <v>377</v>
      </c>
      <c r="E179" s="24" t="s">
        <v>353</v>
      </c>
      <c r="F179" s="24">
        <v>1</v>
      </c>
      <c r="G179" s="24"/>
      <c r="H179" s="23" t="s">
        <v>184</v>
      </c>
      <c r="I179" s="23">
        <v>0</v>
      </c>
      <c r="J179" s="23" t="s">
        <v>26</v>
      </c>
      <c r="K179" s="25" t="s">
        <v>378</v>
      </c>
      <c r="L179" s="25"/>
      <c r="M179" s="25" t="e">
        <f>VLOOKUP(A:A,[1]进仓汇总!A$1:G$65536,7,0)</f>
        <v>#N/A</v>
      </c>
      <c r="N179" s="26" t="s">
        <v>336</v>
      </c>
      <c r="O179" s="26"/>
    </row>
    <row r="180" spans="1:19">
      <c r="A180" s="42"/>
      <c r="B180" s="6" t="s">
        <v>374</v>
      </c>
      <c r="C180" s="23" t="s">
        <v>379</v>
      </c>
      <c r="D180" s="24" t="s">
        <v>192</v>
      </c>
      <c r="E180" s="24" t="s">
        <v>237</v>
      </c>
      <c r="F180" s="24">
        <v>1</v>
      </c>
      <c r="G180" s="24" t="s">
        <v>24</v>
      </c>
      <c r="H180" s="23" t="s">
        <v>193</v>
      </c>
      <c r="I180" s="23">
        <v>0</v>
      </c>
      <c r="J180" s="23" t="s">
        <v>26</v>
      </c>
      <c r="K180" s="25">
        <v>0</v>
      </c>
      <c r="L180" s="25"/>
      <c r="M180" s="25" t="e">
        <f>VLOOKUP(A:A,[1]进仓汇总!A$1:G$65536,7,0)</f>
        <v>#N/A</v>
      </c>
      <c r="N180" s="26" t="s">
        <v>336</v>
      </c>
      <c r="O180" s="26"/>
    </row>
    <row r="181" spans="1:19">
      <c r="A181" s="42"/>
      <c r="B181" s="6" t="s">
        <v>374</v>
      </c>
      <c r="C181" s="23" t="s">
        <v>380</v>
      </c>
      <c r="D181" s="24" t="s">
        <v>363</v>
      </c>
      <c r="E181" s="24" t="s">
        <v>364</v>
      </c>
      <c r="F181" s="24">
        <v>1</v>
      </c>
      <c r="G181" s="24" t="s">
        <v>24</v>
      </c>
      <c r="H181" s="23" t="s">
        <v>188</v>
      </c>
      <c r="I181" s="23">
        <v>0</v>
      </c>
      <c r="J181" s="23" t="s">
        <v>26</v>
      </c>
      <c r="K181" s="25">
        <v>0</v>
      </c>
      <c r="L181" s="25"/>
      <c r="M181" s="25" t="e">
        <f>VLOOKUP(A:A,[1]进仓汇总!A$1:G$65536,7,0)</f>
        <v>#N/A</v>
      </c>
      <c r="N181" s="26" t="s">
        <v>336</v>
      </c>
      <c r="O181" s="26"/>
    </row>
    <row r="182" spans="1:19">
      <c r="A182" s="42"/>
      <c r="B182" s="6" t="s">
        <v>374</v>
      </c>
      <c r="C182" s="23" t="s">
        <v>381</v>
      </c>
      <c r="D182" s="24" t="s">
        <v>382</v>
      </c>
      <c r="E182" s="24" t="s">
        <v>237</v>
      </c>
      <c r="F182" s="24">
        <v>1</v>
      </c>
      <c r="G182" s="24" t="s">
        <v>24</v>
      </c>
      <c r="H182" s="23" t="s">
        <v>190</v>
      </c>
      <c r="I182" s="23">
        <v>0</v>
      </c>
      <c r="J182" s="23" t="s">
        <v>26</v>
      </c>
      <c r="K182" s="25">
        <v>0</v>
      </c>
      <c r="L182" s="25"/>
      <c r="M182" s="25" t="e">
        <f>VLOOKUP(A:A,[1]进仓汇总!A$1:G$65536,7,0)</f>
        <v>#N/A</v>
      </c>
      <c r="N182" s="26" t="s">
        <v>336</v>
      </c>
      <c r="O182" s="26"/>
    </row>
    <row r="183" spans="1:19">
      <c r="A183" s="42"/>
      <c r="B183" s="6" t="s">
        <v>374</v>
      </c>
      <c r="C183" s="23" t="s">
        <v>383</v>
      </c>
      <c r="D183" s="24" t="s">
        <v>369</v>
      </c>
      <c r="E183" s="24" t="s">
        <v>237</v>
      </c>
      <c r="F183" s="24">
        <v>1</v>
      </c>
      <c r="G183" s="24" t="s">
        <v>24</v>
      </c>
      <c r="H183" s="23" t="s">
        <v>197</v>
      </c>
      <c r="I183" s="23">
        <v>0</v>
      </c>
      <c r="J183" s="23" t="s">
        <v>26</v>
      </c>
      <c r="K183" s="25">
        <v>0</v>
      </c>
      <c r="L183" s="25"/>
      <c r="M183" s="25" t="e">
        <f>VLOOKUP(A:A,[1]进仓汇总!A$1:G$65536,7,0)</f>
        <v>#N/A</v>
      </c>
      <c r="N183" s="26" t="s">
        <v>336</v>
      </c>
      <c r="O183" s="26"/>
    </row>
    <row r="184" spans="1:19">
      <c r="A184" s="41"/>
      <c r="B184" s="6" t="s">
        <v>374</v>
      </c>
      <c r="C184" s="23" t="s">
        <v>384</v>
      </c>
      <c r="D184" s="24" t="s">
        <v>385</v>
      </c>
      <c r="E184" s="24" t="s">
        <v>342</v>
      </c>
      <c r="F184" s="24" t="s">
        <v>371</v>
      </c>
      <c r="G184" s="24" t="s">
        <v>24</v>
      </c>
      <c r="H184" s="23" t="s">
        <v>386</v>
      </c>
      <c r="I184" s="23" t="e">
        <f>+VLOOKUP(A:A,[1]安全库存!A$1:I$65536,9,0)</f>
        <v>#N/A</v>
      </c>
      <c r="J184" s="23" t="s">
        <v>26</v>
      </c>
      <c r="K184" s="25">
        <v>0</v>
      </c>
      <c r="L184" s="25"/>
      <c r="M184" s="25" t="e">
        <f>VLOOKUP(A:A,[1]进仓汇总!A$1:G$65536,7,0)</f>
        <v>#N/A</v>
      </c>
      <c r="N184" s="26" t="s">
        <v>336</v>
      </c>
      <c r="O184" s="26"/>
    </row>
    <row r="185" spans="1:19">
      <c r="A185" s="40" t="s">
        <v>1142</v>
      </c>
      <c r="B185" s="6" t="s">
        <v>387</v>
      </c>
      <c r="C185" s="23">
        <v>302060002</v>
      </c>
      <c r="D185" s="24" t="s">
        <v>388</v>
      </c>
      <c r="E185" s="24" t="s">
        <v>342</v>
      </c>
      <c r="F185" s="24">
        <v>1</v>
      </c>
      <c r="G185" s="24" t="s">
        <v>24</v>
      </c>
      <c r="H185" s="23" t="s">
        <v>389</v>
      </c>
      <c r="I185" s="23">
        <v>40</v>
      </c>
      <c r="J185" s="23" t="s">
        <v>137</v>
      </c>
      <c r="K185" s="25">
        <v>809</v>
      </c>
      <c r="L185" s="25">
        <v>726</v>
      </c>
      <c r="M185" s="25" t="e">
        <f>VLOOKUP(A:A,[1]进仓汇总!A$1:G$65536,7,0)</f>
        <v>#N/A</v>
      </c>
      <c r="N185" s="26" t="s">
        <v>336</v>
      </c>
      <c r="O185" s="26"/>
    </row>
    <row r="186" spans="1:19">
      <c r="A186" s="42"/>
      <c r="B186" s="6" t="s">
        <v>387</v>
      </c>
      <c r="C186" s="23">
        <v>302060003</v>
      </c>
      <c r="D186" s="24" t="s">
        <v>390</v>
      </c>
      <c r="E186" s="24" t="s">
        <v>342</v>
      </c>
      <c r="F186" s="24">
        <v>1</v>
      </c>
      <c r="G186" s="24" t="s">
        <v>24</v>
      </c>
      <c r="H186" s="23" t="s">
        <v>87</v>
      </c>
      <c r="I186" s="23">
        <v>40</v>
      </c>
      <c r="J186" s="23" t="s">
        <v>137</v>
      </c>
      <c r="K186" s="25">
        <v>809</v>
      </c>
      <c r="L186" s="25">
        <v>0</v>
      </c>
      <c r="M186" s="25" t="e">
        <f>VLOOKUP(A:A,[1]进仓汇总!A$1:G$65536,7,0)</f>
        <v>#N/A</v>
      </c>
      <c r="N186" s="26" t="s">
        <v>336</v>
      </c>
      <c r="O186" s="26"/>
    </row>
    <row r="187" spans="1:19">
      <c r="A187" s="42"/>
      <c r="B187" s="6" t="s">
        <v>387</v>
      </c>
      <c r="C187" s="23">
        <v>302060004</v>
      </c>
      <c r="D187" s="24" t="s">
        <v>391</v>
      </c>
      <c r="E187" s="24" t="s">
        <v>237</v>
      </c>
      <c r="F187" s="24">
        <v>1</v>
      </c>
      <c r="G187" s="24" t="s">
        <v>24</v>
      </c>
      <c r="H187" s="23" t="s">
        <v>90</v>
      </c>
      <c r="I187" s="23">
        <v>40</v>
      </c>
      <c r="J187" s="23" t="s">
        <v>137</v>
      </c>
      <c r="K187" s="25">
        <v>809</v>
      </c>
      <c r="L187" s="25">
        <v>0</v>
      </c>
      <c r="M187" s="25" t="e">
        <f>VLOOKUP(A:A,[1]进仓汇总!A$1:G$65536,7,0)</f>
        <v>#N/A</v>
      </c>
      <c r="N187" s="26" t="s">
        <v>336</v>
      </c>
      <c r="O187" s="26"/>
    </row>
    <row r="188" spans="1:19">
      <c r="A188" s="41"/>
      <c r="B188" s="6" t="s">
        <v>387</v>
      </c>
      <c r="C188" s="23" t="s">
        <v>392</v>
      </c>
      <c r="D188" s="24" t="s">
        <v>393</v>
      </c>
      <c r="E188" s="24" t="s">
        <v>237</v>
      </c>
      <c r="F188" s="24">
        <v>1</v>
      </c>
      <c r="G188" s="24" t="s">
        <v>24</v>
      </c>
      <c r="H188" s="23" t="s">
        <v>95</v>
      </c>
      <c r="I188" s="23">
        <v>40</v>
      </c>
      <c r="J188" s="23" t="s">
        <v>137</v>
      </c>
      <c r="K188" s="25">
        <v>809</v>
      </c>
      <c r="L188" s="25">
        <v>0</v>
      </c>
      <c r="M188" s="25" t="e">
        <f>VLOOKUP(A:A,[1]进仓汇总!A$1:G$65536,7,0)</f>
        <v>#N/A</v>
      </c>
      <c r="N188" s="26" t="s">
        <v>336</v>
      </c>
      <c r="O188" s="26"/>
    </row>
    <row r="189" spans="1:19">
      <c r="A189" s="40" t="s">
        <v>1143</v>
      </c>
      <c r="B189" s="6" t="s">
        <v>394</v>
      </c>
      <c r="C189" s="23">
        <v>302090002</v>
      </c>
      <c r="D189" s="24" t="s">
        <v>395</v>
      </c>
      <c r="E189" s="24" t="s">
        <v>342</v>
      </c>
      <c r="F189" s="24">
        <v>1</v>
      </c>
      <c r="G189" s="24" t="s">
        <v>24</v>
      </c>
      <c r="H189" s="23" t="s">
        <v>153</v>
      </c>
      <c r="I189" s="23">
        <v>30</v>
      </c>
      <c r="J189" s="23" t="s">
        <v>137</v>
      </c>
      <c r="K189" s="25">
        <v>808</v>
      </c>
      <c r="L189" s="25">
        <v>590</v>
      </c>
      <c r="M189" s="25" t="e">
        <f>VLOOKUP(A:A,[1]进仓汇总!A$1:G$65536,7,0)</f>
        <v>#N/A</v>
      </c>
      <c r="N189" s="26" t="s">
        <v>336</v>
      </c>
      <c r="O189" s="26">
        <v>-4</v>
      </c>
    </row>
    <row r="190" spans="1:19">
      <c r="A190" s="42"/>
      <c r="B190" s="6" t="s">
        <v>394</v>
      </c>
      <c r="C190" s="23">
        <v>302090003</v>
      </c>
      <c r="D190" s="24" t="s">
        <v>390</v>
      </c>
      <c r="E190" s="24" t="s">
        <v>342</v>
      </c>
      <c r="F190" s="24">
        <v>1</v>
      </c>
      <c r="G190" s="24" t="s">
        <v>24</v>
      </c>
      <c r="H190" s="23" t="s">
        <v>156</v>
      </c>
      <c r="I190" s="23">
        <v>30</v>
      </c>
      <c r="J190" s="23" t="s">
        <v>137</v>
      </c>
      <c r="K190" s="25">
        <v>808</v>
      </c>
      <c r="L190" s="25">
        <v>0</v>
      </c>
      <c r="M190" s="25" t="e">
        <f>VLOOKUP(A:A,[1]进仓汇总!A$1:G$65536,7,0)</f>
        <v>#N/A</v>
      </c>
      <c r="N190" s="26" t="s">
        <v>336</v>
      </c>
      <c r="O190" s="26">
        <v>-3</v>
      </c>
    </row>
    <row r="191" spans="1:19">
      <c r="A191" s="41"/>
      <c r="B191" s="6" t="s">
        <v>394</v>
      </c>
      <c r="C191" s="23" t="s">
        <v>396</v>
      </c>
      <c r="D191" s="24" t="s">
        <v>393</v>
      </c>
      <c r="E191" s="24" t="s">
        <v>237</v>
      </c>
      <c r="F191" s="24">
        <v>1</v>
      </c>
      <c r="G191" s="24" t="s">
        <v>24</v>
      </c>
      <c r="H191" s="23" t="s">
        <v>159</v>
      </c>
      <c r="I191" s="23">
        <v>30</v>
      </c>
      <c r="J191" s="23" t="s">
        <v>137</v>
      </c>
      <c r="K191" s="25">
        <v>808</v>
      </c>
      <c r="L191" s="25">
        <v>0</v>
      </c>
      <c r="M191" s="25" t="e">
        <f>VLOOKUP(A:A,[1]进仓汇总!A$1:G$65536,7,0)</f>
        <v>#N/A</v>
      </c>
      <c r="N191" s="26" t="s">
        <v>336</v>
      </c>
      <c r="O191" s="26"/>
      <c r="Q191" s="13"/>
      <c r="R191" s="13"/>
      <c r="S191" s="13"/>
    </row>
    <row r="192" spans="1:19" s="13" customFormat="1">
      <c r="A192" s="23" t="s">
        <v>1144</v>
      </c>
      <c r="B192" s="21" t="s">
        <v>394</v>
      </c>
      <c r="C192" s="3"/>
      <c r="D192" s="3" t="s">
        <v>397</v>
      </c>
      <c r="E192" s="3" t="s">
        <v>342</v>
      </c>
      <c r="F192" s="3"/>
      <c r="G192" s="3" t="s">
        <v>94</v>
      </c>
      <c r="H192" s="27"/>
      <c r="I192" s="27" t="e">
        <f>+VLOOKUP(A:A,[1]安全库存!A$1:I$65536,9,0)</f>
        <v>#N/A</v>
      </c>
      <c r="J192" s="27"/>
      <c r="K192" s="25" t="s">
        <v>75</v>
      </c>
      <c r="L192" s="25"/>
      <c r="M192" s="25" t="e">
        <f>VLOOKUP(A:A,[1]进仓汇总!A$1:G$65536,7,0)</f>
        <v>#N/A</v>
      </c>
      <c r="N192" s="26" t="s">
        <v>336</v>
      </c>
      <c r="O192" s="26"/>
      <c r="Q192" s="9"/>
      <c r="R192" s="9"/>
      <c r="S192" s="9"/>
    </row>
    <row r="193" spans="1:15">
      <c r="A193" s="40" t="s">
        <v>1145</v>
      </c>
      <c r="B193" s="6" t="s">
        <v>398</v>
      </c>
      <c r="C193" s="24"/>
      <c r="D193" s="3" t="s">
        <v>399</v>
      </c>
      <c r="E193" s="24"/>
      <c r="F193" s="24"/>
      <c r="G193" s="24"/>
      <c r="H193" s="23"/>
      <c r="I193" s="23" t="e">
        <f>+VLOOKUP(A:A,[1]安全库存!A$1:I$65536,9,0)</f>
        <v>#N/A</v>
      </c>
      <c r="J193" s="23" t="s">
        <v>137</v>
      </c>
      <c r="K193" s="25">
        <v>810</v>
      </c>
      <c r="L193" s="25">
        <v>276</v>
      </c>
      <c r="M193" s="25" t="e">
        <f>VLOOKUP(A:A,[1]进仓汇总!A$1:G$65536,7,0)</f>
        <v>#N/A</v>
      </c>
      <c r="N193" s="26" t="s">
        <v>336</v>
      </c>
      <c r="O193" s="26"/>
    </row>
    <row r="194" spans="1:15">
      <c r="A194" s="42"/>
      <c r="B194" s="6" t="s">
        <v>400</v>
      </c>
      <c r="C194" s="23">
        <v>302070002</v>
      </c>
      <c r="D194" s="24" t="s">
        <v>401</v>
      </c>
      <c r="E194" s="24" t="s">
        <v>335</v>
      </c>
      <c r="F194" s="24">
        <v>1</v>
      </c>
      <c r="G194" s="24" t="s">
        <v>24</v>
      </c>
      <c r="H194" s="23" t="s">
        <v>153</v>
      </c>
      <c r="I194" s="23">
        <v>30</v>
      </c>
      <c r="J194" s="23" t="s">
        <v>137</v>
      </c>
      <c r="K194" s="25" t="s">
        <v>402</v>
      </c>
      <c r="L194" s="25">
        <v>0</v>
      </c>
      <c r="M194" s="25" t="e">
        <f>VLOOKUP(A:A,[1]进仓汇总!A$1:G$65536,7,0)</f>
        <v>#N/A</v>
      </c>
      <c r="N194" s="26" t="s">
        <v>336</v>
      </c>
      <c r="O194" s="26"/>
    </row>
    <row r="195" spans="1:15">
      <c r="A195" s="42"/>
      <c r="B195" s="6" t="s">
        <v>400</v>
      </c>
      <c r="C195" s="23">
        <v>302070003</v>
      </c>
      <c r="D195" s="24" t="s">
        <v>403</v>
      </c>
      <c r="E195" s="24" t="s">
        <v>404</v>
      </c>
      <c r="F195" s="24">
        <v>1</v>
      </c>
      <c r="G195" s="24" t="s">
        <v>24</v>
      </c>
      <c r="H195" s="23" t="s">
        <v>156</v>
      </c>
      <c r="I195" s="23">
        <v>30</v>
      </c>
      <c r="J195" s="23" t="s">
        <v>137</v>
      </c>
      <c r="K195" s="25" t="s">
        <v>405</v>
      </c>
      <c r="L195" s="25">
        <v>0</v>
      </c>
      <c r="M195" s="25" t="e">
        <f>VLOOKUP(A:A,[1]进仓汇总!A$1:G$65536,7,0)</f>
        <v>#N/A</v>
      </c>
      <c r="N195" s="26" t="s">
        <v>336</v>
      </c>
      <c r="O195" s="26"/>
    </row>
    <row r="196" spans="1:15">
      <c r="A196" s="41"/>
      <c r="B196" s="6" t="s">
        <v>400</v>
      </c>
      <c r="C196" s="23">
        <v>302070004</v>
      </c>
      <c r="D196" s="24" t="s">
        <v>406</v>
      </c>
      <c r="E196" s="24" t="s">
        <v>404</v>
      </c>
      <c r="F196" s="24">
        <v>1</v>
      </c>
      <c r="G196" s="24" t="s">
        <v>24</v>
      </c>
      <c r="H196" s="23" t="s">
        <v>159</v>
      </c>
      <c r="I196" s="23">
        <v>30</v>
      </c>
      <c r="J196" s="23" t="s">
        <v>137</v>
      </c>
      <c r="K196" s="25" t="s">
        <v>405</v>
      </c>
      <c r="L196" s="25">
        <v>0</v>
      </c>
      <c r="M196" s="25" t="e">
        <f>VLOOKUP(A:A,[1]进仓汇总!A$1:G$65536,7,0)</f>
        <v>#N/A</v>
      </c>
      <c r="N196" s="26" t="s">
        <v>336</v>
      </c>
      <c r="O196" s="26"/>
    </row>
    <row r="197" spans="1:15">
      <c r="A197" s="40" t="s">
        <v>1146</v>
      </c>
      <c r="B197" s="6" t="s">
        <v>407</v>
      </c>
      <c r="C197" s="23">
        <v>302080002</v>
      </c>
      <c r="D197" s="24" t="s">
        <v>401</v>
      </c>
      <c r="E197" s="24" t="s">
        <v>335</v>
      </c>
      <c r="F197" s="24">
        <v>1</v>
      </c>
      <c r="G197" s="24" t="s">
        <v>24</v>
      </c>
      <c r="H197" s="23" t="s">
        <v>153</v>
      </c>
      <c r="I197" s="23">
        <v>20</v>
      </c>
      <c r="J197" s="23" t="s">
        <v>137</v>
      </c>
      <c r="K197" s="25" t="s">
        <v>402</v>
      </c>
      <c r="L197" s="25">
        <v>228</v>
      </c>
      <c r="M197" s="25" t="e">
        <f>VLOOKUP(A:A,[1]进仓汇总!A$1:G$65536,7,0)</f>
        <v>#N/A</v>
      </c>
      <c r="N197" s="26" t="s">
        <v>336</v>
      </c>
      <c r="O197" s="26"/>
    </row>
    <row r="198" spans="1:15">
      <c r="A198" s="42"/>
      <c r="B198" s="6" t="s">
        <v>407</v>
      </c>
      <c r="C198" s="23">
        <v>302080003</v>
      </c>
      <c r="D198" s="24" t="s">
        <v>403</v>
      </c>
      <c r="E198" s="24" t="s">
        <v>404</v>
      </c>
      <c r="F198" s="24">
        <v>1</v>
      </c>
      <c r="G198" s="24" t="s">
        <v>24</v>
      </c>
      <c r="H198" s="23" t="s">
        <v>156</v>
      </c>
      <c r="I198" s="23">
        <v>20</v>
      </c>
      <c r="J198" s="23" t="s">
        <v>137</v>
      </c>
      <c r="K198" s="25" t="s">
        <v>405</v>
      </c>
      <c r="L198" s="25">
        <v>0</v>
      </c>
      <c r="M198" s="25" t="e">
        <f>VLOOKUP(A:A,[1]进仓汇总!A$1:G$65536,7,0)</f>
        <v>#N/A</v>
      </c>
      <c r="N198" s="26" t="s">
        <v>336</v>
      </c>
      <c r="O198" s="26"/>
    </row>
    <row r="199" spans="1:15">
      <c r="A199" s="41"/>
      <c r="B199" s="6" t="s">
        <v>407</v>
      </c>
      <c r="C199" s="23">
        <v>302080004</v>
      </c>
      <c r="D199" s="24" t="s">
        <v>408</v>
      </c>
      <c r="E199" s="24" t="s">
        <v>404</v>
      </c>
      <c r="F199" s="24">
        <v>1</v>
      </c>
      <c r="G199" s="24" t="s">
        <v>24</v>
      </c>
      <c r="H199" s="23" t="s">
        <v>159</v>
      </c>
      <c r="I199" s="23">
        <v>20</v>
      </c>
      <c r="J199" s="23" t="s">
        <v>137</v>
      </c>
      <c r="K199" s="25" t="s">
        <v>405</v>
      </c>
      <c r="L199" s="25">
        <v>0</v>
      </c>
      <c r="M199" s="25" t="e">
        <f>VLOOKUP(A:A,[1]进仓汇总!A$1:G$65536,7,0)</f>
        <v>#N/A</v>
      </c>
      <c r="N199" s="26" t="s">
        <v>336</v>
      </c>
      <c r="O199" s="26"/>
    </row>
    <row r="200" spans="1:15">
      <c r="A200" s="40" t="s">
        <v>1147</v>
      </c>
      <c r="B200" s="6" t="s">
        <v>409</v>
      </c>
      <c r="C200" s="23">
        <v>303060002</v>
      </c>
      <c r="D200" s="24" t="s">
        <v>410</v>
      </c>
      <c r="E200" s="24" t="s">
        <v>411</v>
      </c>
      <c r="F200" s="24">
        <v>1</v>
      </c>
      <c r="G200" s="24" t="s">
        <v>24</v>
      </c>
      <c r="H200" s="23" t="s">
        <v>153</v>
      </c>
      <c r="I200" s="23">
        <v>30</v>
      </c>
      <c r="J200" s="23" t="s">
        <v>137</v>
      </c>
      <c r="K200" s="25">
        <v>606</v>
      </c>
      <c r="L200" s="25">
        <v>810</v>
      </c>
      <c r="M200" s="25" t="e">
        <f>VLOOKUP(A:A,[1]进仓汇总!A$1:G$65536,7,0)</f>
        <v>#N/A</v>
      </c>
      <c r="N200" s="26" t="s">
        <v>412</v>
      </c>
      <c r="O200" s="26"/>
    </row>
    <row r="201" spans="1:15">
      <c r="A201" s="42"/>
      <c r="B201" s="6" t="s">
        <v>409</v>
      </c>
      <c r="C201" s="23">
        <v>303060003</v>
      </c>
      <c r="D201" s="24" t="s">
        <v>413</v>
      </c>
      <c r="E201" s="24" t="s">
        <v>411</v>
      </c>
      <c r="F201" s="24">
        <v>1</v>
      </c>
      <c r="G201" s="24" t="s">
        <v>24</v>
      </c>
      <c r="H201" s="23" t="s">
        <v>156</v>
      </c>
      <c r="I201" s="23">
        <v>30</v>
      </c>
      <c r="J201" s="23" t="s">
        <v>137</v>
      </c>
      <c r="K201" s="25">
        <v>605</v>
      </c>
      <c r="L201" s="25">
        <v>0</v>
      </c>
      <c r="M201" s="25" t="e">
        <f>VLOOKUP(A:A,[1]进仓汇总!A$1:G$65536,7,0)</f>
        <v>#N/A</v>
      </c>
      <c r="N201" s="26" t="s">
        <v>412</v>
      </c>
      <c r="O201" s="26"/>
    </row>
    <row r="202" spans="1:15">
      <c r="A202" s="41"/>
      <c r="B202" s="6" t="s">
        <v>409</v>
      </c>
      <c r="C202" s="23">
        <v>303060004</v>
      </c>
      <c r="D202" s="24" t="s">
        <v>391</v>
      </c>
      <c r="E202" s="24" t="s">
        <v>86</v>
      </c>
      <c r="F202" s="24">
        <v>1</v>
      </c>
      <c r="G202" s="24" t="s">
        <v>24</v>
      </c>
      <c r="H202" s="23" t="s">
        <v>159</v>
      </c>
      <c r="I202" s="23">
        <v>30</v>
      </c>
      <c r="J202" s="23" t="s">
        <v>137</v>
      </c>
      <c r="K202" s="25">
        <v>606</v>
      </c>
      <c r="L202" s="25">
        <v>0</v>
      </c>
      <c r="M202" s="25" t="e">
        <f>VLOOKUP(A:A,[1]进仓汇总!A$1:G$65536,7,0)</f>
        <v>#N/A</v>
      </c>
      <c r="N202" s="26" t="s">
        <v>412</v>
      </c>
      <c r="O202" s="26"/>
    </row>
    <row r="203" spans="1:15">
      <c r="A203" s="40" t="s">
        <v>1148</v>
      </c>
      <c r="B203" s="6" t="s">
        <v>414</v>
      </c>
      <c r="C203" s="23">
        <v>303090002</v>
      </c>
      <c r="D203" s="24" t="s">
        <v>415</v>
      </c>
      <c r="E203" s="24" t="s">
        <v>416</v>
      </c>
      <c r="F203" s="24">
        <v>1</v>
      </c>
      <c r="G203" s="24" t="s">
        <v>24</v>
      </c>
      <c r="H203" s="23" t="s">
        <v>136</v>
      </c>
      <c r="I203" s="23">
        <v>0</v>
      </c>
      <c r="J203" s="23" t="s">
        <v>137</v>
      </c>
      <c r="K203" s="25">
        <v>603</v>
      </c>
      <c r="L203" s="25">
        <v>640</v>
      </c>
      <c r="M203" s="25" t="e">
        <f>VLOOKUP(A:A,[1]进仓汇总!A$1:G$65536,7,0)</f>
        <v>#N/A</v>
      </c>
      <c r="N203" s="26" t="s">
        <v>412</v>
      </c>
      <c r="O203" s="26"/>
    </row>
    <row r="204" spans="1:15">
      <c r="A204" s="41"/>
      <c r="B204" s="6" t="s">
        <v>414</v>
      </c>
      <c r="C204" s="23">
        <v>303090003</v>
      </c>
      <c r="D204" s="24" t="s">
        <v>417</v>
      </c>
      <c r="E204" s="24" t="s">
        <v>416</v>
      </c>
      <c r="F204" s="24">
        <v>1</v>
      </c>
      <c r="G204" s="24" t="s">
        <v>24</v>
      </c>
      <c r="H204" s="23" t="s">
        <v>140</v>
      </c>
      <c r="I204" s="23">
        <v>0</v>
      </c>
      <c r="J204" s="23" t="s">
        <v>137</v>
      </c>
      <c r="K204" s="25">
        <v>604</v>
      </c>
      <c r="L204" s="25">
        <v>0</v>
      </c>
      <c r="M204" s="25" t="e">
        <f>VLOOKUP(A:A,[1]进仓汇总!A$1:G$65536,7,0)</f>
        <v>#N/A</v>
      </c>
      <c r="N204" s="26" t="s">
        <v>412</v>
      </c>
      <c r="O204" s="26"/>
    </row>
    <row r="205" spans="1:15">
      <c r="A205" s="40" t="s">
        <v>1149</v>
      </c>
      <c r="B205" s="6" t="s">
        <v>418</v>
      </c>
      <c r="C205" s="23">
        <v>303010002</v>
      </c>
      <c r="D205" s="24" t="s">
        <v>419</v>
      </c>
      <c r="E205" s="24" t="s">
        <v>411</v>
      </c>
      <c r="F205" s="24">
        <v>1</v>
      </c>
      <c r="G205" s="24" t="s">
        <v>24</v>
      </c>
      <c r="H205" s="23" t="s">
        <v>108</v>
      </c>
      <c r="I205" s="23">
        <v>25</v>
      </c>
      <c r="J205" s="23" t="s">
        <v>137</v>
      </c>
      <c r="K205" s="25">
        <v>501</v>
      </c>
      <c r="L205" s="25"/>
      <c r="M205" s="25" t="e">
        <f>VLOOKUP(A:A,[1]进仓汇总!A$1:G$65536,7,0)</f>
        <v>#N/A</v>
      </c>
      <c r="N205" s="26" t="s">
        <v>412</v>
      </c>
      <c r="O205" s="26"/>
    </row>
    <row r="206" spans="1:15">
      <c r="A206" s="42"/>
      <c r="B206" s="6" t="s">
        <v>418</v>
      </c>
      <c r="C206" s="23">
        <v>303010003</v>
      </c>
      <c r="D206" s="24" t="s">
        <v>420</v>
      </c>
      <c r="E206" s="24" t="s">
        <v>411</v>
      </c>
      <c r="F206" s="24">
        <v>1</v>
      </c>
      <c r="G206" s="24" t="s">
        <v>24</v>
      </c>
      <c r="H206" s="23" t="s">
        <v>110</v>
      </c>
      <c r="I206" s="23">
        <v>25</v>
      </c>
      <c r="J206" s="23" t="s">
        <v>137</v>
      </c>
      <c r="K206" s="25">
        <v>501</v>
      </c>
      <c r="L206" s="25"/>
      <c r="M206" s="25" t="e">
        <f>VLOOKUP(A:A,[1]进仓汇总!A$1:G$65536,7,0)</f>
        <v>#N/A</v>
      </c>
      <c r="N206" s="26" t="s">
        <v>412</v>
      </c>
      <c r="O206" s="26"/>
    </row>
    <row r="207" spans="1:15">
      <c r="A207" s="42"/>
      <c r="B207" s="6" t="s">
        <v>418</v>
      </c>
      <c r="C207" s="23">
        <v>303010004</v>
      </c>
      <c r="D207" s="24" t="s">
        <v>421</v>
      </c>
      <c r="E207" s="24" t="s">
        <v>86</v>
      </c>
      <c r="F207" s="24">
        <v>1</v>
      </c>
      <c r="G207" s="24" t="s">
        <v>24</v>
      </c>
      <c r="H207" s="23" t="s">
        <v>112</v>
      </c>
      <c r="I207" s="23">
        <v>25</v>
      </c>
      <c r="J207" s="23" t="s">
        <v>137</v>
      </c>
      <c r="K207" s="25">
        <v>501</v>
      </c>
      <c r="L207" s="25"/>
      <c r="M207" s="25" t="e">
        <f>VLOOKUP(A:A,[1]进仓汇总!A$1:G$65536,7,0)</f>
        <v>#N/A</v>
      </c>
      <c r="N207" s="26" t="s">
        <v>412</v>
      </c>
      <c r="O207" s="26"/>
    </row>
    <row r="208" spans="1:15">
      <c r="A208" s="42"/>
      <c r="B208" s="6" t="s">
        <v>418</v>
      </c>
      <c r="C208" s="23">
        <v>303010005</v>
      </c>
      <c r="D208" s="24" t="s">
        <v>422</v>
      </c>
      <c r="E208" s="24" t="s">
        <v>86</v>
      </c>
      <c r="F208" s="24">
        <v>1</v>
      </c>
      <c r="G208" s="24" t="s">
        <v>24</v>
      </c>
      <c r="H208" s="23" t="s">
        <v>114</v>
      </c>
      <c r="I208" s="23">
        <v>25</v>
      </c>
      <c r="J208" s="23" t="s">
        <v>137</v>
      </c>
      <c r="K208" s="25">
        <v>501</v>
      </c>
      <c r="L208" s="25"/>
      <c r="M208" s="25" t="e">
        <f>VLOOKUP(A:A,[1]进仓汇总!A$1:G$65536,7,0)</f>
        <v>#N/A</v>
      </c>
      <c r="N208" s="26" t="s">
        <v>412</v>
      </c>
      <c r="O208" s="26"/>
    </row>
    <row r="209" spans="1:15">
      <c r="A209" s="42"/>
      <c r="B209" s="6" t="s">
        <v>418</v>
      </c>
      <c r="C209" s="23">
        <v>303010006</v>
      </c>
      <c r="D209" s="24" t="s">
        <v>423</v>
      </c>
      <c r="E209" s="24" t="s">
        <v>424</v>
      </c>
      <c r="F209" s="24">
        <v>1</v>
      </c>
      <c r="G209" s="24" t="s">
        <v>94</v>
      </c>
      <c r="H209" s="23" t="s">
        <v>98</v>
      </c>
      <c r="I209" s="23">
        <v>25</v>
      </c>
      <c r="J209" s="23"/>
      <c r="K209" s="25" t="s">
        <v>57</v>
      </c>
      <c r="L209" s="25"/>
      <c r="M209" s="25" t="e">
        <f>VLOOKUP(A:A,[1]进仓汇总!A$1:G$65536,7,0)</f>
        <v>#N/A</v>
      </c>
      <c r="N209" s="26" t="s">
        <v>412</v>
      </c>
      <c r="O209" s="26"/>
    </row>
    <row r="210" spans="1:15">
      <c r="A210" s="41"/>
      <c r="B210" s="6" t="s">
        <v>418</v>
      </c>
      <c r="C210" s="23">
        <v>303010007</v>
      </c>
      <c r="D210" s="24" t="s">
        <v>425</v>
      </c>
      <c r="E210" s="24" t="s">
        <v>426</v>
      </c>
      <c r="F210" s="24">
        <v>1</v>
      </c>
      <c r="G210" s="24" t="s">
        <v>24</v>
      </c>
      <c r="H210" s="23" t="s">
        <v>345</v>
      </c>
      <c r="I210" s="23">
        <v>25</v>
      </c>
      <c r="J210" s="23"/>
      <c r="K210" s="25">
        <v>501</v>
      </c>
      <c r="L210" s="25">
        <v>38</v>
      </c>
      <c r="M210" s="25" t="e">
        <f>VLOOKUP(A:A,[1]进仓汇总!A$1:G$65536,7,0)</f>
        <v>#N/A</v>
      </c>
      <c r="N210" s="26" t="s">
        <v>412</v>
      </c>
      <c r="O210" s="26"/>
    </row>
    <row r="211" spans="1:15">
      <c r="A211" s="40" t="s">
        <v>1150</v>
      </c>
      <c r="B211" s="6" t="s">
        <v>427</v>
      </c>
      <c r="C211" s="23">
        <v>303020001</v>
      </c>
      <c r="D211" s="24" t="s">
        <v>428</v>
      </c>
      <c r="E211" s="24" t="s">
        <v>429</v>
      </c>
      <c r="F211" s="24">
        <v>1</v>
      </c>
      <c r="G211" s="24" t="s">
        <v>430</v>
      </c>
      <c r="H211" s="23"/>
      <c r="I211" s="23" t="e">
        <f>+VLOOKUP(A:A,[1]安全库存!A$1:I$65536,9,0)</f>
        <v>#N/A</v>
      </c>
      <c r="J211" s="23" t="s">
        <v>78</v>
      </c>
      <c r="K211" s="25">
        <v>601</v>
      </c>
      <c r="L211" s="25">
        <v>1086</v>
      </c>
      <c r="M211" s="25" t="e">
        <f>VLOOKUP(A:A,[1]进仓汇总!A$1:G$65536,7,0)</f>
        <v>#N/A</v>
      </c>
      <c r="N211" s="26" t="s">
        <v>412</v>
      </c>
      <c r="O211" s="26"/>
    </row>
    <row r="212" spans="1:15">
      <c r="A212" s="42"/>
      <c r="B212" s="6" t="s">
        <v>431</v>
      </c>
      <c r="C212" s="23">
        <v>303020002</v>
      </c>
      <c r="D212" s="24" t="s">
        <v>432</v>
      </c>
      <c r="E212" s="24" t="s">
        <v>429</v>
      </c>
      <c r="F212" s="24">
        <v>1</v>
      </c>
      <c r="G212" s="24" t="s">
        <v>430</v>
      </c>
      <c r="H212" s="23"/>
      <c r="I212" s="23">
        <v>10</v>
      </c>
      <c r="J212" s="23" t="s">
        <v>78</v>
      </c>
      <c r="K212" s="25">
        <v>601</v>
      </c>
      <c r="L212" s="25">
        <v>0</v>
      </c>
      <c r="M212" s="25" t="e">
        <f>VLOOKUP(A:A,[1]进仓汇总!A$1:G$65536,7,0)</f>
        <v>#N/A</v>
      </c>
      <c r="N212" s="26" t="s">
        <v>412</v>
      </c>
      <c r="O212" s="26"/>
    </row>
    <row r="213" spans="1:15">
      <c r="A213" s="42"/>
      <c r="B213" s="6" t="s">
        <v>431</v>
      </c>
      <c r="C213" s="23">
        <v>303020003</v>
      </c>
      <c r="D213" s="24" t="s">
        <v>421</v>
      </c>
      <c r="E213" s="24" t="s">
        <v>86</v>
      </c>
      <c r="F213" s="24">
        <v>1</v>
      </c>
      <c r="G213" s="24" t="s">
        <v>430</v>
      </c>
      <c r="H213" s="23"/>
      <c r="I213" s="23">
        <v>10</v>
      </c>
      <c r="J213" s="23" t="s">
        <v>78</v>
      </c>
      <c r="K213" s="25">
        <v>602</v>
      </c>
      <c r="L213" s="25">
        <v>0</v>
      </c>
      <c r="M213" s="25" t="e">
        <f>VLOOKUP(A:A,[1]进仓汇总!A$1:G$65536,7,0)</f>
        <v>#N/A</v>
      </c>
      <c r="N213" s="26" t="s">
        <v>412</v>
      </c>
      <c r="O213" s="26"/>
    </row>
    <row r="214" spans="1:15">
      <c r="A214" s="42"/>
      <c r="B214" s="6" t="s">
        <v>431</v>
      </c>
      <c r="C214" s="23">
        <v>303020004</v>
      </c>
      <c r="D214" s="24" t="s">
        <v>422</v>
      </c>
      <c r="E214" s="24" t="s">
        <v>86</v>
      </c>
      <c r="F214" s="24">
        <v>1</v>
      </c>
      <c r="G214" s="24" t="s">
        <v>430</v>
      </c>
      <c r="H214" s="23"/>
      <c r="I214" s="23">
        <v>10</v>
      </c>
      <c r="J214" s="23" t="s">
        <v>78</v>
      </c>
      <c r="K214" s="25">
        <v>602</v>
      </c>
      <c r="L214" s="25">
        <v>0</v>
      </c>
      <c r="M214" s="25" t="e">
        <f>VLOOKUP(A:A,[1]进仓汇总!A$1:G$65536,7,0)</f>
        <v>#N/A</v>
      </c>
      <c r="N214" s="26" t="s">
        <v>412</v>
      </c>
      <c r="O214" s="26"/>
    </row>
    <row r="215" spans="1:15">
      <c r="A215" s="41"/>
      <c r="B215" s="6" t="s">
        <v>431</v>
      </c>
      <c r="C215" s="23">
        <v>303020005</v>
      </c>
      <c r="D215" s="24" t="s">
        <v>423</v>
      </c>
      <c r="E215" s="24" t="s">
        <v>424</v>
      </c>
      <c r="F215" s="24">
        <v>1</v>
      </c>
      <c r="G215" s="24" t="s">
        <v>430</v>
      </c>
      <c r="H215" s="23"/>
      <c r="I215" s="23">
        <v>10</v>
      </c>
      <c r="J215" s="23" t="s">
        <v>78</v>
      </c>
      <c r="K215" s="25" t="s">
        <v>57</v>
      </c>
      <c r="L215" s="25">
        <v>0</v>
      </c>
      <c r="M215" s="25" t="e">
        <f>VLOOKUP(A:A,[1]进仓汇总!A$1:G$65536,7,0)</f>
        <v>#N/A</v>
      </c>
      <c r="N215" s="26" t="s">
        <v>412</v>
      </c>
      <c r="O215" s="26"/>
    </row>
    <row r="216" spans="1:15">
      <c r="A216" s="40" t="s">
        <v>1151</v>
      </c>
      <c r="B216" s="6" t="s">
        <v>433</v>
      </c>
      <c r="C216" s="23">
        <v>303110002</v>
      </c>
      <c r="D216" s="24" t="s">
        <v>161</v>
      </c>
      <c r="E216" s="24" t="s">
        <v>411</v>
      </c>
      <c r="F216" s="24">
        <v>1</v>
      </c>
      <c r="G216" s="24" t="s">
        <v>24</v>
      </c>
      <c r="H216" s="23" t="s">
        <v>83</v>
      </c>
      <c r="I216" s="23">
        <v>30</v>
      </c>
      <c r="J216" s="23" t="s">
        <v>221</v>
      </c>
      <c r="K216" s="25">
        <v>503</v>
      </c>
      <c r="L216" s="25">
        <v>1445</v>
      </c>
      <c r="M216" s="25" t="e">
        <f>VLOOKUP(A:A,[1]进仓汇总!A$1:G$65536,7,0)</f>
        <v>#N/A</v>
      </c>
      <c r="N216" s="26" t="s">
        <v>412</v>
      </c>
      <c r="O216" s="26"/>
    </row>
    <row r="217" spans="1:15">
      <c r="A217" s="42"/>
      <c r="B217" s="6" t="s">
        <v>433</v>
      </c>
      <c r="C217" s="23">
        <v>303110003</v>
      </c>
      <c r="D217" s="24" t="s">
        <v>434</v>
      </c>
      <c r="E217" s="24"/>
      <c r="F217" s="24">
        <v>1</v>
      </c>
      <c r="G217" s="24" t="s">
        <v>24</v>
      </c>
      <c r="H217" s="23" t="s">
        <v>87</v>
      </c>
      <c r="I217" s="23">
        <v>30</v>
      </c>
      <c r="J217" s="23" t="s">
        <v>221</v>
      </c>
      <c r="K217" s="25">
        <v>503</v>
      </c>
      <c r="L217" s="25">
        <v>0</v>
      </c>
      <c r="M217" s="25" t="e">
        <f>VLOOKUP(A:A,[1]进仓汇总!A$1:G$65536,7,0)</f>
        <v>#N/A</v>
      </c>
      <c r="N217" s="26" t="s">
        <v>412</v>
      </c>
      <c r="O217" s="26"/>
    </row>
    <row r="218" spans="1:15">
      <c r="A218" s="42"/>
      <c r="B218" s="6" t="s">
        <v>433</v>
      </c>
      <c r="C218" s="23">
        <v>303110004</v>
      </c>
      <c r="D218" s="24" t="s">
        <v>435</v>
      </c>
      <c r="E218" s="24" t="s">
        <v>86</v>
      </c>
      <c r="F218" s="24">
        <v>1</v>
      </c>
      <c r="G218" s="24" t="s">
        <v>24</v>
      </c>
      <c r="H218" s="23" t="s">
        <v>90</v>
      </c>
      <c r="I218" s="23">
        <v>30</v>
      </c>
      <c r="J218" s="23" t="s">
        <v>221</v>
      </c>
      <c r="K218" s="25">
        <v>503</v>
      </c>
      <c r="L218" s="25">
        <v>0</v>
      </c>
      <c r="M218" s="25" t="e">
        <f>VLOOKUP(A:A,[1]进仓汇总!A$1:G$65536,7,0)</f>
        <v>#N/A</v>
      </c>
      <c r="N218" s="26" t="s">
        <v>412</v>
      </c>
      <c r="O218" s="26"/>
    </row>
    <row r="219" spans="1:15">
      <c r="A219" s="41"/>
      <c r="B219" s="6" t="s">
        <v>433</v>
      </c>
      <c r="C219" s="23">
        <v>303110005</v>
      </c>
      <c r="D219" s="24" t="s">
        <v>436</v>
      </c>
      <c r="E219" s="24" t="s">
        <v>86</v>
      </c>
      <c r="F219" s="24">
        <v>1</v>
      </c>
      <c r="G219" s="24" t="s">
        <v>24</v>
      </c>
      <c r="H219" s="23" t="s">
        <v>95</v>
      </c>
      <c r="I219" s="23">
        <v>30</v>
      </c>
      <c r="J219" s="23" t="s">
        <v>221</v>
      </c>
      <c r="K219" s="25">
        <v>503</v>
      </c>
      <c r="L219" s="25">
        <v>0</v>
      </c>
      <c r="M219" s="25" t="e">
        <f>VLOOKUP(A:A,[1]进仓汇总!A$1:G$65536,7,0)</f>
        <v>#N/A</v>
      </c>
      <c r="N219" s="26" t="s">
        <v>412</v>
      </c>
      <c r="O219" s="26"/>
    </row>
    <row r="220" spans="1:15">
      <c r="A220" s="40" t="s">
        <v>1152</v>
      </c>
      <c r="B220" s="6" t="s">
        <v>437</v>
      </c>
      <c r="C220" s="23">
        <v>303070002</v>
      </c>
      <c r="D220" s="24" t="s">
        <v>315</v>
      </c>
      <c r="E220" s="24" t="s">
        <v>438</v>
      </c>
      <c r="F220" s="24">
        <v>1</v>
      </c>
      <c r="G220" s="24" t="s">
        <v>24</v>
      </c>
      <c r="H220" s="23" t="s">
        <v>153</v>
      </c>
      <c r="I220" s="23">
        <v>15</v>
      </c>
      <c r="J220" s="23" t="s">
        <v>221</v>
      </c>
      <c r="K220" s="25">
        <v>610</v>
      </c>
      <c r="L220" s="25">
        <v>456</v>
      </c>
      <c r="M220" s="25" t="e">
        <f>VLOOKUP(A:A,[1]进仓汇总!A$1:G$65536,7,0)</f>
        <v>#N/A</v>
      </c>
      <c r="N220" s="26" t="s">
        <v>412</v>
      </c>
      <c r="O220" s="26"/>
    </row>
    <row r="221" spans="1:15">
      <c r="A221" s="42"/>
      <c r="B221" s="6" t="s">
        <v>437</v>
      </c>
      <c r="C221" s="23">
        <v>303070003</v>
      </c>
      <c r="D221" s="24" t="s">
        <v>439</v>
      </c>
      <c r="E221" s="24" t="s">
        <v>86</v>
      </c>
      <c r="F221" s="24">
        <v>1</v>
      </c>
      <c r="G221" s="24" t="s">
        <v>24</v>
      </c>
      <c r="H221" s="23" t="s">
        <v>156</v>
      </c>
      <c r="I221" s="23">
        <v>15</v>
      </c>
      <c r="J221" s="23" t="s">
        <v>221</v>
      </c>
      <c r="K221" s="25" t="s">
        <v>440</v>
      </c>
      <c r="L221" s="25">
        <v>0</v>
      </c>
      <c r="M221" s="25" t="e">
        <f>VLOOKUP(A:A,[1]进仓汇总!A$1:G$65536,7,0)</f>
        <v>#N/A</v>
      </c>
      <c r="N221" s="26" t="s">
        <v>412</v>
      </c>
      <c r="O221" s="26"/>
    </row>
    <row r="222" spans="1:15">
      <c r="A222" s="41"/>
      <c r="B222" s="6" t="s">
        <v>437</v>
      </c>
      <c r="C222" s="23">
        <v>303070004</v>
      </c>
      <c r="D222" s="24" t="s">
        <v>422</v>
      </c>
      <c r="E222" s="24" t="s">
        <v>86</v>
      </c>
      <c r="F222" s="24">
        <v>1</v>
      </c>
      <c r="G222" s="24" t="s">
        <v>24</v>
      </c>
      <c r="H222" s="23" t="s">
        <v>159</v>
      </c>
      <c r="I222" s="23">
        <v>15</v>
      </c>
      <c r="J222" s="23" t="s">
        <v>221</v>
      </c>
      <c r="K222" s="25">
        <v>610</v>
      </c>
      <c r="L222" s="25">
        <v>0</v>
      </c>
      <c r="M222" s="25" t="e">
        <f>VLOOKUP(A:A,[1]进仓汇总!A$1:G$65536,7,0)</f>
        <v>#N/A</v>
      </c>
      <c r="N222" s="26" t="s">
        <v>412</v>
      </c>
      <c r="O222" s="26"/>
    </row>
    <row r="223" spans="1:15">
      <c r="A223" s="40" t="s">
        <v>1153</v>
      </c>
      <c r="B223" s="6" t="s">
        <v>441</v>
      </c>
      <c r="C223" s="23">
        <v>303080002</v>
      </c>
      <c r="D223" s="24" t="s">
        <v>315</v>
      </c>
      <c r="E223" s="24" t="s">
        <v>438</v>
      </c>
      <c r="F223" s="24">
        <v>1</v>
      </c>
      <c r="G223" s="24" t="s">
        <v>24</v>
      </c>
      <c r="H223" s="23" t="s">
        <v>153</v>
      </c>
      <c r="I223" s="23">
        <v>20</v>
      </c>
      <c r="J223" s="23" t="s">
        <v>221</v>
      </c>
      <c r="K223" s="25">
        <v>610</v>
      </c>
      <c r="L223" s="25"/>
      <c r="M223" s="25" t="e">
        <f>VLOOKUP(A:A,[1]进仓汇总!A$1:G$65536,7,0)</f>
        <v>#N/A</v>
      </c>
      <c r="N223" s="26" t="s">
        <v>412</v>
      </c>
      <c r="O223" s="26"/>
    </row>
    <row r="224" spans="1:15">
      <c r="A224" s="42"/>
      <c r="B224" s="6" t="s">
        <v>441</v>
      </c>
      <c r="C224" s="23">
        <v>303080003</v>
      </c>
      <c r="D224" s="24" t="s">
        <v>442</v>
      </c>
      <c r="E224" s="24" t="s">
        <v>86</v>
      </c>
      <c r="F224" s="24">
        <v>1</v>
      </c>
      <c r="G224" s="24" t="s">
        <v>24</v>
      </c>
      <c r="H224" s="23" t="s">
        <v>156</v>
      </c>
      <c r="I224" s="23">
        <v>20</v>
      </c>
      <c r="J224" s="23" t="s">
        <v>221</v>
      </c>
      <c r="K224" s="25">
        <v>610</v>
      </c>
      <c r="L224" s="25"/>
      <c r="M224" s="25" t="e">
        <f>VLOOKUP(A:A,[1]进仓汇总!A$1:G$65536,7,0)</f>
        <v>#N/A</v>
      </c>
      <c r="N224" s="26" t="s">
        <v>412</v>
      </c>
      <c r="O224" s="26"/>
    </row>
    <row r="225" spans="1:19">
      <c r="A225" s="41"/>
      <c r="B225" s="6" t="s">
        <v>441</v>
      </c>
      <c r="C225" s="23">
        <v>303080004</v>
      </c>
      <c r="D225" s="24" t="s">
        <v>422</v>
      </c>
      <c r="E225" s="24" t="s">
        <v>86</v>
      </c>
      <c r="F225" s="24">
        <v>1</v>
      </c>
      <c r="G225" s="24" t="s">
        <v>24</v>
      </c>
      <c r="H225" s="23" t="s">
        <v>159</v>
      </c>
      <c r="I225" s="23">
        <v>20</v>
      </c>
      <c r="J225" s="23" t="s">
        <v>221</v>
      </c>
      <c r="K225" s="25">
        <v>609</v>
      </c>
      <c r="L225" s="25"/>
      <c r="M225" s="25" t="e">
        <f>VLOOKUP(A:A,[1]进仓汇总!A$1:G$65536,7,0)</f>
        <v>#N/A</v>
      </c>
      <c r="N225" s="26" t="s">
        <v>412</v>
      </c>
      <c r="O225" s="26"/>
    </row>
    <row r="226" spans="1:19">
      <c r="A226" s="40" t="s">
        <v>1154</v>
      </c>
      <c r="B226" s="6" t="s">
        <v>443</v>
      </c>
      <c r="C226" s="23">
        <v>303100002</v>
      </c>
      <c r="D226" s="24" t="s">
        <v>311</v>
      </c>
      <c r="E226" s="24" t="s">
        <v>438</v>
      </c>
      <c r="F226" s="24">
        <v>1</v>
      </c>
      <c r="G226" s="24" t="s">
        <v>24</v>
      </c>
      <c r="H226" s="23" t="s">
        <v>136</v>
      </c>
      <c r="I226" s="23">
        <v>0</v>
      </c>
      <c r="J226" s="23" t="s">
        <v>51</v>
      </c>
      <c r="K226" s="25">
        <v>609</v>
      </c>
      <c r="L226" s="25"/>
      <c r="M226" s="25" t="e">
        <f>VLOOKUP(A:A,[1]进仓汇总!A$1:G$65536,7,0)</f>
        <v>#N/A</v>
      </c>
      <c r="N226" s="26" t="s">
        <v>412</v>
      </c>
      <c r="O226" s="26"/>
    </row>
    <row r="227" spans="1:19">
      <c r="A227" s="41"/>
      <c r="B227" s="6" t="s">
        <v>443</v>
      </c>
      <c r="C227" s="23">
        <v>303100003</v>
      </c>
      <c r="D227" s="24" t="s">
        <v>444</v>
      </c>
      <c r="E227" s="24" t="s">
        <v>86</v>
      </c>
      <c r="F227" s="24">
        <v>1</v>
      </c>
      <c r="G227" s="24" t="s">
        <v>24</v>
      </c>
      <c r="H227" s="23" t="s">
        <v>140</v>
      </c>
      <c r="I227" s="23">
        <v>0</v>
      </c>
      <c r="J227" s="23" t="s">
        <v>51</v>
      </c>
      <c r="K227" s="25">
        <v>609</v>
      </c>
      <c r="L227" s="25"/>
      <c r="M227" s="25" t="e">
        <f>VLOOKUP(A:A,[1]进仓汇总!A$1:G$65536,7,0)</f>
        <v>#N/A</v>
      </c>
      <c r="N227" s="26" t="s">
        <v>412</v>
      </c>
      <c r="O227" s="26"/>
    </row>
    <row r="228" spans="1:19">
      <c r="A228" s="40" t="s">
        <v>1155</v>
      </c>
      <c r="B228" s="6" t="s">
        <v>445</v>
      </c>
      <c r="C228" s="23">
        <v>303100005</v>
      </c>
      <c r="D228" s="24" t="s">
        <v>311</v>
      </c>
      <c r="E228" s="24" t="s">
        <v>438</v>
      </c>
      <c r="F228" s="24">
        <v>1</v>
      </c>
      <c r="G228" s="24" t="s">
        <v>24</v>
      </c>
      <c r="H228" s="23" t="s">
        <v>136</v>
      </c>
      <c r="I228" s="23">
        <v>10</v>
      </c>
      <c r="J228" s="23" t="s">
        <v>26</v>
      </c>
      <c r="K228" s="25">
        <v>609</v>
      </c>
      <c r="L228" s="25"/>
      <c r="M228" s="25" t="e">
        <f>VLOOKUP(A:A,[1]进仓汇总!A$1:G$65536,7,0)</f>
        <v>#N/A</v>
      </c>
      <c r="N228" s="26" t="s">
        <v>412</v>
      </c>
      <c r="O228" s="26"/>
    </row>
    <row r="229" spans="1:19">
      <c r="A229" s="41"/>
      <c r="B229" s="6" t="s">
        <v>445</v>
      </c>
      <c r="C229" s="23">
        <v>303100006</v>
      </c>
      <c r="D229" s="24" t="s">
        <v>444</v>
      </c>
      <c r="E229" s="24" t="s">
        <v>86</v>
      </c>
      <c r="F229" s="24">
        <v>1</v>
      </c>
      <c r="G229" s="24" t="s">
        <v>24</v>
      </c>
      <c r="H229" s="23" t="s">
        <v>140</v>
      </c>
      <c r="I229" s="23">
        <v>10</v>
      </c>
      <c r="J229" s="23" t="s">
        <v>26</v>
      </c>
      <c r="K229" s="25">
        <v>0</v>
      </c>
      <c r="L229" s="25"/>
      <c r="M229" s="25" t="e">
        <f>VLOOKUP(A:A,[1]进仓汇总!A$1:G$65536,7,0)</f>
        <v>#N/A</v>
      </c>
      <c r="N229" s="26" t="s">
        <v>412</v>
      </c>
      <c r="O229" s="26"/>
    </row>
    <row r="230" spans="1:19">
      <c r="A230" s="40" t="s">
        <v>1156</v>
      </c>
      <c r="B230" s="6" t="s">
        <v>446</v>
      </c>
      <c r="C230" s="23" t="s">
        <v>447</v>
      </c>
      <c r="D230" s="24" t="s">
        <v>448</v>
      </c>
      <c r="E230" s="24" t="s">
        <v>449</v>
      </c>
      <c r="F230" s="24">
        <v>2</v>
      </c>
      <c r="G230" s="24" t="s">
        <v>24</v>
      </c>
      <c r="H230" s="23" t="s">
        <v>376</v>
      </c>
      <c r="I230" s="23">
        <v>0</v>
      </c>
      <c r="J230" s="23" t="s">
        <v>51</v>
      </c>
      <c r="K230" s="25" t="s">
        <v>450</v>
      </c>
      <c r="L230" s="25"/>
      <c r="M230" s="25" t="e">
        <f>VLOOKUP(A:A,[1]进仓汇总!A$1:G$65536,7,0)</f>
        <v>#N/A</v>
      </c>
      <c r="N230" s="26" t="s">
        <v>412</v>
      </c>
      <c r="O230" s="26"/>
    </row>
    <row r="231" spans="1:19">
      <c r="A231" s="42"/>
      <c r="B231" s="6" t="s">
        <v>446</v>
      </c>
      <c r="C231" s="23">
        <v>303030003</v>
      </c>
      <c r="D231" s="24" t="s">
        <v>451</v>
      </c>
      <c r="E231" s="24" t="s">
        <v>449</v>
      </c>
      <c r="F231" s="24">
        <v>1</v>
      </c>
      <c r="G231" s="24" t="s">
        <v>24</v>
      </c>
      <c r="H231" s="23" t="s">
        <v>452</v>
      </c>
      <c r="I231" s="23">
        <v>0</v>
      </c>
      <c r="J231" s="23" t="s">
        <v>51</v>
      </c>
      <c r="K231" s="25">
        <v>0</v>
      </c>
      <c r="L231" s="25"/>
      <c r="M231" s="25" t="e">
        <f>VLOOKUP(A:A,[1]进仓汇总!A$1:G$65536,7,0)</f>
        <v>#N/A</v>
      </c>
      <c r="N231" s="26" t="s">
        <v>412</v>
      </c>
      <c r="O231" s="26"/>
    </row>
    <row r="232" spans="1:19">
      <c r="A232" s="42"/>
      <c r="B232" s="6" t="s">
        <v>446</v>
      </c>
      <c r="C232" s="23" t="s">
        <v>453</v>
      </c>
      <c r="D232" s="24" t="s">
        <v>363</v>
      </c>
      <c r="E232" s="24"/>
      <c r="F232" s="24">
        <v>1</v>
      </c>
      <c r="G232" s="24" t="s">
        <v>24</v>
      </c>
      <c r="H232" s="23" t="s">
        <v>454</v>
      </c>
      <c r="I232" s="23">
        <v>0</v>
      </c>
      <c r="J232" s="23" t="s">
        <v>51</v>
      </c>
      <c r="K232" s="25">
        <v>0</v>
      </c>
      <c r="L232" s="25"/>
      <c r="M232" s="25" t="e">
        <f>VLOOKUP(A:A,[1]进仓汇总!A$1:G$65536,7,0)</f>
        <v>#N/A</v>
      </c>
      <c r="N232" s="26" t="s">
        <v>412</v>
      </c>
      <c r="O232" s="26"/>
      <c r="Q232" s="14"/>
      <c r="R232" s="14"/>
      <c r="S232" s="14"/>
    </row>
    <row r="233" spans="1:19" s="14" customFormat="1">
      <c r="A233" s="42"/>
      <c r="B233" s="6" t="s">
        <v>446</v>
      </c>
      <c r="C233" s="23">
        <v>303030005</v>
      </c>
      <c r="D233" s="24" t="s">
        <v>455</v>
      </c>
      <c r="E233" s="24" t="s">
        <v>86</v>
      </c>
      <c r="F233" s="24">
        <v>1</v>
      </c>
      <c r="G233" s="24" t="s">
        <v>24</v>
      </c>
      <c r="H233" s="23" t="s">
        <v>456</v>
      </c>
      <c r="I233" s="23">
        <v>0</v>
      </c>
      <c r="J233" s="23" t="s">
        <v>51</v>
      </c>
      <c r="K233" s="25">
        <v>0</v>
      </c>
      <c r="L233" s="25"/>
      <c r="M233" s="25" t="e">
        <f>VLOOKUP(A:A,[1]进仓汇总!A$1:G$65536,7,0)</f>
        <v>#N/A</v>
      </c>
      <c r="N233" s="26" t="s">
        <v>412</v>
      </c>
      <c r="O233" s="26"/>
      <c r="Q233" s="9"/>
      <c r="R233" s="9"/>
      <c r="S233" s="9"/>
    </row>
    <row r="234" spans="1:19">
      <c r="A234" s="42"/>
      <c r="B234" s="6" t="s">
        <v>446</v>
      </c>
      <c r="C234" s="23">
        <v>303030006</v>
      </c>
      <c r="D234" s="24" t="s">
        <v>457</v>
      </c>
      <c r="E234" s="24" t="s">
        <v>458</v>
      </c>
      <c r="F234" s="24">
        <v>2</v>
      </c>
      <c r="G234" s="24" t="s">
        <v>24</v>
      </c>
      <c r="H234" s="23" t="s">
        <v>459</v>
      </c>
      <c r="I234" s="23">
        <v>0</v>
      </c>
      <c r="J234" s="23"/>
      <c r="K234" s="25">
        <v>0</v>
      </c>
      <c r="L234" s="25"/>
      <c r="M234" s="25" t="e">
        <f>VLOOKUP(A:A,[1]进仓汇总!A$1:G$65536,7,0)</f>
        <v>#N/A</v>
      </c>
      <c r="N234" s="26" t="s">
        <v>412</v>
      </c>
      <c r="O234" s="26"/>
    </row>
    <row r="235" spans="1:19">
      <c r="A235" s="42"/>
      <c r="B235" s="6" t="s">
        <v>446</v>
      </c>
      <c r="C235" s="23">
        <v>303030007</v>
      </c>
      <c r="D235" s="24" t="s">
        <v>460</v>
      </c>
      <c r="E235" s="24" t="s">
        <v>458</v>
      </c>
      <c r="F235" s="24">
        <v>2</v>
      </c>
      <c r="G235" s="24" t="s">
        <v>24</v>
      </c>
      <c r="H235" s="23" t="s">
        <v>461</v>
      </c>
      <c r="I235" s="23">
        <v>0</v>
      </c>
      <c r="J235" s="23"/>
      <c r="K235" s="25">
        <v>0</v>
      </c>
      <c r="L235" s="25"/>
      <c r="M235" s="25" t="e">
        <f>VLOOKUP(A:A,[1]进仓汇总!A$1:G$65536,7,0)</f>
        <v>#N/A</v>
      </c>
      <c r="N235" s="26" t="s">
        <v>412</v>
      </c>
      <c r="O235" s="26"/>
    </row>
    <row r="236" spans="1:19">
      <c r="A236" s="42"/>
      <c r="B236" s="6" t="s">
        <v>446</v>
      </c>
      <c r="C236" s="23" t="s">
        <v>462</v>
      </c>
      <c r="D236" s="24" t="s">
        <v>463</v>
      </c>
      <c r="E236" s="24" t="s">
        <v>86</v>
      </c>
      <c r="F236" s="24">
        <v>1</v>
      </c>
      <c r="G236" s="24" t="s">
        <v>24</v>
      </c>
      <c r="H236" s="23" t="s">
        <v>193</v>
      </c>
      <c r="I236" s="23">
        <v>0</v>
      </c>
      <c r="J236" s="23" t="s">
        <v>51</v>
      </c>
      <c r="K236" s="25">
        <v>0</v>
      </c>
      <c r="L236" s="25"/>
      <c r="M236" s="25" t="e">
        <f>VLOOKUP(A:A,[1]进仓汇总!A$1:G$65536,7,0)</f>
        <v>#N/A</v>
      </c>
      <c r="N236" s="26" t="s">
        <v>412</v>
      </c>
      <c r="O236" s="26"/>
    </row>
    <row r="237" spans="1:19">
      <c r="A237" s="41"/>
      <c r="B237" s="6" t="s">
        <v>446</v>
      </c>
      <c r="C237" s="23" t="s">
        <v>464</v>
      </c>
      <c r="D237" s="24" t="s">
        <v>465</v>
      </c>
      <c r="E237" s="24" t="s">
        <v>66</v>
      </c>
      <c r="F237" s="24">
        <v>1</v>
      </c>
      <c r="G237" s="24" t="s">
        <v>24</v>
      </c>
      <c r="H237" s="23" t="s">
        <v>184</v>
      </c>
      <c r="I237" s="23">
        <v>0</v>
      </c>
      <c r="J237" s="23" t="s">
        <v>51</v>
      </c>
      <c r="K237" s="25">
        <v>0</v>
      </c>
      <c r="L237" s="25"/>
      <c r="M237" s="25" t="e">
        <f>VLOOKUP(A:A,[1]进仓汇总!A$1:G$65536,7,0)</f>
        <v>#N/A</v>
      </c>
      <c r="N237" s="26" t="s">
        <v>412</v>
      </c>
      <c r="O237" s="26"/>
    </row>
    <row r="238" spans="1:19">
      <c r="A238" s="23" t="s">
        <v>1157</v>
      </c>
      <c r="B238" s="6" t="s">
        <v>446</v>
      </c>
      <c r="C238" s="24"/>
      <c r="D238" s="24" t="s">
        <v>244</v>
      </c>
      <c r="E238" s="24" t="s">
        <v>466</v>
      </c>
      <c r="F238" s="24">
        <v>1</v>
      </c>
      <c r="G238" s="24" t="s">
        <v>24</v>
      </c>
      <c r="H238" s="23" t="s">
        <v>70</v>
      </c>
      <c r="I238" s="23">
        <v>0</v>
      </c>
      <c r="J238" s="23"/>
      <c r="K238" s="25">
        <v>0</v>
      </c>
      <c r="L238" s="25"/>
      <c r="M238" s="25">
        <f>VLOOKUP(A:A,[1]进仓汇总!A$1:G$65536,7,0)</f>
        <v>0</v>
      </c>
      <c r="N238" s="26" t="s">
        <v>412</v>
      </c>
      <c r="O238" s="26"/>
    </row>
    <row r="239" spans="1:19">
      <c r="A239" s="40" t="s">
        <v>1158</v>
      </c>
      <c r="B239" s="6" t="s">
        <v>467</v>
      </c>
      <c r="C239" s="23" t="s">
        <v>468</v>
      </c>
      <c r="D239" s="24" t="s">
        <v>448</v>
      </c>
      <c r="E239" s="24" t="s">
        <v>449</v>
      </c>
      <c r="F239" s="24">
        <v>2</v>
      </c>
      <c r="G239" s="24" t="s">
        <v>24</v>
      </c>
      <c r="H239" s="23" t="s">
        <v>469</v>
      </c>
      <c r="I239" s="23">
        <v>0</v>
      </c>
      <c r="J239" s="23" t="s">
        <v>51</v>
      </c>
      <c r="K239" s="25">
        <v>0</v>
      </c>
      <c r="L239" s="25"/>
      <c r="M239" s="25" t="e">
        <f>VLOOKUP(A:A,[1]进仓汇总!A$1:G$65536,7,0)</f>
        <v>#N/A</v>
      </c>
      <c r="N239" s="26" t="s">
        <v>412</v>
      </c>
      <c r="O239" s="26"/>
    </row>
    <row r="240" spans="1:19">
      <c r="A240" s="42"/>
      <c r="B240" s="6" t="s">
        <v>467</v>
      </c>
      <c r="C240" s="23">
        <v>303040005</v>
      </c>
      <c r="D240" s="24" t="s">
        <v>363</v>
      </c>
      <c r="E240" s="24" t="s">
        <v>207</v>
      </c>
      <c r="F240" s="24">
        <v>1</v>
      </c>
      <c r="G240" s="24" t="s">
        <v>24</v>
      </c>
      <c r="H240" s="23" t="s">
        <v>210</v>
      </c>
      <c r="I240" s="23">
        <v>0</v>
      </c>
      <c r="J240" s="23" t="s">
        <v>51</v>
      </c>
      <c r="K240" s="25" t="s">
        <v>470</v>
      </c>
      <c r="L240" s="25"/>
      <c r="M240" s="25" t="e">
        <f>VLOOKUP(A:A,[1]进仓汇总!A$1:G$65536,7,0)</f>
        <v>#N/A</v>
      </c>
      <c r="N240" s="26" t="s">
        <v>412</v>
      </c>
      <c r="O240" s="26"/>
    </row>
    <row r="241" spans="1:19">
      <c r="A241" s="42"/>
      <c r="B241" s="6" t="s">
        <v>467</v>
      </c>
      <c r="C241" s="23" t="s">
        <v>471</v>
      </c>
      <c r="D241" s="24" t="s">
        <v>455</v>
      </c>
      <c r="E241" s="24" t="s">
        <v>86</v>
      </c>
      <c r="F241" s="24">
        <v>1</v>
      </c>
      <c r="G241" s="24" t="s">
        <v>24</v>
      </c>
      <c r="H241" s="23" t="s">
        <v>472</v>
      </c>
      <c r="I241" s="23" t="s">
        <v>473</v>
      </c>
      <c r="J241" s="23" t="s">
        <v>51</v>
      </c>
      <c r="K241" s="25">
        <v>0</v>
      </c>
      <c r="L241" s="25"/>
      <c r="M241" s="25" t="e">
        <f>VLOOKUP(A:A,[1]进仓汇总!A$1:G$65536,7,0)</f>
        <v>#N/A</v>
      </c>
      <c r="N241" s="26" t="s">
        <v>412</v>
      </c>
      <c r="O241" s="26"/>
    </row>
    <row r="242" spans="1:19">
      <c r="A242" s="42"/>
      <c r="B242" s="6" t="s">
        <v>467</v>
      </c>
      <c r="C242" s="23" t="s">
        <v>474</v>
      </c>
      <c r="D242" s="24" t="s">
        <v>463</v>
      </c>
      <c r="E242" s="24" t="s">
        <v>86</v>
      </c>
      <c r="F242" s="24">
        <v>1</v>
      </c>
      <c r="G242" s="24" t="s">
        <v>24</v>
      </c>
      <c r="H242" s="23" t="s">
        <v>475</v>
      </c>
      <c r="I242" s="23" t="s">
        <v>473</v>
      </c>
      <c r="J242" s="23" t="s">
        <v>51</v>
      </c>
      <c r="K242" s="25">
        <v>0</v>
      </c>
      <c r="L242" s="25"/>
      <c r="M242" s="25" t="e">
        <f>VLOOKUP(A:A,[1]进仓汇总!A$1:G$65536,7,0)</f>
        <v>#N/A</v>
      </c>
      <c r="N242" s="26" t="s">
        <v>412</v>
      </c>
      <c r="O242" s="26"/>
    </row>
    <row r="243" spans="1:19">
      <c r="A243" s="42"/>
      <c r="B243" s="6" t="s">
        <v>467</v>
      </c>
      <c r="C243" s="23" t="s">
        <v>476</v>
      </c>
      <c r="D243" s="24" t="s">
        <v>465</v>
      </c>
      <c r="E243" s="24" t="s">
        <v>66</v>
      </c>
      <c r="F243" s="24">
        <v>1</v>
      </c>
      <c r="G243" s="24" t="s">
        <v>24</v>
      </c>
      <c r="H243" s="23" t="s">
        <v>477</v>
      </c>
      <c r="I243" s="23" t="s">
        <v>473</v>
      </c>
      <c r="J243" s="23" t="s">
        <v>51</v>
      </c>
      <c r="K243" s="25" t="s">
        <v>75</v>
      </c>
      <c r="L243" s="25"/>
      <c r="M243" s="25" t="e">
        <f>VLOOKUP(A:A,[1]进仓汇总!A$1:G$65536,7,0)</f>
        <v>#N/A</v>
      </c>
      <c r="N243" s="26" t="s">
        <v>412</v>
      </c>
      <c r="O243" s="26"/>
    </row>
    <row r="244" spans="1:19">
      <c r="A244" s="41"/>
      <c r="B244" s="6" t="s">
        <v>467</v>
      </c>
      <c r="C244" s="23" t="s">
        <v>478</v>
      </c>
      <c r="D244" s="24" t="s">
        <v>54</v>
      </c>
      <c r="E244" s="24" t="s">
        <v>458</v>
      </c>
      <c r="F244" s="24">
        <v>4</v>
      </c>
      <c r="G244" s="24" t="s">
        <v>94</v>
      </c>
      <c r="H244" s="23" t="s">
        <v>227</v>
      </c>
      <c r="I244" s="23" t="s">
        <v>473</v>
      </c>
      <c r="J244" s="23"/>
      <c r="K244" s="25">
        <v>0</v>
      </c>
      <c r="L244" s="25"/>
      <c r="M244" s="25" t="e">
        <f>VLOOKUP(A:A,[1]进仓汇总!A$1:G$65536,7,0)</f>
        <v>#N/A</v>
      </c>
      <c r="N244" s="26" t="s">
        <v>412</v>
      </c>
      <c r="O244" s="26"/>
    </row>
    <row r="245" spans="1:19">
      <c r="A245" s="23" t="s">
        <v>1159</v>
      </c>
      <c r="B245" s="6" t="s">
        <v>467</v>
      </c>
      <c r="C245" s="24"/>
      <c r="D245" s="24" t="s">
        <v>244</v>
      </c>
      <c r="E245" s="24" t="s">
        <v>466</v>
      </c>
      <c r="F245" s="24">
        <v>1</v>
      </c>
      <c r="G245" s="24" t="s">
        <v>24</v>
      </c>
      <c r="H245" s="23" t="s">
        <v>246</v>
      </c>
      <c r="I245" s="23">
        <v>0</v>
      </c>
      <c r="J245" s="23"/>
      <c r="K245" s="25">
        <v>0</v>
      </c>
      <c r="L245" s="25"/>
      <c r="M245" s="25">
        <f>VLOOKUP(A:A,[1]进仓汇总!A$1:G$65536,7,0)</f>
        <v>0</v>
      </c>
      <c r="N245" s="26" t="s">
        <v>412</v>
      </c>
      <c r="O245" s="26"/>
      <c r="Q245" s="13"/>
      <c r="R245" s="13"/>
      <c r="S245" s="13"/>
    </row>
    <row r="246" spans="1:19" s="13" customFormat="1">
      <c r="A246" s="40" t="s">
        <v>1160</v>
      </c>
      <c r="B246" s="6" t="s">
        <v>479</v>
      </c>
      <c r="C246" s="24"/>
      <c r="D246" s="3" t="s">
        <v>480</v>
      </c>
      <c r="E246" s="3"/>
      <c r="F246" s="3" t="s">
        <v>481</v>
      </c>
      <c r="G246" s="3"/>
      <c r="H246" s="3"/>
      <c r="I246" s="3">
        <v>0</v>
      </c>
      <c r="J246" s="3"/>
      <c r="K246" s="25" t="s">
        <v>482</v>
      </c>
      <c r="L246" s="25"/>
      <c r="M246" s="25" t="e">
        <f>VLOOKUP(A:A,[1]进仓汇总!A$1:G$65536,7,0)</f>
        <v>#N/A</v>
      </c>
      <c r="N246" s="26" t="s">
        <v>412</v>
      </c>
      <c r="O246" s="26"/>
      <c r="Q246" s="9"/>
      <c r="R246" s="9"/>
      <c r="S246" s="9"/>
    </row>
    <row r="247" spans="1:19">
      <c r="A247" s="42"/>
      <c r="B247" s="6" t="s">
        <v>483</v>
      </c>
      <c r="C247" s="23">
        <v>306020002</v>
      </c>
      <c r="D247" s="24" t="s">
        <v>484</v>
      </c>
      <c r="E247" s="24" t="s">
        <v>82</v>
      </c>
      <c r="F247" s="24">
        <v>1</v>
      </c>
      <c r="G247" s="24" t="s">
        <v>24</v>
      </c>
      <c r="H247" s="23" t="s">
        <v>485</v>
      </c>
      <c r="I247" s="23">
        <v>0</v>
      </c>
      <c r="J247" s="23"/>
      <c r="K247" s="25" t="s">
        <v>482</v>
      </c>
      <c r="L247" s="25"/>
      <c r="M247" s="25" t="e">
        <f>VLOOKUP(A:A,[1]进仓汇总!A$1:G$65536,7,0)</f>
        <v>#N/A</v>
      </c>
      <c r="N247" s="26" t="s">
        <v>412</v>
      </c>
      <c r="O247" s="26"/>
    </row>
    <row r="248" spans="1:19">
      <c r="A248" s="42"/>
      <c r="B248" s="6" t="s">
        <v>483</v>
      </c>
      <c r="C248" s="23">
        <v>306020003</v>
      </c>
      <c r="D248" s="24" t="s">
        <v>486</v>
      </c>
      <c r="E248" s="24" t="s">
        <v>82</v>
      </c>
      <c r="F248" s="24">
        <v>1</v>
      </c>
      <c r="G248" s="24" t="s">
        <v>24</v>
      </c>
      <c r="H248" s="23" t="s">
        <v>487</v>
      </c>
      <c r="I248" s="23">
        <v>0</v>
      </c>
      <c r="J248" s="23"/>
      <c r="K248" s="25" t="s">
        <v>201</v>
      </c>
      <c r="L248" s="25"/>
      <c r="M248" s="25" t="e">
        <f>VLOOKUP(A:A,[1]进仓汇总!A$1:G$65536,7,0)</f>
        <v>#N/A</v>
      </c>
      <c r="N248" s="26" t="s">
        <v>412</v>
      </c>
      <c r="O248" s="26"/>
    </row>
    <row r="249" spans="1:19">
      <c r="A249" s="42"/>
      <c r="B249" s="6" t="s">
        <v>483</v>
      </c>
      <c r="C249" s="23" t="s">
        <v>488</v>
      </c>
      <c r="D249" s="24" t="s">
        <v>489</v>
      </c>
      <c r="E249" s="24" t="s">
        <v>32</v>
      </c>
      <c r="F249" s="24">
        <v>2</v>
      </c>
      <c r="G249" s="24" t="s">
        <v>24</v>
      </c>
      <c r="H249" s="23" t="s">
        <v>490</v>
      </c>
      <c r="I249" s="23">
        <v>0</v>
      </c>
      <c r="J249" s="23"/>
      <c r="K249" s="25" t="s">
        <v>482</v>
      </c>
      <c r="L249" s="25"/>
      <c r="M249" s="25" t="e">
        <f>VLOOKUP(A:A,[1]进仓汇总!A$1:G$65536,7,0)</f>
        <v>#N/A</v>
      </c>
      <c r="N249" s="26" t="s">
        <v>412</v>
      </c>
      <c r="O249" s="26"/>
    </row>
    <row r="250" spans="1:19">
      <c r="A250" s="42"/>
      <c r="B250" s="6" t="s">
        <v>483</v>
      </c>
      <c r="C250" s="23">
        <v>306020004</v>
      </c>
      <c r="D250" s="24" t="s">
        <v>491</v>
      </c>
      <c r="E250" s="24" t="s">
        <v>32</v>
      </c>
      <c r="F250" s="24">
        <v>1</v>
      </c>
      <c r="G250" s="24" t="s">
        <v>24</v>
      </c>
      <c r="H250" s="23" t="s">
        <v>492</v>
      </c>
      <c r="I250" s="23">
        <v>0</v>
      </c>
      <c r="J250" s="23"/>
      <c r="K250" s="25" t="s">
        <v>482</v>
      </c>
      <c r="L250" s="25"/>
      <c r="M250" s="25" t="e">
        <f>VLOOKUP(A:A,[1]进仓汇总!A$1:G$65536,7,0)</f>
        <v>#N/A</v>
      </c>
      <c r="N250" s="26" t="s">
        <v>412</v>
      </c>
      <c r="O250" s="26"/>
    </row>
    <row r="251" spans="1:19">
      <c r="A251" s="42"/>
      <c r="B251" s="6" t="s">
        <v>483</v>
      </c>
      <c r="C251" s="23">
        <v>306020005</v>
      </c>
      <c r="D251" s="24" t="s">
        <v>493</v>
      </c>
      <c r="E251" s="24" t="s">
        <v>82</v>
      </c>
      <c r="F251" s="24">
        <v>1</v>
      </c>
      <c r="G251" s="24" t="s">
        <v>24</v>
      </c>
      <c r="H251" s="23" t="s">
        <v>494</v>
      </c>
      <c r="I251" s="23">
        <v>0</v>
      </c>
      <c r="J251" s="23"/>
      <c r="K251" s="25" t="s">
        <v>482</v>
      </c>
      <c r="L251" s="25"/>
      <c r="M251" s="25" t="e">
        <f>VLOOKUP(A:A,[1]进仓汇总!A$1:G$65536,7,0)</f>
        <v>#N/A</v>
      </c>
      <c r="N251" s="26" t="s">
        <v>412</v>
      </c>
      <c r="O251" s="26"/>
    </row>
    <row r="252" spans="1:19">
      <c r="A252" s="42"/>
      <c r="B252" s="6" t="s">
        <v>483</v>
      </c>
      <c r="C252" s="23">
        <v>306020006</v>
      </c>
      <c r="D252" s="24" t="s">
        <v>495</v>
      </c>
      <c r="E252" s="24" t="s">
        <v>496</v>
      </c>
      <c r="F252" s="24">
        <v>1</v>
      </c>
      <c r="G252" s="24" t="s">
        <v>24</v>
      </c>
      <c r="H252" s="23" t="s">
        <v>497</v>
      </c>
      <c r="I252" s="23">
        <v>0</v>
      </c>
      <c r="J252" s="23"/>
      <c r="K252" s="25" t="s">
        <v>482</v>
      </c>
      <c r="L252" s="25"/>
      <c r="M252" s="25" t="e">
        <f>VLOOKUP(A:A,[1]进仓汇总!A$1:G$65536,7,0)</f>
        <v>#N/A</v>
      </c>
      <c r="N252" s="26" t="s">
        <v>412</v>
      </c>
      <c r="O252" s="26"/>
    </row>
    <row r="253" spans="1:19">
      <c r="A253" s="42"/>
      <c r="B253" s="6" t="s">
        <v>483</v>
      </c>
      <c r="C253" s="23">
        <v>306020007</v>
      </c>
      <c r="D253" s="24" t="s">
        <v>498</v>
      </c>
      <c r="E253" s="24" t="s">
        <v>496</v>
      </c>
      <c r="F253" s="24">
        <v>1</v>
      </c>
      <c r="G253" s="24" t="s">
        <v>24</v>
      </c>
      <c r="H253" s="23" t="s">
        <v>499</v>
      </c>
      <c r="I253" s="23">
        <v>0</v>
      </c>
      <c r="J253" s="23"/>
      <c r="K253" s="25" t="s">
        <v>482</v>
      </c>
      <c r="L253" s="25"/>
      <c r="M253" s="25" t="e">
        <f>VLOOKUP(A:A,[1]进仓汇总!A$1:G$65536,7,0)</f>
        <v>#N/A</v>
      </c>
      <c r="N253" s="26" t="s">
        <v>412</v>
      </c>
      <c r="O253" s="26"/>
    </row>
    <row r="254" spans="1:19">
      <c r="A254" s="42"/>
      <c r="B254" s="6" t="s">
        <v>483</v>
      </c>
      <c r="C254" s="23">
        <v>306020008</v>
      </c>
      <c r="D254" s="24" t="s">
        <v>500</v>
      </c>
      <c r="E254" s="24" t="s">
        <v>496</v>
      </c>
      <c r="F254" s="24">
        <v>1</v>
      </c>
      <c r="G254" s="24" t="s">
        <v>24</v>
      </c>
      <c r="H254" s="23" t="s">
        <v>501</v>
      </c>
      <c r="I254" s="23">
        <v>0</v>
      </c>
      <c r="J254" s="23"/>
      <c r="K254" s="25" t="s">
        <v>482</v>
      </c>
      <c r="L254" s="25"/>
      <c r="M254" s="25" t="e">
        <f>VLOOKUP(A:A,[1]进仓汇总!A$1:G$65536,7,0)</f>
        <v>#N/A</v>
      </c>
      <c r="N254" s="26" t="s">
        <v>412</v>
      </c>
      <c r="O254" s="26"/>
    </row>
    <row r="255" spans="1:19">
      <c r="A255" s="42"/>
      <c r="B255" s="6" t="s">
        <v>483</v>
      </c>
      <c r="C255" s="23">
        <v>306020009</v>
      </c>
      <c r="D255" s="24" t="s">
        <v>502</v>
      </c>
      <c r="E255" s="24" t="s">
        <v>496</v>
      </c>
      <c r="F255" s="24">
        <v>1</v>
      </c>
      <c r="G255" s="24" t="s">
        <v>24</v>
      </c>
      <c r="H255" s="23" t="s">
        <v>503</v>
      </c>
      <c r="I255" s="23">
        <v>0</v>
      </c>
      <c r="J255" s="23"/>
      <c r="K255" s="25" t="s">
        <v>482</v>
      </c>
      <c r="L255" s="25"/>
      <c r="M255" s="25" t="e">
        <f>VLOOKUP(A:A,[1]进仓汇总!A$1:G$65536,7,0)</f>
        <v>#N/A</v>
      </c>
      <c r="N255" s="26" t="s">
        <v>412</v>
      </c>
      <c r="O255" s="26"/>
    </row>
    <row r="256" spans="1:19">
      <c r="A256" s="42"/>
      <c r="B256" s="6" t="s">
        <v>483</v>
      </c>
      <c r="C256" s="23">
        <v>306020010</v>
      </c>
      <c r="D256" s="24" t="s">
        <v>68</v>
      </c>
      <c r="E256" s="24"/>
      <c r="F256" s="24">
        <v>1</v>
      </c>
      <c r="G256" s="24" t="s">
        <v>24</v>
      </c>
      <c r="H256" s="23" t="s">
        <v>504</v>
      </c>
      <c r="I256" s="23">
        <v>0</v>
      </c>
      <c r="J256" s="23"/>
      <c r="K256" s="25" t="s">
        <v>482</v>
      </c>
      <c r="L256" s="25"/>
      <c r="M256" s="25" t="e">
        <f>VLOOKUP(A:A,[1]进仓汇总!A$1:G$65536,7,0)</f>
        <v>#N/A</v>
      </c>
      <c r="N256" s="26" t="s">
        <v>412</v>
      </c>
      <c r="O256" s="26"/>
    </row>
    <row r="257" spans="1:15">
      <c r="A257" s="41"/>
      <c r="B257" s="6" t="s">
        <v>483</v>
      </c>
      <c r="C257" s="23">
        <v>306020011</v>
      </c>
      <c r="D257" s="24" t="s">
        <v>505</v>
      </c>
      <c r="E257" s="24"/>
      <c r="F257" s="24">
        <v>1</v>
      </c>
      <c r="G257" s="24" t="s">
        <v>24</v>
      </c>
      <c r="H257" s="23" t="s">
        <v>506</v>
      </c>
      <c r="I257" s="23">
        <v>0</v>
      </c>
      <c r="J257" s="23"/>
      <c r="K257" s="25">
        <v>301</v>
      </c>
      <c r="L257" s="25"/>
      <c r="M257" s="25" t="e">
        <f>VLOOKUP(A:A,[1]进仓汇总!A$1:G$65536,7,0)</f>
        <v>#N/A</v>
      </c>
      <c r="N257" s="26" t="s">
        <v>412</v>
      </c>
      <c r="O257" s="26"/>
    </row>
    <row r="258" spans="1:15">
      <c r="A258" s="40" t="s">
        <v>1161</v>
      </c>
      <c r="B258" s="6" t="s">
        <v>507</v>
      </c>
      <c r="C258" s="24"/>
      <c r="D258" s="3" t="s">
        <v>508</v>
      </c>
      <c r="E258" s="24"/>
      <c r="F258" s="24" t="s">
        <v>481</v>
      </c>
      <c r="G258" s="24"/>
      <c r="H258" s="23"/>
      <c r="I258" s="23" t="e">
        <f>+VLOOKUP(A:A,[1]安全库存!A$1:I$65536,9,0)</f>
        <v>#N/A</v>
      </c>
      <c r="J258" s="23" t="s">
        <v>137</v>
      </c>
      <c r="K258" s="25" t="s">
        <v>509</v>
      </c>
      <c r="L258" s="25">
        <v>1300</v>
      </c>
      <c r="M258" s="25" t="e">
        <f>VLOOKUP(A:A,[1]进仓汇总!A$1:G$65536,7,0)</f>
        <v>#N/A</v>
      </c>
      <c r="N258" s="26" t="s">
        <v>412</v>
      </c>
      <c r="O258" s="26"/>
    </row>
    <row r="259" spans="1:15">
      <c r="A259" s="42"/>
      <c r="B259" s="6" t="s">
        <v>507</v>
      </c>
      <c r="C259" s="23">
        <v>306040002</v>
      </c>
      <c r="D259" s="24" t="s">
        <v>161</v>
      </c>
      <c r="E259" s="24" t="s">
        <v>82</v>
      </c>
      <c r="F259" s="24">
        <v>2</v>
      </c>
      <c r="G259" s="24" t="s">
        <v>24</v>
      </c>
      <c r="H259" s="23" t="s">
        <v>510</v>
      </c>
      <c r="I259" s="23">
        <v>50</v>
      </c>
      <c r="J259" s="23" t="s">
        <v>219</v>
      </c>
      <c r="K259" s="25">
        <v>301</v>
      </c>
      <c r="L259" s="25">
        <v>0</v>
      </c>
      <c r="M259" s="25" t="e">
        <f>VLOOKUP(A:A,[1]进仓汇总!A$1:G$65536,7,0)</f>
        <v>#N/A</v>
      </c>
      <c r="N259" s="26" t="s">
        <v>412</v>
      </c>
      <c r="O259" s="26"/>
    </row>
    <row r="260" spans="1:15">
      <c r="A260" s="42"/>
      <c r="B260" s="6" t="s">
        <v>507</v>
      </c>
      <c r="C260" s="23">
        <v>306040003</v>
      </c>
      <c r="D260" s="24" t="s">
        <v>511</v>
      </c>
      <c r="E260" s="24" t="s">
        <v>364</v>
      </c>
      <c r="F260" s="24">
        <v>1</v>
      </c>
      <c r="G260" s="24" t="s">
        <v>24</v>
      </c>
      <c r="H260" s="23" t="s">
        <v>512</v>
      </c>
      <c r="I260" s="23">
        <v>25</v>
      </c>
      <c r="J260" s="23" t="s">
        <v>137</v>
      </c>
      <c r="K260" s="25">
        <v>301</v>
      </c>
      <c r="L260" s="25">
        <v>0</v>
      </c>
      <c r="M260" s="25" t="e">
        <f>VLOOKUP(A:A,[1]进仓汇总!A$1:G$65536,7,0)</f>
        <v>#N/A</v>
      </c>
      <c r="N260" s="26" t="s">
        <v>412</v>
      </c>
      <c r="O260" s="26"/>
    </row>
    <row r="261" spans="1:15">
      <c r="A261" s="42"/>
      <c r="B261" s="6" t="s">
        <v>507</v>
      </c>
      <c r="C261" s="23">
        <v>306040004</v>
      </c>
      <c r="D261" s="24" t="s">
        <v>513</v>
      </c>
      <c r="E261" s="24" t="s">
        <v>32</v>
      </c>
      <c r="F261" s="24">
        <v>2</v>
      </c>
      <c r="G261" s="24" t="s">
        <v>24</v>
      </c>
      <c r="H261" s="23" t="s">
        <v>514</v>
      </c>
      <c r="I261" s="23"/>
      <c r="J261" s="23"/>
      <c r="K261" s="25">
        <v>301</v>
      </c>
      <c r="L261" s="25">
        <v>0</v>
      </c>
      <c r="M261" s="25" t="e">
        <f>VLOOKUP(A:A,[1]进仓汇总!A$1:G$65536,7,0)</f>
        <v>#N/A</v>
      </c>
      <c r="N261" s="26" t="s">
        <v>412</v>
      </c>
      <c r="O261" s="26"/>
    </row>
    <row r="262" spans="1:15">
      <c r="A262" s="42"/>
      <c r="B262" s="6" t="s">
        <v>507</v>
      </c>
      <c r="C262" s="23">
        <v>306040005</v>
      </c>
      <c r="D262" s="24" t="s">
        <v>515</v>
      </c>
      <c r="E262" s="24" t="s">
        <v>86</v>
      </c>
      <c r="F262" s="24">
        <v>1</v>
      </c>
      <c r="G262" s="24" t="s">
        <v>24</v>
      </c>
      <c r="H262" s="23" t="s">
        <v>516</v>
      </c>
      <c r="I262" s="23">
        <v>25</v>
      </c>
      <c r="J262" s="23" t="s">
        <v>137</v>
      </c>
      <c r="K262" s="25">
        <v>301</v>
      </c>
      <c r="L262" s="25">
        <v>0</v>
      </c>
      <c r="M262" s="25" t="e">
        <f>VLOOKUP(A:A,[1]进仓汇总!A$1:G$65536,7,0)</f>
        <v>#N/A</v>
      </c>
      <c r="N262" s="26" t="s">
        <v>412</v>
      </c>
      <c r="O262" s="26"/>
    </row>
    <row r="263" spans="1:15">
      <c r="A263" s="42"/>
      <c r="B263" s="6" t="s">
        <v>507</v>
      </c>
      <c r="C263" s="23">
        <v>306040006</v>
      </c>
      <c r="D263" s="24" t="s">
        <v>517</v>
      </c>
      <c r="E263" s="24" t="s">
        <v>518</v>
      </c>
      <c r="F263" s="24">
        <v>1</v>
      </c>
      <c r="G263" s="24" t="s">
        <v>24</v>
      </c>
      <c r="H263" s="23" t="s">
        <v>519</v>
      </c>
      <c r="I263" s="23">
        <v>25</v>
      </c>
      <c r="J263" s="23" t="s">
        <v>137</v>
      </c>
      <c r="K263" s="25">
        <v>301</v>
      </c>
      <c r="L263" s="25">
        <v>0</v>
      </c>
      <c r="M263" s="25" t="e">
        <f>VLOOKUP(A:A,[1]进仓汇总!A$1:G$65536,7,0)</f>
        <v>#N/A</v>
      </c>
      <c r="N263" s="26" t="s">
        <v>412</v>
      </c>
      <c r="O263" s="26"/>
    </row>
    <row r="264" spans="1:15">
      <c r="A264" s="41"/>
      <c r="B264" s="6" t="s">
        <v>507</v>
      </c>
      <c r="C264" s="23">
        <v>306040007</v>
      </c>
      <c r="D264" s="23" t="s">
        <v>520</v>
      </c>
      <c r="E264" s="24"/>
      <c r="F264" s="24">
        <v>1</v>
      </c>
      <c r="G264" s="24" t="s">
        <v>24</v>
      </c>
      <c r="H264" s="23" t="s">
        <v>521</v>
      </c>
      <c r="I264" s="23">
        <v>25</v>
      </c>
      <c r="J264" s="23" t="s">
        <v>137</v>
      </c>
      <c r="K264" s="25">
        <v>403</v>
      </c>
      <c r="L264" s="25">
        <v>0</v>
      </c>
      <c r="M264" s="25" t="e">
        <f>VLOOKUP(A:A,[1]进仓汇总!A$1:G$65536,7,0)</f>
        <v>#N/A</v>
      </c>
      <c r="N264" s="26" t="s">
        <v>412</v>
      </c>
      <c r="O264" s="26"/>
    </row>
    <row r="265" spans="1:15">
      <c r="A265" s="40" t="s">
        <v>1162</v>
      </c>
      <c r="B265" s="6" t="s">
        <v>522</v>
      </c>
      <c r="C265" s="23">
        <v>301050002</v>
      </c>
      <c r="D265" s="24" t="s">
        <v>523</v>
      </c>
      <c r="E265" s="24" t="s">
        <v>145</v>
      </c>
      <c r="F265" s="24">
        <v>2</v>
      </c>
      <c r="G265" s="24" t="s">
        <v>24</v>
      </c>
      <c r="H265" s="23" t="s">
        <v>524</v>
      </c>
      <c r="I265" s="23">
        <v>15</v>
      </c>
      <c r="J265" s="23" t="s">
        <v>78</v>
      </c>
      <c r="K265" s="25">
        <v>403</v>
      </c>
      <c r="L265" s="25">
        <v>1530</v>
      </c>
      <c r="M265" s="25" t="e">
        <f>VLOOKUP(A:A,[1]进仓汇总!A$1:G$65536,7,0)</f>
        <v>#N/A</v>
      </c>
      <c r="N265" s="26" t="s">
        <v>412</v>
      </c>
      <c r="O265" s="26"/>
    </row>
    <row r="266" spans="1:15">
      <c r="A266" s="42"/>
      <c r="B266" s="6" t="s">
        <v>522</v>
      </c>
      <c r="C266" s="23">
        <v>301050003</v>
      </c>
      <c r="D266" s="24" t="s">
        <v>525</v>
      </c>
      <c r="E266" s="24" t="s">
        <v>145</v>
      </c>
      <c r="F266" s="24">
        <v>1</v>
      </c>
      <c r="G266" s="24" t="s">
        <v>24</v>
      </c>
      <c r="H266" s="23" t="s">
        <v>526</v>
      </c>
      <c r="I266" s="23">
        <v>15</v>
      </c>
      <c r="J266" s="23" t="s">
        <v>78</v>
      </c>
      <c r="K266" s="25">
        <v>403</v>
      </c>
      <c r="L266" s="25">
        <v>0</v>
      </c>
      <c r="M266" s="25" t="e">
        <f>VLOOKUP(A:A,[1]进仓汇总!A$1:G$65536,7,0)</f>
        <v>#N/A</v>
      </c>
      <c r="N266" s="26" t="s">
        <v>412</v>
      </c>
      <c r="O266" s="26"/>
    </row>
    <row r="267" spans="1:15">
      <c r="A267" s="42"/>
      <c r="B267" s="6" t="s">
        <v>522</v>
      </c>
      <c r="C267" s="23">
        <v>301050004</v>
      </c>
      <c r="D267" s="24" t="s">
        <v>527</v>
      </c>
      <c r="E267" s="24" t="s">
        <v>145</v>
      </c>
      <c r="F267" s="24">
        <v>1</v>
      </c>
      <c r="G267" s="24" t="s">
        <v>24</v>
      </c>
      <c r="H267" s="23" t="s">
        <v>528</v>
      </c>
      <c r="I267" s="23">
        <v>15</v>
      </c>
      <c r="J267" s="23" t="s">
        <v>78</v>
      </c>
      <c r="K267" s="25">
        <v>404</v>
      </c>
      <c r="L267" s="25">
        <v>0</v>
      </c>
      <c r="M267" s="25" t="e">
        <f>VLOOKUP(A:A,[1]进仓汇总!A$1:G$65536,7,0)</f>
        <v>#N/A</v>
      </c>
      <c r="N267" s="26" t="s">
        <v>412</v>
      </c>
      <c r="O267" s="26"/>
    </row>
    <row r="268" spans="1:15">
      <c r="A268" s="42"/>
      <c r="B268" s="6" t="s">
        <v>522</v>
      </c>
      <c r="C268" s="23">
        <v>301050005</v>
      </c>
      <c r="D268" s="24" t="s">
        <v>529</v>
      </c>
      <c r="E268" s="24" t="s">
        <v>145</v>
      </c>
      <c r="F268" s="24">
        <v>1</v>
      </c>
      <c r="G268" s="24" t="s">
        <v>24</v>
      </c>
      <c r="H268" s="23" t="s">
        <v>530</v>
      </c>
      <c r="I268" s="23">
        <v>15</v>
      </c>
      <c r="J268" s="23" t="s">
        <v>78</v>
      </c>
      <c r="K268" s="25">
        <v>404</v>
      </c>
      <c r="L268" s="25">
        <v>0</v>
      </c>
      <c r="M268" s="25" t="e">
        <f>VLOOKUP(A:A,[1]进仓汇总!A$1:G$65536,7,0)</f>
        <v>#N/A</v>
      </c>
      <c r="N268" s="26" t="s">
        <v>412</v>
      </c>
      <c r="O268" s="26"/>
    </row>
    <row r="269" spans="1:15">
      <c r="A269" s="42"/>
      <c r="B269" s="6" t="s">
        <v>522</v>
      </c>
      <c r="C269" s="23">
        <v>301050006</v>
      </c>
      <c r="D269" s="24" t="s">
        <v>531</v>
      </c>
      <c r="E269" s="24" t="s">
        <v>86</v>
      </c>
      <c r="F269" s="24">
        <v>2</v>
      </c>
      <c r="G269" s="24" t="s">
        <v>24</v>
      </c>
      <c r="H269" s="23" t="s">
        <v>532</v>
      </c>
      <c r="I269" s="23">
        <v>15</v>
      </c>
      <c r="J269" s="23" t="s">
        <v>78</v>
      </c>
      <c r="K269" s="25" t="s">
        <v>57</v>
      </c>
      <c r="L269" s="25">
        <v>0</v>
      </c>
      <c r="M269" s="25" t="e">
        <f>VLOOKUP(A:A,[1]进仓汇总!A$1:G$65536,7,0)</f>
        <v>#N/A</v>
      </c>
      <c r="N269" s="26" t="s">
        <v>412</v>
      </c>
      <c r="O269" s="26"/>
    </row>
    <row r="270" spans="1:15">
      <c r="A270" s="41"/>
      <c r="B270" s="6" t="s">
        <v>522</v>
      </c>
      <c r="C270" s="23">
        <v>301050007</v>
      </c>
      <c r="D270" s="24" t="s">
        <v>533</v>
      </c>
      <c r="E270" s="24" t="s">
        <v>145</v>
      </c>
      <c r="F270" s="24">
        <v>1</v>
      </c>
      <c r="G270" s="24" t="s">
        <v>24</v>
      </c>
      <c r="H270" s="23" t="s">
        <v>534</v>
      </c>
      <c r="I270" s="23">
        <v>15</v>
      </c>
      <c r="J270" s="23" t="s">
        <v>78</v>
      </c>
      <c r="K270" s="25">
        <v>401</v>
      </c>
      <c r="L270" s="25">
        <v>0</v>
      </c>
      <c r="M270" s="25" t="e">
        <f>VLOOKUP(A:A,[1]进仓汇总!A$1:G$65536,7,0)</f>
        <v>#N/A</v>
      </c>
      <c r="N270" s="26" t="s">
        <v>412</v>
      </c>
      <c r="O270" s="26"/>
    </row>
    <row r="271" spans="1:15">
      <c r="A271" s="40" t="s">
        <v>1163</v>
      </c>
      <c r="B271" s="6" t="s">
        <v>522</v>
      </c>
      <c r="C271" s="23">
        <v>301050009</v>
      </c>
      <c r="D271" s="24" t="s">
        <v>523</v>
      </c>
      <c r="E271" s="24" t="s">
        <v>82</v>
      </c>
      <c r="F271" s="24">
        <v>2</v>
      </c>
      <c r="G271" s="24" t="s">
        <v>24</v>
      </c>
      <c r="H271" s="23" t="s">
        <v>524</v>
      </c>
      <c r="I271" s="23">
        <v>0</v>
      </c>
      <c r="J271" s="23" t="s">
        <v>221</v>
      </c>
      <c r="K271" s="25">
        <v>401</v>
      </c>
      <c r="L271" s="25"/>
      <c r="M271" s="25" t="e">
        <f>VLOOKUP(A:A,[1]进仓汇总!A$1:G$65536,7,0)</f>
        <v>#N/A</v>
      </c>
      <c r="N271" s="26" t="s">
        <v>412</v>
      </c>
      <c r="O271" s="26"/>
    </row>
    <row r="272" spans="1:15">
      <c r="A272" s="42"/>
      <c r="B272" s="6" t="s">
        <v>522</v>
      </c>
      <c r="C272" s="23">
        <v>301050010</v>
      </c>
      <c r="D272" s="24" t="s">
        <v>525</v>
      </c>
      <c r="E272" s="24" t="s">
        <v>82</v>
      </c>
      <c r="F272" s="24">
        <v>1</v>
      </c>
      <c r="G272" s="24" t="s">
        <v>24</v>
      </c>
      <c r="H272" s="23" t="s">
        <v>535</v>
      </c>
      <c r="I272" s="23">
        <v>0</v>
      </c>
      <c r="J272" s="23" t="s">
        <v>221</v>
      </c>
      <c r="K272" s="25">
        <v>401</v>
      </c>
      <c r="L272" s="25"/>
      <c r="M272" s="25" t="e">
        <f>VLOOKUP(A:A,[1]进仓汇总!A$1:G$65536,7,0)</f>
        <v>#N/A</v>
      </c>
      <c r="N272" s="26" t="s">
        <v>412</v>
      </c>
      <c r="O272" s="26"/>
    </row>
    <row r="273" spans="1:19">
      <c r="A273" s="42"/>
      <c r="B273" s="6" t="s">
        <v>522</v>
      </c>
      <c r="C273" s="23">
        <v>301050011</v>
      </c>
      <c r="D273" s="24" t="s">
        <v>527</v>
      </c>
      <c r="E273" s="24" t="s">
        <v>82</v>
      </c>
      <c r="F273" s="24">
        <v>1</v>
      </c>
      <c r="G273" s="24" t="s">
        <v>24</v>
      </c>
      <c r="H273" s="23" t="s">
        <v>528</v>
      </c>
      <c r="I273" s="23">
        <v>0</v>
      </c>
      <c r="J273" s="23" t="s">
        <v>221</v>
      </c>
      <c r="K273" s="25">
        <v>402</v>
      </c>
      <c r="L273" s="25"/>
      <c r="M273" s="25" t="e">
        <f>VLOOKUP(A:A,[1]进仓汇总!A$1:G$65536,7,0)</f>
        <v>#N/A</v>
      </c>
      <c r="N273" s="26" t="s">
        <v>412</v>
      </c>
      <c r="O273" s="26"/>
    </row>
    <row r="274" spans="1:19">
      <c r="A274" s="42"/>
      <c r="B274" s="6" t="s">
        <v>522</v>
      </c>
      <c r="C274" s="23">
        <v>301050012</v>
      </c>
      <c r="D274" s="24" t="s">
        <v>529</v>
      </c>
      <c r="E274" s="24" t="s">
        <v>82</v>
      </c>
      <c r="F274" s="24">
        <v>1</v>
      </c>
      <c r="G274" s="24" t="s">
        <v>24</v>
      </c>
      <c r="H274" s="23" t="s">
        <v>530</v>
      </c>
      <c r="I274" s="23">
        <v>0</v>
      </c>
      <c r="J274" s="23" t="s">
        <v>221</v>
      </c>
      <c r="K274" s="25">
        <v>402</v>
      </c>
      <c r="L274" s="25"/>
      <c r="M274" s="25" t="e">
        <f>VLOOKUP(A:A,[1]进仓汇总!A$1:G$65536,7,0)</f>
        <v>#N/A</v>
      </c>
      <c r="N274" s="26" t="s">
        <v>412</v>
      </c>
      <c r="O274" s="26"/>
    </row>
    <row r="275" spans="1:19">
      <c r="A275" s="42"/>
      <c r="B275" s="6" t="s">
        <v>522</v>
      </c>
      <c r="C275" s="23">
        <v>301050013</v>
      </c>
      <c r="D275" s="24" t="s">
        <v>531</v>
      </c>
      <c r="E275" s="24" t="s">
        <v>536</v>
      </c>
      <c r="F275" s="24">
        <v>2</v>
      </c>
      <c r="G275" s="24" t="s">
        <v>24</v>
      </c>
      <c r="H275" s="23" t="s">
        <v>532</v>
      </c>
      <c r="I275" s="23">
        <v>0</v>
      </c>
      <c r="J275" s="23" t="s">
        <v>221</v>
      </c>
      <c r="K275" s="25" t="s">
        <v>57</v>
      </c>
      <c r="L275" s="25"/>
      <c r="M275" s="25" t="e">
        <f>VLOOKUP(A:A,[1]进仓汇总!A$1:G$65536,7,0)</f>
        <v>#N/A</v>
      </c>
      <c r="N275" s="26" t="s">
        <v>412</v>
      </c>
      <c r="O275" s="26"/>
    </row>
    <row r="276" spans="1:19">
      <c r="A276" s="41"/>
      <c r="B276" s="6" t="s">
        <v>522</v>
      </c>
      <c r="C276" s="23">
        <v>301050014</v>
      </c>
      <c r="D276" s="24" t="s">
        <v>533</v>
      </c>
      <c r="E276" s="24" t="s">
        <v>82</v>
      </c>
      <c r="F276" s="24">
        <v>1</v>
      </c>
      <c r="G276" s="24" t="s">
        <v>24</v>
      </c>
      <c r="H276" s="23" t="s">
        <v>534</v>
      </c>
      <c r="I276" s="23">
        <v>0</v>
      </c>
      <c r="J276" s="23" t="s">
        <v>221</v>
      </c>
      <c r="K276" s="25" t="s">
        <v>537</v>
      </c>
      <c r="L276" s="25"/>
      <c r="M276" s="25" t="e">
        <f>VLOOKUP(A:A,[1]进仓汇总!A$1:G$65536,7,0)</f>
        <v>#N/A</v>
      </c>
      <c r="N276" s="26" t="s">
        <v>412</v>
      </c>
      <c r="O276" s="26"/>
      <c r="Q276" s="13"/>
      <c r="R276" s="13"/>
      <c r="S276" s="13"/>
    </row>
    <row r="277" spans="1:19" s="13" customFormat="1">
      <c r="A277" s="23" t="s">
        <v>1164</v>
      </c>
      <c r="B277" s="21" t="s">
        <v>538</v>
      </c>
      <c r="C277" s="3"/>
      <c r="D277" s="3" t="s">
        <v>539</v>
      </c>
      <c r="E277" s="3" t="s">
        <v>540</v>
      </c>
      <c r="F277" s="3">
        <v>1</v>
      </c>
      <c r="G277" s="24" t="s">
        <v>24</v>
      </c>
      <c r="H277" s="27" t="s">
        <v>153</v>
      </c>
      <c r="I277" s="27">
        <v>0</v>
      </c>
      <c r="J277" s="27"/>
      <c r="K277" s="25" t="s">
        <v>537</v>
      </c>
      <c r="L277" s="25">
        <v>710</v>
      </c>
      <c r="M277" s="25" t="e">
        <f>VLOOKUP(A:A,[1]进仓汇总!A$1:G$65536,7,0)</f>
        <v>#N/A</v>
      </c>
      <c r="N277" s="26" t="s">
        <v>412</v>
      </c>
      <c r="O277" s="26"/>
    </row>
    <row r="278" spans="1:19" s="13" customFormat="1">
      <c r="A278" s="23" t="s">
        <v>1165</v>
      </c>
      <c r="B278" s="21" t="s">
        <v>541</v>
      </c>
      <c r="C278" s="3"/>
      <c r="D278" s="3" t="s">
        <v>542</v>
      </c>
      <c r="E278" s="3" t="s">
        <v>540</v>
      </c>
      <c r="F278" s="3">
        <v>1</v>
      </c>
      <c r="G278" s="24" t="s">
        <v>24</v>
      </c>
      <c r="H278" s="27" t="s">
        <v>156</v>
      </c>
      <c r="I278" s="27">
        <v>0</v>
      </c>
      <c r="J278" s="27"/>
      <c r="K278" s="25" t="s">
        <v>543</v>
      </c>
      <c r="L278" s="25">
        <v>250</v>
      </c>
      <c r="M278" s="25" t="e">
        <f>VLOOKUP(A:A,[1]进仓汇总!A$1:G$65536,7,0)</f>
        <v>#N/A</v>
      </c>
      <c r="N278" s="26" t="s">
        <v>412</v>
      </c>
      <c r="O278" s="26"/>
    </row>
    <row r="279" spans="1:19" s="13" customFormat="1">
      <c r="A279" s="23" t="s">
        <v>1166</v>
      </c>
      <c r="B279" s="21" t="s">
        <v>544</v>
      </c>
      <c r="C279" s="3"/>
      <c r="D279" s="3" t="s">
        <v>545</v>
      </c>
      <c r="E279" s="3" t="s">
        <v>540</v>
      </c>
      <c r="F279" s="3">
        <v>1</v>
      </c>
      <c r="G279" s="24" t="s">
        <v>24</v>
      </c>
      <c r="H279" s="27" t="s">
        <v>159</v>
      </c>
      <c r="I279" s="27">
        <v>0</v>
      </c>
      <c r="J279" s="27"/>
      <c r="K279" s="25" t="s">
        <v>543</v>
      </c>
      <c r="L279" s="25">
        <v>300</v>
      </c>
      <c r="M279" s="25" t="e">
        <f>VLOOKUP(A:A,[1]进仓汇总!A$1:G$65536,7,0)</f>
        <v>#N/A</v>
      </c>
      <c r="N279" s="26" t="s">
        <v>412</v>
      </c>
      <c r="O279" s="26"/>
      <c r="Q279" s="9"/>
      <c r="R279" s="9"/>
      <c r="S279" s="9"/>
    </row>
    <row r="280" spans="1:19">
      <c r="A280" s="40" t="s">
        <v>1167</v>
      </c>
      <c r="B280" s="6" t="s">
        <v>546</v>
      </c>
      <c r="C280" s="23">
        <v>312040002</v>
      </c>
      <c r="D280" s="24" t="s">
        <v>547</v>
      </c>
      <c r="E280" s="24" t="s">
        <v>548</v>
      </c>
      <c r="F280" s="24">
        <v>1</v>
      </c>
      <c r="G280" s="23" t="s">
        <v>24</v>
      </c>
      <c r="H280" s="23" t="s">
        <v>549</v>
      </c>
      <c r="I280" s="23">
        <v>0</v>
      </c>
      <c r="J280" s="23"/>
      <c r="K280" s="25" t="s">
        <v>550</v>
      </c>
      <c r="L280" s="25"/>
      <c r="M280" s="25" t="e">
        <f>VLOOKUP(A:A,[1]进仓汇总!A$1:G$65536,7,0)</f>
        <v>#N/A</v>
      </c>
      <c r="N280" s="26" t="s">
        <v>551</v>
      </c>
      <c r="O280" s="26"/>
    </row>
    <row r="281" spans="1:19">
      <c r="A281" s="42"/>
      <c r="B281" s="6" t="s">
        <v>546</v>
      </c>
      <c r="C281" s="23">
        <v>312040003</v>
      </c>
      <c r="D281" s="24" t="s">
        <v>552</v>
      </c>
      <c r="E281" s="24" t="s">
        <v>548</v>
      </c>
      <c r="F281" s="24">
        <v>1</v>
      </c>
      <c r="G281" s="23" t="s">
        <v>24</v>
      </c>
      <c r="H281" s="23" t="s">
        <v>553</v>
      </c>
      <c r="I281" s="23">
        <v>0</v>
      </c>
      <c r="J281" s="23"/>
      <c r="K281" s="25">
        <v>705</v>
      </c>
      <c r="L281" s="25"/>
      <c r="M281" s="25" t="e">
        <f>VLOOKUP(A:A,[1]进仓汇总!A$1:G$65536,7,0)</f>
        <v>#N/A</v>
      </c>
      <c r="N281" s="26" t="s">
        <v>551</v>
      </c>
      <c r="O281" s="26"/>
    </row>
    <row r="282" spans="1:19">
      <c r="A282" s="42"/>
      <c r="B282" s="6" t="s">
        <v>546</v>
      </c>
      <c r="C282" s="23">
        <v>312040004</v>
      </c>
      <c r="D282" s="24" t="s">
        <v>554</v>
      </c>
      <c r="E282" s="24" t="s">
        <v>548</v>
      </c>
      <c r="F282" s="24">
        <v>1</v>
      </c>
      <c r="G282" s="23" t="s">
        <v>24</v>
      </c>
      <c r="H282" s="23" t="s">
        <v>555</v>
      </c>
      <c r="I282" s="23">
        <v>0</v>
      </c>
      <c r="J282" s="23"/>
      <c r="K282" s="25">
        <v>705</v>
      </c>
      <c r="L282" s="25"/>
      <c r="M282" s="25" t="e">
        <f>VLOOKUP(A:A,[1]进仓汇总!A$1:G$65536,7,0)</f>
        <v>#N/A</v>
      </c>
      <c r="N282" s="26" t="s">
        <v>551</v>
      </c>
      <c r="O282" s="26"/>
    </row>
    <row r="283" spans="1:19">
      <c r="A283" s="42"/>
      <c r="B283" s="6" t="s">
        <v>546</v>
      </c>
      <c r="C283" s="23">
        <v>312040005</v>
      </c>
      <c r="D283" s="24" t="s">
        <v>556</v>
      </c>
      <c r="E283" s="24" t="s">
        <v>557</v>
      </c>
      <c r="F283" s="24">
        <v>1</v>
      </c>
      <c r="G283" s="23" t="s">
        <v>24</v>
      </c>
      <c r="H283" s="23" t="s">
        <v>558</v>
      </c>
      <c r="I283" s="23">
        <v>0</v>
      </c>
      <c r="J283" s="23"/>
      <c r="K283" s="25">
        <v>705</v>
      </c>
      <c r="L283" s="25"/>
      <c r="M283" s="25" t="e">
        <f>VLOOKUP(A:A,[1]进仓汇总!A$1:G$65536,7,0)</f>
        <v>#N/A</v>
      </c>
      <c r="N283" s="26" t="s">
        <v>551</v>
      </c>
      <c r="O283" s="26"/>
    </row>
    <row r="284" spans="1:19">
      <c r="A284" s="42"/>
      <c r="B284" s="6" t="s">
        <v>546</v>
      </c>
      <c r="C284" s="23">
        <v>312040006</v>
      </c>
      <c r="D284" s="24" t="s">
        <v>559</v>
      </c>
      <c r="E284" s="24" t="s">
        <v>560</v>
      </c>
      <c r="F284" s="24">
        <v>2</v>
      </c>
      <c r="G284" s="23" t="s">
        <v>24</v>
      </c>
      <c r="H284" s="23" t="s">
        <v>561</v>
      </c>
      <c r="I284" s="23">
        <v>0</v>
      </c>
      <c r="J284" s="23"/>
      <c r="K284" s="25">
        <v>705</v>
      </c>
      <c r="L284" s="25"/>
      <c r="M284" s="25" t="e">
        <f>VLOOKUP(A:A,[1]进仓汇总!A$1:G$65536,7,0)</f>
        <v>#N/A</v>
      </c>
      <c r="N284" s="26" t="s">
        <v>551</v>
      </c>
      <c r="O284" s="26"/>
    </row>
    <row r="285" spans="1:19">
      <c r="A285" s="42"/>
      <c r="B285" s="6" t="s">
        <v>546</v>
      </c>
      <c r="C285" s="23">
        <v>312040007</v>
      </c>
      <c r="D285" s="24" t="s">
        <v>562</v>
      </c>
      <c r="E285" s="24" t="s">
        <v>560</v>
      </c>
      <c r="F285" s="24">
        <v>1</v>
      </c>
      <c r="G285" s="23" t="s">
        <v>24</v>
      </c>
      <c r="H285" s="23" t="s">
        <v>563</v>
      </c>
      <c r="I285" s="23">
        <v>0</v>
      </c>
      <c r="J285" s="23"/>
      <c r="K285" s="25">
        <v>705</v>
      </c>
      <c r="L285" s="25"/>
      <c r="M285" s="25" t="e">
        <f>VLOOKUP(A:A,[1]进仓汇总!A$1:G$65536,7,0)</f>
        <v>#N/A</v>
      </c>
      <c r="N285" s="26" t="s">
        <v>551</v>
      </c>
      <c r="O285" s="26"/>
    </row>
    <row r="286" spans="1:19">
      <c r="A286" s="42"/>
      <c r="B286" s="6" t="s">
        <v>546</v>
      </c>
      <c r="C286" s="23">
        <v>312040008</v>
      </c>
      <c r="D286" s="24" t="s">
        <v>564</v>
      </c>
      <c r="E286" s="24" t="s">
        <v>536</v>
      </c>
      <c r="F286" s="24">
        <v>1</v>
      </c>
      <c r="G286" s="23" t="s">
        <v>24</v>
      </c>
      <c r="H286" s="23" t="s">
        <v>565</v>
      </c>
      <c r="I286" s="23">
        <v>0</v>
      </c>
      <c r="J286" s="23"/>
      <c r="K286" s="25">
        <v>705</v>
      </c>
      <c r="L286" s="25"/>
      <c r="M286" s="25" t="e">
        <f>VLOOKUP(A:A,[1]进仓汇总!A$1:G$65536,7,0)</f>
        <v>#N/A</v>
      </c>
      <c r="N286" s="26" t="s">
        <v>551</v>
      </c>
      <c r="O286" s="26"/>
    </row>
    <row r="287" spans="1:19">
      <c r="A287" s="42"/>
      <c r="B287" s="6" t="s">
        <v>546</v>
      </c>
      <c r="C287" s="23">
        <v>312040009</v>
      </c>
      <c r="D287" s="24" t="s">
        <v>566</v>
      </c>
      <c r="E287" s="24" t="s">
        <v>536</v>
      </c>
      <c r="F287" s="24">
        <v>1</v>
      </c>
      <c r="G287" s="23" t="s">
        <v>24</v>
      </c>
      <c r="H287" s="23" t="s">
        <v>567</v>
      </c>
      <c r="I287" s="23">
        <v>0</v>
      </c>
      <c r="J287" s="23"/>
      <c r="K287" s="25">
        <v>705</v>
      </c>
      <c r="L287" s="25"/>
      <c r="M287" s="25" t="e">
        <f>VLOOKUP(A:A,[1]进仓汇总!A$1:G$65536,7,0)</f>
        <v>#N/A</v>
      </c>
      <c r="N287" s="26" t="s">
        <v>551</v>
      </c>
      <c r="O287" s="26"/>
    </row>
    <row r="288" spans="1:19">
      <c r="A288" s="42"/>
      <c r="B288" s="6" t="s">
        <v>546</v>
      </c>
      <c r="C288" s="23">
        <v>312040010</v>
      </c>
      <c r="D288" s="24" t="s">
        <v>568</v>
      </c>
      <c r="E288" s="24" t="s">
        <v>536</v>
      </c>
      <c r="F288" s="24">
        <v>1</v>
      </c>
      <c r="G288" s="23" t="s">
        <v>24</v>
      </c>
      <c r="H288" s="23" t="s">
        <v>569</v>
      </c>
      <c r="I288" s="23">
        <v>0</v>
      </c>
      <c r="J288" s="23"/>
      <c r="K288" s="25">
        <v>705</v>
      </c>
      <c r="L288" s="25"/>
      <c r="M288" s="25" t="e">
        <f>VLOOKUP(A:A,[1]进仓汇总!A$1:G$65536,7,0)</f>
        <v>#N/A</v>
      </c>
      <c r="N288" s="26" t="s">
        <v>551</v>
      </c>
      <c r="O288" s="26"/>
    </row>
    <row r="289" spans="1:15">
      <c r="A289" s="41"/>
      <c r="B289" s="6" t="s">
        <v>546</v>
      </c>
      <c r="C289" s="23">
        <v>312040011</v>
      </c>
      <c r="D289" s="24" t="s">
        <v>570</v>
      </c>
      <c r="E289" s="24" t="s">
        <v>536</v>
      </c>
      <c r="F289" s="24">
        <v>1</v>
      </c>
      <c r="G289" s="23" t="s">
        <v>24</v>
      </c>
      <c r="H289" s="23" t="s">
        <v>246</v>
      </c>
      <c r="I289" s="23">
        <v>0</v>
      </c>
      <c r="J289" s="23"/>
      <c r="K289" s="25">
        <v>705</v>
      </c>
      <c r="L289" s="25"/>
      <c r="M289" s="25" t="e">
        <f>VLOOKUP(A:A,[1]进仓汇总!A$1:G$65536,7,0)</f>
        <v>#N/A</v>
      </c>
      <c r="N289" s="26" t="s">
        <v>551</v>
      </c>
      <c r="O289" s="26"/>
    </row>
    <row r="290" spans="1:15">
      <c r="A290" s="40" t="s">
        <v>1168</v>
      </c>
      <c r="B290" s="6" t="s">
        <v>571</v>
      </c>
      <c r="C290" s="24"/>
      <c r="D290" s="24" t="s">
        <v>572</v>
      </c>
      <c r="E290" s="24"/>
      <c r="F290" s="24"/>
      <c r="G290" s="23" t="s">
        <v>24</v>
      </c>
      <c r="H290" s="23"/>
      <c r="I290" s="23">
        <v>0</v>
      </c>
      <c r="J290" s="23"/>
      <c r="K290" s="25">
        <v>705</v>
      </c>
      <c r="L290" s="25"/>
      <c r="M290" s="25" t="e">
        <f>VLOOKUP(A:A,[1]进仓汇总!A$1:G$65536,7,0)</f>
        <v>#N/A</v>
      </c>
      <c r="N290" s="26" t="s">
        <v>551</v>
      </c>
      <c r="O290" s="26"/>
    </row>
    <row r="291" spans="1:15">
      <c r="A291" s="41"/>
      <c r="B291" s="6" t="s">
        <v>573</v>
      </c>
      <c r="C291" s="23">
        <v>300000042</v>
      </c>
      <c r="D291" s="24" t="s">
        <v>574</v>
      </c>
      <c r="E291" s="24"/>
      <c r="F291" s="24"/>
      <c r="G291" s="23" t="s">
        <v>24</v>
      </c>
      <c r="H291" s="23"/>
      <c r="I291" s="23">
        <v>0</v>
      </c>
      <c r="J291" s="23"/>
      <c r="K291" s="25">
        <v>705</v>
      </c>
      <c r="L291" s="25"/>
      <c r="M291" s="25" t="e">
        <f>VLOOKUP(A:A,[1]进仓汇总!A$1:G$65536,7,0)</f>
        <v>#N/A</v>
      </c>
      <c r="N291" s="26" t="s">
        <v>551</v>
      </c>
      <c r="O291" s="26"/>
    </row>
    <row r="292" spans="1:15">
      <c r="A292" s="40" t="s">
        <v>1169</v>
      </c>
      <c r="B292" s="6" t="s">
        <v>575</v>
      </c>
      <c r="C292" s="23">
        <v>312040013</v>
      </c>
      <c r="D292" s="24" t="s">
        <v>576</v>
      </c>
      <c r="E292" s="24" t="s">
        <v>548</v>
      </c>
      <c r="F292" s="24">
        <v>2</v>
      </c>
      <c r="G292" s="23" t="s">
        <v>24</v>
      </c>
      <c r="H292" s="23" t="s">
        <v>577</v>
      </c>
      <c r="I292" s="23">
        <v>0</v>
      </c>
      <c r="J292" s="23"/>
      <c r="K292" s="25" t="s">
        <v>104</v>
      </c>
      <c r="L292" s="25"/>
      <c r="M292" s="25" t="e">
        <f>VLOOKUP(A:A,[1]进仓汇总!A$1:G$65536,7,0)</f>
        <v>#N/A</v>
      </c>
      <c r="N292" s="26" t="s">
        <v>551</v>
      </c>
      <c r="O292" s="26"/>
    </row>
    <row r="293" spans="1:15">
      <c r="A293" s="42"/>
      <c r="B293" s="6" t="s">
        <v>575</v>
      </c>
      <c r="C293" s="23">
        <v>312040014</v>
      </c>
      <c r="D293" s="24" t="s">
        <v>192</v>
      </c>
      <c r="E293" s="24" t="s">
        <v>66</v>
      </c>
      <c r="F293" s="24">
        <v>1</v>
      </c>
      <c r="G293" s="23" t="s">
        <v>24</v>
      </c>
      <c r="H293" s="23" t="s">
        <v>578</v>
      </c>
      <c r="I293" s="23">
        <v>0</v>
      </c>
      <c r="J293" s="23"/>
      <c r="K293" s="25" t="s">
        <v>104</v>
      </c>
      <c r="L293" s="25"/>
      <c r="M293" s="25" t="e">
        <f>VLOOKUP(A:A,[1]进仓汇总!A$1:G$65536,7,0)</f>
        <v>#N/A</v>
      </c>
      <c r="N293" s="26" t="s">
        <v>551</v>
      </c>
      <c r="O293" s="26"/>
    </row>
    <row r="294" spans="1:15">
      <c r="A294" s="42"/>
      <c r="B294" s="6" t="s">
        <v>575</v>
      </c>
      <c r="C294" s="23">
        <v>312040015</v>
      </c>
      <c r="D294" s="24" t="s">
        <v>363</v>
      </c>
      <c r="E294" s="24" t="s">
        <v>548</v>
      </c>
      <c r="F294" s="24">
        <v>1</v>
      </c>
      <c r="G294" s="23" t="s">
        <v>24</v>
      </c>
      <c r="H294" s="23" t="s">
        <v>579</v>
      </c>
      <c r="I294" s="23">
        <v>0</v>
      </c>
      <c r="J294" s="23"/>
      <c r="K294" s="25" t="s">
        <v>104</v>
      </c>
      <c r="L294" s="25"/>
      <c r="M294" s="25" t="e">
        <f>VLOOKUP(A:A,[1]进仓汇总!A$1:G$65536,7,0)</f>
        <v>#N/A</v>
      </c>
      <c r="N294" s="26" t="s">
        <v>551</v>
      </c>
      <c r="O294" s="26"/>
    </row>
    <row r="295" spans="1:15">
      <c r="A295" s="42"/>
      <c r="B295" s="6" t="s">
        <v>575</v>
      </c>
      <c r="C295" s="23">
        <v>312040016</v>
      </c>
      <c r="D295" s="24" t="s">
        <v>559</v>
      </c>
      <c r="E295" s="24" t="s">
        <v>560</v>
      </c>
      <c r="F295" s="24">
        <v>2</v>
      </c>
      <c r="G295" s="23" t="s">
        <v>24</v>
      </c>
      <c r="H295" s="23" t="s">
        <v>580</v>
      </c>
      <c r="I295" s="23">
        <v>0</v>
      </c>
      <c r="J295" s="23"/>
      <c r="K295" s="25" t="s">
        <v>104</v>
      </c>
      <c r="L295" s="25"/>
      <c r="M295" s="25" t="e">
        <f>VLOOKUP(A:A,[1]进仓汇总!A$1:G$65536,7,0)</f>
        <v>#N/A</v>
      </c>
      <c r="N295" s="26" t="s">
        <v>551</v>
      </c>
      <c r="O295" s="26"/>
    </row>
    <row r="296" spans="1:15">
      <c r="A296" s="42"/>
      <c r="B296" s="6" t="s">
        <v>575</v>
      </c>
      <c r="C296" s="23">
        <v>312040017</v>
      </c>
      <c r="D296" s="24" t="s">
        <v>562</v>
      </c>
      <c r="E296" s="24" t="s">
        <v>560</v>
      </c>
      <c r="F296" s="24">
        <v>1</v>
      </c>
      <c r="G296" s="23" t="s">
        <v>24</v>
      </c>
      <c r="H296" s="23" t="s">
        <v>512</v>
      </c>
      <c r="I296" s="23">
        <v>0</v>
      </c>
      <c r="J296" s="23"/>
      <c r="K296" s="25" t="s">
        <v>104</v>
      </c>
      <c r="L296" s="25"/>
      <c r="M296" s="25" t="e">
        <f>VLOOKUP(A:A,[1]进仓汇总!A$1:G$65536,7,0)</f>
        <v>#N/A</v>
      </c>
      <c r="N296" s="26" t="s">
        <v>551</v>
      </c>
      <c r="O296" s="26"/>
    </row>
    <row r="297" spans="1:15">
      <c r="A297" s="42"/>
      <c r="B297" s="6" t="s">
        <v>575</v>
      </c>
      <c r="C297" s="23">
        <v>312040018</v>
      </c>
      <c r="D297" s="24" t="s">
        <v>564</v>
      </c>
      <c r="E297" s="24" t="s">
        <v>536</v>
      </c>
      <c r="F297" s="24">
        <v>1</v>
      </c>
      <c r="G297" s="23" t="s">
        <v>24</v>
      </c>
      <c r="H297" s="23" t="s">
        <v>516</v>
      </c>
      <c r="I297" s="23">
        <v>0</v>
      </c>
      <c r="J297" s="23"/>
      <c r="K297" s="25" t="s">
        <v>104</v>
      </c>
      <c r="L297" s="25"/>
      <c r="M297" s="25" t="e">
        <f>VLOOKUP(A:A,[1]进仓汇总!A$1:G$65536,7,0)</f>
        <v>#N/A</v>
      </c>
      <c r="N297" s="26" t="s">
        <v>551</v>
      </c>
      <c r="O297" s="26"/>
    </row>
    <row r="298" spans="1:15">
      <c r="A298" s="42"/>
      <c r="B298" s="6" t="s">
        <v>575</v>
      </c>
      <c r="C298" s="23">
        <v>312040019</v>
      </c>
      <c r="D298" s="24" t="s">
        <v>581</v>
      </c>
      <c r="E298" s="24" t="s">
        <v>536</v>
      </c>
      <c r="F298" s="24">
        <v>1</v>
      </c>
      <c r="G298" s="23" t="s">
        <v>24</v>
      </c>
      <c r="H298" s="23" t="s">
        <v>519</v>
      </c>
      <c r="I298" s="23">
        <v>0</v>
      </c>
      <c r="J298" s="23"/>
      <c r="K298" s="25" t="s">
        <v>104</v>
      </c>
      <c r="L298" s="25"/>
      <c r="M298" s="25" t="e">
        <f>VLOOKUP(A:A,[1]进仓汇总!A$1:G$65536,7,0)</f>
        <v>#N/A</v>
      </c>
      <c r="N298" s="26" t="s">
        <v>551</v>
      </c>
      <c r="O298" s="26"/>
    </row>
    <row r="299" spans="1:15">
      <c r="A299" s="41"/>
      <c r="B299" s="6" t="s">
        <v>575</v>
      </c>
      <c r="C299" s="23">
        <v>312040020</v>
      </c>
      <c r="D299" s="24" t="s">
        <v>570</v>
      </c>
      <c r="E299" s="24" t="s">
        <v>536</v>
      </c>
      <c r="F299" s="24">
        <v>1</v>
      </c>
      <c r="G299" s="23" t="s">
        <v>24</v>
      </c>
      <c r="H299" s="23" t="s">
        <v>521</v>
      </c>
      <c r="I299" s="23">
        <v>0</v>
      </c>
      <c r="J299" s="23"/>
      <c r="K299" s="25" t="s">
        <v>104</v>
      </c>
      <c r="L299" s="25"/>
      <c r="M299" s="25" t="e">
        <f>VLOOKUP(A:A,[1]进仓汇总!A$1:G$65536,7,0)</f>
        <v>#N/A</v>
      </c>
      <c r="N299" s="26" t="s">
        <v>551</v>
      </c>
      <c r="O299" s="26"/>
    </row>
    <row r="300" spans="1:15">
      <c r="A300" s="40" t="s">
        <v>1170</v>
      </c>
      <c r="B300" s="6" t="s">
        <v>582</v>
      </c>
      <c r="C300" s="23">
        <v>312010002</v>
      </c>
      <c r="D300" s="24" t="s">
        <v>583</v>
      </c>
      <c r="E300" s="24" t="s">
        <v>548</v>
      </c>
      <c r="F300" s="24">
        <v>1</v>
      </c>
      <c r="G300" s="23" t="s">
        <v>24</v>
      </c>
      <c r="H300" s="23" t="s">
        <v>584</v>
      </c>
      <c r="I300" s="23">
        <v>0</v>
      </c>
      <c r="J300" s="23"/>
      <c r="K300" s="25" t="s">
        <v>104</v>
      </c>
      <c r="L300" s="25"/>
      <c r="M300" s="25" t="e">
        <f>VLOOKUP(A:A,[1]进仓汇总!A$1:G$65536,7,0)</f>
        <v>#N/A</v>
      </c>
      <c r="N300" s="26" t="s">
        <v>551</v>
      </c>
      <c r="O300" s="26"/>
    </row>
    <row r="301" spans="1:15">
      <c r="A301" s="42"/>
      <c r="B301" s="6" t="s">
        <v>582</v>
      </c>
      <c r="C301" s="23">
        <v>312010003</v>
      </c>
      <c r="D301" s="24" t="s">
        <v>585</v>
      </c>
      <c r="E301" s="24" t="s">
        <v>548</v>
      </c>
      <c r="F301" s="24">
        <v>1</v>
      </c>
      <c r="G301" s="23" t="s">
        <v>24</v>
      </c>
      <c r="H301" s="23" t="s">
        <v>110</v>
      </c>
      <c r="I301" s="23">
        <v>0</v>
      </c>
      <c r="J301" s="23"/>
      <c r="K301" s="25" t="s">
        <v>104</v>
      </c>
      <c r="L301" s="25"/>
      <c r="M301" s="25" t="e">
        <f>VLOOKUP(A:A,[1]进仓汇总!A$1:G$65536,7,0)</f>
        <v>#N/A</v>
      </c>
      <c r="N301" s="26" t="s">
        <v>551</v>
      </c>
      <c r="O301" s="26"/>
    </row>
    <row r="302" spans="1:15">
      <c r="A302" s="42"/>
      <c r="B302" s="6" t="s">
        <v>582</v>
      </c>
      <c r="C302" s="23">
        <v>312010004</v>
      </c>
      <c r="D302" s="24" t="s">
        <v>586</v>
      </c>
      <c r="E302" s="24" t="s">
        <v>548</v>
      </c>
      <c r="F302" s="24">
        <v>1</v>
      </c>
      <c r="G302" s="23" t="s">
        <v>24</v>
      </c>
      <c r="H302" s="23" t="s">
        <v>112</v>
      </c>
      <c r="I302" s="23">
        <v>0</v>
      </c>
      <c r="J302" s="23"/>
      <c r="K302" s="25" t="s">
        <v>104</v>
      </c>
      <c r="L302" s="25"/>
      <c r="M302" s="25" t="e">
        <f>VLOOKUP(A:A,[1]进仓汇总!A$1:G$65536,7,0)</f>
        <v>#N/A</v>
      </c>
      <c r="N302" s="26" t="s">
        <v>551</v>
      </c>
      <c r="O302" s="26"/>
    </row>
    <row r="303" spans="1:15">
      <c r="A303" s="42"/>
      <c r="B303" s="6" t="s">
        <v>582</v>
      </c>
      <c r="C303" s="23">
        <v>312010005</v>
      </c>
      <c r="D303" s="24" t="s">
        <v>587</v>
      </c>
      <c r="E303" s="24" t="s">
        <v>560</v>
      </c>
      <c r="F303" s="24">
        <v>1</v>
      </c>
      <c r="G303" s="23" t="s">
        <v>24</v>
      </c>
      <c r="H303" s="23" t="s">
        <v>114</v>
      </c>
      <c r="I303" s="23">
        <v>0</v>
      </c>
      <c r="J303" s="23"/>
      <c r="K303" s="25" t="s">
        <v>104</v>
      </c>
      <c r="L303" s="25"/>
      <c r="M303" s="25" t="e">
        <f>VLOOKUP(A:A,[1]进仓汇总!A$1:G$65536,7,0)</f>
        <v>#N/A</v>
      </c>
      <c r="N303" s="26" t="s">
        <v>551</v>
      </c>
      <c r="O303" s="26"/>
    </row>
    <row r="304" spans="1:15">
      <c r="A304" s="41"/>
      <c r="B304" s="6" t="s">
        <v>582</v>
      </c>
      <c r="C304" s="23">
        <v>312010006</v>
      </c>
      <c r="D304" s="24" t="s">
        <v>588</v>
      </c>
      <c r="E304" s="24" t="s">
        <v>536</v>
      </c>
      <c r="F304" s="24">
        <v>1</v>
      </c>
      <c r="G304" s="23" t="s">
        <v>24</v>
      </c>
      <c r="H304" s="23" t="s">
        <v>98</v>
      </c>
      <c r="I304" s="23">
        <v>0</v>
      </c>
      <c r="J304" s="23"/>
      <c r="K304" s="25" t="s">
        <v>104</v>
      </c>
      <c r="L304" s="25"/>
      <c r="M304" s="25" t="e">
        <f>VLOOKUP(A:A,[1]进仓汇总!A$1:G$65536,7,0)</f>
        <v>#N/A</v>
      </c>
      <c r="N304" s="26" t="s">
        <v>551</v>
      </c>
      <c r="O304" s="26"/>
    </row>
    <row r="305" spans="1:15">
      <c r="A305" s="40" t="s">
        <v>1171</v>
      </c>
      <c r="B305" s="6" t="s">
        <v>589</v>
      </c>
      <c r="C305" s="23">
        <v>312010008</v>
      </c>
      <c r="D305" s="24" t="s">
        <v>583</v>
      </c>
      <c r="E305" s="24" t="s">
        <v>548</v>
      </c>
      <c r="F305" s="24">
        <v>1</v>
      </c>
      <c r="G305" s="23" t="s">
        <v>24</v>
      </c>
      <c r="H305" s="23" t="s">
        <v>584</v>
      </c>
      <c r="I305" s="23">
        <v>0</v>
      </c>
      <c r="J305" s="23"/>
      <c r="K305" s="25" t="s">
        <v>590</v>
      </c>
      <c r="L305" s="25"/>
      <c r="M305" s="25" t="e">
        <f>VLOOKUP(A:A,[1]进仓汇总!A$1:G$65536,7,0)</f>
        <v>#N/A</v>
      </c>
      <c r="N305" s="26" t="s">
        <v>551</v>
      </c>
      <c r="O305" s="26"/>
    </row>
    <row r="306" spans="1:15">
      <c r="A306" s="42"/>
      <c r="B306" s="6" t="s">
        <v>589</v>
      </c>
      <c r="C306" s="23">
        <v>312010009</v>
      </c>
      <c r="D306" s="24" t="s">
        <v>258</v>
      </c>
      <c r="E306" s="24" t="s">
        <v>548</v>
      </c>
      <c r="F306" s="24">
        <v>1</v>
      </c>
      <c r="G306" s="23" t="s">
        <v>24</v>
      </c>
      <c r="H306" s="23" t="s">
        <v>110</v>
      </c>
      <c r="I306" s="23">
        <v>0</v>
      </c>
      <c r="J306" s="23"/>
      <c r="K306" s="25" t="s">
        <v>590</v>
      </c>
      <c r="L306" s="25"/>
      <c r="M306" s="25" t="e">
        <f>VLOOKUP(A:A,[1]进仓汇总!A$1:G$65536,7,0)</f>
        <v>#N/A</v>
      </c>
      <c r="N306" s="26" t="s">
        <v>551</v>
      </c>
      <c r="O306" s="26"/>
    </row>
    <row r="307" spans="1:15">
      <c r="A307" s="42"/>
      <c r="B307" s="6" t="s">
        <v>589</v>
      </c>
      <c r="C307" s="23">
        <v>312010010</v>
      </c>
      <c r="D307" s="24" t="s">
        <v>586</v>
      </c>
      <c r="E307" s="24" t="s">
        <v>548</v>
      </c>
      <c r="F307" s="24">
        <v>1</v>
      </c>
      <c r="G307" s="23" t="s">
        <v>24</v>
      </c>
      <c r="H307" s="23" t="s">
        <v>112</v>
      </c>
      <c r="I307" s="23">
        <v>0</v>
      </c>
      <c r="J307" s="23"/>
      <c r="K307" s="25" t="s">
        <v>590</v>
      </c>
      <c r="L307" s="25"/>
      <c r="M307" s="25" t="e">
        <f>VLOOKUP(A:A,[1]进仓汇总!A$1:G$65536,7,0)</f>
        <v>#N/A</v>
      </c>
      <c r="N307" s="26" t="s">
        <v>551</v>
      </c>
      <c r="O307" s="26"/>
    </row>
    <row r="308" spans="1:15">
      <c r="A308" s="42"/>
      <c r="B308" s="6" t="s">
        <v>589</v>
      </c>
      <c r="C308" s="23">
        <v>312010011</v>
      </c>
      <c r="D308" s="24" t="s">
        <v>591</v>
      </c>
      <c r="E308" s="24" t="s">
        <v>560</v>
      </c>
      <c r="F308" s="24">
        <v>1</v>
      </c>
      <c r="G308" s="23" t="s">
        <v>24</v>
      </c>
      <c r="H308" s="23" t="s">
        <v>114</v>
      </c>
      <c r="I308" s="23">
        <v>0</v>
      </c>
      <c r="J308" s="23"/>
      <c r="K308" s="25" t="s">
        <v>590</v>
      </c>
      <c r="L308" s="25"/>
      <c r="M308" s="25" t="e">
        <f>VLOOKUP(A:A,[1]进仓汇总!A$1:G$65536,7,0)</f>
        <v>#N/A</v>
      </c>
      <c r="N308" s="26" t="s">
        <v>551</v>
      </c>
      <c r="O308" s="26"/>
    </row>
    <row r="309" spans="1:15">
      <c r="A309" s="41"/>
      <c r="B309" s="6" t="s">
        <v>589</v>
      </c>
      <c r="C309" s="23">
        <v>312010012</v>
      </c>
      <c r="D309" s="24" t="s">
        <v>588</v>
      </c>
      <c r="E309" s="24" t="s">
        <v>536</v>
      </c>
      <c r="F309" s="24">
        <v>1</v>
      </c>
      <c r="G309" s="23" t="s">
        <v>24</v>
      </c>
      <c r="H309" s="23" t="s">
        <v>98</v>
      </c>
      <c r="I309" s="23">
        <v>0</v>
      </c>
      <c r="J309" s="23"/>
      <c r="K309" s="25">
        <v>704</v>
      </c>
      <c r="L309" s="25"/>
      <c r="M309" s="25" t="e">
        <f>VLOOKUP(A:A,[1]进仓汇总!A$1:G$65536,7,0)</f>
        <v>#N/A</v>
      </c>
      <c r="N309" s="26" t="s">
        <v>551</v>
      </c>
      <c r="O309" s="26"/>
    </row>
    <row r="310" spans="1:15">
      <c r="A310" s="40" t="s">
        <v>1172</v>
      </c>
      <c r="B310" s="6" t="s">
        <v>592</v>
      </c>
      <c r="C310" s="23">
        <v>312090002</v>
      </c>
      <c r="D310" s="24" t="s">
        <v>593</v>
      </c>
      <c r="E310" s="24" t="s">
        <v>548</v>
      </c>
      <c r="F310" s="24">
        <v>1</v>
      </c>
      <c r="G310" s="23" t="s">
        <v>24</v>
      </c>
      <c r="H310" s="23" t="s">
        <v>594</v>
      </c>
      <c r="I310" s="23">
        <v>0</v>
      </c>
      <c r="J310" s="23"/>
      <c r="K310" s="25">
        <v>706</v>
      </c>
      <c r="L310" s="25"/>
      <c r="M310" s="25" t="e">
        <f>VLOOKUP(A:A,[1]进仓汇总!A$1:G$65536,7,0)</f>
        <v>#N/A</v>
      </c>
      <c r="N310" s="26" t="s">
        <v>551</v>
      </c>
      <c r="O310" s="26"/>
    </row>
    <row r="311" spans="1:15">
      <c r="A311" s="42"/>
      <c r="B311" s="6" t="s">
        <v>592</v>
      </c>
      <c r="C311" s="23">
        <v>312090003</v>
      </c>
      <c r="D311" s="24" t="s">
        <v>595</v>
      </c>
      <c r="E311" s="24" t="s">
        <v>548</v>
      </c>
      <c r="F311" s="24">
        <v>1</v>
      </c>
      <c r="G311" s="23" t="s">
        <v>24</v>
      </c>
      <c r="H311" s="23" t="s">
        <v>596</v>
      </c>
      <c r="I311" s="23">
        <v>0</v>
      </c>
      <c r="J311" s="23"/>
      <c r="K311" s="25">
        <v>706</v>
      </c>
      <c r="L311" s="25"/>
      <c r="M311" s="25" t="e">
        <f>VLOOKUP(A:A,[1]进仓汇总!A$1:G$65536,7,0)</f>
        <v>#N/A</v>
      </c>
      <c r="N311" s="26" t="s">
        <v>551</v>
      </c>
      <c r="O311" s="26"/>
    </row>
    <row r="312" spans="1:15">
      <c r="A312" s="42"/>
      <c r="B312" s="6" t="s">
        <v>592</v>
      </c>
      <c r="C312" s="23">
        <v>312090004</v>
      </c>
      <c r="D312" s="24" t="s">
        <v>597</v>
      </c>
      <c r="E312" s="24" t="s">
        <v>548</v>
      </c>
      <c r="F312" s="24">
        <v>1</v>
      </c>
      <c r="G312" s="23" t="s">
        <v>24</v>
      </c>
      <c r="H312" s="23" t="s">
        <v>598</v>
      </c>
      <c r="I312" s="23">
        <v>0</v>
      </c>
      <c r="J312" s="23"/>
      <c r="K312" s="25">
        <v>706</v>
      </c>
      <c r="L312" s="25"/>
      <c r="M312" s="25" t="e">
        <f>VLOOKUP(A:A,[1]进仓汇总!A$1:G$65536,7,0)</f>
        <v>#N/A</v>
      </c>
      <c r="N312" s="26" t="s">
        <v>551</v>
      </c>
      <c r="O312" s="26"/>
    </row>
    <row r="313" spans="1:15">
      <c r="A313" s="42"/>
      <c r="B313" s="6" t="s">
        <v>592</v>
      </c>
      <c r="C313" s="23">
        <v>312090005</v>
      </c>
      <c r="D313" s="24" t="s">
        <v>599</v>
      </c>
      <c r="E313" s="24" t="s">
        <v>548</v>
      </c>
      <c r="F313" s="24">
        <v>1</v>
      </c>
      <c r="G313" s="23" t="s">
        <v>24</v>
      </c>
      <c r="H313" s="23" t="s">
        <v>600</v>
      </c>
      <c r="I313" s="23">
        <v>0</v>
      </c>
      <c r="J313" s="23"/>
      <c r="K313" s="25">
        <v>706</v>
      </c>
      <c r="L313" s="25"/>
      <c r="M313" s="25" t="e">
        <f>VLOOKUP(A:A,[1]进仓汇总!A$1:G$65536,7,0)</f>
        <v>#N/A</v>
      </c>
      <c r="N313" s="26" t="s">
        <v>551</v>
      </c>
      <c r="O313" s="26"/>
    </row>
    <row r="314" spans="1:15">
      <c r="A314" s="42"/>
      <c r="B314" s="6" t="s">
        <v>592</v>
      </c>
      <c r="C314" s="23">
        <v>312090006</v>
      </c>
      <c r="D314" s="24" t="s">
        <v>601</v>
      </c>
      <c r="E314" s="24" t="s">
        <v>548</v>
      </c>
      <c r="F314" s="24">
        <v>1</v>
      </c>
      <c r="G314" s="23" t="s">
        <v>24</v>
      </c>
      <c r="H314" s="23" t="s">
        <v>602</v>
      </c>
      <c r="I314" s="23">
        <v>0</v>
      </c>
      <c r="J314" s="23"/>
      <c r="K314" s="25">
        <v>706</v>
      </c>
      <c r="L314" s="25"/>
      <c r="M314" s="25" t="e">
        <f>VLOOKUP(A:A,[1]进仓汇总!A$1:G$65536,7,0)</f>
        <v>#N/A</v>
      </c>
      <c r="N314" s="26" t="s">
        <v>551</v>
      </c>
      <c r="O314" s="26"/>
    </row>
    <row r="315" spans="1:15">
      <c r="A315" s="42"/>
      <c r="B315" s="6" t="s">
        <v>592</v>
      </c>
      <c r="C315" s="23">
        <v>312090007</v>
      </c>
      <c r="D315" s="24" t="s">
        <v>603</v>
      </c>
      <c r="E315" s="24" t="s">
        <v>548</v>
      </c>
      <c r="F315" s="24">
        <v>1</v>
      </c>
      <c r="G315" s="23" t="s">
        <v>24</v>
      </c>
      <c r="H315" s="23" t="s">
        <v>604</v>
      </c>
      <c r="I315" s="23">
        <v>0</v>
      </c>
      <c r="J315" s="23"/>
      <c r="K315" s="25">
        <v>706</v>
      </c>
      <c r="L315" s="25"/>
      <c r="M315" s="25" t="e">
        <f>VLOOKUP(A:A,[1]进仓汇总!A$1:G$65536,7,0)</f>
        <v>#N/A</v>
      </c>
      <c r="N315" s="26" t="s">
        <v>551</v>
      </c>
      <c r="O315" s="26"/>
    </row>
    <row r="316" spans="1:15">
      <c r="A316" s="41"/>
      <c r="B316" s="6" t="s">
        <v>592</v>
      </c>
      <c r="C316" s="23">
        <v>312090008</v>
      </c>
      <c r="D316" s="24" t="s">
        <v>605</v>
      </c>
      <c r="E316" s="24" t="s">
        <v>536</v>
      </c>
      <c r="F316" s="24">
        <v>1</v>
      </c>
      <c r="G316" s="23" t="s">
        <v>24</v>
      </c>
      <c r="H316" s="23" t="s">
        <v>606</v>
      </c>
      <c r="I316" s="23">
        <v>0</v>
      </c>
      <c r="J316" s="23"/>
      <c r="K316" s="25">
        <v>706</v>
      </c>
      <c r="L316" s="25"/>
      <c r="M316" s="25" t="e">
        <f>VLOOKUP(A:A,[1]进仓汇总!A$1:G$65536,7,0)</f>
        <v>#N/A</v>
      </c>
      <c r="N316" s="26" t="s">
        <v>551</v>
      </c>
      <c r="O316" s="26"/>
    </row>
    <row r="317" spans="1:15">
      <c r="A317" s="40" t="s">
        <v>1173</v>
      </c>
      <c r="B317" s="6" t="s">
        <v>607</v>
      </c>
      <c r="C317" s="23">
        <v>312110002</v>
      </c>
      <c r="D317" s="24" t="s">
        <v>608</v>
      </c>
      <c r="E317" s="24" t="s">
        <v>548</v>
      </c>
      <c r="F317" s="24">
        <v>1</v>
      </c>
      <c r="G317" s="23" t="s">
        <v>24</v>
      </c>
      <c r="H317" s="23" t="s">
        <v>609</v>
      </c>
      <c r="I317" s="23">
        <v>0</v>
      </c>
      <c r="J317" s="23"/>
      <c r="K317" s="25">
        <v>707</v>
      </c>
      <c r="L317" s="25"/>
      <c r="M317" s="25" t="e">
        <f>VLOOKUP(A:A,[1]进仓汇总!A$1:G$65536,7,0)</f>
        <v>#N/A</v>
      </c>
      <c r="N317" s="26" t="s">
        <v>551</v>
      </c>
      <c r="O317" s="26"/>
    </row>
    <row r="318" spans="1:15">
      <c r="A318" s="42"/>
      <c r="B318" s="6" t="s">
        <v>607</v>
      </c>
      <c r="C318" s="23">
        <v>312110003</v>
      </c>
      <c r="D318" s="24" t="s">
        <v>610</v>
      </c>
      <c r="E318" s="24" t="s">
        <v>548</v>
      </c>
      <c r="F318" s="24">
        <v>1</v>
      </c>
      <c r="G318" s="23" t="s">
        <v>24</v>
      </c>
      <c r="H318" s="23" t="s">
        <v>611</v>
      </c>
      <c r="I318" s="23">
        <v>0</v>
      </c>
      <c r="J318" s="23"/>
      <c r="K318" s="25">
        <v>707</v>
      </c>
      <c r="L318" s="25"/>
      <c r="M318" s="25" t="e">
        <f>VLOOKUP(A:A,[1]进仓汇总!A$1:G$65536,7,0)</f>
        <v>#N/A</v>
      </c>
      <c r="N318" s="26" t="s">
        <v>551</v>
      </c>
      <c r="O318" s="26"/>
    </row>
    <row r="319" spans="1:15">
      <c r="A319" s="42"/>
      <c r="B319" s="6" t="s">
        <v>607</v>
      </c>
      <c r="C319" s="23">
        <v>312110004</v>
      </c>
      <c r="D319" s="24" t="s">
        <v>559</v>
      </c>
      <c r="E319" s="24" t="s">
        <v>560</v>
      </c>
      <c r="F319" s="24">
        <v>2</v>
      </c>
      <c r="G319" s="23" t="s">
        <v>24</v>
      </c>
      <c r="H319" s="23" t="s">
        <v>612</v>
      </c>
      <c r="I319" s="23">
        <v>0</v>
      </c>
      <c r="J319" s="23"/>
      <c r="K319" s="25">
        <v>707</v>
      </c>
      <c r="L319" s="25"/>
      <c r="M319" s="25" t="e">
        <f>VLOOKUP(A:A,[1]进仓汇总!A$1:G$65536,7,0)</f>
        <v>#N/A</v>
      </c>
      <c r="N319" s="26" t="s">
        <v>551</v>
      </c>
      <c r="O319" s="26"/>
    </row>
    <row r="320" spans="1:15">
      <c r="A320" s="42"/>
      <c r="B320" s="6" t="s">
        <v>607</v>
      </c>
      <c r="C320" s="23" t="s">
        <v>613</v>
      </c>
      <c r="D320" s="24" t="s">
        <v>562</v>
      </c>
      <c r="E320" s="24" t="s">
        <v>560</v>
      </c>
      <c r="F320" s="24">
        <v>1</v>
      </c>
      <c r="G320" s="23" t="s">
        <v>24</v>
      </c>
      <c r="H320" s="23" t="s">
        <v>614</v>
      </c>
      <c r="I320" s="23">
        <v>0</v>
      </c>
      <c r="J320" s="23"/>
      <c r="K320" s="25">
        <v>707</v>
      </c>
      <c r="L320" s="25"/>
      <c r="M320" s="25" t="e">
        <f>VLOOKUP(A:A,[1]进仓汇总!A$1:G$65536,7,0)</f>
        <v>#N/A</v>
      </c>
      <c r="N320" s="26" t="s">
        <v>551</v>
      </c>
      <c r="O320" s="26"/>
    </row>
    <row r="321" spans="1:15">
      <c r="A321" s="42"/>
      <c r="B321" s="6" t="s">
        <v>607</v>
      </c>
      <c r="C321" s="23" t="s">
        <v>615</v>
      </c>
      <c r="D321" s="24" t="s">
        <v>616</v>
      </c>
      <c r="E321" s="24" t="s">
        <v>536</v>
      </c>
      <c r="F321" s="24">
        <v>1</v>
      </c>
      <c r="G321" s="23" t="s">
        <v>24</v>
      </c>
      <c r="H321" s="23" t="s">
        <v>617</v>
      </c>
      <c r="I321" s="23">
        <v>0</v>
      </c>
      <c r="J321" s="23"/>
      <c r="K321" s="25">
        <v>707</v>
      </c>
      <c r="L321" s="25"/>
      <c r="M321" s="25" t="e">
        <f>VLOOKUP(A:A,[1]进仓汇总!A$1:G$65536,7,0)</f>
        <v>#N/A</v>
      </c>
      <c r="N321" s="26" t="s">
        <v>551</v>
      </c>
      <c r="O321" s="26"/>
    </row>
    <row r="322" spans="1:15">
      <c r="A322" s="42"/>
      <c r="B322" s="6" t="s">
        <v>607</v>
      </c>
      <c r="C322" s="23">
        <v>312110006</v>
      </c>
      <c r="D322" s="24" t="s">
        <v>618</v>
      </c>
      <c r="E322" s="24" t="s">
        <v>536</v>
      </c>
      <c r="F322" s="24">
        <v>1</v>
      </c>
      <c r="G322" s="23" t="s">
        <v>24</v>
      </c>
      <c r="H322" s="23" t="s">
        <v>619</v>
      </c>
      <c r="I322" s="23">
        <v>0</v>
      </c>
      <c r="J322" s="23"/>
      <c r="K322" s="25">
        <v>707</v>
      </c>
      <c r="L322" s="25"/>
      <c r="M322" s="25" t="e">
        <f>VLOOKUP(A:A,[1]进仓汇总!A$1:G$65536,7,0)</f>
        <v>#N/A</v>
      </c>
      <c r="N322" s="26" t="s">
        <v>551</v>
      </c>
      <c r="O322" s="26"/>
    </row>
    <row r="323" spans="1:15">
      <c r="A323" s="42"/>
      <c r="B323" s="6" t="s">
        <v>607</v>
      </c>
      <c r="C323" s="23">
        <v>312110007</v>
      </c>
      <c r="D323" s="24" t="s">
        <v>620</v>
      </c>
      <c r="E323" s="24" t="s">
        <v>536</v>
      </c>
      <c r="F323" s="24">
        <v>1</v>
      </c>
      <c r="G323" s="23" t="s">
        <v>24</v>
      </c>
      <c r="H323" s="23" t="s">
        <v>621</v>
      </c>
      <c r="I323" s="23">
        <v>0</v>
      </c>
      <c r="J323" s="23"/>
      <c r="K323" s="25">
        <v>707</v>
      </c>
      <c r="L323" s="25"/>
      <c r="M323" s="25" t="e">
        <f>VLOOKUP(A:A,[1]进仓汇总!A$1:G$65536,7,0)</f>
        <v>#N/A</v>
      </c>
      <c r="N323" s="26" t="s">
        <v>551</v>
      </c>
      <c r="O323" s="26"/>
    </row>
    <row r="324" spans="1:15">
      <c r="A324" s="41"/>
      <c r="B324" s="6" t="s">
        <v>607</v>
      </c>
      <c r="C324" s="23" t="s">
        <v>622</v>
      </c>
      <c r="D324" s="24" t="s">
        <v>623</v>
      </c>
      <c r="E324" s="24"/>
      <c r="F324" s="24">
        <v>1</v>
      </c>
      <c r="G324" s="23" t="s">
        <v>24</v>
      </c>
      <c r="H324" s="23" t="s">
        <v>624</v>
      </c>
      <c r="I324" s="23">
        <v>0</v>
      </c>
      <c r="J324" s="23"/>
      <c r="K324" s="25">
        <v>707</v>
      </c>
      <c r="L324" s="25"/>
      <c r="M324" s="25" t="e">
        <f>VLOOKUP(A:A,[1]进仓汇总!A$1:G$65536,7,0)</f>
        <v>#N/A</v>
      </c>
      <c r="N324" s="26" t="s">
        <v>551</v>
      </c>
      <c r="O324" s="26"/>
    </row>
    <row r="325" spans="1:15">
      <c r="A325" s="40" t="s">
        <v>1174</v>
      </c>
      <c r="B325" s="6" t="s">
        <v>625</v>
      </c>
      <c r="C325" s="23">
        <v>312110009</v>
      </c>
      <c r="D325" s="24" t="s">
        <v>311</v>
      </c>
      <c r="E325" s="24" t="s">
        <v>548</v>
      </c>
      <c r="F325" s="24">
        <v>1</v>
      </c>
      <c r="G325" s="23" t="s">
        <v>24</v>
      </c>
      <c r="H325" s="23" t="s">
        <v>389</v>
      </c>
      <c r="I325" s="23">
        <v>0</v>
      </c>
      <c r="J325" s="23"/>
      <c r="K325" s="25" t="s">
        <v>626</v>
      </c>
      <c r="L325" s="25"/>
      <c r="M325" s="25">
        <f>VLOOKUP(A:A,[1]进仓汇总!A$1:G$65536,7,0)</f>
        <v>0</v>
      </c>
      <c r="N325" s="26" t="s">
        <v>551</v>
      </c>
      <c r="O325" s="26"/>
    </row>
    <row r="326" spans="1:15">
      <c r="A326" s="42"/>
      <c r="B326" s="6" t="s">
        <v>625</v>
      </c>
      <c r="C326" s="23">
        <v>312110010</v>
      </c>
      <c r="D326" s="24" t="s">
        <v>591</v>
      </c>
      <c r="E326" s="24" t="s">
        <v>560</v>
      </c>
      <c r="F326" s="24">
        <v>2</v>
      </c>
      <c r="G326" s="23" t="s">
        <v>24</v>
      </c>
      <c r="H326" s="23" t="s">
        <v>627</v>
      </c>
      <c r="I326" s="23">
        <v>0</v>
      </c>
      <c r="J326" s="23"/>
      <c r="K326" s="25" t="s">
        <v>626</v>
      </c>
      <c r="L326" s="25"/>
      <c r="M326" s="25" t="e">
        <f>VLOOKUP(A:A,[1]进仓汇总!A$1:G$65536,7,0)</f>
        <v>#N/A</v>
      </c>
      <c r="N326" s="26" t="s">
        <v>551</v>
      </c>
      <c r="O326" s="26"/>
    </row>
    <row r="327" spans="1:15">
      <c r="A327" s="41"/>
      <c r="B327" s="6" t="s">
        <v>625</v>
      </c>
      <c r="C327" s="23">
        <v>312110011</v>
      </c>
      <c r="D327" s="24" t="s">
        <v>628</v>
      </c>
      <c r="E327" s="24" t="s">
        <v>536</v>
      </c>
      <c r="F327" s="24">
        <v>1</v>
      </c>
      <c r="G327" s="23" t="s">
        <v>24</v>
      </c>
      <c r="H327" s="23" t="s">
        <v>95</v>
      </c>
      <c r="I327" s="23">
        <v>0</v>
      </c>
      <c r="J327" s="23"/>
      <c r="K327" s="25" t="s">
        <v>626</v>
      </c>
      <c r="L327" s="25"/>
      <c r="M327" s="25" t="e">
        <f>VLOOKUP(A:A,[1]进仓汇总!A$1:G$65536,7,0)</f>
        <v>#N/A</v>
      </c>
      <c r="N327" s="26" t="s">
        <v>551</v>
      </c>
      <c r="O327" s="26"/>
    </row>
    <row r="328" spans="1:15">
      <c r="A328" s="40" t="s">
        <v>1175</v>
      </c>
      <c r="B328" s="6" t="s">
        <v>629</v>
      </c>
      <c r="C328" s="23">
        <v>312100002</v>
      </c>
      <c r="D328" s="24" t="s">
        <v>311</v>
      </c>
      <c r="E328" s="24" t="s">
        <v>548</v>
      </c>
      <c r="F328" s="24">
        <v>1</v>
      </c>
      <c r="G328" s="23" t="s">
        <v>24</v>
      </c>
      <c r="H328" s="23" t="s">
        <v>136</v>
      </c>
      <c r="I328" s="23">
        <v>0</v>
      </c>
      <c r="J328" s="23"/>
      <c r="K328" s="25" t="s">
        <v>630</v>
      </c>
      <c r="L328" s="25"/>
      <c r="M328" s="25" t="e">
        <f>VLOOKUP(A:A,[1]进仓汇总!A$1:G$65536,7,0)</f>
        <v>#N/A</v>
      </c>
      <c r="N328" s="26" t="s">
        <v>551</v>
      </c>
      <c r="O328" s="26"/>
    </row>
    <row r="329" spans="1:15">
      <c r="A329" s="41"/>
      <c r="B329" s="6" t="s">
        <v>629</v>
      </c>
      <c r="C329" s="23" t="s">
        <v>631</v>
      </c>
      <c r="D329" s="24" t="s">
        <v>632</v>
      </c>
      <c r="E329" s="24" t="s">
        <v>560</v>
      </c>
      <c r="F329" s="24">
        <v>1</v>
      </c>
      <c r="G329" s="23" t="s">
        <v>24</v>
      </c>
      <c r="H329" s="23" t="s">
        <v>140</v>
      </c>
      <c r="I329" s="23">
        <v>0</v>
      </c>
      <c r="J329" s="23"/>
      <c r="K329" s="25" t="s">
        <v>630</v>
      </c>
      <c r="L329" s="25"/>
      <c r="M329" s="25" t="e">
        <f>VLOOKUP(A:A,[1]进仓汇总!A$1:G$65536,7,0)</f>
        <v>#N/A</v>
      </c>
      <c r="N329" s="26" t="s">
        <v>551</v>
      </c>
      <c r="O329" s="26"/>
    </row>
    <row r="330" spans="1:15">
      <c r="A330" s="40" t="s">
        <v>1176</v>
      </c>
      <c r="B330" s="6" t="s">
        <v>633</v>
      </c>
      <c r="C330" s="23">
        <v>312070002</v>
      </c>
      <c r="D330" s="24" t="s">
        <v>634</v>
      </c>
      <c r="E330" s="24" t="s">
        <v>548</v>
      </c>
      <c r="F330" s="24"/>
      <c r="G330" s="23" t="s">
        <v>24</v>
      </c>
      <c r="H330" s="23" t="s">
        <v>136</v>
      </c>
      <c r="I330" s="23">
        <v>0</v>
      </c>
      <c r="J330" s="23"/>
      <c r="K330" s="25" t="s">
        <v>635</v>
      </c>
      <c r="L330" s="25"/>
      <c r="M330" s="25" t="e">
        <f>VLOOKUP(A:A,[1]进仓汇总!A$1:G$65536,7,0)</f>
        <v>#N/A</v>
      </c>
      <c r="N330" s="26" t="s">
        <v>551</v>
      </c>
      <c r="O330" s="26"/>
    </row>
    <row r="331" spans="1:15">
      <c r="A331" s="41"/>
      <c r="B331" s="6" t="s">
        <v>633</v>
      </c>
      <c r="C331" s="23" t="s">
        <v>636</v>
      </c>
      <c r="D331" s="24" t="s">
        <v>637</v>
      </c>
      <c r="E331" s="24" t="s">
        <v>560</v>
      </c>
      <c r="F331" s="24"/>
      <c r="G331" s="23" t="s">
        <v>24</v>
      </c>
      <c r="H331" s="23" t="s">
        <v>136</v>
      </c>
      <c r="I331" s="23">
        <v>0</v>
      </c>
      <c r="J331" s="23"/>
      <c r="K331" s="25" t="s">
        <v>635</v>
      </c>
      <c r="L331" s="25"/>
      <c r="M331" s="25" t="e">
        <f>VLOOKUP(A:A,[1]进仓汇总!A$1:G$65536,7,0)</f>
        <v>#N/A</v>
      </c>
      <c r="N331" s="26" t="s">
        <v>551</v>
      </c>
      <c r="O331" s="26"/>
    </row>
    <row r="332" spans="1:15">
      <c r="A332" s="40" t="s">
        <v>1177</v>
      </c>
      <c r="B332" s="6" t="s">
        <v>638</v>
      </c>
      <c r="C332" s="23">
        <v>312080002</v>
      </c>
      <c r="D332" s="24" t="s">
        <v>252</v>
      </c>
      <c r="E332" s="24" t="s">
        <v>548</v>
      </c>
      <c r="F332" s="24"/>
      <c r="G332" s="23" t="s">
        <v>24</v>
      </c>
      <c r="H332" s="23" t="s">
        <v>136</v>
      </c>
      <c r="I332" s="23">
        <v>0</v>
      </c>
      <c r="J332" s="23"/>
      <c r="K332" s="25">
        <v>710</v>
      </c>
      <c r="L332" s="25"/>
      <c r="M332" s="25" t="e">
        <f>VLOOKUP(A:A,[1]进仓汇总!A$1:G$65536,7,0)</f>
        <v>#N/A</v>
      </c>
      <c r="N332" s="26" t="s">
        <v>551</v>
      </c>
      <c r="O332" s="26"/>
    </row>
    <row r="333" spans="1:15">
      <c r="A333" s="41"/>
      <c r="B333" s="6" t="s">
        <v>638</v>
      </c>
      <c r="C333" s="23" t="s">
        <v>639</v>
      </c>
      <c r="D333" s="24" t="s">
        <v>637</v>
      </c>
      <c r="E333" s="24" t="s">
        <v>560</v>
      </c>
      <c r="F333" s="24"/>
      <c r="G333" s="23" t="s">
        <v>24</v>
      </c>
      <c r="H333" s="23" t="s">
        <v>140</v>
      </c>
      <c r="I333" s="23">
        <v>0</v>
      </c>
      <c r="J333" s="23"/>
      <c r="K333" s="25">
        <v>710</v>
      </c>
      <c r="L333" s="25"/>
      <c r="M333" s="25" t="e">
        <f>VLOOKUP(A:A,[1]进仓汇总!A$1:G$65536,7,0)</f>
        <v>#N/A</v>
      </c>
      <c r="N333" s="26" t="s">
        <v>551</v>
      </c>
      <c r="O333" s="26"/>
    </row>
    <row r="334" spans="1:15">
      <c r="A334" s="40" t="s">
        <v>1178</v>
      </c>
      <c r="B334" s="6" t="s">
        <v>640</v>
      </c>
      <c r="C334" s="23">
        <v>312020002</v>
      </c>
      <c r="D334" s="24" t="s">
        <v>641</v>
      </c>
      <c r="E334" s="24" t="s">
        <v>548</v>
      </c>
      <c r="F334" s="24">
        <v>1</v>
      </c>
      <c r="G334" s="23" t="s">
        <v>24</v>
      </c>
      <c r="H334" s="23" t="s">
        <v>594</v>
      </c>
      <c r="I334" s="23">
        <v>0</v>
      </c>
      <c r="J334" s="23"/>
      <c r="K334" s="25">
        <v>708</v>
      </c>
      <c r="L334" s="25"/>
      <c r="M334" s="25" t="e">
        <f>VLOOKUP(A:A,[1]进仓汇总!A$1:G$65536,7,0)</f>
        <v>#N/A</v>
      </c>
      <c r="N334" s="26" t="s">
        <v>551</v>
      </c>
      <c r="O334" s="26"/>
    </row>
    <row r="335" spans="1:15">
      <c r="A335" s="42"/>
      <c r="B335" s="6" t="s">
        <v>640</v>
      </c>
      <c r="C335" s="23">
        <v>312020003</v>
      </c>
      <c r="D335" s="24" t="s">
        <v>642</v>
      </c>
      <c r="E335" s="24" t="s">
        <v>66</v>
      </c>
      <c r="F335" s="24">
        <v>1</v>
      </c>
      <c r="G335" s="23" t="s">
        <v>24</v>
      </c>
      <c r="H335" s="23" t="s">
        <v>596</v>
      </c>
      <c r="I335" s="23">
        <v>0</v>
      </c>
      <c r="J335" s="23"/>
      <c r="K335" s="25">
        <v>708</v>
      </c>
      <c r="L335" s="25"/>
      <c r="M335" s="25" t="e">
        <f>VLOOKUP(A:A,[1]进仓汇总!A$1:G$65536,7,0)</f>
        <v>#N/A</v>
      </c>
      <c r="N335" s="26" t="s">
        <v>551</v>
      </c>
      <c r="O335" s="26"/>
    </row>
    <row r="336" spans="1:15">
      <c r="A336" s="42"/>
      <c r="B336" s="6" t="s">
        <v>640</v>
      </c>
      <c r="C336" s="23">
        <v>312020004</v>
      </c>
      <c r="D336" s="24" t="s">
        <v>643</v>
      </c>
      <c r="E336" s="24" t="s">
        <v>548</v>
      </c>
      <c r="F336" s="24">
        <v>1</v>
      </c>
      <c r="G336" s="23" t="s">
        <v>24</v>
      </c>
      <c r="H336" s="23" t="s">
        <v>598</v>
      </c>
      <c r="I336" s="23">
        <v>0</v>
      </c>
      <c r="J336" s="23"/>
      <c r="K336" s="25">
        <v>708</v>
      </c>
      <c r="L336" s="25"/>
      <c r="M336" s="25" t="e">
        <f>VLOOKUP(A:A,[1]进仓汇总!A$1:G$65536,7,0)</f>
        <v>#N/A</v>
      </c>
      <c r="N336" s="26" t="s">
        <v>551</v>
      </c>
      <c r="O336" s="26"/>
    </row>
    <row r="337" spans="1:19">
      <c r="A337" s="42"/>
      <c r="B337" s="6" t="s">
        <v>640</v>
      </c>
      <c r="C337" s="23">
        <v>312020005</v>
      </c>
      <c r="D337" s="24" t="s">
        <v>591</v>
      </c>
      <c r="E337" s="24" t="s">
        <v>560</v>
      </c>
      <c r="F337" s="24">
        <v>2</v>
      </c>
      <c r="G337" s="23" t="s">
        <v>24</v>
      </c>
      <c r="H337" s="23" t="s">
        <v>644</v>
      </c>
      <c r="I337" s="23">
        <v>0</v>
      </c>
      <c r="J337" s="23"/>
      <c r="K337" s="25">
        <v>708</v>
      </c>
      <c r="L337" s="25"/>
      <c r="M337" s="25" t="e">
        <f>VLOOKUP(A:A,[1]进仓汇总!A$1:G$65536,7,0)</f>
        <v>#N/A</v>
      </c>
      <c r="N337" s="26" t="s">
        <v>551</v>
      </c>
      <c r="O337" s="26"/>
    </row>
    <row r="338" spans="1:19">
      <c r="A338" s="42"/>
      <c r="B338" s="6" t="s">
        <v>640</v>
      </c>
      <c r="C338" s="23">
        <v>312020006</v>
      </c>
      <c r="D338" s="24" t="s">
        <v>645</v>
      </c>
      <c r="E338" s="24" t="s">
        <v>536</v>
      </c>
      <c r="F338" s="24">
        <v>1</v>
      </c>
      <c r="G338" s="23" t="s">
        <v>24</v>
      </c>
      <c r="H338" s="23" t="s">
        <v>604</v>
      </c>
      <c r="I338" s="23">
        <v>0</v>
      </c>
      <c r="J338" s="23"/>
      <c r="K338" s="25">
        <v>708</v>
      </c>
      <c r="L338" s="25"/>
      <c r="M338" s="25" t="e">
        <f>VLOOKUP(A:A,[1]进仓汇总!A$1:G$65536,7,0)</f>
        <v>#N/A</v>
      </c>
      <c r="N338" s="26" t="s">
        <v>551</v>
      </c>
      <c r="O338" s="26"/>
    </row>
    <row r="339" spans="1:19">
      <c r="A339" s="41"/>
      <c r="B339" s="6" t="s">
        <v>640</v>
      </c>
      <c r="C339" s="23">
        <v>312020007</v>
      </c>
      <c r="D339" s="24" t="s">
        <v>620</v>
      </c>
      <c r="E339" s="24" t="s">
        <v>536</v>
      </c>
      <c r="F339" s="24">
        <v>1</v>
      </c>
      <c r="G339" s="23" t="s">
        <v>24</v>
      </c>
      <c r="H339" s="23" t="s">
        <v>606</v>
      </c>
      <c r="I339" s="23">
        <v>0</v>
      </c>
      <c r="J339" s="23"/>
      <c r="K339" s="25">
        <v>708</v>
      </c>
      <c r="L339" s="25"/>
      <c r="M339" s="25" t="e">
        <f>VLOOKUP(A:A,[1]进仓汇总!A$1:G$65536,7,0)</f>
        <v>#N/A</v>
      </c>
      <c r="N339" s="26" t="s">
        <v>551</v>
      </c>
      <c r="O339" s="26"/>
    </row>
    <row r="340" spans="1:19">
      <c r="A340" s="40" t="s">
        <v>1179</v>
      </c>
      <c r="B340" s="6" t="s">
        <v>646</v>
      </c>
      <c r="C340" s="23">
        <v>312020009</v>
      </c>
      <c r="D340" s="24" t="s">
        <v>161</v>
      </c>
      <c r="E340" s="24" t="s">
        <v>548</v>
      </c>
      <c r="F340" s="24">
        <v>1</v>
      </c>
      <c r="G340" s="24" t="s">
        <v>24</v>
      </c>
      <c r="H340" s="23" t="s">
        <v>647</v>
      </c>
      <c r="I340" s="23">
        <v>0</v>
      </c>
      <c r="J340" s="23"/>
      <c r="K340" s="25">
        <v>709</v>
      </c>
      <c r="L340" s="25"/>
      <c r="M340" s="25" t="e">
        <f>VLOOKUP(A:A,[1]进仓汇总!A$1:G$65536,7,0)</f>
        <v>#N/A</v>
      </c>
      <c r="N340" s="26" t="s">
        <v>551</v>
      </c>
      <c r="O340" s="26"/>
    </row>
    <row r="341" spans="1:19">
      <c r="A341" s="42"/>
      <c r="B341" s="6" t="s">
        <v>646</v>
      </c>
      <c r="C341" s="23">
        <v>312020010</v>
      </c>
      <c r="D341" s="24" t="s">
        <v>648</v>
      </c>
      <c r="E341" s="24" t="s">
        <v>548</v>
      </c>
      <c r="F341" s="24">
        <v>1</v>
      </c>
      <c r="G341" s="24" t="s">
        <v>24</v>
      </c>
      <c r="H341" s="23" t="s">
        <v>649</v>
      </c>
      <c r="I341" s="23">
        <v>0</v>
      </c>
      <c r="J341" s="23"/>
      <c r="K341" s="25">
        <v>709</v>
      </c>
      <c r="L341" s="25"/>
      <c r="M341" s="25" t="e">
        <f>VLOOKUP(A:A,[1]进仓汇总!A$1:G$65536,7,0)</f>
        <v>#N/A</v>
      </c>
      <c r="N341" s="26" t="s">
        <v>551</v>
      </c>
      <c r="O341" s="26"/>
    </row>
    <row r="342" spans="1:19">
      <c r="A342" s="42"/>
      <c r="B342" s="6" t="s">
        <v>646</v>
      </c>
      <c r="C342" s="23">
        <v>312020011</v>
      </c>
      <c r="D342" s="24" t="s">
        <v>650</v>
      </c>
      <c r="E342" s="24" t="s">
        <v>548</v>
      </c>
      <c r="F342" s="24">
        <v>1</v>
      </c>
      <c r="G342" s="24" t="s">
        <v>24</v>
      </c>
      <c r="H342" s="23" t="s">
        <v>535</v>
      </c>
      <c r="I342" s="23">
        <v>0</v>
      </c>
      <c r="J342" s="23"/>
      <c r="K342" s="25">
        <v>709</v>
      </c>
      <c r="L342" s="25"/>
      <c r="M342" s="25" t="e">
        <f>VLOOKUP(A:A,[1]进仓汇总!A$1:G$65536,7,0)</f>
        <v>#N/A</v>
      </c>
      <c r="N342" s="26" t="s">
        <v>551</v>
      </c>
      <c r="O342" s="26"/>
    </row>
    <row r="343" spans="1:19">
      <c r="A343" s="42"/>
      <c r="B343" s="6" t="s">
        <v>646</v>
      </c>
      <c r="C343" s="23">
        <v>312020012</v>
      </c>
      <c r="D343" s="24" t="s">
        <v>591</v>
      </c>
      <c r="E343" s="24" t="s">
        <v>560</v>
      </c>
      <c r="F343" s="24">
        <v>2</v>
      </c>
      <c r="G343" s="24" t="s">
        <v>24</v>
      </c>
      <c r="H343" s="23" t="s">
        <v>651</v>
      </c>
      <c r="I343" s="23">
        <v>0</v>
      </c>
      <c r="J343" s="23"/>
      <c r="K343" s="25">
        <v>709</v>
      </c>
      <c r="L343" s="25"/>
      <c r="M343" s="25" t="e">
        <f>VLOOKUP(A:A,[1]进仓汇总!A$1:G$65536,7,0)</f>
        <v>#N/A</v>
      </c>
      <c r="N343" s="26" t="s">
        <v>551</v>
      </c>
      <c r="O343" s="26"/>
    </row>
    <row r="344" spans="1:19">
      <c r="A344" s="42"/>
      <c r="B344" s="6" t="s">
        <v>646</v>
      </c>
      <c r="C344" s="23">
        <v>312020013</v>
      </c>
      <c r="D344" s="24" t="s">
        <v>652</v>
      </c>
      <c r="E344" s="24" t="s">
        <v>560</v>
      </c>
      <c r="F344" s="24">
        <v>1</v>
      </c>
      <c r="G344" s="24" t="s">
        <v>24</v>
      </c>
      <c r="H344" s="23" t="s">
        <v>653</v>
      </c>
      <c r="I344" s="23">
        <v>0</v>
      </c>
      <c r="J344" s="23"/>
      <c r="K344" s="25">
        <v>709</v>
      </c>
      <c r="L344" s="25"/>
      <c r="M344" s="25" t="e">
        <f>VLOOKUP(A:A,[1]进仓汇总!A$1:G$65536,7,0)</f>
        <v>#N/A</v>
      </c>
      <c r="N344" s="26" t="s">
        <v>551</v>
      </c>
      <c r="O344" s="26"/>
    </row>
    <row r="345" spans="1:19">
      <c r="A345" s="42"/>
      <c r="B345" s="6" t="s">
        <v>646</v>
      </c>
      <c r="C345" s="23">
        <v>312020014</v>
      </c>
      <c r="D345" s="24" t="s">
        <v>654</v>
      </c>
      <c r="E345" s="24" t="s">
        <v>536</v>
      </c>
      <c r="F345" s="24">
        <v>1</v>
      </c>
      <c r="G345" s="24" t="s">
        <v>24</v>
      </c>
      <c r="H345" s="23" t="s">
        <v>655</v>
      </c>
      <c r="I345" s="23">
        <v>0</v>
      </c>
      <c r="J345" s="23"/>
      <c r="K345" s="25">
        <v>709</v>
      </c>
      <c r="L345" s="25"/>
      <c r="M345" s="25" t="e">
        <f>VLOOKUP(A:A,[1]进仓汇总!A$1:G$65536,7,0)</f>
        <v>#N/A</v>
      </c>
      <c r="N345" s="26" t="s">
        <v>551</v>
      </c>
      <c r="O345" s="26"/>
    </row>
    <row r="346" spans="1:19">
      <c r="A346" s="41"/>
      <c r="B346" s="6" t="s">
        <v>646</v>
      </c>
      <c r="C346" s="23">
        <v>312020015</v>
      </c>
      <c r="D346" s="24" t="s">
        <v>656</v>
      </c>
      <c r="E346" s="24" t="s">
        <v>536</v>
      </c>
      <c r="F346" s="24">
        <v>1</v>
      </c>
      <c r="G346" s="24" t="s">
        <v>24</v>
      </c>
      <c r="H346" s="23" t="s">
        <v>534</v>
      </c>
      <c r="I346" s="23">
        <v>0</v>
      </c>
      <c r="J346" s="23"/>
      <c r="K346" s="25">
        <v>709</v>
      </c>
      <c r="L346" s="25"/>
      <c r="M346" s="25" t="e">
        <f>VLOOKUP(A:A,[1]进仓汇总!A$1:G$65536,7,0)</f>
        <v>#N/A</v>
      </c>
      <c r="N346" s="26" t="s">
        <v>551</v>
      </c>
      <c r="O346" s="26"/>
      <c r="Q346" s="13"/>
      <c r="R346" s="13"/>
      <c r="S346" s="13"/>
    </row>
    <row r="347" spans="1:19" s="13" customFormat="1">
      <c r="A347" s="23" t="s">
        <v>1180</v>
      </c>
      <c r="B347" s="6" t="s">
        <v>54</v>
      </c>
      <c r="C347" s="24"/>
      <c r="D347" s="28"/>
      <c r="E347" s="29" t="s">
        <v>657</v>
      </c>
      <c r="F347" s="28"/>
      <c r="G347" s="30" t="s">
        <v>94</v>
      </c>
      <c r="H347" s="30"/>
      <c r="I347" s="23">
        <v>0</v>
      </c>
      <c r="J347" s="23"/>
      <c r="K347" s="25" t="s">
        <v>75</v>
      </c>
      <c r="L347" s="25"/>
      <c r="M347" s="25">
        <f>VLOOKUP(A:A,[1]进仓汇总!A$1:G$65536,7,0)</f>
        <v>0</v>
      </c>
      <c r="N347" s="26" t="s">
        <v>551</v>
      </c>
      <c r="O347" s="26"/>
      <c r="Q347" s="9"/>
      <c r="R347" s="9"/>
      <c r="S347" s="9"/>
    </row>
    <row r="348" spans="1:19">
      <c r="A348" s="23" t="s">
        <v>1181</v>
      </c>
      <c r="B348" s="6" t="s">
        <v>54</v>
      </c>
      <c r="C348" s="24"/>
      <c r="D348" s="31"/>
      <c r="E348" s="32"/>
      <c r="F348" s="31"/>
      <c r="G348" s="33"/>
      <c r="H348" s="33"/>
      <c r="I348" s="23">
        <v>0</v>
      </c>
      <c r="J348" s="23"/>
      <c r="K348" s="25" t="e">
        <v>#N/A</v>
      </c>
      <c r="L348" s="25"/>
      <c r="M348" s="25">
        <f>VLOOKUP(A:A,[1]进仓汇总!A$1:G$65536,7,0)</f>
        <v>0</v>
      </c>
      <c r="N348" s="26" t="s">
        <v>551</v>
      </c>
      <c r="O348" s="26"/>
    </row>
    <row r="349" spans="1:19">
      <c r="A349" s="40" t="s">
        <v>1182</v>
      </c>
      <c r="B349" s="6" t="s">
        <v>658</v>
      </c>
      <c r="C349" s="23">
        <v>314010002</v>
      </c>
      <c r="D349" s="24" t="s">
        <v>659</v>
      </c>
      <c r="E349" s="24" t="s">
        <v>660</v>
      </c>
      <c r="F349" s="23" t="s">
        <v>41</v>
      </c>
      <c r="G349" s="23" t="s">
        <v>24</v>
      </c>
      <c r="H349" s="23" t="s">
        <v>661</v>
      </c>
      <c r="I349" s="23">
        <v>0</v>
      </c>
      <c r="J349" s="23"/>
      <c r="K349" s="25">
        <v>203</v>
      </c>
      <c r="L349" s="25"/>
      <c r="M349" s="25" t="e">
        <f>VLOOKUP(A:A,[1]进仓汇总!A$1:G$65536,7,0)</f>
        <v>#N/A</v>
      </c>
      <c r="N349" s="26" t="s">
        <v>662</v>
      </c>
      <c r="O349" s="26"/>
    </row>
    <row r="350" spans="1:19">
      <c r="A350" s="42"/>
      <c r="B350" s="6" t="s">
        <v>658</v>
      </c>
      <c r="C350" s="23">
        <v>314010003</v>
      </c>
      <c r="D350" s="24" t="s">
        <v>663</v>
      </c>
      <c r="E350" s="24" t="s">
        <v>660</v>
      </c>
      <c r="F350" s="23" t="s">
        <v>41</v>
      </c>
      <c r="G350" s="23" t="s">
        <v>24</v>
      </c>
      <c r="H350" s="23" t="s">
        <v>29</v>
      </c>
      <c r="I350" s="23">
        <v>0</v>
      </c>
      <c r="J350" s="23"/>
      <c r="K350" s="25">
        <v>203</v>
      </c>
      <c r="L350" s="25"/>
      <c r="M350" s="25" t="e">
        <f>VLOOKUP(A:A,[1]进仓汇总!A$1:G$65536,7,0)</f>
        <v>#N/A</v>
      </c>
      <c r="N350" s="26" t="s">
        <v>662</v>
      </c>
      <c r="O350" s="26"/>
    </row>
    <row r="351" spans="1:19">
      <c r="A351" s="42"/>
      <c r="B351" s="6" t="s">
        <v>658</v>
      </c>
      <c r="C351" s="23">
        <v>314010004</v>
      </c>
      <c r="D351" s="24" t="s">
        <v>664</v>
      </c>
      <c r="E351" s="24" t="s">
        <v>665</v>
      </c>
      <c r="F351" s="23" t="s">
        <v>41</v>
      </c>
      <c r="G351" s="23" t="s">
        <v>24</v>
      </c>
      <c r="H351" s="23" t="s">
        <v>33</v>
      </c>
      <c r="I351" s="23">
        <v>0</v>
      </c>
      <c r="J351" s="23"/>
      <c r="K351" s="25">
        <v>203</v>
      </c>
      <c r="L351" s="25"/>
      <c r="M351" s="25" t="e">
        <f>VLOOKUP(A:A,[1]进仓汇总!A$1:G$65536,7,0)</f>
        <v>#N/A</v>
      </c>
      <c r="N351" s="26" t="s">
        <v>662</v>
      </c>
      <c r="O351" s="26"/>
    </row>
    <row r="352" spans="1:19">
      <c r="A352" s="42"/>
      <c r="B352" s="6" t="s">
        <v>658</v>
      </c>
      <c r="C352" s="23">
        <v>314010005</v>
      </c>
      <c r="D352" s="24" t="s">
        <v>666</v>
      </c>
      <c r="E352" s="24" t="s">
        <v>237</v>
      </c>
      <c r="F352" s="23" t="s">
        <v>41</v>
      </c>
      <c r="G352" s="23" t="s">
        <v>24</v>
      </c>
      <c r="H352" s="23" t="s">
        <v>36</v>
      </c>
      <c r="I352" s="23">
        <v>0</v>
      </c>
      <c r="J352" s="23"/>
      <c r="K352" s="25">
        <v>203</v>
      </c>
      <c r="L352" s="25"/>
      <c r="M352" s="25" t="e">
        <f>VLOOKUP(A:A,[1]进仓汇总!A$1:G$65536,7,0)</f>
        <v>#N/A</v>
      </c>
      <c r="N352" s="26" t="s">
        <v>662</v>
      </c>
      <c r="O352" s="26"/>
    </row>
    <row r="353" spans="1:15">
      <c r="A353" s="42"/>
      <c r="B353" s="6" t="s">
        <v>658</v>
      </c>
      <c r="C353" s="23">
        <v>314010006</v>
      </c>
      <c r="D353" s="24" t="s">
        <v>463</v>
      </c>
      <c r="E353" s="24" t="s">
        <v>237</v>
      </c>
      <c r="F353" s="23" t="s">
        <v>41</v>
      </c>
      <c r="G353" s="23" t="s">
        <v>24</v>
      </c>
      <c r="H353" s="23" t="s">
        <v>39</v>
      </c>
      <c r="I353" s="23">
        <v>0</v>
      </c>
      <c r="J353" s="23"/>
      <c r="K353" s="25">
        <v>203</v>
      </c>
      <c r="L353" s="25"/>
      <c r="M353" s="25" t="e">
        <f>VLOOKUP(A:A,[1]进仓汇总!A$1:G$65536,7,0)</f>
        <v>#N/A</v>
      </c>
      <c r="N353" s="26" t="s">
        <v>662</v>
      </c>
      <c r="O353" s="26"/>
    </row>
    <row r="354" spans="1:15">
      <c r="A354" s="41"/>
      <c r="B354" s="6" t="s">
        <v>658</v>
      </c>
      <c r="C354" s="23">
        <v>314010007</v>
      </c>
      <c r="D354" s="24" t="s">
        <v>667</v>
      </c>
      <c r="E354" s="24" t="s">
        <v>237</v>
      </c>
      <c r="F354" s="23" t="s">
        <v>41</v>
      </c>
      <c r="G354" s="23" t="s">
        <v>24</v>
      </c>
      <c r="H354" s="23" t="s">
        <v>42</v>
      </c>
      <c r="I354" s="23">
        <v>0</v>
      </c>
      <c r="J354" s="23"/>
      <c r="K354" s="25">
        <v>203</v>
      </c>
      <c r="L354" s="25"/>
      <c r="M354" s="25" t="e">
        <f>VLOOKUP(A:A,[1]进仓汇总!A$1:G$65536,7,0)</f>
        <v>#N/A</v>
      </c>
      <c r="N354" s="26" t="s">
        <v>662</v>
      </c>
      <c r="O354" s="26"/>
    </row>
    <row r="355" spans="1:15">
      <c r="A355" s="40" t="s">
        <v>1183</v>
      </c>
      <c r="B355" s="6" t="s">
        <v>668</v>
      </c>
      <c r="C355" s="23">
        <v>314010009</v>
      </c>
      <c r="D355" s="24" t="s">
        <v>659</v>
      </c>
      <c r="E355" s="24" t="s">
        <v>660</v>
      </c>
      <c r="F355" s="23" t="s">
        <v>41</v>
      </c>
      <c r="G355" s="23" t="s">
        <v>24</v>
      </c>
      <c r="H355" s="23" t="s">
        <v>661</v>
      </c>
      <c r="I355" s="23">
        <v>0</v>
      </c>
      <c r="J355" s="23"/>
      <c r="K355" s="25">
        <v>204</v>
      </c>
      <c r="L355" s="25">
        <v>1950</v>
      </c>
      <c r="M355" s="25" t="e">
        <f>VLOOKUP(A:A,[1]进仓汇总!A$1:G$65536,7,0)</f>
        <v>#N/A</v>
      </c>
      <c r="N355" s="26" t="s">
        <v>662</v>
      </c>
      <c r="O355" s="26"/>
    </row>
    <row r="356" spans="1:15">
      <c r="A356" s="42"/>
      <c r="B356" s="6" t="s">
        <v>668</v>
      </c>
      <c r="C356" s="23">
        <v>314010010</v>
      </c>
      <c r="D356" s="24" t="s">
        <v>663</v>
      </c>
      <c r="E356" s="24" t="s">
        <v>660</v>
      </c>
      <c r="F356" s="23" t="s">
        <v>41</v>
      </c>
      <c r="G356" s="23" t="s">
        <v>24</v>
      </c>
      <c r="H356" s="23" t="s">
        <v>29</v>
      </c>
      <c r="I356" s="23">
        <v>0</v>
      </c>
      <c r="J356" s="23"/>
      <c r="K356" s="25">
        <v>204</v>
      </c>
      <c r="L356" s="25">
        <v>0</v>
      </c>
      <c r="M356" s="25" t="e">
        <f>VLOOKUP(A:A,[1]进仓汇总!A$1:G$65536,7,0)</f>
        <v>#N/A</v>
      </c>
      <c r="N356" s="26" t="s">
        <v>662</v>
      </c>
      <c r="O356" s="26"/>
    </row>
    <row r="357" spans="1:15">
      <c r="A357" s="42"/>
      <c r="B357" s="6" t="s">
        <v>668</v>
      </c>
      <c r="C357" s="23">
        <v>314010011</v>
      </c>
      <c r="D357" s="24" t="s">
        <v>664</v>
      </c>
      <c r="E357" s="24" t="s">
        <v>665</v>
      </c>
      <c r="F357" s="23" t="s">
        <v>41</v>
      </c>
      <c r="G357" s="23" t="s">
        <v>24</v>
      </c>
      <c r="H357" s="23" t="s">
        <v>33</v>
      </c>
      <c r="I357" s="23">
        <v>0</v>
      </c>
      <c r="J357" s="23"/>
      <c r="K357" s="25">
        <v>204</v>
      </c>
      <c r="L357" s="25">
        <v>0</v>
      </c>
      <c r="M357" s="25" t="e">
        <f>VLOOKUP(A:A,[1]进仓汇总!A$1:G$65536,7,0)</f>
        <v>#N/A</v>
      </c>
      <c r="N357" s="26" t="s">
        <v>662</v>
      </c>
      <c r="O357" s="26"/>
    </row>
    <row r="358" spans="1:15">
      <c r="A358" s="42"/>
      <c r="B358" s="6" t="s">
        <v>668</v>
      </c>
      <c r="C358" s="23">
        <v>314010012</v>
      </c>
      <c r="D358" s="24" t="s">
        <v>666</v>
      </c>
      <c r="E358" s="24" t="s">
        <v>237</v>
      </c>
      <c r="F358" s="23" t="s">
        <v>41</v>
      </c>
      <c r="G358" s="23" t="s">
        <v>24</v>
      </c>
      <c r="H358" s="23" t="s">
        <v>36</v>
      </c>
      <c r="I358" s="23">
        <v>0</v>
      </c>
      <c r="J358" s="23"/>
      <c r="K358" s="25">
        <v>204</v>
      </c>
      <c r="L358" s="25">
        <v>0</v>
      </c>
      <c r="M358" s="25" t="e">
        <f>VLOOKUP(A:A,[1]进仓汇总!A$1:G$65536,7,0)</f>
        <v>#N/A</v>
      </c>
      <c r="N358" s="26" t="s">
        <v>662</v>
      </c>
      <c r="O358" s="26"/>
    </row>
    <row r="359" spans="1:15">
      <c r="A359" s="42"/>
      <c r="B359" s="6" t="s">
        <v>668</v>
      </c>
      <c r="C359" s="23">
        <v>314010013</v>
      </c>
      <c r="D359" s="24" t="s">
        <v>463</v>
      </c>
      <c r="E359" s="24" t="s">
        <v>237</v>
      </c>
      <c r="F359" s="23" t="s">
        <v>41</v>
      </c>
      <c r="G359" s="23" t="s">
        <v>24</v>
      </c>
      <c r="H359" s="23" t="s">
        <v>39</v>
      </c>
      <c r="I359" s="23">
        <v>0</v>
      </c>
      <c r="J359" s="23"/>
      <c r="K359" s="25">
        <v>204</v>
      </c>
      <c r="L359" s="25">
        <v>0</v>
      </c>
      <c r="M359" s="25" t="e">
        <f>VLOOKUP(A:A,[1]进仓汇总!A$1:G$65536,7,0)</f>
        <v>#N/A</v>
      </c>
      <c r="N359" s="26" t="s">
        <v>662</v>
      </c>
      <c r="O359" s="26"/>
    </row>
    <row r="360" spans="1:15">
      <c r="A360" s="41"/>
      <c r="B360" s="6" t="s">
        <v>668</v>
      </c>
      <c r="C360" s="23">
        <v>314010014</v>
      </c>
      <c r="D360" s="24" t="s">
        <v>667</v>
      </c>
      <c r="E360" s="24" t="s">
        <v>237</v>
      </c>
      <c r="F360" s="23" t="s">
        <v>41</v>
      </c>
      <c r="G360" s="23" t="s">
        <v>24</v>
      </c>
      <c r="H360" s="23" t="s">
        <v>42</v>
      </c>
      <c r="I360" s="23">
        <v>0</v>
      </c>
      <c r="J360" s="23"/>
      <c r="K360" s="25">
        <v>204</v>
      </c>
      <c r="L360" s="25">
        <v>0</v>
      </c>
      <c r="M360" s="25" t="e">
        <f>VLOOKUP(A:A,[1]进仓汇总!A$1:G$65536,7,0)</f>
        <v>#N/A</v>
      </c>
      <c r="N360" s="26" t="s">
        <v>662</v>
      </c>
      <c r="O360" s="26"/>
    </row>
    <row r="361" spans="1:15">
      <c r="A361" s="40" t="s">
        <v>1184</v>
      </c>
      <c r="B361" s="6" t="s">
        <v>669</v>
      </c>
      <c r="C361" s="24"/>
      <c r="D361" s="24" t="str">
        <f>+B361</f>
        <v>欧瑞文件柜                                      OREM-C1-0818  800*420*1800</v>
      </c>
      <c r="E361" s="24"/>
      <c r="F361" s="23"/>
      <c r="G361" s="23"/>
      <c r="H361" s="23"/>
      <c r="I361" s="23">
        <v>0</v>
      </c>
      <c r="J361" s="23"/>
      <c r="K361" s="25" t="s">
        <v>670</v>
      </c>
      <c r="L361" s="25">
        <v>986</v>
      </c>
      <c r="M361" s="25" t="e">
        <f>VLOOKUP(A:A,[1]进仓汇总!A$1:G$65536,7,0)</f>
        <v>#N/A</v>
      </c>
      <c r="N361" s="26" t="s">
        <v>662</v>
      </c>
      <c r="O361" s="26"/>
    </row>
    <row r="362" spans="1:15">
      <c r="A362" s="42"/>
      <c r="B362" s="6" t="s">
        <v>669</v>
      </c>
      <c r="C362" s="23">
        <v>314090002</v>
      </c>
      <c r="D362" s="24" t="s">
        <v>671</v>
      </c>
      <c r="E362" s="24" t="s">
        <v>665</v>
      </c>
      <c r="F362" s="23" t="s">
        <v>41</v>
      </c>
      <c r="G362" s="23" t="s">
        <v>24</v>
      </c>
      <c r="H362" s="23" t="s">
        <v>153</v>
      </c>
      <c r="I362" s="23">
        <v>0</v>
      </c>
      <c r="J362" s="23"/>
      <c r="K362" s="25" t="s">
        <v>670</v>
      </c>
      <c r="L362" s="25">
        <v>0</v>
      </c>
      <c r="M362" s="25" t="e">
        <f>VLOOKUP(A:A,[1]进仓汇总!A$1:G$65536,7,0)</f>
        <v>#N/A</v>
      </c>
      <c r="N362" s="26" t="s">
        <v>662</v>
      </c>
      <c r="O362" s="26"/>
    </row>
    <row r="363" spans="1:15">
      <c r="A363" s="42"/>
      <c r="B363" s="6" t="s">
        <v>669</v>
      </c>
      <c r="C363" s="23">
        <v>314090003</v>
      </c>
      <c r="D363" s="24" t="s">
        <v>672</v>
      </c>
      <c r="E363" s="24" t="s">
        <v>660</v>
      </c>
      <c r="F363" s="23" t="s">
        <v>41</v>
      </c>
      <c r="G363" s="23" t="s">
        <v>24</v>
      </c>
      <c r="H363" s="23" t="s">
        <v>156</v>
      </c>
      <c r="I363" s="23">
        <v>0</v>
      </c>
      <c r="J363" s="23"/>
      <c r="K363" s="25">
        <v>202</v>
      </c>
      <c r="L363" s="25">
        <v>0</v>
      </c>
      <c r="M363" s="25" t="e">
        <f>VLOOKUP(A:A,[1]进仓汇总!A$1:G$65536,7,0)</f>
        <v>#N/A</v>
      </c>
      <c r="N363" s="26" t="s">
        <v>662</v>
      </c>
      <c r="O363" s="26"/>
    </row>
    <row r="364" spans="1:15">
      <c r="A364" s="41"/>
      <c r="B364" s="6" t="s">
        <v>669</v>
      </c>
      <c r="C364" s="23" t="s">
        <v>673</v>
      </c>
      <c r="D364" s="24" t="s">
        <v>393</v>
      </c>
      <c r="E364" s="24" t="s">
        <v>237</v>
      </c>
      <c r="F364" s="23" t="s">
        <v>41</v>
      </c>
      <c r="G364" s="23" t="s">
        <v>24</v>
      </c>
      <c r="H364" s="23" t="s">
        <v>159</v>
      </c>
      <c r="I364" s="23">
        <v>0</v>
      </c>
      <c r="J364" s="23"/>
      <c r="K364" s="25">
        <v>202</v>
      </c>
      <c r="L364" s="25">
        <v>0</v>
      </c>
      <c r="M364" s="25" t="e">
        <f>VLOOKUP(A:A,[1]进仓汇总!A$1:G$65536,7,0)</f>
        <v>#N/A</v>
      </c>
      <c r="N364" s="26" t="s">
        <v>662</v>
      </c>
      <c r="O364" s="26"/>
    </row>
    <row r="365" spans="1:15">
      <c r="A365" s="40" t="s">
        <v>1185</v>
      </c>
      <c r="B365" s="6" t="s">
        <v>674</v>
      </c>
      <c r="C365" s="23">
        <v>314090005</v>
      </c>
      <c r="D365" s="24" t="s">
        <v>675</v>
      </c>
      <c r="E365" s="24" t="s">
        <v>665</v>
      </c>
      <c r="F365" s="23" t="s">
        <v>41</v>
      </c>
      <c r="G365" s="23" t="s">
        <v>24</v>
      </c>
      <c r="H365" s="23" t="s">
        <v>389</v>
      </c>
      <c r="I365" s="23">
        <v>0</v>
      </c>
      <c r="J365" s="23"/>
      <c r="K365" s="25">
        <v>201</v>
      </c>
      <c r="L365" s="25">
        <v>950</v>
      </c>
      <c r="M365" s="25" t="e">
        <f>VLOOKUP(A:A,[1]进仓汇总!A$1:G$65536,7,0)</f>
        <v>#N/A</v>
      </c>
      <c r="N365" s="26" t="s">
        <v>662</v>
      </c>
      <c r="O365" s="26"/>
    </row>
    <row r="366" spans="1:15">
      <c r="A366" s="42"/>
      <c r="B366" s="6" t="s">
        <v>674</v>
      </c>
      <c r="C366" s="23">
        <v>314090006</v>
      </c>
      <c r="D366" s="24" t="s">
        <v>676</v>
      </c>
      <c r="E366" s="24" t="s">
        <v>660</v>
      </c>
      <c r="F366" s="23" t="s">
        <v>41</v>
      </c>
      <c r="G366" s="23" t="s">
        <v>24</v>
      </c>
      <c r="H366" s="23" t="s">
        <v>87</v>
      </c>
      <c r="I366" s="23">
        <v>0</v>
      </c>
      <c r="J366" s="23"/>
      <c r="K366" s="25">
        <v>201</v>
      </c>
      <c r="L366" s="25">
        <v>0</v>
      </c>
      <c r="M366" s="25" t="e">
        <f>VLOOKUP(A:A,[1]进仓汇总!A$1:G$65536,7,0)</f>
        <v>#N/A</v>
      </c>
      <c r="N366" s="26" t="s">
        <v>662</v>
      </c>
      <c r="O366" s="26"/>
    </row>
    <row r="367" spans="1:15">
      <c r="A367" s="42"/>
      <c r="B367" s="6" t="s">
        <v>674</v>
      </c>
      <c r="C367" s="23">
        <v>314090007</v>
      </c>
      <c r="D367" s="24" t="s">
        <v>677</v>
      </c>
      <c r="E367" s="24" t="s">
        <v>660</v>
      </c>
      <c r="F367" s="23" t="s">
        <v>41</v>
      </c>
      <c r="G367" s="23" t="s">
        <v>24</v>
      </c>
      <c r="H367" s="23" t="s">
        <v>90</v>
      </c>
      <c r="I367" s="23">
        <v>0</v>
      </c>
      <c r="J367" s="23"/>
      <c r="K367" s="25">
        <v>201</v>
      </c>
      <c r="L367" s="25">
        <v>0</v>
      </c>
      <c r="M367" s="25" t="e">
        <f>VLOOKUP(A:A,[1]进仓汇总!A$1:G$65536,7,0)</f>
        <v>#N/A</v>
      </c>
      <c r="N367" s="26" t="s">
        <v>662</v>
      </c>
      <c r="O367" s="26"/>
    </row>
    <row r="368" spans="1:15">
      <c r="A368" s="41"/>
      <c r="B368" s="6" t="s">
        <v>674</v>
      </c>
      <c r="C368" s="23" t="s">
        <v>678</v>
      </c>
      <c r="D368" s="24" t="s">
        <v>679</v>
      </c>
      <c r="E368" s="24" t="s">
        <v>237</v>
      </c>
      <c r="F368" s="23" t="s">
        <v>41</v>
      </c>
      <c r="G368" s="23" t="s">
        <v>24</v>
      </c>
      <c r="H368" s="23" t="s">
        <v>95</v>
      </c>
      <c r="I368" s="23">
        <v>0</v>
      </c>
      <c r="J368" s="23"/>
      <c r="K368" s="25">
        <v>201</v>
      </c>
      <c r="L368" s="25">
        <v>0</v>
      </c>
      <c r="M368" s="25" t="e">
        <f>VLOOKUP(A:A,[1]进仓汇总!A$1:G$65536,7,0)</f>
        <v>#N/A</v>
      </c>
      <c r="N368" s="26" t="s">
        <v>662</v>
      </c>
      <c r="O368" s="26"/>
    </row>
    <row r="369" spans="1:15">
      <c r="A369" s="40" t="s">
        <v>1186</v>
      </c>
      <c r="B369" s="6" t="s">
        <v>680</v>
      </c>
      <c r="C369" s="23">
        <v>314060002</v>
      </c>
      <c r="D369" s="24" t="s">
        <v>671</v>
      </c>
      <c r="E369" s="24" t="s">
        <v>660</v>
      </c>
      <c r="F369" s="23" t="s">
        <v>41</v>
      </c>
      <c r="G369" s="23" t="s">
        <v>24</v>
      </c>
      <c r="H369" s="23" t="s">
        <v>681</v>
      </c>
      <c r="I369" s="23">
        <v>0</v>
      </c>
      <c r="J369" s="23"/>
      <c r="K369" s="25" t="s">
        <v>682</v>
      </c>
      <c r="L369" s="25">
        <v>1080</v>
      </c>
      <c r="M369" s="25" t="e">
        <f>VLOOKUP(A:A,[1]进仓汇总!A$1:G$65536,7,0)</f>
        <v>#N/A</v>
      </c>
      <c r="N369" s="26" t="s">
        <v>662</v>
      </c>
      <c r="O369" s="26"/>
    </row>
    <row r="370" spans="1:15">
      <c r="A370" s="42"/>
      <c r="B370" s="6" t="s">
        <v>680</v>
      </c>
      <c r="C370" s="23">
        <v>314060003</v>
      </c>
      <c r="D370" s="24" t="s">
        <v>683</v>
      </c>
      <c r="E370" s="24" t="s">
        <v>660</v>
      </c>
      <c r="F370" s="23" t="s">
        <v>41</v>
      </c>
      <c r="G370" s="23" t="s">
        <v>24</v>
      </c>
      <c r="H370" s="23" t="s">
        <v>684</v>
      </c>
      <c r="I370" s="23">
        <v>0</v>
      </c>
      <c r="J370" s="23"/>
      <c r="K370" s="25">
        <v>202</v>
      </c>
      <c r="L370" s="25">
        <v>0</v>
      </c>
      <c r="M370" s="25" t="e">
        <f>VLOOKUP(A:A,[1]进仓汇总!A$1:G$65536,7,0)</f>
        <v>#N/A</v>
      </c>
      <c r="N370" s="26" t="s">
        <v>662</v>
      </c>
      <c r="O370" s="26"/>
    </row>
    <row r="371" spans="1:15">
      <c r="A371" s="42"/>
      <c r="B371" s="6" t="s">
        <v>680</v>
      </c>
      <c r="C371" s="23" t="s">
        <v>685</v>
      </c>
      <c r="D371" s="24" t="s">
        <v>393</v>
      </c>
      <c r="E371" s="24" t="s">
        <v>237</v>
      </c>
      <c r="F371" s="23" t="s">
        <v>41</v>
      </c>
      <c r="G371" s="23" t="s">
        <v>24</v>
      </c>
      <c r="H371" s="23" t="s">
        <v>686</v>
      </c>
      <c r="I371" s="23">
        <v>0</v>
      </c>
      <c r="J371" s="23"/>
      <c r="K371" s="25" t="s">
        <v>687</v>
      </c>
      <c r="L371" s="25">
        <v>0</v>
      </c>
      <c r="M371" s="25" t="e">
        <f>VLOOKUP(A:A,[1]进仓汇总!A$1:G$65536,7,0)</f>
        <v>#N/A</v>
      </c>
      <c r="N371" s="26" t="s">
        <v>662</v>
      </c>
      <c r="O371" s="26"/>
    </row>
    <row r="372" spans="1:15">
      <c r="A372" s="41"/>
      <c r="B372" s="6" t="s">
        <v>680</v>
      </c>
      <c r="C372" s="23">
        <v>314060004</v>
      </c>
      <c r="D372" s="24" t="s">
        <v>303</v>
      </c>
      <c r="E372" s="24" t="s">
        <v>237</v>
      </c>
      <c r="F372" s="23" t="s">
        <v>688</v>
      </c>
      <c r="G372" s="23" t="s">
        <v>24</v>
      </c>
      <c r="H372" s="23" t="s">
        <v>689</v>
      </c>
      <c r="I372" s="23">
        <v>0</v>
      </c>
      <c r="J372" s="23"/>
      <c r="K372" s="25">
        <v>202</v>
      </c>
      <c r="L372" s="25">
        <v>0</v>
      </c>
      <c r="M372" s="25" t="e">
        <f>VLOOKUP(A:A,[1]进仓汇总!A$1:G$65536,7,0)</f>
        <v>#N/A</v>
      </c>
      <c r="N372" s="26" t="s">
        <v>662</v>
      </c>
      <c r="O372" s="26"/>
    </row>
    <row r="373" spans="1:15">
      <c r="A373" s="40" t="s">
        <v>1187</v>
      </c>
      <c r="B373" s="6" t="s">
        <v>690</v>
      </c>
      <c r="C373" s="23">
        <v>314040002</v>
      </c>
      <c r="D373" s="24" t="s">
        <v>691</v>
      </c>
      <c r="E373" s="24" t="s">
        <v>692</v>
      </c>
      <c r="F373" s="23" t="s">
        <v>49</v>
      </c>
      <c r="G373" s="23" t="s">
        <v>24</v>
      </c>
      <c r="H373" s="23" t="s">
        <v>693</v>
      </c>
      <c r="I373" s="23">
        <v>0</v>
      </c>
      <c r="J373" s="23"/>
      <c r="K373" s="25">
        <v>207</v>
      </c>
      <c r="L373" s="25"/>
      <c r="M373" s="25" t="e">
        <f>VLOOKUP(A:A,[1]进仓汇总!A$1:G$65536,7,0)</f>
        <v>#N/A</v>
      </c>
      <c r="N373" s="26" t="s">
        <v>662</v>
      </c>
      <c r="O373" s="26"/>
    </row>
    <row r="374" spans="1:15">
      <c r="A374" s="42"/>
      <c r="B374" s="6" t="s">
        <v>690</v>
      </c>
      <c r="C374" s="23">
        <v>314040003</v>
      </c>
      <c r="D374" s="24" t="s">
        <v>694</v>
      </c>
      <c r="E374" s="24" t="s">
        <v>660</v>
      </c>
      <c r="F374" s="23" t="s">
        <v>55</v>
      </c>
      <c r="G374" s="23" t="s">
        <v>24</v>
      </c>
      <c r="H374" s="23" t="s">
        <v>331</v>
      </c>
      <c r="I374" s="23">
        <v>0</v>
      </c>
      <c r="J374" s="23"/>
      <c r="K374" s="25">
        <v>207</v>
      </c>
      <c r="L374" s="25"/>
      <c r="M374" s="25" t="e">
        <f>VLOOKUP(A:A,[1]进仓汇总!A$1:G$65536,7,0)</f>
        <v>#N/A</v>
      </c>
      <c r="N374" s="26" t="s">
        <v>662</v>
      </c>
      <c r="O374" s="26"/>
    </row>
    <row r="375" spans="1:15">
      <c r="A375" s="42"/>
      <c r="B375" s="6" t="s">
        <v>690</v>
      </c>
      <c r="C375" s="23">
        <v>314040004</v>
      </c>
      <c r="D375" s="24" t="s">
        <v>695</v>
      </c>
      <c r="E375" s="24"/>
      <c r="F375" s="23" t="s">
        <v>41</v>
      </c>
      <c r="G375" s="23" t="s">
        <v>24</v>
      </c>
      <c r="H375" s="23" t="s">
        <v>563</v>
      </c>
      <c r="I375" s="23">
        <v>0</v>
      </c>
      <c r="J375" s="23"/>
      <c r="K375" s="25">
        <v>207</v>
      </c>
      <c r="L375" s="25"/>
      <c r="M375" s="25" t="e">
        <f>VLOOKUP(A:A,[1]进仓汇总!A$1:G$65536,7,0)</f>
        <v>#N/A</v>
      </c>
      <c r="N375" s="26" t="s">
        <v>662</v>
      </c>
      <c r="O375" s="26"/>
    </row>
    <row r="376" spans="1:15">
      <c r="A376" s="42"/>
      <c r="B376" s="6" t="s">
        <v>690</v>
      </c>
      <c r="C376" s="23">
        <v>314040005</v>
      </c>
      <c r="D376" s="24" t="s">
        <v>696</v>
      </c>
      <c r="E376" s="24" t="s">
        <v>237</v>
      </c>
      <c r="F376" s="23" t="s">
        <v>41</v>
      </c>
      <c r="G376" s="23" t="s">
        <v>24</v>
      </c>
      <c r="H376" s="23" t="s">
        <v>565</v>
      </c>
      <c r="I376" s="23">
        <v>0</v>
      </c>
      <c r="J376" s="23"/>
      <c r="K376" s="25">
        <v>207</v>
      </c>
      <c r="L376" s="25"/>
      <c r="M376" s="25" t="e">
        <f>VLOOKUP(A:A,[1]进仓汇总!A$1:G$65536,7,0)</f>
        <v>#N/A</v>
      </c>
      <c r="N376" s="26" t="s">
        <v>662</v>
      </c>
      <c r="O376" s="26"/>
    </row>
    <row r="377" spans="1:15">
      <c r="A377" s="42"/>
      <c r="B377" s="6" t="s">
        <v>690</v>
      </c>
      <c r="C377" s="23">
        <v>314040006</v>
      </c>
      <c r="D377" s="24" t="s">
        <v>463</v>
      </c>
      <c r="E377" s="24" t="s">
        <v>237</v>
      </c>
      <c r="F377" s="23" t="s">
        <v>41</v>
      </c>
      <c r="G377" s="23" t="s">
        <v>24</v>
      </c>
      <c r="H377" s="23" t="s">
        <v>567</v>
      </c>
      <c r="I377" s="23">
        <v>0</v>
      </c>
      <c r="J377" s="23"/>
      <c r="K377" s="25">
        <v>207</v>
      </c>
      <c r="L377" s="25"/>
      <c r="M377" s="25" t="e">
        <f>VLOOKUP(A:A,[1]进仓汇总!A$1:G$65536,7,0)</f>
        <v>#N/A</v>
      </c>
      <c r="N377" s="26" t="s">
        <v>662</v>
      </c>
      <c r="O377" s="26"/>
    </row>
    <row r="378" spans="1:15">
      <c r="A378" s="42"/>
      <c r="B378" s="6" t="s">
        <v>690</v>
      </c>
      <c r="C378" s="23">
        <v>314040007</v>
      </c>
      <c r="D378" s="24" t="s">
        <v>697</v>
      </c>
      <c r="E378" s="24" t="s">
        <v>237</v>
      </c>
      <c r="F378" s="23" t="s">
        <v>41</v>
      </c>
      <c r="G378" s="23" t="s">
        <v>24</v>
      </c>
      <c r="H378" s="23" t="s">
        <v>569</v>
      </c>
      <c r="I378" s="23">
        <v>0</v>
      </c>
      <c r="J378" s="23"/>
      <c r="K378" s="25">
        <v>207</v>
      </c>
      <c r="L378" s="25"/>
      <c r="M378" s="25" t="e">
        <f>VLOOKUP(A:A,[1]进仓汇总!A$1:G$65536,7,0)</f>
        <v>#N/A</v>
      </c>
      <c r="N378" s="26" t="s">
        <v>662</v>
      </c>
      <c r="O378" s="26"/>
    </row>
    <row r="379" spans="1:15">
      <c r="A379" s="41"/>
      <c r="B379" s="6" t="s">
        <v>690</v>
      </c>
      <c r="C379" s="23">
        <v>314040008</v>
      </c>
      <c r="D379" s="24" t="s">
        <v>698</v>
      </c>
      <c r="E379" s="24" t="s">
        <v>699</v>
      </c>
      <c r="F379" s="23" t="s">
        <v>41</v>
      </c>
      <c r="G379" s="23" t="s">
        <v>24</v>
      </c>
      <c r="H379" s="23" t="s">
        <v>246</v>
      </c>
      <c r="I379" s="23">
        <v>0</v>
      </c>
      <c r="J379" s="23"/>
      <c r="K379" s="25">
        <v>207</v>
      </c>
      <c r="L379" s="25"/>
      <c r="M379" s="25" t="e">
        <f>VLOOKUP(A:A,[1]进仓汇总!A$1:G$65536,7,0)</f>
        <v>#N/A</v>
      </c>
      <c r="N379" s="26" t="s">
        <v>662</v>
      </c>
      <c r="O379" s="26"/>
    </row>
    <row r="380" spans="1:15">
      <c r="A380" s="40" t="s">
        <v>1188</v>
      </c>
      <c r="B380" s="6" t="s">
        <v>700</v>
      </c>
      <c r="C380" s="23">
        <v>314040010</v>
      </c>
      <c r="D380" s="24" t="s">
        <v>701</v>
      </c>
      <c r="E380" s="24" t="s">
        <v>692</v>
      </c>
      <c r="F380" s="23" t="s">
        <v>49</v>
      </c>
      <c r="G380" s="23" t="s">
        <v>24</v>
      </c>
      <c r="H380" s="23" t="s">
        <v>693</v>
      </c>
      <c r="I380" s="23">
        <v>0</v>
      </c>
      <c r="J380" s="23"/>
      <c r="K380" s="25">
        <v>205</v>
      </c>
      <c r="L380" s="25"/>
      <c r="M380" s="25" t="e">
        <f>VLOOKUP(A:A,[1]进仓汇总!A$1:G$65536,7,0)</f>
        <v>#N/A</v>
      </c>
      <c r="N380" s="26" t="s">
        <v>662</v>
      </c>
      <c r="O380" s="26"/>
    </row>
    <row r="381" spans="1:15">
      <c r="A381" s="42"/>
      <c r="B381" s="6" t="s">
        <v>700</v>
      </c>
      <c r="C381" s="23">
        <v>314040011</v>
      </c>
      <c r="D381" s="24" t="s">
        <v>702</v>
      </c>
      <c r="E381" s="24" t="s">
        <v>660</v>
      </c>
      <c r="F381" s="23" t="s">
        <v>49</v>
      </c>
      <c r="G381" s="23" t="s">
        <v>24</v>
      </c>
      <c r="H381" s="23" t="s">
        <v>703</v>
      </c>
      <c r="I381" s="23">
        <v>0</v>
      </c>
      <c r="J381" s="23"/>
      <c r="K381" s="25">
        <v>205</v>
      </c>
      <c r="L381" s="25"/>
      <c r="M381" s="25" t="e">
        <f>VLOOKUP(A:A,[1]进仓汇总!A$1:G$65536,7,0)</f>
        <v>#N/A</v>
      </c>
      <c r="N381" s="26" t="s">
        <v>662</v>
      </c>
      <c r="O381" s="26"/>
    </row>
    <row r="382" spans="1:15">
      <c r="A382" s="42"/>
      <c r="B382" s="6" t="s">
        <v>700</v>
      </c>
      <c r="C382" s="23">
        <v>314040012</v>
      </c>
      <c r="D382" s="24" t="s">
        <v>704</v>
      </c>
      <c r="E382" s="24" t="s">
        <v>660</v>
      </c>
      <c r="F382" s="23" t="s">
        <v>49</v>
      </c>
      <c r="G382" s="23" t="s">
        <v>24</v>
      </c>
      <c r="H382" s="23" t="s">
        <v>705</v>
      </c>
      <c r="I382" s="23">
        <v>0</v>
      </c>
      <c r="J382" s="23"/>
      <c r="K382" s="25">
        <v>205</v>
      </c>
      <c r="L382" s="25"/>
      <c r="M382" s="25" t="e">
        <f>VLOOKUP(A:A,[1]进仓汇总!A$1:G$65536,7,0)</f>
        <v>#N/A</v>
      </c>
      <c r="N382" s="26" t="s">
        <v>662</v>
      </c>
      <c r="O382" s="26"/>
    </row>
    <row r="383" spans="1:15">
      <c r="A383" s="42"/>
      <c r="B383" s="6" t="s">
        <v>700</v>
      </c>
      <c r="C383" s="23">
        <v>314040013</v>
      </c>
      <c r="D383" s="24" t="s">
        <v>706</v>
      </c>
      <c r="E383" s="24" t="s">
        <v>707</v>
      </c>
      <c r="F383" s="23" t="s">
        <v>41</v>
      </c>
      <c r="G383" s="23" t="s">
        <v>24</v>
      </c>
      <c r="H383" s="23" t="s">
        <v>563</v>
      </c>
      <c r="I383" s="23">
        <v>0</v>
      </c>
      <c r="J383" s="23"/>
      <c r="K383" s="25">
        <v>205</v>
      </c>
      <c r="L383" s="25"/>
      <c r="M383" s="25" t="e">
        <f>VLOOKUP(A:A,[1]进仓汇总!A$1:G$65536,7,0)</f>
        <v>#N/A</v>
      </c>
      <c r="N383" s="26" t="s">
        <v>662</v>
      </c>
      <c r="O383" s="26"/>
    </row>
    <row r="384" spans="1:15">
      <c r="A384" s="42"/>
      <c r="B384" s="6" t="s">
        <v>700</v>
      </c>
      <c r="C384" s="23">
        <v>314040014</v>
      </c>
      <c r="D384" s="24" t="s">
        <v>695</v>
      </c>
      <c r="E384" s="24"/>
      <c r="F384" s="23" t="s">
        <v>41</v>
      </c>
      <c r="G384" s="23" t="s">
        <v>24</v>
      </c>
      <c r="H384" s="23" t="s">
        <v>565</v>
      </c>
      <c r="I384" s="23">
        <v>0</v>
      </c>
      <c r="J384" s="23"/>
      <c r="K384" s="25">
        <v>205</v>
      </c>
      <c r="L384" s="25"/>
      <c r="M384" s="25" t="e">
        <f>VLOOKUP(A:A,[1]进仓汇总!A$1:G$65536,7,0)</f>
        <v>#N/A</v>
      </c>
      <c r="N384" s="26" t="s">
        <v>662</v>
      </c>
      <c r="O384" s="26"/>
    </row>
    <row r="385" spans="1:15">
      <c r="A385" s="42"/>
      <c r="B385" s="6" t="s">
        <v>700</v>
      </c>
      <c r="C385" s="23">
        <v>314040015</v>
      </c>
      <c r="D385" s="24" t="s">
        <v>591</v>
      </c>
      <c r="E385" s="24" t="s">
        <v>237</v>
      </c>
      <c r="F385" s="23" t="s">
        <v>41</v>
      </c>
      <c r="G385" s="23" t="s">
        <v>24</v>
      </c>
      <c r="H385" s="23" t="s">
        <v>567</v>
      </c>
      <c r="I385" s="23">
        <v>0</v>
      </c>
      <c r="J385" s="23"/>
      <c r="K385" s="25">
        <v>205</v>
      </c>
      <c r="L385" s="25"/>
      <c r="M385" s="25" t="e">
        <f>VLOOKUP(A:A,[1]进仓汇总!A$1:G$65536,7,0)</f>
        <v>#N/A</v>
      </c>
      <c r="N385" s="26" t="s">
        <v>662</v>
      </c>
      <c r="O385" s="26"/>
    </row>
    <row r="386" spans="1:15">
      <c r="A386" s="42"/>
      <c r="B386" s="6" t="s">
        <v>700</v>
      </c>
      <c r="C386" s="23">
        <v>314040016</v>
      </c>
      <c r="D386" s="24" t="s">
        <v>463</v>
      </c>
      <c r="E386" s="24" t="s">
        <v>237</v>
      </c>
      <c r="F386" s="23" t="s">
        <v>41</v>
      </c>
      <c r="G386" s="23" t="s">
        <v>24</v>
      </c>
      <c r="H386" s="23" t="s">
        <v>569</v>
      </c>
      <c r="I386" s="23">
        <v>0</v>
      </c>
      <c r="J386" s="23"/>
      <c r="K386" s="25">
        <v>205</v>
      </c>
      <c r="L386" s="25"/>
      <c r="M386" s="25" t="e">
        <f>VLOOKUP(A:A,[1]进仓汇总!A$1:G$65536,7,0)</f>
        <v>#N/A</v>
      </c>
      <c r="N386" s="26" t="s">
        <v>662</v>
      </c>
      <c r="O386" s="26"/>
    </row>
    <row r="387" spans="1:15">
      <c r="A387" s="41"/>
      <c r="B387" s="6" t="s">
        <v>700</v>
      </c>
      <c r="C387" s="23">
        <v>314040017</v>
      </c>
      <c r="D387" s="24" t="s">
        <v>697</v>
      </c>
      <c r="E387" s="24" t="s">
        <v>237</v>
      </c>
      <c r="F387" s="23" t="s">
        <v>41</v>
      </c>
      <c r="G387" s="23" t="s">
        <v>24</v>
      </c>
      <c r="H387" s="23" t="s">
        <v>246</v>
      </c>
      <c r="I387" s="23">
        <v>0</v>
      </c>
      <c r="J387" s="23"/>
      <c r="K387" s="25">
        <v>205</v>
      </c>
      <c r="L387" s="25"/>
      <c r="M387" s="25" t="e">
        <f>VLOOKUP(A:A,[1]进仓汇总!A$1:G$65536,7,0)</f>
        <v>#N/A</v>
      </c>
      <c r="N387" s="26" t="s">
        <v>662</v>
      </c>
      <c r="O387" s="26"/>
    </row>
    <row r="388" spans="1:15">
      <c r="A388" s="40" t="s">
        <v>1189</v>
      </c>
      <c r="B388" s="6" t="s">
        <v>708</v>
      </c>
      <c r="C388" s="23">
        <v>314110002</v>
      </c>
      <c r="D388" s="24" t="s">
        <v>161</v>
      </c>
      <c r="E388" s="24" t="s">
        <v>692</v>
      </c>
      <c r="F388" s="23" t="s">
        <v>709</v>
      </c>
      <c r="G388" s="23" t="s">
        <v>24</v>
      </c>
      <c r="H388" s="23" t="s">
        <v>389</v>
      </c>
      <c r="I388" s="23">
        <v>0</v>
      </c>
      <c r="J388" s="23"/>
      <c r="K388" s="25">
        <v>206</v>
      </c>
      <c r="L388" s="25"/>
      <c r="M388" s="25" t="e">
        <f>VLOOKUP(A:A,[1]进仓汇总!A$1:G$65536,7,0)</f>
        <v>#N/A</v>
      </c>
      <c r="N388" s="26" t="s">
        <v>662</v>
      </c>
      <c r="O388" s="26"/>
    </row>
    <row r="389" spans="1:15">
      <c r="A389" s="42"/>
      <c r="B389" s="6" t="s">
        <v>708</v>
      </c>
      <c r="C389" s="23">
        <v>314110003</v>
      </c>
      <c r="D389" s="24" t="s">
        <v>710</v>
      </c>
      <c r="E389" s="24" t="s">
        <v>237</v>
      </c>
      <c r="F389" s="23" t="s">
        <v>709</v>
      </c>
      <c r="G389" s="23" t="s">
        <v>24</v>
      </c>
      <c r="H389" s="23" t="s">
        <v>87</v>
      </c>
      <c r="I389" s="23">
        <v>0</v>
      </c>
      <c r="J389" s="23"/>
      <c r="K389" s="25">
        <v>206</v>
      </c>
      <c r="L389" s="25"/>
      <c r="M389" s="25" t="e">
        <f>VLOOKUP(A:A,[1]进仓汇总!A$1:G$65536,7,0)</f>
        <v>#N/A</v>
      </c>
      <c r="N389" s="26" t="s">
        <v>662</v>
      </c>
      <c r="O389" s="26"/>
    </row>
    <row r="390" spans="1:15">
      <c r="A390" s="42"/>
      <c r="B390" s="6" t="s">
        <v>708</v>
      </c>
      <c r="C390" s="23">
        <v>314110004</v>
      </c>
      <c r="D390" s="24" t="s">
        <v>406</v>
      </c>
      <c r="E390" s="24" t="s">
        <v>237</v>
      </c>
      <c r="F390" s="23" t="s">
        <v>709</v>
      </c>
      <c r="G390" s="23" t="s">
        <v>24</v>
      </c>
      <c r="H390" s="23" t="s">
        <v>90</v>
      </c>
      <c r="I390" s="23">
        <v>0</v>
      </c>
      <c r="J390" s="23"/>
      <c r="K390" s="25">
        <v>206</v>
      </c>
      <c r="L390" s="25"/>
      <c r="M390" s="25" t="e">
        <f>VLOOKUP(A:A,[1]进仓汇总!A$1:G$65536,7,0)</f>
        <v>#N/A</v>
      </c>
      <c r="N390" s="26" t="s">
        <v>662</v>
      </c>
      <c r="O390" s="26"/>
    </row>
    <row r="391" spans="1:15">
      <c r="A391" s="41"/>
      <c r="B391" s="6" t="s">
        <v>708</v>
      </c>
      <c r="C391" s="23">
        <v>314110005</v>
      </c>
      <c r="D391" s="24" t="s">
        <v>697</v>
      </c>
      <c r="E391" s="24" t="s">
        <v>237</v>
      </c>
      <c r="F391" s="23" t="s">
        <v>709</v>
      </c>
      <c r="G391" s="23" t="s">
        <v>24</v>
      </c>
      <c r="H391" s="23" t="s">
        <v>95</v>
      </c>
      <c r="I391" s="23">
        <v>0</v>
      </c>
      <c r="J391" s="23"/>
      <c r="K391" s="25">
        <v>206</v>
      </c>
      <c r="L391" s="25"/>
      <c r="M391" s="25" t="e">
        <f>VLOOKUP(A:A,[1]进仓汇总!A$1:G$65536,7,0)</f>
        <v>#N/A</v>
      </c>
      <c r="N391" s="26" t="s">
        <v>662</v>
      </c>
      <c r="O391" s="26"/>
    </row>
    <row r="392" spans="1:15">
      <c r="A392" s="23" t="s">
        <v>1190</v>
      </c>
      <c r="B392" s="6" t="s">
        <v>711</v>
      </c>
      <c r="C392" s="23">
        <v>314100002</v>
      </c>
      <c r="D392" s="24" t="s">
        <v>712</v>
      </c>
      <c r="E392" s="24" t="s">
        <v>692</v>
      </c>
      <c r="F392" s="23" t="s">
        <v>709</v>
      </c>
      <c r="G392" s="23" t="s">
        <v>24</v>
      </c>
      <c r="H392" s="23" t="s">
        <v>136</v>
      </c>
      <c r="I392" s="23">
        <v>0</v>
      </c>
      <c r="J392" s="23"/>
      <c r="K392" s="25">
        <v>201</v>
      </c>
      <c r="L392" s="25"/>
      <c r="M392" s="25" t="e">
        <f>VLOOKUP(A:A,[1]进仓汇总!A$1:G$65536,7,0)</f>
        <v>#N/A</v>
      </c>
      <c r="N392" s="26" t="s">
        <v>662</v>
      </c>
      <c r="O392" s="26"/>
    </row>
    <row r="393" spans="1:15">
      <c r="A393" s="23" t="s">
        <v>1191</v>
      </c>
      <c r="B393" s="6" t="s">
        <v>711</v>
      </c>
      <c r="C393" s="23">
        <v>314100003</v>
      </c>
      <c r="D393" s="24" t="s">
        <v>713</v>
      </c>
      <c r="E393" s="24" t="s">
        <v>237</v>
      </c>
      <c r="F393" s="23" t="s">
        <v>709</v>
      </c>
      <c r="G393" s="23" t="s">
        <v>24</v>
      </c>
      <c r="H393" s="23" t="s">
        <v>140</v>
      </c>
      <c r="I393" s="23">
        <v>0</v>
      </c>
      <c r="J393" s="23"/>
      <c r="K393" s="25" t="s">
        <v>714</v>
      </c>
      <c r="L393" s="25"/>
      <c r="M393" s="25" t="e">
        <f>VLOOKUP(A:A,[1]进仓汇总!A$1:G$65536,7,0)</f>
        <v>#N/A</v>
      </c>
      <c r="N393" s="26" t="s">
        <v>662</v>
      </c>
      <c r="O393" s="26"/>
    </row>
    <row r="394" spans="1:15">
      <c r="A394" s="40" t="s">
        <v>1192</v>
      </c>
      <c r="B394" s="6" t="s">
        <v>715</v>
      </c>
      <c r="C394" s="23">
        <v>314100005</v>
      </c>
      <c r="D394" s="24" t="s">
        <v>712</v>
      </c>
      <c r="E394" s="24" t="s">
        <v>692</v>
      </c>
      <c r="F394" s="23" t="s">
        <v>709</v>
      </c>
      <c r="G394" s="23" t="s">
        <v>24</v>
      </c>
      <c r="H394" s="23" t="s">
        <v>136</v>
      </c>
      <c r="I394" s="23">
        <v>0</v>
      </c>
      <c r="J394" s="23"/>
      <c r="K394" s="25" t="s">
        <v>716</v>
      </c>
      <c r="L394" s="25"/>
      <c r="M394" s="25" t="e">
        <f>VLOOKUP(A:A,[1]进仓汇总!A$1:G$65536,7,0)</f>
        <v>#N/A</v>
      </c>
      <c r="N394" s="26" t="s">
        <v>662</v>
      </c>
      <c r="O394" s="26"/>
    </row>
    <row r="395" spans="1:15">
      <c r="A395" s="41"/>
      <c r="B395" s="6" t="s">
        <v>715</v>
      </c>
      <c r="C395" s="23">
        <v>314100006</v>
      </c>
      <c r="D395" s="24" t="s">
        <v>713</v>
      </c>
      <c r="E395" s="24" t="s">
        <v>237</v>
      </c>
      <c r="F395" s="23" t="s">
        <v>709</v>
      </c>
      <c r="G395" s="23" t="s">
        <v>24</v>
      </c>
      <c r="H395" s="23" t="s">
        <v>140</v>
      </c>
      <c r="I395" s="23">
        <v>0</v>
      </c>
      <c r="J395" s="23"/>
      <c r="K395" s="25" t="s">
        <v>714</v>
      </c>
      <c r="L395" s="25"/>
      <c r="M395" s="25" t="e">
        <f>VLOOKUP(A:A,[1]进仓汇总!A$1:G$65536,7,0)</f>
        <v>#N/A</v>
      </c>
      <c r="N395" s="26" t="s">
        <v>662</v>
      </c>
      <c r="O395" s="26"/>
    </row>
    <row r="396" spans="1:15">
      <c r="A396" s="23" t="s">
        <v>1193</v>
      </c>
      <c r="B396" s="6" t="s">
        <v>717</v>
      </c>
      <c r="C396" s="24"/>
      <c r="D396" s="24" t="str">
        <f>+B396</f>
        <v>活动主机架=1</v>
      </c>
      <c r="E396" s="24" t="s">
        <v>718</v>
      </c>
      <c r="F396" s="23"/>
      <c r="G396" s="23" t="s">
        <v>94</v>
      </c>
      <c r="H396" s="23" t="s">
        <v>719</v>
      </c>
      <c r="I396" s="23">
        <v>0</v>
      </c>
      <c r="J396" s="23"/>
      <c r="K396" s="25" t="s">
        <v>720</v>
      </c>
      <c r="L396" s="25"/>
      <c r="M396" s="25" t="e">
        <f>VLOOKUP(A:A,[1]进仓汇总!A$1:G$65536,7,0)</f>
        <v>#N/A</v>
      </c>
      <c r="N396" s="26" t="s">
        <v>662</v>
      </c>
      <c r="O396" s="26"/>
    </row>
    <row r="397" spans="1:15">
      <c r="A397" s="23" t="s">
        <v>1194</v>
      </c>
      <c r="B397" s="6" t="s">
        <v>721</v>
      </c>
      <c r="C397" s="24"/>
      <c r="D397" s="24" t="str">
        <f>+B397</f>
        <v>活动主机架=4</v>
      </c>
      <c r="E397" s="24" t="s">
        <v>718</v>
      </c>
      <c r="F397" s="23"/>
      <c r="G397" s="23" t="s">
        <v>94</v>
      </c>
      <c r="H397" s="23" t="s">
        <v>719</v>
      </c>
      <c r="I397" s="23">
        <v>0</v>
      </c>
      <c r="J397" s="23"/>
      <c r="K397" s="25" t="s">
        <v>722</v>
      </c>
      <c r="L397" s="25"/>
      <c r="M397" s="25" t="e">
        <f>VLOOKUP(A:A,[1]进仓汇总!A$1:G$65536,7,0)</f>
        <v>#N/A</v>
      </c>
      <c r="N397" s="26" t="s">
        <v>662</v>
      </c>
      <c r="O397" s="26"/>
    </row>
    <row r="398" spans="1:15">
      <c r="A398" s="40" t="s">
        <v>1195</v>
      </c>
      <c r="B398" s="6" t="s">
        <v>723</v>
      </c>
      <c r="C398" s="23">
        <v>313010002</v>
      </c>
      <c r="D398" s="24" t="s">
        <v>724</v>
      </c>
      <c r="E398" s="24" t="s">
        <v>725</v>
      </c>
      <c r="F398" s="23" t="s">
        <v>41</v>
      </c>
      <c r="G398" s="23" t="s">
        <v>24</v>
      </c>
      <c r="H398" s="23" t="s">
        <v>661</v>
      </c>
      <c r="I398" s="23">
        <v>8</v>
      </c>
      <c r="J398" s="23" t="s">
        <v>51</v>
      </c>
      <c r="K398" s="25">
        <v>102</v>
      </c>
      <c r="L398" s="25">
        <v>1700</v>
      </c>
      <c r="M398" s="25" t="e">
        <f>VLOOKUP(A:A,[1]进仓汇总!A$1:G$65536,7,0)</f>
        <v>#N/A</v>
      </c>
      <c r="N398" s="26" t="s">
        <v>726</v>
      </c>
      <c r="O398" s="26"/>
    </row>
    <row r="399" spans="1:15">
      <c r="A399" s="42"/>
      <c r="B399" s="6" t="s">
        <v>723</v>
      </c>
      <c r="C399" s="23">
        <v>313010003</v>
      </c>
      <c r="D399" s="24" t="s">
        <v>258</v>
      </c>
      <c r="E399" s="24" t="s">
        <v>727</v>
      </c>
      <c r="F399" s="23" t="s">
        <v>41</v>
      </c>
      <c r="G399" s="23" t="s">
        <v>24</v>
      </c>
      <c r="H399" s="23" t="s">
        <v>29</v>
      </c>
      <c r="I399" s="23">
        <v>8</v>
      </c>
      <c r="J399" s="23" t="s">
        <v>51</v>
      </c>
      <c r="K399" s="25">
        <v>102</v>
      </c>
      <c r="L399" s="25">
        <v>0</v>
      </c>
      <c r="M399" s="25" t="e">
        <f>VLOOKUP(A:A,[1]进仓汇总!A$1:G$65536,7,0)</f>
        <v>#N/A</v>
      </c>
      <c r="N399" s="26" t="s">
        <v>726</v>
      </c>
      <c r="O399" s="26"/>
    </row>
    <row r="400" spans="1:15">
      <c r="A400" s="42"/>
      <c r="B400" s="6" t="s">
        <v>723</v>
      </c>
      <c r="C400" s="23">
        <v>313010004</v>
      </c>
      <c r="D400" s="24" t="s">
        <v>728</v>
      </c>
      <c r="E400" s="24" t="s">
        <v>729</v>
      </c>
      <c r="F400" s="23" t="s">
        <v>41</v>
      </c>
      <c r="G400" s="23" t="s">
        <v>24</v>
      </c>
      <c r="H400" s="23" t="s">
        <v>33</v>
      </c>
      <c r="I400" s="23">
        <v>8</v>
      </c>
      <c r="J400" s="23" t="s">
        <v>51</v>
      </c>
      <c r="K400" s="25">
        <v>102</v>
      </c>
      <c r="L400" s="25">
        <v>0</v>
      </c>
      <c r="M400" s="25" t="e">
        <f>VLOOKUP(A:A,[1]进仓汇总!A$1:G$65536,7,0)</f>
        <v>#N/A</v>
      </c>
      <c r="N400" s="26" t="s">
        <v>726</v>
      </c>
      <c r="O400" s="26"/>
    </row>
    <row r="401" spans="1:15">
      <c r="A401" s="42"/>
      <c r="B401" s="6" t="s">
        <v>723</v>
      </c>
      <c r="C401" s="23">
        <v>313010005</v>
      </c>
      <c r="D401" s="24" t="s">
        <v>637</v>
      </c>
      <c r="E401" s="24" t="s">
        <v>730</v>
      </c>
      <c r="F401" s="23" t="s">
        <v>41</v>
      </c>
      <c r="G401" s="23" t="s">
        <v>24</v>
      </c>
      <c r="H401" s="23" t="s">
        <v>36</v>
      </c>
      <c r="I401" s="23">
        <v>8</v>
      </c>
      <c r="J401" s="23" t="s">
        <v>51</v>
      </c>
      <c r="K401" s="25">
        <v>102</v>
      </c>
      <c r="L401" s="25">
        <v>0</v>
      </c>
      <c r="M401" s="25" t="e">
        <f>VLOOKUP(A:A,[1]进仓汇总!A$1:G$65536,7,0)</f>
        <v>#N/A</v>
      </c>
      <c r="N401" s="26" t="s">
        <v>726</v>
      </c>
      <c r="O401" s="26"/>
    </row>
    <row r="402" spans="1:15">
      <c r="A402" s="42"/>
      <c r="B402" s="6" t="s">
        <v>723</v>
      </c>
      <c r="C402" s="23">
        <v>313010006</v>
      </c>
      <c r="D402" s="24" t="s">
        <v>731</v>
      </c>
      <c r="E402" s="24" t="s">
        <v>237</v>
      </c>
      <c r="F402" s="23" t="s">
        <v>41</v>
      </c>
      <c r="G402" s="23" t="s">
        <v>24</v>
      </c>
      <c r="H402" s="23" t="s">
        <v>39</v>
      </c>
      <c r="I402" s="23">
        <v>8</v>
      </c>
      <c r="J402" s="23" t="s">
        <v>51</v>
      </c>
      <c r="K402" s="25">
        <v>102</v>
      </c>
      <c r="L402" s="25">
        <v>0</v>
      </c>
      <c r="M402" s="25" t="e">
        <f>VLOOKUP(A:A,[1]进仓汇总!A$1:G$65536,7,0)</f>
        <v>#N/A</v>
      </c>
      <c r="N402" s="26" t="s">
        <v>726</v>
      </c>
      <c r="O402" s="26"/>
    </row>
    <row r="403" spans="1:15">
      <c r="A403" s="41"/>
      <c r="B403" s="6" t="s">
        <v>723</v>
      </c>
      <c r="C403" s="23">
        <v>313010007</v>
      </c>
      <c r="D403" s="24" t="s">
        <v>732</v>
      </c>
      <c r="E403" s="24" t="s">
        <v>237</v>
      </c>
      <c r="F403" s="23" t="s">
        <v>41</v>
      </c>
      <c r="G403" s="23" t="s">
        <v>24</v>
      </c>
      <c r="H403" s="23" t="s">
        <v>42</v>
      </c>
      <c r="I403" s="23">
        <v>8</v>
      </c>
      <c r="J403" s="23" t="s">
        <v>51</v>
      </c>
      <c r="K403" s="25">
        <v>102</v>
      </c>
      <c r="L403" s="25">
        <v>0</v>
      </c>
      <c r="M403" s="25" t="e">
        <f>VLOOKUP(A:A,[1]进仓汇总!A$1:G$65536,7,0)</f>
        <v>#N/A</v>
      </c>
      <c r="N403" s="26" t="s">
        <v>726</v>
      </c>
      <c r="O403" s="26"/>
    </row>
    <row r="404" spans="1:15">
      <c r="A404" s="40" t="s">
        <v>1196</v>
      </c>
      <c r="B404" s="6" t="s">
        <v>733</v>
      </c>
      <c r="C404" s="23">
        <v>313090002</v>
      </c>
      <c r="D404" s="24" t="s">
        <v>734</v>
      </c>
      <c r="E404" s="24" t="s">
        <v>725</v>
      </c>
      <c r="F404" s="23" t="s">
        <v>41</v>
      </c>
      <c r="G404" s="23" t="s">
        <v>24</v>
      </c>
      <c r="H404" s="23" t="s">
        <v>25</v>
      </c>
      <c r="I404" s="23">
        <v>8</v>
      </c>
      <c r="J404" s="23" t="s">
        <v>51</v>
      </c>
      <c r="K404" s="25">
        <v>106</v>
      </c>
      <c r="L404" s="25">
        <v>1550</v>
      </c>
      <c r="M404" s="25" t="e">
        <f>VLOOKUP(A:A,[1]进仓汇总!A$1:G$65536,7,0)</f>
        <v>#N/A</v>
      </c>
      <c r="N404" s="26" t="s">
        <v>726</v>
      </c>
      <c r="O404" s="26"/>
    </row>
    <row r="405" spans="1:15">
      <c r="A405" s="42"/>
      <c r="B405" s="6" t="s">
        <v>733</v>
      </c>
      <c r="C405" s="23">
        <v>313090003</v>
      </c>
      <c r="D405" s="24" t="s">
        <v>735</v>
      </c>
      <c r="E405" s="24" t="s">
        <v>729</v>
      </c>
      <c r="F405" s="23" t="s">
        <v>41</v>
      </c>
      <c r="G405" s="23" t="s">
        <v>24</v>
      </c>
      <c r="H405" s="23" t="s">
        <v>29</v>
      </c>
      <c r="I405" s="23">
        <v>8</v>
      </c>
      <c r="J405" s="23" t="s">
        <v>51</v>
      </c>
      <c r="K405" s="25">
        <v>106</v>
      </c>
      <c r="L405" s="25">
        <v>0</v>
      </c>
      <c r="M405" s="25" t="e">
        <f>VLOOKUP(A:A,[1]进仓汇总!A$1:G$65536,7,0)</f>
        <v>#N/A</v>
      </c>
      <c r="N405" s="26" t="s">
        <v>726</v>
      </c>
      <c r="O405" s="26"/>
    </row>
    <row r="406" spans="1:15">
      <c r="A406" s="42"/>
      <c r="B406" s="6" t="s">
        <v>733</v>
      </c>
      <c r="C406" s="23">
        <v>313090004</v>
      </c>
      <c r="D406" s="24" t="s">
        <v>736</v>
      </c>
      <c r="E406" s="24" t="s">
        <v>729</v>
      </c>
      <c r="F406" s="23" t="s">
        <v>41</v>
      </c>
      <c r="G406" s="23" t="s">
        <v>24</v>
      </c>
      <c r="H406" s="23" t="s">
        <v>33</v>
      </c>
      <c r="I406" s="23">
        <v>8</v>
      </c>
      <c r="J406" s="23" t="s">
        <v>51</v>
      </c>
      <c r="K406" s="25">
        <v>106</v>
      </c>
      <c r="L406" s="25">
        <v>0</v>
      </c>
      <c r="M406" s="25" t="e">
        <f>VLOOKUP(A:A,[1]进仓汇总!A$1:G$65536,7,0)</f>
        <v>#N/A</v>
      </c>
      <c r="N406" s="26" t="s">
        <v>726</v>
      </c>
      <c r="O406" s="26"/>
    </row>
    <row r="407" spans="1:15">
      <c r="A407" s="42"/>
      <c r="B407" s="6" t="s">
        <v>733</v>
      </c>
      <c r="C407" s="23">
        <v>313090005</v>
      </c>
      <c r="D407" s="24" t="s">
        <v>737</v>
      </c>
      <c r="E407" s="24" t="s">
        <v>725</v>
      </c>
      <c r="F407" s="23" t="s">
        <v>41</v>
      </c>
      <c r="G407" s="23" t="s">
        <v>24</v>
      </c>
      <c r="H407" s="23" t="s">
        <v>36</v>
      </c>
      <c r="I407" s="23">
        <v>8</v>
      </c>
      <c r="J407" s="23" t="s">
        <v>51</v>
      </c>
      <c r="K407" s="25">
        <v>106</v>
      </c>
      <c r="L407" s="25">
        <v>0</v>
      </c>
      <c r="M407" s="25" t="e">
        <f>VLOOKUP(A:A,[1]进仓汇总!A$1:G$65536,7,0)</f>
        <v>#N/A</v>
      </c>
      <c r="N407" s="26" t="s">
        <v>726</v>
      </c>
      <c r="O407" s="26"/>
    </row>
    <row r="408" spans="1:15">
      <c r="A408" s="41"/>
      <c r="B408" s="6" t="s">
        <v>733</v>
      </c>
      <c r="C408" s="23">
        <v>313090006</v>
      </c>
      <c r="D408" s="24" t="s">
        <v>738</v>
      </c>
      <c r="E408" s="24" t="s">
        <v>725</v>
      </c>
      <c r="F408" s="23" t="s">
        <v>49</v>
      </c>
      <c r="G408" s="23" t="s">
        <v>24</v>
      </c>
      <c r="H408" s="23" t="s">
        <v>739</v>
      </c>
      <c r="I408" s="23">
        <v>16</v>
      </c>
      <c r="J408" s="23" t="s">
        <v>78</v>
      </c>
      <c r="K408" s="25">
        <v>106</v>
      </c>
      <c r="L408" s="25">
        <v>0</v>
      </c>
      <c r="M408" s="25" t="e">
        <f>VLOOKUP(A:A,[1]进仓汇总!A$1:G$65536,7,0)</f>
        <v>#N/A</v>
      </c>
      <c r="N408" s="26" t="s">
        <v>726</v>
      </c>
      <c r="O408" s="26"/>
    </row>
    <row r="409" spans="1:15">
      <c r="A409" s="40" t="s">
        <v>1197</v>
      </c>
      <c r="B409" s="6" t="s">
        <v>740</v>
      </c>
      <c r="C409" s="23">
        <v>301090002</v>
      </c>
      <c r="D409" s="24" t="s">
        <v>741</v>
      </c>
      <c r="E409" s="24" t="s">
        <v>540</v>
      </c>
      <c r="F409" s="24">
        <v>1</v>
      </c>
      <c r="G409" s="24" t="s">
        <v>24</v>
      </c>
      <c r="H409" s="23" t="s">
        <v>136</v>
      </c>
      <c r="I409" s="23">
        <v>0</v>
      </c>
      <c r="J409" s="23" t="s">
        <v>51</v>
      </c>
      <c r="K409" s="25">
        <v>105</v>
      </c>
      <c r="L409" s="25"/>
      <c r="M409" s="25" t="e">
        <f>VLOOKUP(A:A,[1]进仓汇总!A$1:G$65536,7,0)</f>
        <v>#N/A</v>
      </c>
      <c r="N409" s="26" t="s">
        <v>726</v>
      </c>
      <c r="O409" s="26"/>
    </row>
    <row r="410" spans="1:15">
      <c r="A410" s="41"/>
      <c r="B410" s="6" t="s">
        <v>740</v>
      </c>
      <c r="C410" s="23">
        <v>301090003</v>
      </c>
      <c r="D410" s="24" t="s">
        <v>742</v>
      </c>
      <c r="E410" s="24" t="s">
        <v>540</v>
      </c>
      <c r="F410" s="24">
        <v>1</v>
      </c>
      <c r="G410" s="24" t="s">
        <v>24</v>
      </c>
      <c r="H410" s="23" t="s">
        <v>140</v>
      </c>
      <c r="I410" s="23">
        <v>0</v>
      </c>
      <c r="J410" s="23" t="s">
        <v>51</v>
      </c>
      <c r="K410" s="25">
        <v>105</v>
      </c>
      <c r="L410" s="25"/>
      <c r="M410" s="25" t="e">
        <f>VLOOKUP(A:A,[1]进仓汇总!A$1:G$65536,7,0)</f>
        <v>#N/A</v>
      </c>
      <c r="N410" s="26" t="s">
        <v>726</v>
      </c>
      <c r="O410" s="26"/>
    </row>
    <row r="411" spans="1:15">
      <c r="A411" s="40" t="s">
        <v>1198</v>
      </c>
      <c r="B411" s="6" t="s">
        <v>743</v>
      </c>
      <c r="C411" s="23">
        <v>313110002</v>
      </c>
      <c r="D411" s="24" t="s">
        <v>161</v>
      </c>
      <c r="E411" s="24" t="s">
        <v>744</v>
      </c>
      <c r="F411" s="23" t="s">
        <v>41</v>
      </c>
      <c r="G411" s="23" t="s">
        <v>24</v>
      </c>
      <c r="H411" s="23" t="s">
        <v>661</v>
      </c>
      <c r="I411" s="23">
        <v>8</v>
      </c>
      <c r="J411" s="23" t="s">
        <v>51</v>
      </c>
      <c r="K411" s="25">
        <v>101</v>
      </c>
      <c r="L411" s="25"/>
      <c r="M411" s="25" t="e">
        <f>VLOOKUP(A:A,[1]进仓汇总!A$1:G$65536,7,0)</f>
        <v>#N/A</v>
      </c>
      <c r="N411" s="26" t="s">
        <v>726</v>
      </c>
      <c r="O411" s="26"/>
    </row>
    <row r="412" spans="1:15">
      <c r="A412" s="42"/>
      <c r="B412" s="6" t="s">
        <v>743</v>
      </c>
      <c r="C412" s="23">
        <v>313110003</v>
      </c>
      <c r="D412" s="24" t="s">
        <v>745</v>
      </c>
      <c r="E412" s="24" t="s">
        <v>729</v>
      </c>
      <c r="F412" s="23" t="s">
        <v>41</v>
      </c>
      <c r="G412" s="23" t="s">
        <v>24</v>
      </c>
      <c r="H412" s="23" t="s">
        <v>29</v>
      </c>
      <c r="I412" s="23">
        <v>8</v>
      </c>
      <c r="J412" s="23" t="s">
        <v>51</v>
      </c>
      <c r="K412" s="25">
        <v>101</v>
      </c>
      <c r="L412" s="25"/>
      <c r="M412" s="25" t="e">
        <f>VLOOKUP(A:A,[1]进仓汇总!A$1:G$65536,7,0)</f>
        <v>#N/A</v>
      </c>
      <c r="N412" s="26" t="s">
        <v>726</v>
      </c>
      <c r="O412" s="26"/>
    </row>
    <row r="413" spans="1:15">
      <c r="A413" s="42"/>
      <c r="B413" s="6" t="s">
        <v>743</v>
      </c>
      <c r="C413" s="23">
        <v>313110004</v>
      </c>
      <c r="D413" s="24" t="s">
        <v>637</v>
      </c>
      <c r="E413" s="24" t="s">
        <v>730</v>
      </c>
      <c r="F413" s="23" t="s">
        <v>41</v>
      </c>
      <c r="G413" s="23" t="s">
        <v>24</v>
      </c>
      <c r="H413" s="23" t="s">
        <v>33</v>
      </c>
      <c r="I413" s="23">
        <v>8</v>
      </c>
      <c r="J413" s="23" t="s">
        <v>51</v>
      </c>
      <c r="K413" s="25">
        <v>101</v>
      </c>
      <c r="L413" s="25"/>
      <c r="M413" s="25" t="e">
        <f>VLOOKUP(A:A,[1]进仓汇总!A$1:G$65536,7,0)</f>
        <v>#N/A</v>
      </c>
      <c r="N413" s="26" t="s">
        <v>726</v>
      </c>
      <c r="O413" s="26"/>
    </row>
    <row r="414" spans="1:15">
      <c r="A414" s="42"/>
      <c r="B414" s="6" t="s">
        <v>743</v>
      </c>
      <c r="C414" s="23">
        <v>313110005</v>
      </c>
      <c r="D414" s="24" t="s">
        <v>746</v>
      </c>
      <c r="E414" s="24" t="s">
        <v>237</v>
      </c>
      <c r="F414" s="23" t="s">
        <v>41</v>
      </c>
      <c r="G414" s="23" t="s">
        <v>24</v>
      </c>
      <c r="H414" s="23" t="s">
        <v>36</v>
      </c>
      <c r="I414" s="23">
        <v>8</v>
      </c>
      <c r="J414" s="23" t="s">
        <v>51</v>
      </c>
      <c r="K414" s="25">
        <v>101</v>
      </c>
      <c r="L414" s="25"/>
      <c r="M414" s="25" t="e">
        <f>VLOOKUP(A:A,[1]进仓汇总!A$1:G$65536,7,0)</f>
        <v>#N/A</v>
      </c>
      <c r="N414" s="26" t="s">
        <v>726</v>
      </c>
      <c r="O414" s="26"/>
    </row>
    <row r="415" spans="1:15">
      <c r="A415" s="42"/>
      <c r="B415" s="6" t="s">
        <v>743</v>
      </c>
      <c r="C415" s="23">
        <v>313110006</v>
      </c>
      <c r="D415" s="24" t="s">
        <v>731</v>
      </c>
      <c r="E415" s="24" t="s">
        <v>237</v>
      </c>
      <c r="F415" s="23" t="s">
        <v>41</v>
      </c>
      <c r="G415" s="23" t="s">
        <v>24</v>
      </c>
      <c r="H415" s="23" t="s">
        <v>39</v>
      </c>
      <c r="I415" s="23">
        <v>8</v>
      </c>
      <c r="J415" s="23" t="s">
        <v>51</v>
      </c>
      <c r="K415" s="25">
        <v>101</v>
      </c>
      <c r="L415" s="25"/>
      <c r="M415" s="25" t="e">
        <f>VLOOKUP(A:A,[1]进仓汇总!A$1:G$65536,7,0)</f>
        <v>#N/A</v>
      </c>
      <c r="N415" s="26" t="s">
        <v>726</v>
      </c>
      <c r="O415" s="26"/>
    </row>
    <row r="416" spans="1:15">
      <c r="A416" s="41"/>
      <c r="B416" s="6" t="s">
        <v>743</v>
      </c>
      <c r="C416" s="23">
        <v>313110007</v>
      </c>
      <c r="D416" s="24" t="s">
        <v>747</v>
      </c>
      <c r="E416" s="24" t="s">
        <v>237</v>
      </c>
      <c r="F416" s="23" t="s">
        <v>41</v>
      </c>
      <c r="G416" s="23" t="s">
        <v>24</v>
      </c>
      <c r="H416" s="23" t="s">
        <v>42</v>
      </c>
      <c r="I416" s="23">
        <v>8</v>
      </c>
      <c r="J416" s="23" t="s">
        <v>51</v>
      </c>
      <c r="K416" s="25">
        <v>101</v>
      </c>
      <c r="L416" s="25"/>
      <c r="M416" s="25" t="e">
        <f>VLOOKUP(A:A,[1]进仓汇总!A$1:G$65536,7,0)</f>
        <v>#N/A</v>
      </c>
      <c r="N416" s="26" t="s">
        <v>726</v>
      </c>
      <c r="O416" s="26"/>
    </row>
    <row r="417" spans="1:15">
      <c r="A417" s="40" t="s">
        <v>1199</v>
      </c>
      <c r="B417" s="6" t="s">
        <v>748</v>
      </c>
      <c r="C417" s="23">
        <v>313040002</v>
      </c>
      <c r="D417" s="24" t="s">
        <v>749</v>
      </c>
      <c r="E417" s="24" t="s">
        <v>744</v>
      </c>
      <c r="F417" s="23" t="s">
        <v>49</v>
      </c>
      <c r="G417" s="23" t="s">
        <v>24</v>
      </c>
      <c r="H417" s="23" t="s">
        <v>750</v>
      </c>
      <c r="I417" s="23">
        <v>8</v>
      </c>
      <c r="J417" s="23" t="s">
        <v>221</v>
      </c>
      <c r="K417" s="25" t="s">
        <v>751</v>
      </c>
      <c r="L417" s="25"/>
      <c r="M417" s="25" t="e">
        <f>VLOOKUP(A:A,[1]进仓汇总!A$1:G$65536,7,0)</f>
        <v>#N/A</v>
      </c>
      <c r="N417" s="26" t="s">
        <v>726</v>
      </c>
      <c r="O417" s="26"/>
    </row>
    <row r="418" spans="1:15">
      <c r="A418" s="42"/>
      <c r="B418" s="6" t="s">
        <v>748</v>
      </c>
      <c r="C418" s="23">
        <v>313040003</v>
      </c>
      <c r="D418" s="24" t="s">
        <v>752</v>
      </c>
      <c r="E418" s="24" t="s">
        <v>725</v>
      </c>
      <c r="F418" s="23" t="s">
        <v>49</v>
      </c>
      <c r="G418" s="23" t="s">
        <v>24</v>
      </c>
      <c r="H418" s="23" t="s">
        <v>753</v>
      </c>
      <c r="I418" s="23">
        <v>8</v>
      </c>
      <c r="J418" s="23" t="s">
        <v>221</v>
      </c>
      <c r="K418" s="25" t="s">
        <v>754</v>
      </c>
      <c r="L418" s="25"/>
      <c r="M418" s="25" t="e">
        <f>VLOOKUP(A:A,[1]进仓汇总!A$1:G$65536,7,0)</f>
        <v>#N/A</v>
      </c>
      <c r="N418" s="26" t="s">
        <v>726</v>
      </c>
      <c r="O418" s="26"/>
    </row>
    <row r="419" spans="1:15">
      <c r="A419" s="42"/>
      <c r="B419" s="6" t="s">
        <v>748</v>
      </c>
      <c r="C419" s="23">
        <v>313040004</v>
      </c>
      <c r="D419" s="24" t="s">
        <v>755</v>
      </c>
      <c r="E419" s="24" t="s">
        <v>725</v>
      </c>
      <c r="F419" s="23" t="s">
        <v>49</v>
      </c>
      <c r="G419" s="23" t="s">
        <v>24</v>
      </c>
      <c r="H419" s="23" t="s">
        <v>756</v>
      </c>
      <c r="I419" s="23">
        <v>8</v>
      </c>
      <c r="J419" s="23" t="s">
        <v>221</v>
      </c>
      <c r="K419" s="25" t="s">
        <v>754</v>
      </c>
      <c r="L419" s="25"/>
      <c r="M419" s="25" t="e">
        <f>VLOOKUP(A:A,[1]进仓汇总!A$1:G$65536,7,0)</f>
        <v>#N/A</v>
      </c>
      <c r="N419" s="26" t="s">
        <v>726</v>
      </c>
      <c r="O419" s="26"/>
    </row>
    <row r="420" spans="1:15">
      <c r="A420" s="42"/>
      <c r="B420" s="6" t="s">
        <v>748</v>
      </c>
      <c r="C420" s="23">
        <v>313040005</v>
      </c>
      <c r="D420" s="24" t="s">
        <v>757</v>
      </c>
      <c r="E420" s="24" t="s">
        <v>758</v>
      </c>
      <c r="F420" s="23" t="s">
        <v>41</v>
      </c>
      <c r="G420" s="23" t="s">
        <v>24</v>
      </c>
      <c r="H420" s="23" t="s">
        <v>497</v>
      </c>
      <c r="I420" s="23">
        <v>8</v>
      </c>
      <c r="J420" s="23" t="s">
        <v>26</v>
      </c>
      <c r="K420" s="25">
        <v>104</v>
      </c>
      <c r="L420" s="25"/>
      <c r="M420" s="25" t="e">
        <f>VLOOKUP(A:A,[1]进仓汇总!A$1:G$65536,7,0)</f>
        <v>#N/A</v>
      </c>
      <c r="N420" s="26" t="s">
        <v>726</v>
      </c>
      <c r="O420" s="26"/>
    </row>
    <row r="421" spans="1:15">
      <c r="A421" s="42"/>
      <c r="B421" s="6" t="s">
        <v>748</v>
      </c>
      <c r="C421" s="23">
        <v>313040006</v>
      </c>
      <c r="D421" s="24" t="s">
        <v>695</v>
      </c>
      <c r="E421" s="24"/>
      <c r="F421" s="23" t="s">
        <v>41</v>
      </c>
      <c r="G421" s="23" t="s">
        <v>24</v>
      </c>
      <c r="H421" s="23" t="s">
        <v>499</v>
      </c>
      <c r="I421" s="23">
        <v>8</v>
      </c>
      <c r="J421" s="23" t="s">
        <v>26</v>
      </c>
      <c r="K421" s="25" t="s">
        <v>751</v>
      </c>
      <c r="L421" s="25"/>
      <c r="M421" s="25" t="e">
        <f>VLOOKUP(A:A,[1]进仓汇总!A$1:G$65536,7,0)</f>
        <v>#N/A</v>
      </c>
      <c r="N421" s="26" t="s">
        <v>726</v>
      </c>
      <c r="O421" s="26"/>
    </row>
    <row r="422" spans="1:15">
      <c r="A422" s="42"/>
      <c r="B422" s="6" t="s">
        <v>748</v>
      </c>
      <c r="C422" s="23">
        <v>313040007</v>
      </c>
      <c r="D422" s="24" t="s">
        <v>637</v>
      </c>
      <c r="E422" s="24" t="s">
        <v>730</v>
      </c>
      <c r="F422" s="23" t="s">
        <v>41</v>
      </c>
      <c r="G422" s="23" t="s">
        <v>24</v>
      </c>
      <c r="H422" s="23" t="s">
        <v>501</v>
      </c>
      <c r="I422" s="23">
        <v>8</v>
      </c>
      <c r="J422" s="23" t="s">
        <v>26</v>
      </c>
      <c r="K422" s="25" t="s">
        <v>759</v>
      </c>
      <c r="L422" s="25"/>
      <c r="M422" s="25" t="e">
        <f>VLOOKUP(A:A,[1]进仓汇总!A$1:G$65536,7,0)</f>
        <v>#N/A</v>
      </c>
      <c r="N422" s="26" t="s">
        <v>726</v>
      </c>
      <c r="O422" s="26"/>
    </row>
    <row r="423" spans="1:15">
      <c r="A423" s="42"/>
      <c r="B423" s="6" t="s">
        <v>748</v>
      </c>
      <c r="C423" s="23">
        <v>313040008</v>
      </c>
      <c r="D423" s="24" t="s">
        <v>746</v>
      </c>
      <c r="E423" s="24" t="s">
        <v>237</v>
      </c>
      <c r="F423" s="23" t="s">
        <v>41</v>
      </c>
      <c r="G423" s="23" t="s">
        <v>24</v>
      </c>
      <c r="H423" s="23" t="s">
        <v>503</v>
      </c>
      <c r="I423" s="23">
        <v>8</v>
      </c>
      <c r="J423" s="23" t="s">
        <v>26</v>
      </c>
      <c r="K423" s="25" t="s">
        <v>759</v>
      </c>
      <c r="L423" s="25"/>
      <c r="M423" s="25" t="e">
        <f>VLOOKUP(A:A,[1]进仓汇总!A$1:G$65536,7,0)</f>
        <v>#N/A</v>
      </c>
      <c r="N423" s="26" t="s">
        <v>726</v>
      </c>
      <c r="O423" s="26"/>
    </row>
    <row r="424" spans="1:15">
      <c r="A424" s="42"/>
      <c r="B424" s="6" t="s">
        <v>748</v>
      </c>
      <c r="C424" s="23">
        <v>313040009</v>
      </c>
      <c r="D424" s="24" t="s">
        <v>731</v>
      </c>
      <c r="E424" s="24" t="s">
        <v>237</v>
      </c>
      <c r="F424" s="23" t="s">
        <v>41</v>
      </c>
      <c r="G424" s="23" t="s">
        <v>24</v>
      </c>
      <c r="H424" s="23" t="s">
        <v>504</v>
      </c>
      <c r="I424" s="23">
        <v>8</v>
      </c>
      <c r="J424" s="23" t="s">
        <v>26</v>
      </c>
      <c r="K424" s="25" t="s">
        <v>759</v>
      </c>
      <c r="L424" s="25"/>
      <c r="M424" s="25" t="e">
        <f>VLOOKUP(A:A,[1]进仓汇总!A$1:G$65536,7,0)</f>
        <v>#N/A</v>
      </c>
      <c r="N424" s="26" t="s">
        <v>726</v>
      </c>
      <c r="O424" s="26"/>
    </row>
    <row r="425" spans="1:15">
      <c r="A425" s="41"/>
      <c r="B425" s="6" t="s">
        <v>748</v>
      </c>
      <c r="C425" s="23">
        <v>313040010</v>
      </c>
      <c r="D425" s="24" t="s">
        <v>747</v>
      </c>
      <c r="E425" s="24" t="s">
        <v>237</v>
      </c>
      <c r="F425" s="23" t="s">
        <v>41</v>
      </c>
      <c r="G425" s="23" t="s">
        <v>24</v>
      </c>
      <c r="H425" s="23" t="s">
        <v>506</v>
      </c>
      <c r="I425" s="23">
        <v>8</v>
      </c>
      <c r="J425" s="23" t="s">
        <v>26</v>
      </c>
      <c r="K425" s="25" t="s">
        <v>759</v>
      </c>
      <c r="L425" s="25"/>
      <c r="M425" s="25" t="e">
        <f>VLOOKUP(A:A,[1]进仓汇总!A$1:G$65536,7,0)</f>
        <v>#N/A</v>
      </c>
      <c r="N425" s="26" t="s">
        <v>726</v>
      </c>
      <c r="O425" s="26"/>
    </row>
    <row r="426" spans="1:15">
      <c r="A426" s="40" t="s">
        <v>1200</v>
      </c>
      <c r="B426" s="6" t="s">
        <v>760</v>
      </c>
      <c r="C426" s="23">
        <v>313040012</v>
      </c>
      <c r="D426" s="24" t="s">
        <v>691</v>
      </c>
      <c r="E426" s="24" t="s">
        <v>744</v>
      </c>
      <c r="F426" s="23" t="s">
        <v>49</v>
      </c>
      <c r="G426" s="23" t="s">
        <v>24</v>
      </c>
      <c r="H426" s="23" t="s">
        <v>750</v>
      </c>
      <c r="I426" s="23">
        <v>0</v>
      </c>
      <c r="J426" s="23"/>
      <c r="K426" s="25" t="s">
        <v>761</v>
      </c>
      <c r="L426" s="25">
        <v>3520</v>
      </c>
      <c r="M426" s="25" t="e">
        <f>VLOOKUP(A:A,[1]进仓汇总!A$1:G$65536,7,0)</f>
        <v>#N/A</v>
      </c>
      <c r="N426" s="26" t="s">
        <v>726</v>
      </c>
      <c r="O426" s="26"/>
    </row>
    <row r="427" spans="1:15">
      <c r="A427" s="42"/>
      <c r="B427" s="6" t="s">
        <v>760</v>
      </c>
      <c r="C427" s="23">
        <v>313040013</v>
      </c>
      <c r="D427" s="24" t="s">
        <v>762</v>
      </c>
      <c r="E427" s="24" t="s">
        <v>725</v>
      </c>
      <c r="F427" s="23" t="s">
        <v>55</v>
      </c>
      <c r="G427" s="23" t="s">
        <v>24</v>
      </c>
      <c r="H427" s="23" t="s">
        <v>763</v>
      </c>
      <c r="I427" s="23">
        <v>0</v>
      </c>
      <c r="J427" s="23"/>
      <c r="K427" s="25" t="s">
        <v>754</v>
      </c>
      <c r="L427" s="25">
        <v>168</v>
      </c>
      <c r="M427" s="25" t="e">
        <f>VLOOKUP(A:A,[1]进仓汇总!A$1:G$65536,7,0)</f>
        <v>#N/A</v>
      </c>
      <c r="N427" s="26" t="s">
        <v>726</v>
      </c>
      <c r="O427" s="26"/>
    </row>
    <row r="428" spans="1:15">
      <c r="A428" s="42"/>
      <c r="B428" s="6" t="s">
        <v>760</v>
      </c>
      <c r="C428" s="23">
        <v>313040014</v>
      </c>
      <c r="D428" s="24" t="s">
        <v>757</v>
      </c>
      <c r="E428" s="24" t="s">
        <v>758</v>
      </c>
      <c r="F428" s="23" t="s">
        <v>41</v>
      </c>
      <c r="G428" s="23" t="s">
        <v>24</v>
      </c>
      <c r="H428" s="23" t="s">
        <v>497</v>
      </c>
      <c r="I428" s="23">
        <v>0</v>
      </c>
      <c r="J428" s="23" t="s">
        <v>51</v>
      </c>
      <c r="K428" s="25" t="s">
        <v>761</v>
      </c>
      <c r="L428" s="25"/>
      <c r="M428" s="25" t="e">
        <f>VLOOKUP(A:A,[1]进仓汇总!A$1:G$65536,7,0)</f>
        <v>#N/A</v>
      </c>
      <c r="N428" s="26" t="s">
        <v>726</v>
      </c>
      <c r="O428" s="26"/>
    </row>
    <row r="429" spans="1:15">
      <c r="A429" s="42"/>
      <c r="B429" s="6" t="s">
        <v>760</v>
      </c>
      <c r="C429" s="23">
        <v>313040015</v>
      </c>
      <c r="D429" s="24" t="s">
        <v>695</v>
      </c>
      <c r="E429" s="24"/>
      <c r="F429" s="23" t="s">
        <v>41</v>
      </c>
      <c r="G429" s="23" t="s">
        <v>24</v>
      </c>
      <c r="H429" s="23" t="s">
        <v>499</v>
      </c>
      <c r="I429" s="23">
        <v>0</v>
      </c>
      <c r="J429" s="23" t="s">
        <v>51</v>
      </c>
      <c r="K429" s="25" t="s">
        <v>761</v>
      </c>
      <c r="L429" s="25"/>
      <c r="M429" s="25" t="e">
        <f>VLOOKUP(A:A,[1]进仓汇总!A$1:G$65536,7,0)</f>
        <v>#N/A</v>
      </c>
      <c r="N429" s="26" t="s">
        <v>726</v>
      </c>
      <c r="O429" s="26"/>
    </row>
    <row r="430" spans="1:15">
      <c r="A430" s="42"/>
      <c r="B430" s="6" t="s">
        <v>760</v>
      </c>
      <c r="C430" s="23">
        <v>313040016</v>
      </c>
      <c r="D430" s="24" t="s">
        <v>637</v>
      </c>
      <c r="E430" s="24" t="s">
        <v>730</v>
      </c>
      <c r="F430" s="23" t="s">
        <v>41</v>
      </c>
      <c r="G430" s="23" t="s">
        <v>24</v>
      </c>
      <c r="H430" s="23" t="s">
        <v>764</v>
      </c>
      <c r="I430" s="23">
        <v>0</v>
      </c>
      <c r="J430" s="23" t="s">
        <v>51</v>
      </c>
      <c r="K430" s="25" t="s">
        <v>765</v>
      </c>
      <c r="L430" s="25"/>
      <c r="M430" s="25" t="e">
        <f>VLOOKUP(A:A,[1]进仓汇总!A$1:G$65536,7,0)</f>
        <v>#N/A</v>
      </c>
      <c r="N430" s="26" t="s">
        <v>726</v>
      </c>
      <c r="O430" s="26"/>
    </row>
    <row r="431" spans="1:15">
      <c r="A431" s="42"/>
      <c r="B431" s="6" t="s">
        <v>760</v>
      </c>
      <c r="C431" s="23">
        <v>313040017</v>
      </c>
      <c r="D431" s="24" t="s">
        <v>766</v>
      </c>
      <c r="E431" s="24" t="s">
        <v>237</v>
      </c>
      <c r="F431" s="23" t="s">
        <v>41</v>
      </c>
      <c r="G431" s="23" t="s">
        <v>24</v>
      </c>
      <c r="H431" s="23" t="s">
        <v>503</v>
      </c>
      <c r="I431" s="23">
        <v>0</v>
      </c>
      <c r="J431" s="23" t="s">
        <v>51</v>
      </c>
      <c r="K431" s="25" t="s">
        <v>767</v>
      </c>
      <c r="L431" s="25"/>
      <c r="M431" s="25" t="e">
        <f>VLOOKUP(A:A,[1]进仓汇总!A$1:G$65536,7,0)</f>
        <v>#N/A</v>
      </c>
      <c r="N431" s="26" t="s">
        <v>726</v>
      </c>
      <c r="O431" s="26"/>
    </row>
    <row r="432" spans="1:15">
      <c r="A432" s="42"/>
      <c r="B432" s="6" t="s">
        <v>760</v>
      </c>
      <c r="C432" s="23">
        <v>313040018</v>
      </c>
      <c r="D432" s="24" t="s">
        <v>731</v>
      </c>
      <c r="E432" s="24" t="s">
        <v>237</v>
      </c>
      <c r="F432" s="23" t="s">
        <v>41</v>
      </c>
      <c r="G432" s="23" t="s">
        <v>24</v>
      </c>
      <c r="H432" s="23" t="s">
        <v>504</v>
      </c>
      <c r="I432" s="23">
        <v>0</v>
      </c>
      <c r="J432" s="23" t="s">
        <v>51</v>
      </c>
      <c r="K432" s="25" t="s">
        <v>767</v>
      </c>
      <c r="L432" s="25"/>
      <c r="M432" s="25" t="e">
        <f>VLOOKUP(A:A,[1]进仓汇总!A$1:G$65536,7,0)</f>
        <v>#N/A</v>
      </c>
      <c r="N432" s="26" t="s">
        <v>726</v>
      </c>
      <c r="O432" s="26"/>
    </row>
    <row r="433" spans="1:19">
      <c r="A433" s="41"/>
      <c r="B433" s="6" t="s">
        <v>760</v>
      </c>
      <c r="C433" s="23">
        <v>313040019</v>
      </c>
      <c r="D433" s="24" t="s">
        <v>747</v>
      </c>
      <c r="E433" s="24" t="s">
        <v>237</v>
      </c>
      <c r="F433" s="23" t="s">
        <v>41</v>
      </c>
      <c r="G433" s="23" t="s">
        <v>24</v>
      </c>
      <c r="H433" s="23" t="s">
        <v>506</v>
      </c>
      <c r="I433" s="23">
        <v>0</v>
      </c>
      <c r="J433" s="23" t="s">
        <v>51</v>
      </c>
      <c r="K433" s="25" t="s">
        <v>767</v>
      </c>
      <c r="L433" s="25"/>
      <c r="M433" s="25" t="e">
        <f>VLOOKUP(A:A,[1]进仓汇总!A$1:G$65536,7,0)</f>
        <v>#N/A</v>
      </c>
      <c r="N433" s="26" t="s">
        <v>726</v>
      </c>
      <c r="O433" s="26"/>
    </row>
    <row r="434" spans="1:19">
      <c r="A434" s="23" t="s">
        <v>1201</v>
      </c>
      <c r="B434" s="6" t="s">
        <v>768</v>
      </c>
      <c r="C434" s="24"/>
      <c r="D434" s="24" t="s">
        <v>769</v>
      </c>
      <c r="E434" s="24" t="s">
        <v>725</v>
      </c>
      <c r="F434" s="23" t="s">
        <v>41</v>
      </c>
      <c r="G434" s="23" t="s">
        <v>24</v>
      </c>
      <c r="H434" s="23" t="s">
        <v>770</v>
      </c>
      <c r="I434" s="23">
        <v>0</v>
      </c>
      <c r="J434" s="23"/>
      <c r="K434" s="25">
        <v>103</v>
      </c>
      <c r="L434" s="25"/>
      <c r="M434" s="25" t="e">
        <f>VLOOKUP(A:A,[1]进仓汇总!A$1:G$65536,7,0)</f>
        <v>#N/A</v>
      </c>
      <c r="N434" s="26" t="s">
        <v>726</v>
      </c>
      <c r="O434" s="26"/>
    </row>
    <row r="435" spans="1:19">
      <c r="A435" s="23" t="s">
        <v>1202</v>
      </c>
      <c r="B435" s="6" t="s">
        <v>771</v>
      </c>
      <c r="C435" s="24"/>
      <c r="D435" s="24" t="s">
        <v>772</v>
      </c>
      <c r="E435" s="24" t="s">
        <v>725</v>
      </c>
      <c r="F435" s="23" t="s">
        <v>41</v>
      </c>
      <c r="G435" s="23" t="s">
        <v>24</v>
      </c>
      <c r="H435" s="23" t="s">
        <v>773</v>
      </c>
      <c r="I435" s="23">
        <v>0</v>
      </c>
      <c r="J435" s="23"/>
      <c r="K435" s="25">
        <v>103</v>
      </c>
      <c r="L435" s="25"/>
      <c r="M435" s="25" t="e">
        <f>VLOOKUP(A:A,[1]进仓汇总!A$1:G$65536,7,0)</f>
        <v>#N/A</v>
      </c>
      <c r="N435" s="26" t="s">
        <v>726</v>
      </c>
      <c r="O435" s="26"/>
    </row>
    <row r="436" spans="1:19">
      <c r="A436" s="23" t="s">
        <v>1203</v>
      </c>
      <c r="B436" s="6" t="s">
        <v>771</v>
      </c>
      <c r="C436" s="24"/>
      <c r="D436" s="24" t="s">
        <v>774</v>
      </c>
      <c r="E436" s="24" t="s">
        <v>725</v>
      </c>
      <c r="F436" s="23" t="s">
        <v>41</v>
      </c>
      <c r="G436" s="23" t="s">
        <v>24</v>
      </c>
      <c r="H436" s="23" t="s">
        <v>775</v>
      </c>
      <c r="I436" s="23">
        <v>0</v>
      </c>
      <c r="J436" s="23"/>
      <c r="K436" s="25" t="s">
        <v>776</v>
      </c>
      <c r="L436" s="25"/>
      <c r="M436" s="25" t="e">
        <f>VLOOKUP(A:A,[1]进仓汇总!A$1:G$65536,7,0)</f>
        <v>#N/A</v>
      </c>
      <c r="N436" s="26" t="s">
        <v>726</v>
      </c>
      <c r="O436" s="26"/>
    </row>
    <row r="437" spans="1:19">
      <c r="A437" s="40" t="s">
        <v>1204</v>
      </c>
      <c r="B437" s="6" t="s">
        <v>777</v>
      </c>
      <c r="C437" s="23">
        <v>313100002</v>
      </c>
      <c r="D437" s="24" t="s">
        <v>311</v>
      </c>
      <c r="E437" s="24" t="s">
        <v>744</v>
      </c>
      <c r="F437" s="23" t="s">
        <v>41</v>
      </c>
      <c r="G437" s="23" t="s">
        <v>24</v>
      </c>
      <c r="H437" s="23" t="s">
        <v>136</v>
      </c>
      <c r="I437" s="23">
        <v>8</v>
      </c>
      <c r="J437" s="23" t="s">
        <v>51</v>
      </c>
      <c r="K437" s="25">
        <v>105</v>
      </c>
      <c r="L437" s="25"/>
      <c r="M437" s="25" t="e">
        <f>VLOOKUP(A:A,[1]进仓汇总!A$1:G$65536,7,0)</f>
        <v>#N/A</v>
      </c>
      <c r="N437" s="26" t="s">
        <v>726</v>
      </c>
      <c r="O437" s="26"/>
    </row>
    <row r="438" spans="1:19">
      <c r="A438" s="41"/>
      <c r="B438" s="6" t="s">
        <v>777</v>
      </c>
      <c r="C438" s="23">
        <v>313100003</v>
      </c>
      <c r="D438" s="24" t="s">
        <v>632</v>
      </c>
      <c r="E438" s="24" t="s">
        <v>730</v>
      </c>
      <c r="F438" s="23" t="s">
        <v>41</v>
      </c>
      <c r="G438" s="23" t="s">
        <v>24</v>
      </c>
      <c r="H438" s="23" t="s">
        <v>140</v>
      </c>
      <c r="I438" s="23">
        <v>8</v>
      </c>
      <c r="J438" s="23" t="s">
        <v>51</v>
      </c>
      <c r="K438" s="25">
        <v>105</v>
      </c>
      <c r="L438" s="25"/>
      <c r="M438" s="25" t="e">
        <f>VLOOKUP(A:A,[1]进仓汇总!A$1:G$65536,7,0)</f>
        <v>#N/A</v>
      </c>
      <c r="N438" s="26" t="s">
        <v>726</v>
      </c>
      <c r="O438" s="26"/>
    </row>
    <row r="439" spans="1:19">
      <c r="A439" s="23" t="s">
        <v>1205</v>
      </c>
      <c r="B439" s="6" t="s">
        <v>717</v>
      </c>
      <c r="C439" s="24"/>
      <c r="D439" s="24" t="str">
        <f>+B439</f>
        <v>活动主机架=1</v>
      </c>
      <c r="E439" s="24" t="s">
        <v>729</v>
      </c>
      <c r="F439" s="23" t="s">
        <v>41</v>
      </c>
      <c r="G439" s="23" t="s">
        <v>94</v>
      </c>
      <c r="H439" s="23" t="s">
        <v>719</v>
      </c>
      <c r="I439" s="23">
        <v>8</v>
      </c>
      <c r="J439" s="23" t="s">
        <v>51</v>
      </c>
      <c r="K439" s="25">
        <v>0</v>
      </c>
      <c r="L439" s="25"/>
      <c r="M439" s="25" t="e">
        <f>VLOOKUP(A:A,[1]进仓汇总!A$1:G$65536,7,0)</f>
        <v>#N/A</v>
      </c>
      <c r="N439" s="26" t="s">
        <v>726</v>
      </c>
      <c r="O439" s="26"/>
    </row>
    <row r="440" spans="1:19">
      <c r="A440" s="23" t="s">
        <v>1206</v>
      </c>
      <c r="B440" s="6" t="s">
        <v>778</v>
      </c>
      <c r="C440" s="24"/>
      <c r="D440" s="24" t="str">
        <f>+B440</f>
        <v>活动主机架=4</v>
      </c>
      <c r="E440" s="24" t="s">
        <v>729</v>
      </c>
      <c r="F440" s="23" t="s">
        <v>779</v>
      </c>
      <c r="G440" s="23" t="s">
        <v>94</v>
      </c>
      <c r="H440" s="23" t="s">
        <v>719</v>
      </c>
      <c r="I440" s="23">
        <v>32</v>
      </c>
      <c r="J440" s="23" t="s">
        <v>137</v>
      </c>
      <c r="K440" s="25">
        <v>0</v>
      </c>
      <c r="L440" s="25"/>
      <c r="M440" s="25" t="e">
        <f>VLOOKUP(A:A,[1]进仓汇总!A$1:G$65536,7,0)</f>
        <v>#N/A</v>
      </c>
      <c r="N440" s="26" t="s">
        <v>726</v>
      </c>
      <c r="O440" s="26"/>
    </row>
    <row r="441" spans="1:19">
      <c r="A441" s="40" t="s">
        <v>1207</v>
      </c>
      <c r="B441" s="6" t="s">
        <v>780</v>
      </c>
      <c r="C441" s="23">
        <v>308090010</v>
      </c>
      <c r="D441" s="24" t="s">
        <v>781</v>
      </c>
      <c r="E441" s="29" t="s">
        <v>782</v>
      </c>
      <c r="F441" s="24">
        <v>1</v>
      </c>
      <c r="G441" s="24" t="s">
        <v>24</v>
      </c>
      <c r="H441" s="23" t="s">
        <v>594</v>
      </c>
      <c r="I441" s="23">
        <v>5</v>
      </c>
      <c r="J441" s="23" t="s">
        <v>51</v>
      </c>
      <c r="K441" s="25" t="s">
        <v>783</v>
      </c>
      <c r="L441" s="25">
        <v>3530</v>
      </c>
      <c r="M441" s="25" t="e">
        <f>VLOOKUP(A:A,[1]进仓汇总!A$1:G$65536,7,0)</f>
        <v>#N/A</v>
      </c>
      <c r="N441" s="26" t="s">
        <v>726</v>
      </c>
      <c r="O441" s="26"/>
    </row>
    <row r="442" spans="1:19">
      <c r="A442" s="42"/>
      <c r="B442" s="6" t="s">
        <v>780</v>
      </c>
      <c r="C442" s="23">
        <v>308090011</v>
      </c>
      <c r="D442" s="24" t="s">
        <v>784</v>
      </c>
      <c r="E442" s="34"/>
      <c r="F442" s="24">
        <v>1</v>
      </c>
      <c r="G442" s="24" t="s">
        <v>24</v>
      </c>
      <c r="H442" s="23" t="s">
        <v>596</v>
      </c>
      <c r="I442" s="23">
        <v>5</v>
      </c>
      <c r="J442" s="23" t="s">
        <v>51</v>
      </c>
      <c r="K442" s="25" t="s">
        <v>783</v>
      </c>
      <c r="L442" s="25">
        <v>0</v>
      </c>
      <c r="M442" s="25" t="e">
        <f>VLOOKUP(A:A,[1]进仓汇总!A$1:G$65536,7,0)</f>
        <v>#N/A</v>
      </c>
      <c r="N442" s="26" t="s">
        <v>726</v>
      </c>
      <c r="O442" s="26"/>
    </row>
    <row r="443" spans="1:19">
      <c r="A443" s="42"/>
      <c r="B443" s="6" t="s">
        <v>780</v>
      </c>
      <c r="C443" s="23">
        <v>308090012</v>
      </c>
      <c r="D443" s="24" t="s">
        <v>785</v>
      </c>
      <c r="E443" s="34"/>
      <c r="F443" s="24">
        <v>1</v>
      </c>
      <c r="G443" s="24" t="s">
        <v>24</v>
      </c>
      <c r="H443" s="23" t="s">
        <v>598</v>
      </c>
      <c r="I443" s="23">
        <v>5</v>
      </c>
      <c r="J443" s="23" t="s">
        <v>51</v>
      </c>
      <c r="K443" s="25" t="s">
        <v>783</v>
      </c>
      <c r="L443" s="25">
        <v>0</v>
      </c>
      <c r="M443" s="25" t="e">
        <f>VLOOKUP(A:A,[1]进仓汇总!A$1:G$65536,7,0)</f>
        <v>#N/A</v>
      </c>
      <c r="N443" s="26" t="s">
        <v>726</v>
      </c>
      <c r="O443" s="26"/>
    </row>
    <row r="444" spans="1:19">
      <c r="A444" s="42"/>
      <c r="B444" s="6" t="s">
        <v>780</v>
      </c>
      <c r="C444" s="23">
        <v>308090013</v>
      </c>
      <c r="D444" s="24" t="s">
        <v>786</v>
      </c>
      <c r="E444" s="34"/>
      <c r="F444" s="24">
        <v>1</v>
      </c>
      <c r="G444" s="24" t="s">
        <v>24</v>
      </c>
      <c r="H444" s="23" t="s">
        <v>600</v>
      </c>
      <c r="I444" s="23">
        <v>5</v>
      </c>
      <c r="J444" s="23" t="s">
        <v>51</v>
      </c>
      <c r="K444" s="25" t="s">
        <v>783</v>
      </c>
      <c r="L444" s="25">
        <v>0</v>
      </c>
      <c r="M444" s="25" t="e">
        <f>VLOOKUP(A:A,[1]进仓汇总!A$1:G$65536,7,0)</f>
        <v>#N/A</v>
      </c>
      <c r="N444" s="26" t="s">
        <v>726</v>
      </c>
      <c r="O444" s="26"/>
    </row>
    <row r="445" spans="1:19">
      <c r="A445" s="42"/>
      <c r="B445" s="6" t="s">
        <v>780</v>
      </c>
      <c r="C445" s="23">
        <v>308090014</v>
      </c>
      <c r="D445" s="24" t="s">
        <v>787</v>
      </c>
      <c r="E445" s="34"/>
      <c r="F445" s="24">
        <v>1</v>
      </c>
      <c r="G445" s="24" t="s">
        <v>24</v>
      </c>
      <c r="H445" s="23" t="s">
        <v>602</v>
      </c>
      <c r="I445" s="23">
        <v>5</v>
      </c>
      <c r="J445" s="23" t="s">
        <v>51</v>
      </c>
      <c r="K445" s="25" t="s">
        <v>783</v>
      </c>
      <c r="L445" s="25">
        <v>0</v>
      </c>
      <c r="M445" s="25" t="e">
        <f>VLOOKUP(A:A,[1]进仓汇总!A$1:G$65536,7,0)</f>
        <v>#N/A</v>
      </c>
      <c r="N445" s="26" t="s">
        <v>726</v>
      </c>
      <c r="O445" s="26"/>
    </row>
    <row r="446" spans="1:19">
      <c r="A446" s="42"/>
      <c r="B446" s="6" t="s">
        <v>780</v>
      </c>
      <c r="C446" s="23">
        <v>308090015</v>
      </c>
      <c r="D446" s="24" t="s">
        <v>788</v>
      </c>
      <c r="E446" s="34"/>
      <c r="F446" s="24">
        <v>1</v>
      </c>
      <c r="G446" s="24" t="s">
        <v>24</v>
      </c>
      <c r="H446" s="23" t="s">
        <v>604</v>
      </c>
      <c r="I446" s="23">
        <v>5</v>
      </c>
      <c r="J446" s="23" t="s">
        <v>51</v>
      </c>
      <c r="K446" s="25" t="s">
        <v>783</v>
      </c>
      <c r="L446" s="25">
        <v>0</v>
      </c>
      <c r="M446" s="25" t="e">
        <f>VLOOKUP(A:A,[1]进仓汇总!A$1:G$65536,7,0)</f>
        <v>#N/A</v>
      </c>
      <c r="N446" s="26" t="s">
        <v>726</v>
      </c>
      <c r="O446" s="26"/>
    </row>
    <row r="447" spans="1:19">
      <c r="A447" s="41"/>
      <c r="B447" s="6" t="s">
        <v>780</v>
      </c>
      <c r="C447" s="23">
        <v>308090016</v>
      </c>
      <c r="D447" s="24" t="s">
        <v>789</v>
      </c>
      <c r="E447" s="32"/>
      <c r="F447" s="24">
        <v>1</v>
      </c>
      <c r="G447" s="24" t="s">
        <v>24</v>
      </c>
      <c r="H447" s="23" t="s">
        <v>606</v>
      </c>
      <c r="I447" s="23">
        <v>5</v>
      </c>
      <c r="J447" s="23" t="s">
        <v>51</v>
      </c>
      <c r="K447" s="25" t="s">
        <v>783</v>
      </c>
      <c r="L447" s="25">
        <v>0</v>
      </c>
      <c r="M447" s="25" t="e">
        <f>VLOOKUP(A:A,[1]进仓汇总!A$1:G$65536,7,0)</f>
        <v>#N/A</v>
      </c>
      <c r="N447" s="26" t="s">
        <v>726</v>
      </c>
      <c r="O447" s="26"/>
      <c r="Q447" s="13"/>
      <c r="R447" s="13"/>
      <c r="S447" s="13"/>
    </row>
    <row r="448" spans="1:19" s="13" customFormat="1">
      <c r="A448" s="23" t="s">
        <v>1208</v>
      </c>
      <c r="B448" s="6" t="s">
        <v>790</v>
      </c>
      <c r="C448" s="24"/>
      <c r="D448" s="3" t="str">
        <f>+B448</f>
        <v>君悦长几      1200*600*420</v>
      </c>
      <c r="E448" s="3" t="s">
        <v>791</v>
      </c>
      <c r="F448" s="3">
        <v>1</v>
      </c>
      <c r="G448" s="3" t="s">
        <v>792</v>
      </c>
      <c r="H448" s="27" t="s">
        <v>719</v>
      </c>
      <c r="I448" s="27" t="e">
        <f>+VLOOKUP(A:A,[1]安全库存!A$1:I$65536,9,0)</f>
        <v>#N/A</v>
      </c>
      <c r="J448" s="27" t="s">
        <v>51</v>
      </c>
      <c r="K448" s="25" t="s">
        <v>783</v>
      </c>
      <c r="L448" s="25"/>
      <c r="M448" s="25" t="e">
        <f>VLOOKUP(A:A,[1]进仓汇总!A$1:G$65536,7,0)</f>
        <v>#N/A</v>
      </c>
      <c r="N448" s="26" t="s">
        <v>726</v>
      </c>
      <c r="O448" s="26"/>
    </row>
    <row r="449" spans="1:19" s="13" customFormat="1">
      <c r="A449" s="23" t="s">
        <v>1209</v>
      </c>
      <c r="B449" s="6" t="s">
        <v>793</v>
      </c>
      <c r="C449" s="24"/>
      <c r="D449" s="3" t="str">
        <f>+B449</f>
        <v>君悦方几      600*600*420</v>
      </c>
      <c r="E449" s="3" t="s">
        <v>791</v>
      </c>
      <c r="F449" s="3">
        <v>1</v>
      </c>
      <c r="G449" s="3" t="s">
        <v>792</v>
      </c>
      <c r="H449" s="27" t="s">
        <v>719</v>
      </c>
      <c r="I449" s="27" t="e">
        <f>+VLOOKUP(A:A,[1]安全库存!A$1:I$65536,9,0)</f>
        <v>#N/A</v>
      </c>
      <c r="J449" s="27" t="s">
        <v>51</v>
      </c>
      <c r="K449" s="25" t="s">
        <v>783</v>
      </c>
      <c r="L449" s="25"/>
      <c r="M449" s="25" t="e">
        <f>VLOOKUP(A:A,[1]进仓汇总!A$1:G$65536,7,0)</f>
        <v>#N/A</v>
      </c>
      <c r="N449" s="26" t="s">
        <v>726</v>
      </c>
      <c r="O449" s="26"/>
      <c r="Q449" s="9"/>
      <c r="R449" s="9"/>
      <c r="S449" s="9"/>
    </row>
    <row r="450" spans="1:19">
      <c r="A450" s="40" t="s">
        <v>1210</v>
      </c>
      <c r="B450" s="6" t="s">
        <v>794</v>
      </c>
      <c r="C450" s="23">
        <v>308010010</v>
      </c>
      <c r="D450" s="24" t="s">
        <v>795</v>
      </c>
      <c r="E450" s="29" t="s">
        <v>796</v>
      </c>
      <c r="F450" s="24">
        <v>1</v>
      </c>
      <c r="G450" s="24" t="s">
        <v>24</v>
      </c>
      <c r="H450" s="23" t="s">
        <v>389</v>
      </c>
      <c r="I450" s="23">
        <v>5</v>
      </c>
      <c r="J450" s="23" t="s">
        <v>51</v>
      </c>
      <c r="K450" s="25" t="s">
        <v>754</v>
      </c>
      <c r="L450" s="25">
        <v>1860</v>
      </c>
      <c r="M450" s="25" t="e">
        <f>VLOOKUP(A:A,[1]进仓汇总!A$1:G$65536,7,0)</f>
        <v>#N/A</v>
      </c>
      <c r="N450" s="26" t="s">
        <v>726</v>
      </c>
      <c r="O450" s="26"/>
    </row>
    <row r="451" spans="1:19">
      <c r="A451" s="42"/>
      <c r="B451" s="6" t="s">
        <v>794</v>
      </c>
      <c r="C451" s="23">
        <v>308010011</v>
      </c>
      <c r="D451" s="24" t="s">
        <v>797</v>
      </c>
      <c r="E451" s="34"/>
      <c r="F451" s="24">
        <v>1</v>
      </c>
      <c r="G451" s="24" t="s">
        <v>24</v>
      </c>
      <c r="H451" s="23" t="s">
        <v>87</v>
      </c>
      <c r="I451" s="23">
        <v>5</v>
      </c>
      <c r="J451" s="23" t="s">
        <v>51</v>
      </c>
      <c r="K451" s="25" t="s">
        <v>754</v>
      </c>
      <c r="L451" s="25">
        <v>0</v>
      </c>
      <c r="M451" s="25" t="e">
        <f>VLOOKUP(A:A,[1]进仓汇总!A$1:G$65536,7,0)</f>
        <v>#N/A</v>
      </c>
      <c r="N451" s="26" t="s">
        <v>726</v>
      </c>
      <c r="O451" s="26"/>
    </row>
    <row r="452" spans="1:19">
      <c r="A452" s="42"/>
      <c r="B452" s="6" t="s">
        <v>794</v>
      </c>
      <c r="C452" s="23">
        <v>308010012</v>
      </c>
      <c r="D452" s="24" t="s">
        <v>798</v>
      </c>
      <c r="E452" s="34"/>
      <c r="F452" s="24">
        <v>1</v>
      </c>
      <c r="G452" s="24" t="s">
        <v>24</v>
      </c>
      <c r="H452" s="23" t="s">
        <v>90</v>
      </c>
      <c r="I452" s="23">
        <v>5</v>
      </c>
      <c r="J452" s="23" t="s">
        <v>51</v>
      </c>
      <c r="K452" s="25" t="s">
        <v>754</v>
      </c>
      <c r="L452" s="25">
        <v>0</v>
      </c>
      <c r="M452" s="25" t="e">
        <f>VLOOKUP(A:A,[1]进仓汇总!A$1:G$65536,7,0)</f>
        <v>#N/A</v>
      </c>
      <c r="N452" s="26" t="s">
        <v>726</v>
      </c>
      <c r="O452" s="26"/>
    </row>
    <row r="453" spans="1:19">
      <c r="A453" s="41"/>
      <c r="B453" s="6" t="s">
        <v>794</v>
      </c>
      <c r="C453" s="23">
        <v>308010013</v>
      </c>
      <c r="D453" s="24" t="s">
        <v>799</v>
      </c>
      <c r="E453" s="32"/>
      <c r="F453" s="24">
        <v>1</v>
      </c>
      <c r="G453" s="24" t="s">
        <v>24</v>
      </c>
      <c r="H453" s="23" t="s">
        <v>95</v>
      </c>
      <c r="I453" s="23">
        <v>5</v>
      </c>
      <c r="J453" s="23" t="s">
        <v>51</v>
      </c>
      <c r="K453" s="25" t="s">
        <v>754</v>
      </c>
      <c r="L453" s="25">
        <v>0</v>
      </c>
      <c r="M453" s="25" t="e">
        <f>VLOOKUP(A:A,[1]进仓汇总!A$1:G$65536,7,0)</f>
        <v>#N/A</v>
      </c>
      <c r="N453" s="26" t="s">
        <v>726</v>
      </c>
      <c r="O453" s="26"/>
    </row>
    <row r="454" spans="1:19">
      <c r="A454" s="40" t="s">
        <v>1211</v>
      </c>
      <c r="B454" s="6" t="s">
        <v>800</v>
      </c>
      <c r="C454" s="23">
        <v>308010015</v>
      </c>
      <c r="D454" s="24" t="s">
        <v>795</v>
      </c>
      <c r="E454" s="29" t="s">
        <v>801</v>
      </c>
      <c r="F454" s="24">
        <v>1</v>
      </c>
      <c r="G454" s="24" t="s">
        <v>24</v>
      </c>
      <c r="H454" s="23" t="s">
        <v>389</v>
      </c>
      <c r="I454" s="23">
        <v>5</v>
      </c>
      <c r="J454" s="23" t="s">
        <v>51</v>
      </c>
      <c r="K454" s="25" t="s">
        <v>754</v>
      </c>
      <c r="L454" s="25">
        <v>1860</v>
      </c>
      <c r="M454" s="25" t="e">
        <f>VLOOKUP(A:A,[1]进仓汇总!A$1:G$65536,7,0)</f>
        <v>#N/A</v>
      </c>
      <c r="N454" s="26" t="s">
        <v>726</v>
      </c>
      <c r="O454" s="26"/>
    </row>
    <row r="455" spans="1:19">
      <c r="A455" s="42"/>
      <c r="B455" s="6" t="s">
        <v>800</v>
      </c>
      <c r="C455" s="23">
        <v>308010016</v>
      </c>
      <c r="D455" s="24" t="s">
        <v>797</v>
      </c>
      <c r="E455" s="34"/>
      <c r="F455" s="24">
        <v>1</v>
      </c>
      <c r="G455" s="24" t="s">
        <v>24</v>
      </c>
      <c r="H455" s="23" t="s">
        <v>87</v>
      </c>
      <c r="I455" s="23">
        <v>5</v>
      </c>
      <c r="J455" s="23" t="s">
        <v>51</v>
      </c>
      <c r="K455" s="25" t="s">
        <v>754</v>
      </c>
      <c r="L455" s="25">
        <v>0</v>
      </c>
      <c r="M455" s="25" t="e">
        <f>VLOOKUP(A:A,[1]进仓汇总!A$1:G$65536,7,0)</f>
        <v>#N/A</v>
      </c>
      <c r="N455" s="26" t="s">
        <v>726</v>
      </c>
      <c r="O455" s="26"/>
    </row>
    <row r="456" spans="1:19">
      <c r="A456" s="42"/>
      <c r="B456" s="6" t="s">
        <v>800</v>
      </c>
      <c r="C456" s="23">
        <v>308010017</v>
      </c>
      <c r="D456" s="24" t="s">
        <v>798</v>
      </c>
      <c r="E456" s="34"/>
      <c r="F456" s="24">
        <v>1</v>
      </c>
      <c r="G456" s="24" t="s">
        <v>24</v>
      </c>
      <c r="H456" s="23" t="s">
        <v>90</v>
      </c>
      <c r="I456" s="23">
        <v>5</v>
      </c>
      <c r="J456" s="23" t="s">
        <v>51</v>
      </c>
      <c r="K456" s="25" t="s">
        <v>754</v>
      </c>
      <c r="L456" s="25">
        <v>0</v>
      </c>
      <c r="M456" s="25" t="e">
        <f>VLOOKUP(A:A,[1]进仓汇总!A$1:G$65536,7,0)</f>
        <v>#N/A</v>
      </c>
      <c r="N456" s="26" t="s">
        <v>726</v>
      </c>
      <c r="O456" s="26"/>
    </row>
    <row r="457" spans="1:19">
      <c r="A457" s="42"/>
      <c r="B457" s="6" t="s">
        <v>800</v>
      </c>
      <c r="C457" s="23">
        <v>308010018</v>
      </c>
      <c r="D457" s="24" t="s">
        <v>799</v>
      </c>
      <c r="E457" s="32"/>
      <c r="F457" s="24">
        <v>1</v>
      </c>
      <c r="G457" s="24" t="s">
        <v>24</v>
      </c>
      <c r="H457" s="23" t="s">
        <v>95</v>
      </c>
      <c r="I457" s="23">
        <v>5</v>
      </c>
      <c r="J457" s="23" t="s">
        <v>51</v>
      </c>
      <c r="K457" s="25" t="s">
        <v>754</v>
      </c>
      <c r="L457" s="25">
        <v>0</v>
      </c>
      <c r="M457" s="25" t="e">
        <f>VLOOKUP(A:A,[1]进仓汇总!A$1:G$65536,7,0)</f>
        <v>#N/A</v>
      </c>
      <c r="N457" s="26" t="s">
        <v>726</v>
      </c>
      <c r="O457" s="26"/>
    </row>
    <row r="458" spans="1:19">
      <c r="A458" s="42"/>
      <c r="B458" s="6" t="s">
        <v>800</v>
      </c>
      <c r="C458" s="23">
        <v>308010027</v>
      </c>
      <c r="D458" s="3" t="s">
        <v>802</v>
      </c>
      <c r="E458" s="3" t="s">
        <v>803</v>
      </c>
      <c r="F458" s="3">
        <v>1</v>
      </c>
      <c r="G458" s="3" t="s">
        <v>94</v>
      </c>
      <c r="H458" s="27"/>
      <c r="I458" s="27" t="e">
        <f>+VLOOKUP(A:A,[1]安全库存!A$1:I$65536,9,0)</f>
        <v>#N/A</v>
      </c>
      <c r="J458" s="27" t="s">
        <v>51</v>
      </c>
      <c r="K458" s="25" t="s">
        <v>754</v>
      </c>
      <c r="L458" s="25">
        <v>550</v>
      </c>
      <c r="M458" s="25" t="e">
        <f>VLOOKUP(A:A,[1]进仓汇总!A$1:G$65536,7,0)</f>
        <v>#N/A</v>
      </c>
      <c r="N458" s="26" t="s">
        <v>726</v>
      </c>
      <c r="O458" s="26"/>
    </row>
    <row r="459" spans="1:19">
      <c r="A459" s="41"/>
      <c r="B459" s="6" t="s">
        <v>800</v>
      </c>
      <c r="C459" s="23">
        <v>308010028</v>
      </c>
      <c r="D459" s="3" t="s">
        <v>804</v>
      </c>
      <c r="E459" s="3" t="s">
        <v>803</v>
      </c>
      <c r="F459" s="3">
        <v>1</v>
      </c>
      <c r="G459" s="3" t="s">
        <v>94</v>
      </c>
      <c r="H459" s="27"/>
      <c r="I459" s="27" t="e">
        <f>+VLOOKUP(A:A,[1]安全库存!A$1:I$65536,9,0)</f>
        <v>#N/A</v>
      </c>
      <c r="J459" s="27" t="s">
        <v>51</v>
      </c>
      <c r="K459" s="25" t="s">
        <v>754</v>
      </c>
      <c r="L459" s="25">
        <v>550</v>
      </c>
      <c r="M459" s="25" t="e">
        <f>VLOOKUP(A:A,[1]进仓汇总!A$1:G$65536,7,0)</f>
        <v>#N/A</v>
      </c>
      <c r="N459" s="26" t="s">
        <v>726</v>
      </c>
      <c r="O459" s="26"/>
    </row>
    <row r="460" spans="1:19">
      <c r="A460" s="40" t="s">
        <v>1212</v>
      </c>
      <c r="B460" s="6" t="s">
        <v>805</v>
      </c>
      <c r="C460" s="23">
        <v>308010020</v>
      </c>
      <c r="D460" s="24" t="s">
        <v>806</v>
      </c>
      <c r="E460" s="24" t="s">
        <v>807</v>
      </c>
      <c r="F460" s="24">
        <v>1</v>
      </c>
      <c r="G460" s="24" t="s">
        <v>24</v>
      </c>
      <c r="H460" s="23" t="s">
        <v>594</v>
      </c>
      <c r="I460" s="23">
        <v>5</v>
      </c>
      <c r="J460" s="23" t="s">
        <v>808</v>
      </c>
      <c r="K460" s="25" t="s">
        <v>809</v>
      </c>
      <c r="L460" s="25">
        <v>4200</v>
      </c>
      <c r="M460" s="25" t="e">
        <f>VLOOKUP(A:A,[1]进仓汇总!A$1:G$65536,7,0)</f>
        <v>#N/A</v>
      </c>
      <c r="N460" s="26" t="s">
        <v>726</v>
      </c>
      <c r="O460" s="26"/>
    </row>
    <row r="461" spans="1:19">
      <c r="A461" s="42"/>
      <c r="B461" s="6" t="s">
        <v>805</v>
      </c>
      <c r="C461" s="23">
        <v>308010021</v>
      </c>
      <c r="D461" s="24" t="s">
        <v>810</v>
      </c>
      <c r="E461" s="24" t="s">
        <v>807</v>
      </c>
      <c r="F461" s="24">
        <v>1</v>
      </c>
      <c r="G461" s="24" t="s">
        <v>24</v>
      </c>
      <c r="H461" s="23" t="s">
        <v>596</v>
      </c>
      <c r="I461" s="23">
        <v>5</v>
      </c>
      <c r="J461" s="23" t="s">
        <v>808</v>
      </c>
      <c r="K461" s="25" t="s">
        <v>809</v>
      </c>
      <c r="L461" s="25">
        <v>0</v>
      </c>
      <c r="M461" s="25" t="e">
        <f>VLOOKUP(A:A,[1]进仓汇总!A$1:G$65536,7,0)</f>
        <v>#N/A</v>
      </c>
      <c r="N461" s="26" t="s">
        <v>726</v>
      </c>
      <c r="O461" s="26"/>
    </row>
    <row r="462" spans="1:19">
      <c r="A462" s="42"/>
      <c r="B462" s="6" t="s">
        <v>805</v>
      </c>
      <c r="C462" s="23">
        <v>308010022</v>
      </c>
      <c r="D462" s="24" t="s">
        <v>811</v>
      </c>
      <c r="E462" s="24" t="s">
        <v>812</v>
      </c>
      <c r="F462" s="24">
        <v>1</v>
      </c>
      <c r="G462" s="24" t="s">
        <v>24</v>
      </c>
      <c r="H462" s="23" t="s">
        <v>598</v>
      </c>
      <c r="I462" s="23">
        <v>5</v>
      </c>
      <c r="J462" s="23" t="s">
        <v>808</v>
      </c>
      <c r="K462" s="25" t="s">
        <v>809</v>
      </c>
      <c r="L462" s="25">
        <v>0</v>
      </c>
      <c r="M462" s="25" t="e">
        <f>VLOOKUP(A:A,[1]进仓汇总!A$1:G$65536,7,0)</f>
        <v>#N/A</v>
      </c>
      <c r="N462" s="26" t="s">
        <v>726</v>
      </c>
      <c r="O462" s="26"/>
    </row>
    <row r="463" spans="1:19">
      <c r="A463" s="42"/>
      <c r="B463" s="6" t="s">
        <v>805</v>
      </c>
      <c r="C463" s="23">
        <v>308010023</v>
      </c>
      <c r="D463" s="24" t="s">
        <v>813</v>
      </c>
      <c r="E463" s="24" t="s">
        <v>814</v>
      </c>
      <c r="F463" s="24">
        <v>1</v>
      </c>
      <c r="G463" s="24" t="s">
        <v>24</v>
      </c>
      <c r="H463" s="23" t="s">
        <v>600</v>
      </c>
      <c r="I463" s="23">
        <v>5</v>
      </c>
      <c r="J463" s="23" t="s">
        <v>808</v>
      </c>
      <c r="K463" s="25" t="s">
        <v>809</v>
      </c>
      <c r="L463" s="25">
        <v>0</v>
      </c>
      <c r="M463" s="25" t="e">
        <f>VLOOKUP(A:A,[1]进仓汇总!A$1:G$65536,7,0)</f>
        <v>#N/A</v>
      </c>
      <c r="N463" s="26" t="s">
        <v>726</v>
      </c>
      <c r="O463" s="26"/>
    </row>
    <row r="464" spans="1:19">
      <c r="A464" s="42"/>
      <c r="B464" s="6" t="s">
        <v>805</v>
      </c>
      <c r="C464" s="23">
        <v>308010024</v>
      </c>
      <c r="D464" s="24" t="s">
        <v>815</v>
      </c>
      <c r="E464" s="24" t="s">
        <v>814</v>
      </c>
      <c r="F464" s="24">
        <v>1</v>
      </c>
      <c r="G464" s="24" t="s">
        <v>24</v>
      </c>
      <c r="H464" s="23" t="s">
        <v>602</v>
      </c>
      <c r="I464" s="23">
        <v>5</v>
      </c>
      <c r="J464" s="23" t="s">
        <v>808</v>
      </c>
      <c r="K464" s="25" t="s">
        <v>809</v>
      </c>
      <c r="L464" s="25">
        <v>0</v>
      </c>
      <c r="M464" s="25" t="e">
        <f>VLOOKUP(A:A,[1]进仓汇总!A$1:G$65536,7,0)</f>
        <v>#N/A</v>
      </c>
      <c r="N464" s="26" t="s">
        <v>726</v>
      </c>
      <c r="O464" s="26"/>
    </row>
    <row r="465" spans="1:15">
      <c r="A465" s="42"/>
      <c r="B465" s="6" t="s">
        <v>805</v>
      </c>
      <c r="C465" s="23">
        <v>308010025</v>
      </c>
      <c r="D465" s="24" t="s">
        <v>816</v>
      </c>
      <c r="E465" s="24" t="s">
        <v>817</v>
      </c>
      <c r="F465" s="24">
        <v>1</v>
      </c>
      <c r="G465" s="24" t="s">
        <v>24</v>
      </c>
      <c r="H465" s="23" t="s">
        <v>604</v>
      </c>
      <c r="I465" s="23">
        <v>5</v>
      </c>
      <c r="J465" s="23" t="s">
        <v>808</v>
      </c>
      <c r="K465" s="25" t="s">
        <v>809</v>
      </c>
      <c r="L465" s="25">
        <v>0</v>
      </c>
      <c r="M465" s="25" t="e">
        <f>VLOOKUP(A:A,[1]进仓汇总!A$1:G$65536,7,0)</f>
        <v>#N/A</v>
      </c>
      <c r="N465" s="26" t="s">
        <v>726</v>
      </c>
      <c r="O465" s="26"/>
    </row>
    <row r="466" spans="1:15">
      <c r="A466" s="41"/>
      <c r="B466" s="6" t="s">
        <v>805</v>
      </c>
      <c r="C466" s="23">
        <v>308010026</v>
      </c>
      <c r="D466" s="24" t="s">
        <v>818</v>
      </c>
      <c r="E466" s="24" t="s">
        <v>817</v>
      </c>
      <c r="F466" s="24">
        <v>1</v>
      </c>
      <c r="G466" s="24" t="s">
        <v>24</v>
      </c>
      <c r="H466" s="23" t="s">
        <v>606</v>
      </c>
      <c r="I466" s="23">
        <v>5</v>
      </c>
      <c r="J466" s="23" t="s">
        <v>808</v>
      </c>
      <c r="K466" s="25" t="s">
        <v>809</v>
      </c>
      <c r="L466" s="25">
        <v>0</v>
      </c>
      <c r="M466" s="25" t="e">
        <f>VLOOKUP(A:A,[1]进仓汇总!A$1:G$65536,7,0)</f>
        <v>#N/A</v>
      </c>
      <c r="N466" s="26" t="s">
        <v>726</v>
      </c>
      <c r="O466" s="26"/>
    </row>
    <row r="467" spans="1:15">
      <c r="A467" s="40" t="s">
        <v>1213</v>
      </c>
      <c r="B467" s="6" t="s">
        <v>819</v>
      </c>
      <c r="C467" s="23">
        <v>311080002</v>
      </c>
      <c r="D467" s="24" t="s">
        <v>820</v>
      </c>
      <c r="E467" s="24" t="s">
        <v>821</v>
      </c>
      <c r="F467" s="24">
        <v>1</v>
      </c>
      <c r="G467" s="24" t="s">
        <v>24</v>
      </c>
      <c r="H467" s="23" t="s">
        <v>136</v>
      </c>
      <c r="I467" s="23">
        <v>10</v>
      </c>
      <c r="J467" s="23" t="s">
        <v>26</v>
      </c>
      <c r="K467" s="25" t="s">
        <v>783</v>
      </c>
      <c r="L467" s="25"/>
      <c r="M467" s="25" t="e">
        <f>VLOOKUP(A:A,[1]进仓汇总!A$1:G$65536,7,0)</f>
        <v>#N/A</v>
      </c>
      <c r="N467" s="26" t="s">
        <v>726</v>
      </c>
      <c r="O467" s="26"/>
    </row>
    <row r="468" spans="1:15">
      <c r="A468" s="41"/>
      <c r="B468" s="6" t="s">
        <v>819</v>
      </c>
      <c r="C468" s="23">
        <v>311080003</v>
      </c>
      <c r="D468" s="24" t="s">
        <v>822</v>
      </c>
      <c r="E468" s="24" t="s">
        <v>821</v>
      </c>
      <c r="F468" s="24">
        <v>1</v>
      </c>
      <c r="G468" s="24" t="s">
        <v>24</v>
      </c>
      <c r="H468" s="23" t="s">
        <v>140</v>
      </c>
      <c r="I468" s="23">
        <v>10</v>
      </c>
      <c r="J468" s="23" t="s">
        <v>26</v>
      </c>
      <c r="K468" s="25" t="s">
        <v>783</v>
      </c>
      <c r="L468" s="25"/>
      <c r="M468" s="25" t="e">
        <f>VLOOKUP(A:A,[1]进仓汇总!A$1:G$65536,7,0)</f>
        <v>#N/A</v>
      </c>
      <c r="N468" s="26" t="s">
        <v>726</v>
      </c>
      <c r="O468" s="26"/>
    </row>
    <row r="469" spans="1:15">
      <c r="A469" s="40" t="s">
        <v>1214</v>
      </c>
      <c r="B469" s="6" t="s">
        <v>823</v>
      </c>
      <c r="C469" s="23">
        <v>311070002</v>
      </c>
      <c r="D469" s="24" t="s">
        <v>824</v>
      </c>
      <c r="E469" s="24" t="s">
        <v>821</v>
      </c>
      <c r="F469" s="24">
        <v>1</v>
      </c>
      <c r="G469" s="24" t="s">
        <v>24</v>
      </c>
      <c r="H469" s="23" t="s">
        <v>136</v>
      </c>
      <c r="I469" s="23">
        <v>10</v>
      </c>
      <c r="J469" s="23" t="s">
        <v>26</v>
      </c>
      <c r="K469" s="25" t="s">
        <v>783</v>
      </c>
      <c r="L469" s="25"/>
      <c r="M469" s="25" t="e">
        <f>VLOOKUP(A:A,[1]进仓汇总!A$1:G$65536,7,0)</f>
        <v>#N/A</v>
      </c>
      <c r="N469" s="26" t="s">
        <v>726</v>
      </c>
      <c r="O469" s="26"/>
    </row>
    <row r="470" spans="1:15">
      <c r="A470" s="41"/>
      <c r="B470" s="6" t="s">
        <v>823</v>
      </c>
      <c r="C470" s="23">
        <v>311070003</v>
      </c>
      <c r="D470" s="24" t="s">
        <v>822</v>
      </c>
      <c r="E470" s="24" t="s">
        <v>821</v>
      </c>
      <c r="F470" s="24">
        <v>1</v>
      </c>
      <c r="G470" s="24" t="s">
        <v>24</v>
      </c>
      <c r="H470" s="23" t="s">
        <v>140</v>
      </c>
      <c r="I470" s="23">
        <v>10</v>
      </c>
      <c r="J470" s="23" t="s">
        <v>26</v>
      </c>
      <c r="K470" s="25" t="s">
        <v>783</v>
      </c>
      <c r="L470" s="25"/>
      <c r="M470" s="25" t="e">
        <f>VLOOKUP(A:A,[1]进仓汇总!A$1:G$65536,7,0)</f>
        <v>#N/A</v>
      </c>
      <c r="N470" s="26" t="s">
        <v>726</v>
      </c>
      <c r="O470" s="26"/>
    </row>
    <row r="471" spans="1:15">
      <c r="A471" s="40" t="s">
        <v>1215</v>
      </c>
      <c r="B471" s="6" t="s">
        <v>825</v>
      </c>
      <c r="C471" s="23">
        <v>312070004</v>
      </c>
      <c r="D471" s="24" t="s">
        <v>634</v>
      </c>
      <c r="E471" s="24" t="s">
        <v>548</v>
      </c>
      <c r="F471" s="24"/>
      <c r="G471" s="23" t="s">
        <v>24</v>
      </c>
      <c r="H471" s="23" t="s">
        <v>136</v>
      </c>
      <c r="I471" s="23">
        <v>0</v>
      </c>
      <c r="J471" s="23"/>
      <c r="K471" s="25" t="s">
        <v>826</v>
      </c>
      <c r="L471" s="25"/>
      <c r="M471" s="25" t="e">
        <f>VLOOKUP(A:A,[1]进仓汇总!A$1:G$65536,7,0)</f>
        <v>#N/A</v>
      </c>
      <c r="N471" s="26" t="s">
        <v>726</v>
      </c>
      <c r="O471" s="26"/>
    </row>
    <row r="472" spans="1:15">
      <c r="A472" s="41"/>
      <c r="B472" s="6" t="s">
        <v>825</v>
      </c>
      <c r="C472" s="23" t="s">
        <v>827</v>
      </c>
      <c r="D472" s="24" t="s">
        <v>828</v>
      </c>
      <c r="E472" s="24" t="s">
        <v>560</v>
      </c>
      <c r="F472" s="24"/>
      <c r="G472" s="23" t="s">
        <v>24</v>
      </c>
      <c r="H472" s="23" t="s">
        <v>136</v>
      </c>
      <c r="I472" s="23">
        <v>0</v>
      </c>
      <c r="J472" s="23"/>
      <c r="K472" s="25" t="s">
        <v>829</v>
      </c>
      <c r="L472" s="25"/>
      <c r="M472" s="25" t="e">
        <f>VLOOKUP(A:A,[1]进仓汇总!A$1:G$65536,7,0)</f>
        <v>#N/A</v>
      </c>
      <c r="N472" s="26" t="s">
        <v>726</v>
      </c>
      <c r="O472" s="26"/>
    </row>
    <row r="473" spans="1:15">
      <c r="A473" s="40" t="s">
        <v>1216</v>
      </c>
      <c r="B473" s="6" t="s">
        <v>830</v>
      </c>
      <c r="C473" s="23">
        <v>312080004</v>
      </c>
      <c r="D473" s="24" t="s">
        <v>252</v>
      </c>
      <c r="E473" s="24" t="s">
        <v>548</v>
      </c>
      <c r="F473" s="24"/>
      <c r="G473" s="23" t="s">
        <v>24</v>
      </c>
      <c r="H473" s="23" t="s">
        <v>136</v>
      </c>
      <c r="I473" s="23">
        <v>0</v>
      </c>
      <c r="J473" s="23"/>
      <c r="K473" s="25" t="s">
        <v>831</v>
      </c>
      <c r="L473" s="25"/>
      <c r="M473" s="25" t="e">
        <f>VLOOKUP(A:A,[1]进仓汇总!A$1:G$65536,7,0)</f>
        <v>#N/A</v>
      </c>
      <c r="N473" s="26" t="s">
        <v>726</v>
      </c>
      <c r="O473" s="26"/>
    </row>
    <row r="474" spans="1:15">
      <c r="A474" s="41"/>
      <c r="B474" s="6" t="s">
        <v>830</v>
      </c>
      <c r="C474" s="23" t="s">
        <v>832</v>
      </c>
      <c r="D474" s="24" t="s">
        <v>637</v>
      </c>
      <c r="E474" s="24" t="s">
        <v>560</v>
      </c>
      <c r="F474" s="24"/>
      <c r="G474" s="23" t="s">
        <v>24</v>
      </c>
      <c r="H474" s="23" t="s">
        <v>140</v>
      </c>
      <c r="I474" s="23">
        <v>0</v>
      </c>
      <c r="J474" s="23"/>
      <c r="K474" s="25" t="s">
        <v>833</v>
      </c>
      <c r="L474" s="25"/>
      <c r="M474" s="25" t="e">
        <f>VLOOKUP(A:A,[1]进仓汇总!A$1:G$65536,7,0)</f>
        <v>#N/A</v>
      </c>
      <c r="N474" s="26" t="s">
        <v>726</v>
      </c>
      <c r="O474" s="26"/>
    </row>
    <row r="475" spans="1:15">
      <c r="A475" s="40" t="s">
        <v>1217</v>
      </c>
      <c r="B475" s="6" t="s">
        <v>834</v>
      </c>
      <c r="C475" s="23">
        <v>312100004</v>
      </c>
      <c r="D475" s="24" t="s">
        <v>311</v>
      </c>
      <c r="E475" s="24" t="s">
        <v>548</v>
      </c>
      <c r="F475" s="24"/>
      <c r="G475" s="23" t="s">
        <v>24</v>
      </c>
      <c r="H475" s="23" t="s">
        <v>136</v>
      </c>
      <c r="I475" s="23">
        <v>0</v>
      </c>
      <c r="J475" s="23"/>
      <c r="K475" s="25" t="s">
        <v>826</v>
      </c>
      <c r="L475" s="25"/>
      <c r="M475" s="25" t="e">
        <f>VLOOKUP(A:A,[1]进仓汇总!A$1:G$65536,7,0)</f>
        <v>#N/A</v>
      </c>
      <c r="N475" s="26" t="s">
        <v>726</v>
      </c>
      <c r="O475" s="26"/>
    </row>
    <row r="476" spans="1:15">
      <c r="A476" s="41"/>
      <c r="B476" s="6" t="s">
        <v>834</v>
      </c>
      <c r="C476" s="23" t="s">
        <v>835</v>
      </c>
      <c r="D476" s="24" t="s">
        <v>632</v>
      </c>
      <c r="E476" s="24" t="s">
        <v>560</v>
      </c>
      <c r="F476" s="24"/>
      <c r="G476" s="23" t="s">
        <v>24</v>
      </c>
      <c r="H476" s="23" t="s">
        <v>140</v>
      </c>
      <c r="I476" s="23">
        <v>0</v>
      </c>
      <c r="J476" s="23"/>
      <c r="K476" s="25" t="s">
        <v>836</v>
      </c>
      <c r="L476" s="25"/>
      <c r="M476" s="25" t="e">
        <f>VLOOKUP(A:A,[1]进仓汇总!A$1:G$65536,7,0)</f>
        <v>#N/A</v>
      </c>
      <c r="N476" s="26" t="s">
        <v>726</v>
      </c>
      <c r="O476" s="26"/>
    </row>
    <row r="477" spans="1:15">
      <c r="A477" s="37">
        <v>316010100</v>
      </c>
      <c r="B477" s="6" t="s">
        <v>837</v>
      </c>
      <c r="C477" s="24"/>
      <c r="D477" s="24" t="s">
        <v>838</v>
      </c>
      <c r="E477" s="24" t="s">
        <v>839</v>
      </c>
      <c r="F477" s="24"/>
      <c r="G477" s="24"/>
      <c r="H477" s="24"/>
      <c r="I477" s="24">
        <v>0</v>
      </c>
      <c r="J477" s="24"/>
      <c r="K477" s="25"/>
      <c r="L477" s="25"/>
      <c r="M477" s="25">
        <f>VLOOKUP(A:A,[1]进仓汇总!A$1:G$65536,7,0)</f>
        <v>0</v>
      </c>
      <c r="N477" s="26" t="s">
        <v>840</v>
      </c>
      <c r="O477" s="26"/>
    </row>
    <row r="478" spans="1:15">
      <c r="A478" s="39"/>
      <c r="B478" s="6" t="s">
        <v>841</v>
      </c>
      <c r="C478" s="24">
        <v>316010101</v>
      </c>
      <c r="D478" s="24" t="s">
        <v>842</v>
      </c>
      <c r="E478" s="24" t="s">
        <v>843</v>
      </c>
      <c r="F478" s="24">
        <v>1</v>
      </c>
      <c r="G478" s="24" t="s">
        <v>430</v>
      </c>
      <c r="H478" s="23" t="s">
        <v>108</v>
      </c>
      <c r="I478" s="24">
        <v>0</v>
      </c>
      <c r="J478" s="24"/>
      <c r="K478" s="25"/>
      <c r="L478" s="25"/>
      <c r="M478" s="25" t="e">
        <f>VLOOKUP(A:A,[1]进仓汇总!A$1:G$65536,7,0)</f>
        <v>#N/A</v>
      </c>
      <c r="N478" s="26" t="s">
        <v>840</v>
      </c>
      <c r="O478" s="26"/>
    </row>
    <row r="479" spans="1:15">
      <c r="A479" s="39"/>
      <c r="B479" s="6" t="s">
        <v>841</v>
      </c>
      <c r="C479" s="24">
        <v>316010102</v>
      </c>
      <c r="D479" s="24" t="s">
        <v>844</v>
      </c>
      <c r="E479" s="24" t="s">
        <v>845</v>
      </c>
      <c r="F479" s="24">
        <v>1</v>
      </c>
      <c r="G479" s="24" t="s">
        <v>430</v>
      </c>
      <c r="H479" s="23" t="s">
        <v>110</v>
      </c>
      <c r="I479" s="24">
        <v>0</v>
      </c>
      <c r="J479" s="24"/>
      <c r="K479" s="25"/>
      <c r="L479" s="25"/>
      <c r="M479" s="25" t="e">
        <f>VLOOKUP(A:A,[1]进仓汇总!A$1:G$65536,7,0)</f>
        <v>#N/A</v>
      </c>
      <c r="N479" s="26" t="s">
        <v>840</v>
      </c>
      <c r="O479" s="26"/>
    </row>
    <row r="480" spans="1:15">
      <c r="A480" s="39"/>
      <c r="B480" s="6" t="s">
        <v>841</v>
      </c>
      <c r="C480" s="24">
        <v>316010103</v>
      </c>
      <c r="D480" s="24" t="s">
        <v>846</v>
      </c>
      <c r="E480" s="24" t="s">
        <v>845</v>
      </c>
      <c r="F480" s="24">
        <v>1</v>
      </c>
      <c r="G480" s="24" t="s">
        <v>430</v>
      </c>
      <c r="H480" s="23" t="s">
        <v>112</v>
      </c>
      <c r="I480" s="24">
        <v>0</v>
      </c>
      <c r="J480" s="24"/>
      <c r="K480" s="25"/>
      <c r="L480" s="25"/>
      <c r="M480" s="25" t="e">
        <f>VLOOKUP(A:A,[1]进仓汇总!A$1:G$65536,7,0)</f>
        <v>#N/A</v>
      </c>
      <c r="N480" s="26" t="s">
        <v>840</v>
      </c>
      <c r="O480" s="26"/>
    </row>
    <row r="481" spans="1:15">
      <c r="A481" s="39"/>
      <c r="B481" s="6" t="s">
        <v>841</v>
      </c>
      <c r="C481" s="24">
        <v>316010104</v>
      </c>
      <c r="D481" s="24" t="s">
        <v>847</v>
      </c>
      <c r="E481" s="24" t="s">
        <v>236</v>
      </c>
      <c r="F481" s="24">
        <v>1</v>
      </c>
      <c r="G481" s="24" t="s">
        <v>430</v>
      </c>
      <c r="H481" s="23" t="s">
        <v>114</v>
      </c>
      <c r="I481" s="24">
        <v>0</v>
      </c>
      <c r="J481" s="24"/>
      <c r="K481" s="25"/>
      <c r="L481" s="25"/>
      <c r="M481" s="25" t="e">
        <f>VLOOKUP(A:A,[1]进仓汇总!A$1:G$65536,7,0)</f>
        <v>#N/A</v>
      </c>
      <c r="N481" s="26" t="s">
        <v>840</v>
      </c>
      <c r="O481" s="26"/>
    </row>
    <row r="482" spans="1:15">
      <c r="A482" s="38"/>
      <c r="B482" s="6" t="s">
        <v>841</v>
      </c>
      <c r="C482" s="24">
        <v>316010105</v>
      </c>
      <c r="D482" s="24" t="s">
        <v>848</v>
      </c>
      <c r="E482" s="24" t="s">
        <v>236</v>
      </c>
      <c r="F482" s="24">
        <v>1</v>
      </c>
      <c r="G482" s="24" t="s">
        <v>430</v>
      </c>
      <c r="H482" s="23" t="s">
        <v>98</v>
      </c>
      <c r="I482" s="24">
        <v>0</v>
      </c>
      <c r="J482" s="24"/>
      <c r="K482" s="25"/>
      <c r="L482" s="25"/>
      <c r="M482" s="25" t="e">
        <f>VLOOKUP(A:A,[1]进仓汇总!A$1:G$65536,7,0)</f>
        <v>#N/A</v>
      </c>
      <c r="N482" s="26" t="s">
        <v>840</v>
      </c>
      <c r="O482" s="26"/>
    </row>
    <row r="483" spans="1:15">
      <c r="A483" s="37">
        <v>316010200</v>
      </c>
      <c r="B483" s="6" t="s">
        <v>849</v>
      </c>
      <c r="C483" s="24">
        <v>316010201</v>
      </c>
      <c r="D483" s="24" t="s">
        <v>842</v>
      </c>
      <c r="E483" s="24" t="s">
        <v>843</v>
      </c>
      <c r="F483" s="24">
        <v>1</v>
      </c>
      <c r="G483" s="24" t="s">
        <v>430</v>
      </c>
      <c r="H483" s="23" t="s">
        <v>108</v>
      </c>
      <c r="I483" s="24">
        <v>10</v>
      </c>
      <c r="J483" s="24">
        <v>15</v>
      </c>
      <c r="K483" s="25"/>
      <c r="L483" s="25"/>
      <c r="M483" s="25">
        <f>VLOOKUP(A:A,[1]进仓汇总!A$1:G$65536,7,0)</f>
        <v>0</v>
      </c>
      <c r="N483" s="26" t="s">
        <v>840</v>
      </c>
      <c r="O483" s="26"/>
    </row>
    <row r="484" spans="1:15">
      <c r="A484" s="39"/>
      <c r="B484" s="6" t="s">
        <v>849</v>
      </c>
      <c r="C484" s="24">
        <v>316010202</v>
      </c>
      <c r="D484" s="24" t="s">
        <v>844</v>
      </c>
      <c r="E484" s="24" t="s">
        <v>845</v>
      </c>
      <c r="F484" s="24">
        <v>1</v>
      </c>
      <c r="G484" s="24" t="s">
        <v>430</v>
      </c>
      <c r="H484" s="23" t="s">
        <v>110</v>
      </c>
      <c r="I484" s="24">
        <v>10</v>
      </c>
      <c r="J484" s="24">
        <v>15</v>
      </c>
      <c r="K484" s="25"/>
      <c r="L484" s="25"/>
      <c r="M484" s="25" t="e">
        <f>VLOOKUP(A:A,[1]进仓汇总!A$1:G$65536,7,0)</f>
        <v>#N/A</v>
      </c>
      <c r="N484" s="26" t="s">
        <v>840</v>
      </c>
      <c r="O484" s="26"/>
    </row>
    <row r="485" spans="1:15">
      <c r="A485" s="39"/>
      <c r="B485" s="6" t="s">
        <v>849</v>
      </c>
      <c r="C485" s="24">
        <v>316010203</v>
      </c>
      <c r="D485" s="24" t="s">
        <v>846</v>
      </c>
      <c r="E485" s="24" t="s">
        <v>845</v>
      </c>
      <c r="F485" s="24">
        <v>1</v>
      </c>
      <c r="G485" s="24" t="s">
        <v>430</v>
      </c>
      <c r="H485" s="23" t="s">
        <v>112</v>
      </c>
      <c r="I485" s="24">
        <v>10</v>
      </c>
      <c r="J485" s="24">
        <v>15</v>
      </c>
      <c r="K485" s="25"/>
      <c r="L485" s="25"/>
      <c r="M485" s="25" t="e">
        <f>VLOOKUP(A:A,[1]进仓汇总!A$1:G$65536,7,0)</f>
        <v>#N/A</v>
      </c>
      <c r="N485" s="26" t="s">
        <v>840</v>
      </c>
      <c r="O485" s="26"/>
    </row>
    <row r="486" spans="1:15">
      <c r="A486" s="39"/>
      <c r="B486" s="6" t="s">
        <v>849</v>
      </c>
      <c r="C486" s="24">
        <v>316010204</v>
      </c>
      <c r="D486" s="24" t="s">
        <v>847</v>
      </c>
      <c r="E486" s="24" t="s">
        <v>236</v>
      </c>
      <c r="F486" s="24">
        <v>1</v>
      </c>
      <c r="G486" s="24" t="s">
        <v>430</v>
      </c>
      <c r="H486" s="23" t="s">
        <v>114</v>
      </c>
      <c r="I486" s="24">
        <v>10</v>
      </c>
      <c r="J486" s="24">
        <v>15</v>
      </c>
      <c r="K486" s="25"/>
      <c r="L486" s="25"/>
      <c r="M486" s="25" t="e">
        <f>VLOOKUP(A:A,[1]进仓汇总!A$1:G$65536,7,0)</f>
        <v>#N/A</v>
      </c>
      <c r="N486" s="26" t="s">
        <v>840</v>
      </c>
      <c r="O486" s="26"/>
    </row>
    <row r="487" spans="1:15">
      <c r="A487" s="38"/>
      <c r="B487" s="6" t="s">
        <v>849</v>
      </c>
      <c r="C487" s="24">
        <v>316010205</v>
      </c>
      <c r="D487" s="24" t="s">
        <v>848</v>
      </c>
      <c r="E487" s="24" t="s">
        <v>236</v>
      </c>
      <c r="F487" s="24">
        <v>1</v>
      </c>
      <c r="G487" s="24" t="s">
        <v>430</v>
      </c>
      <c r="H487" s="23" t="s">
        <v>98</v>
      </c>
      <c r="I487" s="24">
        <v>10</v>
      </c>
      <c r="J487" s="24">
        <v>15</v>
      </c>
      <c r="K487" s="25"/>
      <c r="L487" s="25"/>
      <c r="M487" s="25" t="e">
        <f>VLOOKUP(A:A,[1]进仓汇总!A$1:G$65536,7,0)</f>
        <v>#N/A</v>
      </c>
      <c r="N487" s="26" t="s">
        <v>840</v>
      </c>
      <c r="O487" s="26"/>
    </row>
    <row r="488" spans="1:15">
      <c r="A488" s="37">
        <v>316010800</v>
      </c>
      <c r="B488" s="6" t="s">
        <v>850</v>
      </c>
      <c r="C488" s="24">
        <v>316010801</v>
      </c>
      <c r="D488" s="24" t="s">
        <v>842</v>
      </c>
      <c r="E488" s="24" t="s">
        <v>843</v>
      </c>
      <c r="F488" s="24">
        <v>1</v>
      </c>
      <c r="G488" s="24" t="s">
        <v>430</v>
      </c>
      <c r="H488" s="23" t="s">
        <v>108</v>
      </c>
      <c r="I488" s="24">
        <v>10</v>
      </c>
      <c r="J488" s="24">
        <v>15</v>
      </c>
      <c r="K488" s="25"/>
      <c r="L488" s="25"/>
      <c r="M488" s="25">
        <f>VLOOKUP(A:A,[1]进仓汇总!A$1:G$65536,7,0)</f>
        <v>0</v>
      </c>
      <c r="N488" s="26" t="s">
        <v>840</v>
      </c>
      <c r="O488" s="26"/>
    </row>
    <row r="489" spans="1:15">
      <c r="A489" s="39"/>
      <c r="B489" s="6" t="s">
        <v>850</v>
      </c>
      <c r="C489" s="24">
        <v>316010802</v>
      </c>
      <c r="D489" s="24" t="s">
        <v>844</v>
      </c>
      <c r="E489" s="24" t="s">
        <v>845</v>
      </c>
      <c r="F489" s="24">
        <v>1</v>
      </c>
      <c r="G489" s="24" t="s">
        <v>430</v>
      </c>
      <c r="H489" s="23" t="s">
        <v>110</v>
      </c>
      <c r="I489" s="24">
        <v>10</v>
      </c>
      <c r="J489" s="24">
        <v>15</v>
      </c>
      <c r="K489" s="25"/>
      <c r="L489" s="25"/>
      <c r="M489" s="25" t="e">
        <f>VLOOKUP(A:A,[1]进仓汇总!A$1:G$65536,7,0)</f>
        <v>#N/A</v>
      </c>
      <c r="N489" s="26" t="s">
        <v>840</v>
      </c>
      <c r="O489" s="26"/>
    </row>
    <row r="490" spans="1:15">
      <c r="A490" s="39"/>
      <c r="B490" s="6" t="s">
        <v>850</v>
      </c>
      <c r="C490" s="24">
        <v>316010803</v>
      </c>
      <c r="D490" s="24" t="s">
        <v>846</v>
      </c>
      <c r="E490" s="24" t="s">
        <v>845</v>
      </c>
      <c r="F490" s="24">
        <v>1</v>
      </c>
      <c r="G490" s="24" t="s">
        <v>430</v>
      </c>
      <c r="H490" s="23" t="s">
        <v>112</v>
      </c>
      <c r="I490" s="24">
        <v>10</v>
      </c>
      <c r="J490" s="24">
        <v>15</v>
      </c>
      <c r="K490" s="25"/>
      <c r="L490" s="25"/>
      <c r="M490" s="25" t="e">
        <f>VLOOKUP(A:A,[1]进仓汇总!A$1:G$65536,7,0)</f>
        <v>#N/A</v>
      </c>
      <c r="N490" s="26" t="s">
        <v>840</v>
      </c>
      <c r="O490" s="26"/>
    </row>
    <row r="491" spans="1:15">
      <c r="A491" s="39"/>
      <c r="B491" s="6" t="s">
        <v>850</v>
      </c>
      <c r="C491" s="24">
        <v>316010804</v>
      </c>
      <c r="D491" s="24" t="s">
        <v>847</v>
      </c>
      <c r="E491" s="24" t="s">
        <v>236</v>
      </c>
      <c r="F491" s="24">
        <v>1</v>
      </c>
      <c r="G491" s="24" t="s">
        <v>430</v>
      </c>
      <c r="H491" s="23" t="s">
        <v>114</v>
      </c>
      <c r="I491" s="24">
        <v>10</v>
      </c>
      <c r="J491" s="24">
        <v>15</v>
      </c>
      <c r="K491" s="25"/>
      <c r="L491" s="25"/>
      <c r="M491" s="25" t="e">
        <f>VLOOKUP(A:A,[1]进仓汇总!A$1:G$65536,7,0)</f>
        <v>#N/A</v>
      </c>
      <c r="N491" s="26" t="s">
        <v>840</v>
      </c>
      <c r="O491" s="26"/>
    </row>
    <row r="492" spans="1:15">
      <c r="A492" s="38"/>
      <c r="B492" s="6" t="s">
        <v>850</v>
      </c>
      <c r="C492" s="24">
        <v>316010805</v>
      </c>
      <c r="D492" s="24" t="s">
        <v>848</v>
      </c>
      <c r="E492" s="24" t="s">
        <v>236</v>
      </c>
      <c r="F492" s="24">
        <v>1</v>
      </c>
      <c r="G492" s="24" t="s">
        <v>430</v>
      </c>
      <c r="H492" s="23" t="s">
        <v>98</v>
      </c>
      <c r="I492" s="24">
        <v>10</v>
      </c>
      <c r="J492" s="24">
        <v>15</v>
      </c>
      <c r="K492" s="25"/>
      <c r="L492" s="25"/>
      <c r="M492" s="25" t="e">
        <f>VLOOKUP(A:A,[1]进仓汇总!A$1:G$65536,7,0)</f>
        <v>#N/A</v>
      </c>
      <c r="N492" s="26" t="s">
        <v>840</v>
      </c>
      <c r="O492" s="26"/>
    </row>
    <row r="493" spans="1:15">
      <c r="A493" s="37">
        <v>316010300</v>
      </c>
      <c r="B493" s="6" t="s">
        <v>851</v>
      </c>
      <c r="C493" s="24">
        <v>316010301</v>
      </c>
      <c r="D493" s="24" t="s">
        <v>842</v>
      </c>
      <c r="E493" s="24" t="s">
        <v>843</v>
      </c>
      <c r="F493" s="24">
        <v>1</v>
      </c>
      <c r="G493" s="24" t="s">
        <v>430</v>
      </c>
      <c r="H493" s="23" t="s">
        <v>108</v>
      </c>
      <c r="I493" s="24">
        <v>0</v>
      </c>
      <c r="J493" s="24"/>
      <c r="K493" s="25"/>
      <c r="L493" s="25"/>
      <c r="M493" s="25">
        <f>VLOOKUP(A:A,[1]进仓汇总!A$1:G$65536,7,0)</f>
        <v>0</v>
      </c>
      <c r="N493" s="26" t="s">
        <v>840</v>
      </c>
      <c r="O493" s="26"/>
    </row>
    <row r="494" spans="1:15">
      <c r="A494" s="39"/>
      <c r="B494" s="6" t="s">
        <v>851</v>
      </c>
      <c r="C494" s="24">
        <v>316010302</v>
      </c>
      <c r="D494" s="24" t="s">
        <v>844</v>
      </c>
      <c r="E494" s="24" t="s">
        <v>845</v>
      </c>
      <c r="F494" s="24">
        <v>1</v>
      </c>
      <c r="G494" s="24" t="s">
        <v>430</v>
      </c>
      <c r="H494" s="23" t="s">
        <v>110</v>
      </c>
      <c r="I494" s="24">
        <v>0</v>
      </c>
      <c r="J494" s="24"/>
      <c r="K494" s="25"/>
      <c r="L494" s="25"/>
      <c r="M494" s="25" t="e">
        <f>VLOOKUP(A:A,[1]进仓汇总!A$1:G$65536,7,0)</f>
        <v>#N/A</v>
      </c>
      <c r="N494" s="26" t="s">
        <v>840</v>
      </c>
      <c r="O494" s="26"/>
    </row>
    <row r="495" spans="1:15">
      <c r="A495" s="39"/>
      <c r="B495" s="6" t="s">
        <v>851</v>
      </c>
      <c r="C495" s="24">
        <v>316010303</v>
      </c>
      <c r="D495" s="24" t="s">
        <v>846</v>
      </c>
      <c r="E495" s="24" t="s">
        <v>845</v>
      </c>
      <c r="F495" s="24">
        <v>1</v>
      </c>
      <c r="G495" s="24" t="s">
        <v>430</v>
      </c>
      <c r="H495" s="23" t="s">
        <v>112</v>
      </c>
      <c r="I495" s="24">
        <v>0</v>
      </c>
      <c r="J495" s="24"/>
      <c r="K495" s="25"/>
      <c r="L495" s="25"/>
      <c r="M495" s="25" t="e">
        <f>VLOOKUP(A:A,[1]进仓汇总!A$1:G$65536,7,0)</f>
        <v>#N/A</v>
      </c>
      <c r="N495" s="26" t="s">
        <v>840</v>
      </c>
      <c r="O495" s="26"/>
    </row>
    <row r="496" spans="1:15">
      <c r="A496" s="39"/>
      <c r="B496" s="6" t="s">
        <v>851</v>
      </c>
      <c r="C496" s="24">
        <v>316010304</v>
      </c>
      <c r="D496" s="24" t="s">
        <v>847</v>
      </c>
      <c r="E496" s="24" t="s">
        <v>236</v>
      </c>
      <c r="F496" s="24">
        <v>1</v>
      </c>
      <c r="G496" s="24" t="s">
        <v>430</v>
      </c>
      <c r="H496" s="23" t="s">
        <v>114</v>
      </c>
      <c r="I496" s="24">
        <v>0</v>
      </c>
      <c r="J496" s="24"/>
      <c r="K496" s="25"/>
      <c r="L496" s="25"/>
      <c r="M496" s="25" t="e">
        <f>VLOOKUP(A:A,[1]进仓汇总!A$1:G$65536,7,0)</f>
        <v>#N/A</v>
      </c>
      <c r="N496" s="26" t="s">
        <v>840</v>
      </c>
      <c r="O496" s="26"/>
    </row>
    <row r="497" spans="1:15">
      <c r="A497" s="38"/>
      <c r="B497" s="6" t="s">
        <v>851</v>
      </c>
      <c r="C497" s="24">
        <v>316010305</v>
      </c>
      <c r="D497" s="24" t="s">
        <v>848</v>
      </c>
      <c r="E497" s="24" t="s">
        <v>236</v>
      </c>
      <c r="F497" s="24">
        <v>1</v>
      </c>
      <c r="G497" s="24" t="s">
        <v>430</v>
      </c>
      <c r="H497" s="23" t="s">
        <v>98</v>
      </c>
      <c r="I497" s="24">
        <v>0</v>
      </c>
      <c r="J497" s="24"/>
      <c r="K497" s="25"/>
      <c r="L497" s="25"/>
      <c r="M497" s="25" t="e">
        <f>VLOOKUP(A:A,[1]进仓汇总!A$1:G$65536,7,0)</f>
        <v>#N/A</v>
      </c>
      <c r="N497" s="26" t="s">
        <v>840</v>
      </c>
      <c r="O497" s="26"/>
    </row>
    <row r="498" spans="1:15">
      <c r="A498" s="37">
        <v>316010400</v>
      </c>
      <c r="B498" s="6" t="s">
        <v>852</v>
      </c>
      <c r="C498" s="24">
        <v>316010401</v>
      </c>
      <c r="D498" s="24" t="s">
        <v>842</v>
      </c>
      <c r="E498" s="24" t="s">
        <v>853</v>
      </c>
      <c r="F498" s="24">
        <v>1</v>
      </c>
      <c r="G498" s="24" t="s">
        <v>430</v>
      </c>
      <c r="H498" s="23" t="s">
        <v>83</v>
      </c>
      <c r="I498" s="24">
        <v>0</v>
      </c>
      <c r="J498" s="24"/>
      <c r="K498" s="25"/>
      <c r="L498" s="25"/>
      <c r="M498" s="25">
        <f>VLOOKUP(A:A,[1]进仓汇总!A$1:G$65536,7,0)</f>
        <v>0</v>
      </c>
      <c r="N498" s="26" t="s">
        <v>840</v>
      </c>
      <c r="O498" s="26"/>
    </row>
    <row r="499" spans="1:15">
      <c r="A499" s="39"/>
      <c r="B499" s="6" t="s">
        <v>852</v>
      </c>
      <c r="C499" s="24">
        <v>316010402</v>
      </c>
      <c r="D499" s="24" t="s">
        <v>844</v>
      </c>
      <c r="E499" s="24" t="s">
        <v>854</v>
      </c>
      <c r="F499" s="24">
        <v>1</v>
      </c>
      <c r="G499" s="24" t="s">
        <v>430</v>
      </c>
      <c r="H499" s="23" t="s">
        <v>87</v>
      </c>
      <c r="I499" s="24" t="e">
        <f>+VLOOKUP(A:A,[1]安全库存!A$1:I$65536,9,0)</f>
        <v>#N/A</v>
      </c>
      <c r="J499" s="24"/>
      <c r="K499" s="25"/>
      <c r="L499" s="25"/>
      <c r="M499" s="25" t="e">
        <f>VLOOKUP(A:A,[1]进仓汇总!A$1:G$65536,7,0)</f>
        <v>#N/A</v>
      </c>
      <c r="N499" s="26" t="s">
        <v>840</v>
      </c>
      <c r="O499" s="26"/>
    </row>
    <row r="500" spans="1:15">
      <c r="A500" s="39"/>
      <c r="B500" s="6" t="s">
        <v>852</v>
      </c>
      <c r="C500" s="24">
        <v>316010403</v>
      </c>
      <c r="D500" s="24" t="s">
        <v>855</v>
      </c>
      <c r="E500" s="24" t="s">
        <v>236</v>
      </c>
      <c r="F500" s="24">
        <v>1</v>
      </c>
      <c r="G500" s="24" t="s">
        <v>430</v>
      </c>
      <c r="H500" s="23" t="s">
        <v>90</v>
      </c>
      <c r="I500" s="24" t="e">
        <f>+VLOOKUP(A:A,[1]安全库存!A$1:I$65536,9,0)</f>
        <v>#N/A</v>
      </c>
      <c r="J500" s="24"/>
      <c r="K500" s="25"/>
      <c r="L500" s="25"/>
      <c r="M500" s="25" t="e">
        <f>VLOOKUP(A:A,[1]进仓汇总!A$1:G$65536,7,0)</f>
        <v>#N/A</v>
      </c>
      <c r="N500" s="26" t="s">
        <v>840</v>
      </c>
      <c r="O500" s="26"/>
    </row>
    <row r="501" spans="1:15">
      <c r="A501" s="39"/>
      <c r="B501" s="6" t="s">
        <v>852</v>
      </c>
      <c r="C501" s="24">
        <v>316010404</v>
      </c>
      <c r="D501" s="24" t="s">
        <v>848</v>
      </c>
      <c r="E501" s="24" t="s">
        <v>236</v>
      </c>
      <c r="F501" s="24">
        <v>1</v>
      </c>
      <c r="G501" s="24" t="s">
        <v>430</v>
      </c>
      <c r="H501" s="23" t="s">
        <v>95</v>
      </c>
      <c r="I501" s="24" t="e">
        <f>+VLOOKUP(A:A,[1]安全库存!A$1:I$65536,9,0)</f>
        <v>#N/A</v>
      </c>
      <c r="J501" s="24"/>
      <c r="K501" s="25"/>
      <c r="L501" s="25"/>
      <c r="M501" s="25" t="e">
        <f>VLOOKUP(A:A,[1]进仓汇总!A$1:G$65536,7,0)</f>
        <v>#N/A</v>
      </c>
      <c r="N501" s="26" t="s">
        <v>840</v>
      </c>
      <c r="O501" s="26"/>
    </row>
    <row r="502" spans="1:15">
      <c r="A502" s="38"/>
      <c r="B502" s="6" t="s">
        <v>852</v>
      </c>
      <c r="C502" s="24">
        <v>316010405</v>
      </c>
      <c r="D502" s="24"/>
      <c r="E502" s="24"/>
      <c r="F502" s="24"/>
      <c r="G502" s="24" t="s">
        <v>430</v>
      </c>
      <c r="H502" s="23"/>
      <c r="I502" s="24" t="e">
        <f>+VLOOKUP(A:A,[1]安全库存!A$1:I$65536,9,0)</f>
        <v>#N/A</v>
      </c>
      <c r="J502" s="24"/>
      <c r="K502" s="25"/>
      <c r="L502" s="25"/>
      <c r="M502" s="25" t="e">
        <f>VLOOKUP(A:A,[1]进仓汇总!A$1:G$65536,7,0)</f>
        <v>#N/A</v>
      </c>
      <c r="N502" s="26" t="s">
        <v>840</v>
      </c>
      <c r="O502" s="26"/>
    </row>
    <row r="503" spans="1:15">
      <c r="A503" s="37">
        <v>316010500</v>
      </c>
      <c r="B503" s="6" t="s">
        <v>856</v>
      </c>
      <c r="C503" s="24">
        <v>316010501</v>
      </c>
      <c r="D503" s="24" t="s">
        <v>842</v>
      </c>
      <c r="E503" s="24" t="s">
        <v>853</v>
      </c>
      <c r="F503" s="24">
        <v>1</v>
      </c>
      <c r="G503" s="24" t="s">
        <v>430</v>
      </c>
      <c r="H503" s="23" t="s">
        <v>83</v>
      </c>
      <c r="I503" s="24">
        <v>10</v>
      </c>
      <c r="J503" s="24">
        <v>15</v>
      </c>
      <c r="K503" s="25"/>
      <c r="L503" s="25"/>
      <c r="M503" s="25">
        <f>VLOOKUP(A:A,[1]进仓汇总!A$1:G$65536,7,0)</f>
        <v>0</v>
      </c>
      <c r="N503" s="26" t="s">
        <v>840</v>
      </c>
      <c r="O503" s="26"/>
    </row>
    <row r="504" spans="1:15">
      <c r="A504" s="39"/>
      <c r="B504" s="6" t="s">
        <v>856</v>
      </c>
      <c r="C504" s="24">
        <v>316010502</v>
      </c>
      <c r="D504" s="24" t="s">
        <v>844</v>
      </c>
      <c r="E504" s="24" t="s">
        <v>854</v>
      </c>
      <c r="F504" s="24">
        <v>1</v>
      </c>
      <c r="G504" s="24" t="s">
        <v>430</v>
      </c>
      <c r="H504" s="23" t="s">
        <v>87</v>
      </c>
      <c r="I504" s="24">
        <v>10</v>
      </c>
      <c r="J504" s="24">
        <v>15</v>
      </c>
      <c r="K504" s="25"/>
      <c r="L504" s="25"/>
      <c r="M504" s="25" t="e">
        <f>VLOOKUP(A:A,[1]进仓汇总!A$1:G$65536,7,0)</f>
        <v>#N/A</v>
      </c>
      <c r="N504" s="26" t="s">
        <v>840</v>
      </c>
      <c r="O504" s="26"/>
    </row>
    <row r="505" spans="1:15">
      <c r="A505" s="39"/>
      <c r="B505" s="6" t="s">
        <v>856</v>
      </c>
      <c r="C505" s="24">
        <v>316010503</v>
      </c>
      <c r="D505" s="24" t="s">
        <v>855</v>
      </c>
      <c r="E505" s="24" t="s">
        <v>236</v>
      </c>
      <c r="F505" s="24">
        <v>1</v>
      </c>
      <c r="G505" s="24" t="s">
        <v>430</v>
      </c>
      <c r="H505" s="23" t="s">
        <v>90</v>
      </c>
      <c r="I505" s="24">
        <v>10</v>
      </c>
      <c r="J505" s="24">
        <v>15</v>
      </c>
      <c r="K505" s="25"/>
      <c r="L505" s="25"/>
      <c r="M505" s="25" t="e">
        <f>VLOOKUP(A:A,[1]进仓汇总!A$1:G$65536,7,0)</f>
        <v>#N/A</v>
      </c>
      <c r="N505" s="26" t="s">
        <v>840</v>
      </c>
      <c r="O505" s="26"/>
    </row>
    <row r="506" spans="1:15">
      <c r="A506" s="39"/>
      <c r="B506" s="6" t="s">
        <v>856</v>
      </c>
      <c r="C506" s="24">
        <v>316010504</v>
      </c>
      <c r="D506" s="24" t="s">
        <v>848</v>
      </c>
      <c r="E506" s="24" t="s">
        <v>236</v>
      </c>
      <c r="F506" s="24">
        <v>1</v>
      </c>
      <c r="G506" s="24" t="s">
        <v>430</v>
      </c>
      <c r="H506" s="23" t="s">
        <v>95</v>
      </c>
      <c r="I506" s="24">
        <v>10</v>
      </c>
      <c r="J506" s="24">
        <v>15</v>
      </c>
      <c r="K506" s="25"/>
      <c r="L506" s="25"/>
      <c r="M506" s="25" t="e">
        <f>VLOOKUP(A:A,[1]进仓汇总!A$1:G$65536,7,0)</f>
        <v>#N/A</v>
      </c>
      <c r="N506" s="26" t="s">
        <v>840</v>
      </c>
      <c r="O506" s="26"/>
    </row>
    <row r="507" spans="1:15">
      <c r="A507" s="38"/>
      <c r="B507" s="6" t="s">
        <v>856</v>
      </c>
      <c r="C507" s="24">
        <v>316010505</v>
      </c>
      <c r="D507" s="24" t="s">
        <v>857</v>
      </c>
      <c r="E507" s="24"/>
      <c r="F507" s="24">
        <v>1</v>
      </c>
      <c r="G507" s="24" t="s">
        <v>430</v>
      </c>
      <c r="H507" s="23" t="s">
        <v>858</v>
      </c>
      <c r="I507" s="24">
        <v>10</v>
      </c>
      <c r="J507" s="24">
        <v>15</v>
      </c>
      <c r="K507" s="25"/>
      <c r="L507" s="25"/>
      <c r="M507" s="25" t="e">
        <f>VLOOKUP(A:A,[1]进仓汇总!A$1:G$65536,7,0)</f>
        <v>#N/A</v>
      </c>
      <c r="N507" s="26" t="s">
        <v>840</v>
      </c>
      <c r="O507" s="26"/>
    </row>
    <row r="508" spans="1:15">
      <c r="A508" s="37">
        <v>316010700</v>
      </c>
      <c r="B508" s="6" t="s">
        <v>859</v>
      </c>
      <c r="C508" s="24">
        <v>316010701</v>
      </c>
      <c r="D508" s="24" t="s">
        <v>842</v>
      </c>
      <c r="E508" s="24" t="s">
        <v>853</v>
      </c>
      <c r="F508" s="24">
        <v>1</v>
      </c>
      <c r="G508" s="24" t="s">
        <v>430</v>
      </c>
      <c r="H508" s="23" t="s">
        <v>83</v>
      </c>
      <c r="I508" s="24">
        <v>10</v>
      </c>
      <c r="J508" s="24">
        <v>15</v>
      </c>
      <c r="K508" s="25"/>
      <c r="L508" s="25"/>
      <c r="M508" s="25">
        <f>VLOOKUP(A:A,[1]进仓汇总!A$1:G$65536,7,0)</f>
        <v>0</v>
      </c>
      <c r="N508" s="26" t="s">
        <v>840</v>
      </c>
      <c r="O508" s="26"/>
    </row>
    <row r="509" spans="1:15">
      <c r="A509" s="39"/>
      <c r="B509" s="6" t="s">
        <v>859</v>
      </c>
      <c r="C509" s="24">
        <v>316010702</v>
      </c>
      <c r="D509" s="24" t="s">
        <v>844</v>
      </c>
      <c r="E509" s="24" t="s">
        <v>854</v>
      </c>
      <c r="F509" s="24">
        <v>1</v>
      </c>
      <c r="G509" s="24" t="s">
        <v>430</v>
      </c>
      <c r="H509" s="23" t="s">
        <v>87</v>
      </c>
      <c r="I509" s="24">
        <v>10</v>
      </c>
      <c r="J509" s="24">
        <v>15</v>
      </c>
      <c r="K509" s="25"/>
      <c r="L509" s="25"/>
      <c r="M509" s="25" t="e">
        <f>VLOOKUP(A:A,[1]进仓汇总!A$1:G$65536,7,0)</f>
        <v>#N/A</v>
      </c>
      <c r="N509" s="26" t="s">
        <v>840</v>
      </c>
      <c r="O509" s="26"/>
    </row>
    <row r="510" spans="1:15">
      <c r="A510" s="39"/>
      <c r="B510" s="6" t="s">
        <v>859</v>
      </c>
      <c r="C510" s="24">
        <v>316010703</v>
      </c>
      <c r="D510" s="24" t="s">
        <v>855</v>
      </c>
      <c r="E510" s="24" t="s">
        <v>236</v>
      </c>
      <c r="F510" s="24">
        <v>1</v>
      </c>
      <c r="G510" s="24" t="s">
        <v>430</v>
      </c>
      <c r="H510" s="23" t="s">
        <v>90</v>
      </c>
      <c r="I510" s="24">
        <v>10</v>
      </c>
      <c r="J510" s="24">
        <v>15</v>
      </c>
      <c r="K510" s="25"/>
      <c r="L510" s="25"/>
      <c r="M510" s="25" t="e">
        <f>VLOOKUP(A:A,[1]进仓汇总!A$1:G$65536,7,0)</f>
        <v>#N/A</v>
      </c>
      <c r="N510" s="26" t="s">
        <v>840</v>
      </c>
      <c r="O510" s="26"/>
    </row>
    <row r="511" spans="1:15">
      <c r="A511" s="39"/>
      <c r="B511" s="6" t="s">
        <v>859</v>
      </c>
      <c r="C511" s="24">
        <v>316010704</v>
      </c>
      <c r="D511" s="24" t="s">
        <v>848</v>
      </c>
      <c r="E511" s="24" t="s">
        <v>236</v>
      </c>
      <c r="F511" s="24">
        <v>1</v>
      </c>
      <c r="G511" s="24" t="s">
        <v>430</v>
      </c>
      <c r="H511" s="23" t="s">
        <v>95</v>
      </c>
      <c r="I511" s="24">
        <v>10</v>
      </c>
      <c r="J511" s="24">
        <v>15</v>
      </c>
      <c r="K511" s="25"/>
      <c r="L511" s="25"/>
      <c r="M511" s="25" t="e">
        <f>VLOOKUP(A:A,[1]进仓汇总!A$1:G$65536,7,0)</f>
        <v>#N/A</v>
      </c>
      <c r="N511" s="26" t="s">
        <v>840</v>
      </c>
      <c r="O511" s="26"/>
    </row>
    <row r="512" spans="1:15">
      <c r="A512" s="38"/>
      <c r="B512" s="6" t="s">
        <v>859</v>
      </c>
      <c r="C512" s="24">
        <v>316010705</v>
      </c>
      <c r="D512" s="24" t="s">
        <v>857</v>
      </c>
      <c r="E512" s="24"/>
      <c r="F512" s="24">
        <v>1</v>
      </c>
      <c r="G512" s="24" t="s">
        <v>430</v>
      </c>
      <c r="H512" s="23" t="s">
        <v>858</v>
      </c>
      <c r="I512" s="24">
        <v>10</v>
      </c>
      <c r="J512" s="24">
        <v>15</v>
      </c>
      <c r="K512" s="25"/>
      <c r="L512" s="25"/>
      <c r="M512" s="25" t="e">
        <f>VLOOKUP(A:A,[1]进仓汇总!A$1:G$65536,7,0)</f>
        <v>#N/A</v>
      </c>
      <c r="N512" s="26" t="s">
        <v>840</v>
      </c>
      <c r="O512" s="26"/>
    </row>
    <row r="513" spans="1:15">
      <c r="A513" s="37">
        <v>316010600</v>
      </c>
      <c r="B513" s="6" t="s">
        <v>860</v>
      </c>
      <c r="C513" s="24">
        <v>316010601</v>
      </c>
      <c r="D513" s="24" t="s">
        <v>842</v>
      </c>
      <c r="E513" s="24" t="s">
        <v>853</v>
      </c>
      <c r="F513" s="24">
        <v>1</v>
      </c>
      <c r="G513" s="24" t="s">
        <v>430</v>
      </c>
      <c r="H513" s="23" t="s">
        <v>83</v>
      </c>
      <c r="I513" s="24">
        <v>0</v>
      </c>
      <c r="J513" s="24"/>
      <c r="K513" s="25"/>
      <c r="L513" s="25"/>
      <c r="M513" s="25">
        <f>VLOOKUP(A:A,[1]进仓汇总!A$1:G$65536,7,0)</f>
        <v>0</v>
      </c>
      <c r="N513" s="26" t="s">
        <v>840</v>
      </c>
      <c r="O513" s="26"/>
    </row>
    <row r="514" spans="1:15">
      <c r="A514" s="39"/>
      <c r="B514" s="6" t="s">
        <v>860</v>
      </c>
      <c r="C514" s="24">
        <v>316010602</v>
      </c>
      <c r="D514" s="24" t="s">
        <v>844</v>
      </c>
      <c r="E514" s="24" t="s">
        <v>854</v>
      </c>
      <c r="F514" s="24">
        <v>1</v>
      </c>
      <c r="G514" s="24" t="s">
        <v>430</v>
      </c>
      <c r="H514" s="23" t="s">
        <v>87</v>
      </c>
      <c r="I514" s="24">
        <v>0</v>
      </c>
      <c r="J514" s="24"/>
      <c r="K514" s="25"/>
      <c r="L514" s="25"/>
      <c r="M514" s="25" t="e">
        <f>VLOOKUP(A:A,[1]进仓汇总!A$1:G$65536,7,0)</f>
        <v>#N/A</v>
      </c>
      <c r="N514" s="26" t="s">
        <v>840</v>
      </c>
      <c r="O514" s="26"/>
    </row>
    <row r="515" spans="1:15">
      <c r="A515" s="39"/>
      <c r="B515" s="6" t="s">
        <v>860</v>
      </c>
      <c r="C515" s="24">
        <v>316010603</v>
      </c>
      <c r="D515" s="24" t="s">
        <v>855</v>
      </c>
      <c r="E515" s="24" t="s">
        <v>236</v>
      </c>
      <c r="F515" s="24">
        <v>1</v>
      </c>
      <c r="G515" s="24" t="s">
        <v>430</v>
      </c>
      <c r="H515" s="23" t="s">
        <v>90</v>
      </c>
      <c r="I515" s="24">
        <v>0</v>
      </c>
      <c r="J515" s="24"/>
      <c r="K515" s="25"/>
      <c r="L515" s="25"/>
      <c r="M515" s="25" t="e">
        <f>VLOOKUP(A:A,[1]进仓汇总!A$1:G$65536,7,0)</f>
        <v>#N/A</v>
      </c>
      <c r="N515" s="26" t="s">
        <v>840</v>
      </c>
      <c r="O515" s="26"/>
    </row>
    <row r="516" spans="1:15">
      <c r="A516" s="39"/>
      <c r="B516" s="6" t="s">
        <v>860</v>
      </c>
      <c r="C516" s="24">
        <v>316010604</v>
      </c>
      <c r="D516" s="24" t="s">
        <v>848</v>
      </c>
      <c r="E516" s="24" t="s">
        <v>236</v>
      </c>
      <c r="F516" s="24">
        <v>1</v>
      </c>
      <c r="G516" s="24" t="s">
        <v>430</v>
      </c>
      <c r="H516" s="23" t="s">
        <v>95</v>
      </c>
      <c r="I516" s="24">
        <v>0</v>
      </c>
      <c r="J516" s="24"/>
      <c r="K516" s="25"/>
      <c r="L516" s="25"/>
      <c r="M516" s="25" t="e">
        <f>VLOOKUP(A:A,[1]进仓汇总!A$1:G$65536,7,0)</f>
        <v>#N/A</v>
      </c>
      <c r="N516" s="26" t="s">
        <v>840</v>
      </c>
      <c r="O516" s="26"/>
    </row>
    <row r="517" spans="1:15">
      <c r="A517" s="38"/>
      <c r="B517" s="6" t="s">
        <v>860</v>
      </c>
      <c r="C517" s="24">
        <v>316010605</v>
      </c>
      <c r="D517" s="24"/>
      <c r="E517" s="24"/>
      <c r="F517" s="24"/>
      <c r="G517" s="24" t="s">
        <v>430</v>
      </c>
      <c r="H517" s="23"/>
      <c r="I517" s="24">
        <v>0</v>
      </c>
      <c r="J517" s="24"/>
      <c r="K517" s="25"/>
      <c r="L517" s="25"/>
      <c r="M517" s="25" t="e">
        <f>VLOOKUP(A:A,[1]进仓汇总!A$1:G$65536,7,0)</f>
        <v>#N/A</v>
      </c>
      <c r="N517" s="26" t="s">
        <v>840</v>
      </c>
      <c r="O517" s="26"/>
    </row>
    <row r="518" spans="1:15">
      <c r="A518" s="37">
        <v>316020100</v>
      </c>
      <c r="B518" s="6" t="s">
        <v>861</v>
      </c>
      <c r="C518" s="24">
        <v>316020101</v>
      </c>
      <c r="D518" s="24" t="s">
        <v>862</v>
      </c>
      <c r="E518" s="24" t="s">
        <v>845</v>
      </c>
      <c r="F518" s="24">
        <v>1</v>
      </c>
      <c r="G518" s="24" t="s">
        <v>430</v>
      </c>
      <c r="H518" s="23" t="s">
        <v>863</v>
      </c>
      <c r="I518" s="24">
        <v>10</v>
      </c>
      <c r="J518" s="24">
        <v>15</v>
      </c>
      <c r="K518" s="25"/>
      <c r="L518" s="25"/>
      <c r="M518" s="25">
        <f>VLOOKUP(A:A,[1]进仓汇总!A$1:G$65536,7,0)</f>
        <v>0</v>
      </c>
      <c r="N518" s="26" t="s">
        <v>840</v>
      </c>
      <c r="O518" s="26"/>
    </row>
    <row r="519" spans="1:15">
      <c r="A519" s="38"/>
      <c r="B519" s="6" t="s">
        <v>861</v>
      </c>
      <c r="C519" s="24">
        <v>316020102</v>
      </c>
      <c r="D519" s="24" t="s">
        <v>864</v>
      </c>
      <c r="E519" s="24" t="s">
        <v>236</v>
      </c>
      <c r="F519" s="24">
        <v>1</v>
      </c>
      <c r="G519" s="24" t="s">
        <v>430</v>
      </c>
      <c r="H519" s="23" t="s">
        <v>865</v>
      </c>
      <c r="I519" s="24">
        <v>10</v>
      </c>
      <c r="J519" s="24">
        <v>15</v>
      </c>
      <c r="K519" s="25"/>
      <c r="L519" s="25"/>
      <c r="M519" s="25" t="e">
        <f>VLOOKUP(A:A,[1]进仓汇总!A$1:G$65536,7,0)</f>
        <v>#N/A</v>
      </c>
      <c r="N519" s="26" t="s">
        <v>840</v>
      </c>
      <c r="O519" s="26"/>
    </row>
    <row r="520" spans="1:15">
      <c r="A520" s="37">
        <v>316020200</v>
      </c>
      <c r="B520" s="6" t="s">
        <v>866</v>
      </c>
      <c r="C520" s="24">
        <v>316020201</v>
      </c>
      <c r="D520" s="24" t="s">
        <v>867</v>
      </c>
      <c r="E520" s="24" t="s">
        <v>854</v>
      </c>
      <c r="F520" s="24">
        <v>1</v>
      </c>
      <c r="G520" s="24" t="s">
        <v>430</v>
      </c>
      <c r="H520" s="23" t="s">
        <v>863</v>
      </c>
      <c r="I520" s="24">
        <v>10</v>
      </c>
      <c r="J520" s="24">
        <v>15</v>
      </c>
      <c r="K520" s="25"/>
      <c r="L520" s="25"/>
      <c r="M520" s="25">
        <f>VLOOKUP(A:A,[1]进仓汇总!A$1:G$65536,7,0)</f>
        <v>0</v>
      </c>
      <c r="N520" s="26" t="s">
        <v>840</v>
      </c>
      <c r="O520" s="26"/>
    </row>
    <row r="521" spans="1:15">
      <c r="A521" s="38"/>
      <c r="B521" s="6" t="s">
        <v>866</v>
      </c>
      <c r="C521" s="24">
        <v>316020202</v>
      </c>
      <c r="D521" s="24" t="s">
        <v>864</v>
      </c>
      <c r="E521" s="24" t="s">
        <v>236</v>
      </c>
      <c r="F521" s="24">
        <v>1</v>
      </c>
      <c r="G521" s="24" t="s">
        <v>430</v>
      </c>
      <c r="H521" s="23" t="s">
        <v>865</v>
      </c>
      <c r="I521" s="24">
        <v>10</v>
      </c>
      <c r="J521" s="24">
        <v>15</v>
      </c>
      <c r="K521" s="25"/>
      <c r="L521" s="25"/>
      <c r="M521" s="25" t="e">
        <f>VLOOKUP(A:A,[1]进仓汇总!A$1:G$65536,7,0)</f>
        <v>#N/A</v>
      </c>
      <c r="N521" s="26" t="s">
        <v>840</v>
      </c>
      <c r="O521" s="26"/>
    </row>
    <row r="522" spans="1:15">
      <c r="A522" s="37">
        <v>316020300</v>
      </c>
      <c r="B522" s="6" t="s">
        <v>868</v>
      </c>
      <c r="C522" s="24">
        <v>316020301</v>
      </c>
      <c r="D522" s="24" t="s">
        <v>869</v>
      </c>
      <c r="E522" s="24" t="s">
        <v>870</v>
      </c>
      <c r="F522" s="24">
        <v>1</v>
      </c>
      <c r="G522" s="24" t="s">
        <v>430</v>
      </c>
      <c r="H522" s="23" t="s">
        <v>863</v>
      </c>
      <c r="I522" s="24">
        <v>10</v>
      </c>
      <c r="J522" s="24">
        <v>15</v>
      </c>
      <c r="K522" s="25"/>
      <c r="L522" s="25"/>
      <c r="M522" s="25">
        <f>VLOOKUP(A:A,[1]进仓汇总!A$1:G$65536,7,0)</f>
        <v>0</v>
      </c>
      <c r="N522" s="26" t="s">
        <v>840</v>
      </c>
      <c r="O522" s="26"/>
    </row>
    <row r="523" spans="1:15">
      <c r="A523" s="38"/>
      <c r="B523" s="6" t="s">
        <v>868</v>
      </c>
      <c r="C523" s="24">
        <v>316020302</v>
      </c>
      <c r="D523" s="24" t="s">
        <v>864</v>
      </c>
      <c r="E523" s="24" t="s">
        <v>236</v>
      </c>
      <c r="F523" s="24">
        <v>1</v>
      </c>
      <c r="G523" s="24" t="s">
        <v>430</v>
      </c>
      <c r="H523" s="23" t="s">
        <v>865</v>
      </c>
      <c r="I523" s="24">
        <v>10</v>
      </c>
      <c r="J523" s="24">
        <v>15</v>
      </c>
      <c r="K523" s="25"/>
      <c r="L523" s="25"/>
      <c r="M523" s="25" t="e">
        <f>VLOOKUP(A:A,[1]进仓汇总!A$1:G$65536,7,0)</f>
        <v>#N/A</v>
      </c>
      <c r="N523" s="26" t="s">
        <v>840</v>
      </c>
      <c r="O523" s="26"/>
    </row>
    <row r="524" spans="1:15">
      <c r="A524" s="37">
        <v>316020400</v>
      </c>
      <c r="B524" s="6" t="s">
        <v>871</v>
      </c>
      <c r="C524" s="24">
        <v>316020401</v>
      </c>
      <c r="D524" s="24" t="s">
        <v>869</v>
      </c>
      <c r="E524" s="24" t="s">
        <v>853</v>
      </c>
      <c r="F524" s="24">
        <v>1</v>
      </c>
      <c r="G524" s="24" t="s">
        <v>430</v>
      </c>
      <c r="H524" s="23" t="s">
        <v>863</v>
      </c>
      <c r="I524" s="24">
        <v>10</v>
      </c>
      <c r="J524" s="24">
        <v>15</v>
      </c>
      <c r="K524" s="25"/>
      <c r="L524" s="25">
        <v>220</v>
      </c>
      <c r="M524" s="25">
        <f>VLOOKUP(A:A,[1]进仓汇总!A$1:G$65536,7,0)</f>
        <v>0</v>
      </c>
      <c r="N524" s="26" t="s">
        <v>840</v>
      </c>
      <c r="O524" s="26"/>
    </row>
    <row r="525" spans="1:15">
      <c r="A525" s="38"/>
      <c r="B525" s="6" t="s">
        <v>871</v>
      </c>
      <c r="C525" s="24">
        <v>316020402</v>
      </c>
      <c r="D525" s="24" t="s">
        <v>864</v>
      </c>
      <c r="E525" s="24" t="s">
        <v>236</v>
      </c>
      <c r="F525" s="24">
        <v>1</v>
      </c>
      <c r="G525" s="24" t="s">
        <v>430</v>
      </c>
      <c r="H525" s="23" t="s">
        <v>865</v>
      </c>
      <c r="I525" s="24">
        <v>10</v>
      </c>
      <c r="J525" s="24">
        <v>15</v>
      </c>
      <c r="K525" s="25"/>
      <c r="L525" s="25">
        <v>0</v>
      </c>
      <c r="M525" s="25" t="e">
        <f>VLOOKUP(A:A,[1]进仓汇总!A$1:G$65536,7,0)</f>
        <v>#N/A</v>
      </c>
      <c r="N525" s="26" t="s">
        <v>840</v>
      </c>
      <c r="O525" s="26"/>
    </row>
    <row r="526" spans="1:15">
      <c r="A526" s="37">
        <v>316030100</v>
      </c>
      <c r="B526" s="6" t="s">
        <v>872</v>
      </c>
      <c r="C526" s="24">
        <v>316030101</v>
      </c>
      <c r="D526" s="24" t="s">
        <v>873</v>
      </c>
      <c r="E526" s="24" t="s">
        <v>874</v>
      </c>
      <c r="F526" s="24">
        <v>1</v>
      </c>
      <c r="G526" s="24" t="s">
        <v>430</v>
      </c>
      <c r="H526" s="23" t="s">
        <v>875</v>
      </c>
      <c r="I526" s="24">
        <v>0</v>
      </c>
      <c r="J526" s="24"/>
      <c r="K526" s="25"/>
      <c r="L526" s="25"/>
      <c r="M526" s="25">
        <f>VLOOKUP(A:A,[1]进仓汇总!A$1:G$65536,7,0)</f>
        <v>0</v>
      </c>
      <c r="N526" s="26" t="s">
        <v>840</v>
      </c>
      <c r="O526" s="26"/>
    </row>
    <row r="527" spans="1:15">
      <c r="A527" s="39"/>
      <c r="B527" s="6" t="s">
        <v>872</v>
      </c>
      <c r="C527" s="24">
        <v>316030102</v>
      </c>
      <c r="D527" s="24" t="s">
        <v>876</v>
      </c>
      <c r="E527" s="24" t="s">
        <v>236</v>
      </c>
      <c r="F527" s="24">
        <v>1</v>
      </c>
      <c r="G527" s="24" t="s">
        <v>430</v>
      </c>
      <c r="H527" s="23" t="s">
        <v>156</v>
      </c>
      <c r="I527" s="24">
        <v>0</v>
      </c>
      <c r="J527" s="24"/>
      <c r="K527" s="25"/>
      <c r="L527" s="25"/>
      <c r="M527" s="25" t="e">
        <f>VLOOKUP(A:A,[1]进仓汇总!A$1:G$65536,7,0)</f>
        <v>#N/A</v>
      </c>
      <c r="N527" s="26" t="s">
        <v>840</v>
      </c>
      <c r="O527" s="26"/>
    </row>
    <row r="528" spans="1:15">
      <c r="A528" s="38"/>
      <c r="B528" s="6" t="s">
        <v>872</v>
      </c>
      <c r="C528" s="24">
        <v>316030103</v>
      </c>
      <c r="D528" s="24" t="s">
        <v>877</v>
      </c>
      <c r="E528" s="24" t="s">
        <v>236</v>
      </c>
      <c r="F528" s="24">
        <v>1</v>
      </c>
      <c r="G528" s="24" t="s">
        <v>430</v>
      </c>
      <c r="H528" s="23" t="s">
        <v>159</v>
      </c>
      <c r="I528" s="24">
        <v>0</v>
      </c>
      <c r="J528" s="24"/>
      <c r="K528" s="25"/>
      <c r="L528" s="25"/>
      <c r="M528" s="25" t="e">
        <f>VLOOKUP(A:A,[1]进仓汇总!A$1:G$65536,7,0)</f>
        <v>#N/A</v>
      </c>
      <c r="N528" s="26" t="s">
        <v>840</v>
      </c>
      <c r="O528" s="26"/>
    </row>
    <row r="529" spans="1:15">
      <c r="A529" s="37">
        <v>316030200</v>
      </c>
      <c r="B529" s="6" t="s">
        <v>878</v>
      </c>
      <c r="C529" s="24">
        <v>316030201</v>
      </c>
      <c r="D529" s="24" t="s">
        <v>879</v>
      </c>
      <c r="E529" s="24" t="s">
        <v>874</v>
      </c>
      <c r="F529" s="24">
        <v>1</v>
      </c>
      <c r="G529" s="24" t="s">
        <v>430</v>
      </c>
      <c r="H529" s="23" t="s">
        <v>83</v>
      </c>
      <c r="I529" s="24">
        <v>0</v>
      </c>
      <c r="J529" s="24"/>
      <c r="K529" s="25"/>
      <c r="L529" s="25"/>
      <c r="M529" s="25">
        <f>VLOOKUP(A:A,[1]进仓汇总!A$1:G$65536,7,0)</f>
        <v>0</v>
      </c>
      <c r="N529" s="26" t="s">
        <v>840</v>
      </c>
      <c r="O529" s="26"/>
    </row>
    <row r="530" spans="1:15">
      <c r="A530" s="39"/>
      <c r="B530" s="6" t="s">
        <v>878</v>
      </c>
      <c r="C530" s="24">
        <v>316030202</v>
      </c>
      <c r="D530" s="24" t="s">
        <v>880</v>
      </c>
      <c r="E530" s="24" t="s">
        <v>236</v>
      </c>
      <c r="F530" s="24">
        <v>1</v>
      </c>
      <c r="G530" s="24" t="s">
        <v>430</v>
      </c>
      <c r="H530" s="23" t="s">
        <v>87</v>
      </c>
      <c r="I530" s="24">
        <v>0</v>
      </c>
      <c r="J530" s="24"/>
      <c r="K530" s="25"/>
      <c r="L530" s="25"/>
      <c r="M530" s="25" t="e">
        <f>VLOOKUP(A:A,[1]进仓汇总!A$1:G$65536,7,0)</f>
        <v>#N/A</v>
      </c>
      <c r="N530" s="26" t="s">
        <v>840</v>
      </c>
      <c r="O530" s="26"/>
    </row>
    <row r="531" spans="1:15">
      <c r="A531" s="39"/>
      <c r="B531" s="6" t="s">
        <v>878</v>
      </c>
      <c r="C531" s="24">
        <v>316030203</v>
      </c>
      <c r="D531" s="24" t="s">
        <v>881</v>
      </c>
      <c r="E531" s="24" t="s">
        <v>236</v>
      </c>
      <c r="F531" s="24">
        <v>1</v>
      </c>
      <c r="G531" s="24" t="s">
        <v>430</v>
      </c>
      <c r="H531" s="23" t="s">
        <v>90</v>
      </c>
      <c r="I531" s="24">
        <v>0</v>
      </c>
      <c r="J531" s="24"/>
      <c r="K531" s="25"/>
      <c r="L531" s="25"/>
      <c r="M531" s="25" t="e">
        <f>VLOOKUP(A:A,[1]进仓汇总!A$1:G$65536,7,0)</f>
        <v>#N/A</v>
      </c>
      <c r="N531" s="26" t="s">
        <v>840</v>
      </c>
      <c r="O531" s="26"/>
    </row>
    <row r="532" spans="1:15">
      <c r="A532" s="38"/>
      <c r="B532" s="6" t="s">
        <v>878</v>
      </c>
      <c r="C532" s="24">
        <v>316030204</v>
      </c>
      <c r="D532" s="24" t="s">
        <v>882</v>
      </c>
      <c r="E532" s="24" t="s">
        <v>236</v>
      </c>
      <c r="F532" s="24">
        <v>1</v>
      </c>
      <c r="G532" s="24" t="s">
        <v>430</v>
      </c>
      <c r="H532" s="23" t="s">
        <v>95</v>
      </c>
      <c r="I532" s="24">
        <v>0</v>
      </c>
      <c r="J532" s="24"/>
      <c r="K532" s="25"/>
      <c r="L532" s="25"/>
      <c r="M532" s="25" t="e">
        <f>VLOOKUP(A:A,[1]进仓汇总!A$1:G$65536,7,0)</f>
        <v>#N/A</v>
      </c>
      <c r="N532" s="26" t="s">
        <v>840</v>
      </c>
      <c r="O532" s="26"/>
    </row>
    <row r="533" spans="1:15">
      <c r="A533" s="37">
        <v>316030300</v>
      </c>
      <c r="B533" s="6" t="s">
        <v>883</v>
      </c>
      <c r="C533" s="24">
        <v>316030301</v>
      </c>
      <c r="D533" s="24" t="s">
        <v>884</v>
      </c>
      <c r="E533" s="24" t="s">
        <v>870</v>
      </c>
      <c r="F533" s="24">
        <v>1</v>
      </c>
      <c r="G533" s="24" t="s">
        <v>430</v>
      </c>
      <c r="H533" s="23" t="s">
        <v>108</v>
      </c>
      <c r="I533" s="24">
        <v>10</v>
      </c>
      <c r="J533" s="24">
        <v>15</v>
      </c>
      <c r="K533" s="25"/>
      <c r="L533" s="25"/>
      <c r="M533" s="25">
        <f>VLOOKUP(A:A,[1]进仓汇总!A$1:G$65536,7,0)</f>
        <v>0</v>
      </c>
      <c r="N533" s="26" t="s">
        <v>840</v>
      </c>
      <c r="O533" s="26"/>
    </row>
    <row r="534" spans="1:15">
      <c r="A534" s="39"/>
      <c r="B534" s="6" t="s">
        <v>883</v>
      </c>
      <c r="C534" s="24">
        <v>316030302</v>
      </c>
      <c r="D534" s="24" t="s">
        <v>885</v>
      </c>
      <c r="E534" s="24" t="s">
        <v>886</v>
      </c>
      <c r="F534" s="24">
        <v>1</v>
      </c>
      <c r="G534" s="24" t="s">
        <v>430</v>
      </c>
      <c r="H534" s="23" t="s">
        <v>110</v>
      </c>
      <c r="I534" s="24">
        <v>10</v>
      </c>
      <c r="J534" s="24">
        <v>15</v>
      </c>
      <c r="K534" s="25"/>
      <c r="L534" s="25"/>
      <c r="M534" s="25" t="e">
        <f>VLOOKUP(A:A,[1]进仓汇总!A$1:G$65536,7,0)</f>
        <v>#N/A</v>
      </c>
      <c r="N534" s="26" t="s">
        <v>840</v>
      </c>
      <c r="O534" s="26"/>
    </row>
    <row r="535" spans="1:15">
      <c r="A535" s="39"/>
      <c r="B535" s="6" t="s">
        <v>883</v>
      </c>
      <c r="C535" s="24">
        <v>316030303</v>
      </c>
      <c r="D535" s="24" t="s">
        <v>887</v>
      </c>
      <c r="E535" s="24" t="s">
        <v>236</v>
      </c>
      <c r="F535" s="24">
        <v>1</v>
      </c>
      <c r="G535" s="24" t="s">
        <v>430</v>
      </c>
      <c r="H535" s="23" t="s">
        <v>112</v>
      </c>
      <c r="I535" s="24">
        <v>10</v>
      </c>
      <c r="J535" s="24">
        <v>15</v>
      </c>
      <c r="K535" s="25"/>
      <c r="L535" s="25"/>
      <c r="M535" s="25" t="e">
        <f>VLOOKUP(A:A,[1]进仓汇总!A$1:G$65536,7,0)</f>
        <v>#N/A</v>
      </c>
      <c r="N535" s="26" t="s">
        <v>840</v>
      </c>
      <c r="O535" s="26"/>
    </row>
    <row r="536" spans="1:15">
      <c r="A536" s="39"/>
      <c r="B536" s="6" t="s">
        <v>883</v>
      </c>
      <c r="C536" s="24">
        <v>316030304</v>
      </c>
      <c r="D536" s="24" t="s">
        <v>881</v>
      </c>
      <c r="E536" s="24" t="s">
        <v>236</v>
      </c>
      <c r="F536" s="24">
        <v>1</v>
      </c>
      <c r="G536" s="24" t="s">
        <v>430</v>
      </c>
      <c r="H536" s="23" t="s">
        <v>114</v>
      </c>
      <c r="I536" s="24">
        <v>10</v>
      </c>
      <c r="J536" s="24">
        <v>15</v>
      </c>
      <c r="K536" s="25"/>
      <c r="L536" s="25"/>
      <c r="M536" s="25" t="e">
        <f>VLOOKUP(A:A,[1]进仓汇总!A$1:G$65536,7,0)</f>
        <v>#N/A</v>
      </c>
      <c r="N536" s="26" t="s">
        <v>840</v>
      </c>
      <c r="O536" s="26"/>
    </row>
    <row r="537" spans="1:15">
      <c r="A537" s="38"/>
      <c r="B537" s="6" t="s">
        <v>883</v>
      </c>
      <c r="C537" s="24">
        <v>316030305</v>
      </c>
      <c r="D537" s="24" t="s">
        <v>882</v>
      </c>
      <c r="E537" s="24" t="s">
        <v>236</v>
      </c>
      <c r="F537" s="24">
        <v>1</v>
      </c>
      <c r="G537" s="24" t="s">
        <v>430</v>
      </c>
      <c r="H537" s="23" t="s">
        <v>98</v>
      </c>
      <c r="I537" s="24">
        <v>10</v>
      </c>
      <c r="J537" s="24">
        <v>15</v>
      </c>
      <c r="K537" s="25"/>
      <c r="L537" s="25"/>
      <c r="M537" s="25" t="e">
        <f>VLOOKUP(A:A,[1]进仓汇总!A$1:G$65536,7,0)</f>
        <v>#N/A</v>
      </c>
      <c r="N537" s="26" t="s">
        <v>840</v>
      </c>
      <c r="O537" s="26"/>
    </row>
    <row r="538" spans="1:15">
      <c r="A538" s="37">
        <v>316040100</v>
      </c>
      <c r="B538" s="6" t="s">
        <v>888</v>
      </c>
      <c r="C538" s="24">
        <v>316040101</v>
      </c>
      <c r="D538" s="24" t="s">
        <v>884</v>
      </c>
      <c r="E538" s="24" t="s">
        <v>870</v>
      </c>
      <c r="F538" s="24">
        <v>1</v>
      </c>
      <c r="G538" s="24" t="s">
        <v>430</v>
      </c>
      <c r="H538" s="23" t="s">
        <v>889</v>
      </c>
      <c r="I538" s="24">
        <v>10</v>
      </c>
      <c r="J538" s="24">
        <v>15</v>
      </c>
      <c r="K538" s="25"/>
      <c r="L538" s="25"/>
      <c r="M538" s="25">
        <f>VLOOKUP(A:A,[1]进仓汇总!A$1:G$65536,7,0)</f>
        <v>0</v>
      </c>
      <c r="N538" s="26" t="s">
        <v>840</v>
      </c>
      <c r="O538" s="26"/>
    </row>
    <row r="539" spans="1:15">
      <c r="A539" s="39"/>
      <c r="B539" s="6" t="s">
        <v>888</v>
      </c>
      <c r="C539" s="24">
        <v>316040102</v>
      </c>
      <c r="D539" s="24" t="s">
        <v>885</v>
      </c>
      <c r="E539" s="24" t="s">
        <v>886</v>
      </c>
      <c r="F539" s="24">
        <v>1</v>
      </c>
      <c r="G539" s="24" t="s">
        <v>430</v>
      </c>
      <c r="H539" s="23" t="s">
        <v>596</v>
      </c>
      <c r="I539" s="24">
        <v>10</v>
      </c>
      <c r="J539" s="24">
        <v>15</v>
      </c>
      <c r="K539" s="25"/>
      <c r="L539" s="25"/>
      <c r="M539" s="25" t="e">
        <f>VLOOKUP(A:A,[1]进仓汇总!A$1:G$65536,7,0)</f>
        <v>#N/A</v>
      </c>
      <c r="N539" s="26" t="s">
        <v>840</v>
      </c>
      <c r="O539" s="26"/>
    </row>
    <row r="540" spans="1:15">
      <c r="A540" s="39"/>
      <c r="B540" s="6" t="s">
        <v>888</v>
      </c>
      <c r="C540" s="24">
        <v>316040103</v>
      </c>
      <c r="D540" s="24" t="s">
        <v>890</v>
      </c>
      <c r="E540" s="24" t="s">
        <v>886</v>
      </c>
      <c r="F540" s="24">
        <v>1</v>
      </c>
      <c r="G540" s="24" t="s">
        <v>430</v>
      </c>
      <c r="H540" s="23" t="s">
        <v>598</v>
      </c>
      <c r="I540" s="24">
        <v>10</v>
      </c>
      <c r="J540" s="24">
        <v>15</v>
      </c>
      <c r="K540" s="25"/>
      <c r="L540" s="25"/>
      <c r="M540" s="25" t="e">
        <f>VLOOKUP(A:A,[1]进仓汇总!A$1:G$65536,7,0)</f>
        <v>#N/A</v>
      </c>
      <c r="N540" s="26" t="s">
        <v>840</v>
      </c>
      <c r="O540" s="26"/>
    </row>
    <row r="541" spans="1:15">
      <c r="A541" s="39"/>
      <c r="B541" s="6" t="s">
        <v>888</v>
      </c>
      <c r="C541" s="24">
        <v>316040104</v>
      </c>
      <c r="D541" s="24" t="s">
        <v>880</v>
      </c>
      <c r="E541" s="24" t="s">
        <v>236</v>
      </c>
      <c r="F541" s="24">
        <v>1</v>
      </c>
      <c r="G541" s="24" t="s">
        <v>430</v>
      </c>
      <c r="H541" s="23" t="s">
        <v>600</v>
      </c>
      <c r="I541" s="24">
        <v>10</v>
      </c>
      <c r="J541" s="24">
        <v>15</v>
      </c>
      <c r="K541" s="25"/>
      <c r="L541" s="25"/>
      <c r="M541" s="25" t="e">
        <f>VLOOKUP(A:A,[1]进仓汇总!A$1:G$65536,7,0)</f>
        <v>#N/A</v>
      </c>
      <c r="N541" s="26" t="s">
        <v>840</v>
      </c>
      <c r="O541" s="26"/>
    </row>
    <row r="542" spans="1:15">
      <c r="A542" s="39"/>
      <c r="B542" s="6" t="s">
        <v>888</v>
      </c>
      <c r="C542" s="24">
        <v>316040105</v>
      </c>
      <c r="D542" s="24" t="s">
        <v>881</v>
      </c>
      <c r="E542" s="24" t="s">
        <v>236</v>
      </c>
      <c r="F542" s="24">
        <v>1</v>
      </c>
      <c r="G542" s="24" t="s">
        <v>430</v>
      </c>
      <c r="H542" s="23" t="s">
        <v>602</v>
      </c>
      <c r="I542" s="24">
        <v>10</v>
      </c>
      <c r="J542" s="24">
        <v>15</v>
      </c>
      <c r="K542" s="25"/>
      <c r="L542" s="25"/>
      <c r="M542" s="25" t="e">
        <f>VLOOKUP(A:A,[1]进仓汇总!A$1:G$65536,7,0)</f>
        <v>#N/A</v>
      </c>
      <c r="N542" s="26" t="s">
        <v>840</v>
      </c>
      <c r="O542" s="26"/>
    </row>
    <row r="543" spans="1:15">
      <c r="A543" s="39"/>
      <c r="B543" s="6" t="s">
        <v>888</v>
      </c>
      <c r="C543" s="24">
        <v>316040106</v>
      </c>
      <c r="D543" s="24" t="s">
        <v>882</v>
      </c>
      <c r="E543" s="24" t="s">
        <v>236</v>
      </c>
      <c r="F543" s="24">
        <v>1</v>
      </c>
      <c r="G543" s="24" t="s">
        <v>430</v>
      </c>
      <c r="H543" s="23" t="s">
        <v>604</v>
      </c>
      <c r="I543" s="24">
        <v>10</v>
      </c>
      <c r="J543" s="24">
        <v>15</v>
      </c>
      <c r="K543" s="25"/>
      <c r="L543" s="25"/>
      <c r="M543" s="25" t="e">
        <f>VLOOKUP(A:A,[1]进仓汇总!A$1:G$65536,7,0)</f>
        <v>#N/A</v>
      </c>
      <c r="N543" s="26" t="s">
        <v>840</v>
      </c>
      <c r="O543" s="26"/>
    </row>
    <row r="544" spans="1:15">
      <c r="A544" s="38"/>
      <c r="B544" s="6" t="s">
        <v>888</v>
      </c>
      <c r="C544" s="24">
        <v>316040107</v>
      </c>
      <c r="D544" s="24" t="s">
        <v>891</v>
      </c>
      <c r="E544" s="24" t="s">
        <v>236</v>
      </c>
      <c r="F544" s="24">
        <v>1</v>
      </c>
      <c r="G544" s="24" t="s">
        <v>430</v>
      </c>
      <c r="H544" s="23" t="s">
        <v>606</v>
      </c>
      <c r="I544" s="24">
        <v>10</v>
      </c>
      <c r="J544" s="24">
        <v>15</v>
      </c>
      <c r="K544" s="25"/>
      <c r="L544" s="25"/>
      <c r="M544" s="25" t="e">
        <f>VLOOKUP(A:A,[1]进仓汇总!A$1:G$65536,7,0)</f>
        <v>#N/A</v>
      </c>
      <c r="N544" s="26" t="s">
        <v>840</v>
      </c>
      <c r="O544" s="26"/>
    </row>
    <row r="545" spans="1:19">
      <c r="A545" s="37">
        <v>316040200</v>
      </c>
      <c r="B545" s="6" t="s">
        <v>892</v>
      </c>
      <c r="C545" s="24">
        <v>316040201</v>
      </c>
      <c r="D545" s="24" t="s">
        <v>893</v>
      </c>
      <c r="E545" s="24" t="s">
        <v>853</v>
      </c>
      <c r="F545" s="24">
        <v>2</v>
      </c>
      <c r="G545" s="24" t="s">
        <v>430</v>
      </c>
      <c r="H545" s="23" t="s">
        <v>894</v>
      </c>
      <c r="I545" s="24">
        <v>0</v>
      </c>
      <c r="J545" s="24"/>
      <c r="K545" s="25"/>
      <c r="L545" s="25">
        <v>1880</v>
      </c>
      <c r="M545" s="25">
        <f>VLOOKUP(A:A,[1]进仓汇总!A$1:G$65536,7,0)</f>
        <v>0</v>
      </c>
      <c r="N545" s="26" t="s">
        <v>840</v>
      </c>
      <c r="O545" s="26"/>
    </row>
    <row r="546" spans="1:19">
      <c r="A546" s="39"/>
      <c r="B546" s="6" t="s">
        <v>892</v>
      </c>
      <c r="C546" s="24">
        <v>316040202</v>
      </c>
      <c r="D546" s="24" t="s">
        <v>895</v>
      </c>
      <c r="E546" s="24" t="s">
        <v>870</v>
      </c>
      <c r="F546" s="24">
        <v>1</v>
      </c>
      <c r="G546" s="24" t="s">
        <v>430</v>
      </c>
      <c r="H546" s="23" t="s">
        <v>896</v>
      </c>
      <c r="I546" s="24">
        <v>0</v>
      </c>
      <c r="J546" s="24"/>
      <c r="K546" s="25"/>
      <c r="L546" s="25">
        <v>0</v>
      </c>
      <c r="M546" s="25" t="e">
        <f>VLOOKUP(A:A,[1]进仓汇总!A$1:G$65536,7,0)</f>
        <v>#N/A</v>
      </c>
      <c r="N546" s="26" t="s">
        <v>840</v>
      </c>
      <c r="O546" s="26"/>
    </row>
    <row r="547" spans="1:19">
      <c r="A547" s="39"/>
      <c r="B547" s="6" t="s">
        <v>892</v>
      </c>
      <c r="C547" s="24">
        <v>316040203</v>
      </c>
      <c r="D547" s="24" t="s">
        <v>897</v>
      </c>
      <c r="E547" s="24" t="s">
        <v>854</v>
      </c>
      <c r="F547" s="24">
        <v>2</v>
      </c>
      <c r="G547" s="24" t="s">
        <v>430</v>
      </c>
      <c r="H547" s="23" t="s">
        <v>898</v>
      </c>
      <c r="I547" s="24">
        <v>0</v>
      </c>
      <c r="J547" s="24"/>
      <c r="K547" s="25"/>
      <c r="L547" s="25">
        <v>0</v>
      </c>
      <c r="M547" s="25" t="e">
        <f>VLOOKUP(A:A,[1]进仓汇总!A$1:G$65536,7,0)</f>
        <v>#N/A</v>
      </c>
      <c r="N547" s="26" t="s">
        <v>840</v>
      </c>
      <c r="O547" s="26"/>
    </row>
    <row r="548" spans="1:19">
      <c r="A548" s="39"/>
      <c r="B548" s="6" t="s">
        <v>892</v>
      </c>
      <c r="C548" s="24">
        <v>316040204</v>
      </c>
      <c r="D548" s="24" t="s">
        <v>899</v>
      </c>
      <c r="E548" s="24" t="s">
        <v>870</v>
      </c>
      <c r="F548" s="24">
        <v>4</v>
      </c>
      <c r="G548" s="24" t="s">
        <v>430</v>
      </c>
      <c r="H548" s="23" t="s">
        <v>900</v>
      </c>
      <c r="I548" s="24">
        <v>0</v>
      </c>
      <c r="J548" s="24"/>
      <c r="K548" s="25"/>
      <c r="L548" s="25">
        <v>0</v>
      </c>
      <c r="M548" s="25" t="e">
        <f>VLOOKUP(A:A,[1]进仓汇总!A$1:G$65536,7,0)</f>
        <v>#N/A</v>
      </c>
      <c r="N548" s="26" t="s">
        <v>840</v>
      </c>
      <c r="O548" s="26"/>
    </row>
    <row r="549" spans="1:19">
      <c r="A549" s="39"/>
      <c r="B549" s="6" t="s">
        <v>892</v>
      </c>
      <c r="C549" s="24">
        <v>316040205</v>
      </c>
      <c r="D549" s="24" t="s">
        <v>887</v>
      </c>
      <c r="E549" s="24" t="s">
        <v>236</v>
      </c>
      <c r="F549" s="24">
        <v>1</v>
      </c>
      <c r="G549" s="24" t="s">
        <v>430</v>
      </c>
      <c r="H549" s="23" t="s">
        <v>901</v>
      </c>
      <c r="I549" s="24">
        <v>0</v>
      </c>
      <c r="J549" s="24"/>
      <c r="K549" s="25"/>
      <c r="L549" s="25">
        <v>0</v>
      </c>
      <c r="M549" s="25" t="e">
        <f>VLOOKUP(A:A,[1]进仓汇总!A$1:G$65536,7,0)</f>
        <v>#N/A</v>
      </c>
      <c r="N549" s="26" t="s">
        <v>840</v>
      </c>
      <c r="O549" s="26"/>
    </row>
    <row r="550" spans="1:19">
      <c r="A550" s="39"/>
      <c r="B550" s="6" t="s">
        <v>892</v>
      </c>
      <c r="C550" s="24">
        <v>316040206</v>
      </c>
      <c r="D550" s="24" t="s">
        <v>902</v>
      </c>
      <c r="E550" s="24" t="s">
        <v>236</v>
      </c>
      <c r="F550" s="24">
        <v>1</v>
      </c>
      <c r="G550" s="24" t="s">
        <v>430</v>
      </c>
      <c r="H550" s="23" t="s">
        <v>67</v>
      </c>
      <c r="I550" s="24">
        <v>0</v>
      </c>
      <c r="J550" s="24"/>
      <c r="K550" s="25"/>
      <c r="L550" s="25">
        <v>0</v>
      </c>
      <c r="M550" s="25" t="e">
        <f>VLOOKUP(A:A,[1]进仓汇总!A$1:G$65536,7,0)</f>
        <v>#N/A</v>
      </c>
      <c r="N550" s="26" t="s">
        <v>840</v>
      </c>
      <c r="O550" s="26"/>
    </row>
    <row r="551" spans="1:19">
      <c r="A551" s="38"/>
      <c r="B551" s="6" t="s">
        <v>892</v>
      </c>
      <c r="C551" s="24">
        <v>316040207</v>
      </c>
      <c r="D551" s="24" t="s">
        <v>903</v>
      </c>
      <c r="E551" s="24" t="s">
        <v>904</v>
      </c>
      <c r="F551" s="24">
        <v>1</v>
      </c>
      <c r="G551" s="24" t="s">
        <v>430</v>
      </c>
      <c r="H551" s="23" t="s">
        <v>70</v>
      </c>
      <c r="I551" s="24">
        <v>0</v>
      </c>
      <c r="J551" s="24"/>
      <c r="K551" s="25"/>
      <c r="L551" s="25">
        <v>0</v>
      </c>
      <c r="M551" s="25" t="e">
        <f>VLOOKUP(A:A,[1]进仓汇总!A$1:G$65536,7,0)</f>
        <v>#N/A</v>
      </c>
      <c r="N551" s="26" t="s">
        <v>840</v>
      </c>
      <c r="O551" s="26"/>
      <c r="Q551" s="11"/>
      <c r="R551" s="11"/>
      <c r="S551" s="11"/>
    </row>
    <row r="552" spans="1:19" s="11" customFormat="1">
      <c r="A552" s="37">
        <v>316040300</v>
      </c>
      <c r="B552" s="6" t="s">
        <v>905</v>
      </c>
      <c r="C552" s="24">
        <v>316040301</v>
      </c>
      <c r="D552" s="24" t="s">
        <v>884</v>
      </c>
      <c r="E552" s="24" t="s">
        <v>870</v>
      </c>
      <c r="F552" s="24">
        <v>1</v>
      </c>
      <c r="G552" s="24" t="s">
        <v>430</v>
      </c>
      <c r="H552" s="24" t="s">
        <v>889</v>
      </c>
      <c r="I552" s="24">
        <v>0</v>
      </c>
      <c r="J552" s="24"/>
      <c r="K552" s="24"/>
      <c r="L552" s="24"/>
      <c r="M552" s="24">
        <f>VLOOKUP(A:A,[1]进仓汇总!A$1:G$65536,7,0)</f>
        <v>0</v>
      </c>
      <c r="N552" s="24" t="s">
        <v>840</v>
      </c>
      <c r="O552" s="24"/>
    </row>
    <row r="553" spans="1:19" s="11" customFormat="1">
      <c r="A553" s="39"/>
      <c r="B553" s="6" t="s">
        <v>905</v>
      </c>
      <c r="C553" s="24">
        <v>316040302</v>
      </c>
      <c r="D553" s="24" t="s">
        <v>885</v>
      </c>
      <c r="E553" s="24" t="s">
        <v>886</v>
      </c>
      <c r="F553" s="24">
        <v>1</v>
      </c>
      <c r="G553" s="24" t="s">
        <v>430</v>
      </c>
      <c r="H553" s="24" t="s">
        <v>596</v>
      </c>
      <c r="I553" s="24">
        <v>0</v>
      </c>
      <c r="J553" s="24"/>
      <c r="K553" s="24"/>
      <c r="L553" s="24"/>
      <c r="M553" s="24" t="e">
        <f>VLOOKUP(A:A,[1]进仓汇总!A$1:G$65536,7,0)</f>
        <v>#N/A</v>
      </c>
      <c r="N553" s="24" t="s">
        <v>840</v>
      </c>
      <c r="O553" s="24"/>
    </row>
    <row r="554" spans="1:19" s="11" customFormat="1">
      <c r="A554" s="39"/>
      <c r="B554" s="6" t="s">
        <v>905</v>
      </c>
      <c r="C554" s="24">
        <v>316040303</v>
      </c>
      <c r="D554" s="24" t="s">
        <v>890</v>
      </c>
      <c r="E554" s="24" t="s">
        <v>886</v>
      </c>
      <c r="F554" s="24">
        <v>1</v>
      </c>
      <c r="G554" s="24" t="s">
        <v>430</v>
      </c>
      <c r="H554" s="24" t="s">
        <v>598</v>
      </c>
      <c r="I554" s="24">
        <v>0</v>
      </c>
      <c r="J554" s="24"/>
      <c r="K554" s="24"/>
      <c r="L554" s="24"/>
      <c r="M554" s="24" t="e">
        <f>VLOOKUP(A:A,[1]进仓汇总!A$1:G$65536,7,0)</f>
        <v>#N/A</v>
      </c>
      <c r="N554" s="24" t="s">
        <v>840</v>
      </c>
      <c r="O554" s="24"/>
    </row>
    <row r="555" spans="1:19" s="11" customFormat="1">
      <c r="A555" s="39"/>
      <c r="B555" s="6" t="s">
        <v>905</v>
      </c>
      <c r="C555" s="24">
        <v>316040304</v>
      </c>
      <c r="D555" s="24" t="s">
        <v>880</v>
      </c>
      <c r="E555" s="24" t="s">
        <v>236</v>
      </c>
      <c r="F555" s="24">
        <v>1</v>
      </c>
      <c r="G555" s="24" t="s">
        <v>430</v>
      </c>
      <c r="H555" s="24" t="s">
        <v>600</v>
      </c>
      <c r="I555" s="24">
        <v>0</v>
      </c>
      <c r="J555" s="24"/>
      <c r="K555" s="24"/>
      <c r="L555" s="24"/>
      <c r="M555" s="24" t="e">
        <f>VLOOKUP(A:A,[1]进仓汇总!A$1:G$65536,7,0)</f>
        <v>#N/A</v>
      </c>
      <c r="N555" s="24" t="s">
        <v>840</v>
      </c>
      <c r="O555" s="24"/>
    </row>
    <row r="556" spans="1:19" s="11" customFormat="1">
      <c r="A556" s="39"/>
      <c r="B556" s="6" t="s">
        <v>905</v>
      </c>
      <c r="C556" s="24">
        <v>316040305</v>
      </c>
      <c r="D556" s="24" t="s">
        <v>881</v>
      </c>
      <c r="E556" s="24" t="s">
        <v>236</v>
      </c>
      <c r="F556" s="24">
        <v>1</v>
      </c>
      <c r="G556" s="24" t="s">
        <v>430</v>
      </c>
      <c r="H556" s="24" t="s">
        <v>602</v>
      </c>
      <c r="I556" s="24">
        <v>0</v>
      </c>
      <c r="J556" s="24"/>
      <c r="K556" s="24"/>
      <c r="L556" s="24"/>
      <c r="M556" s="24" t="e">
        <f>VLOOKUP(A:A,[1]进仓汇总!A$1:G$65536,7,0)</f>
        <v>#N/A</v>
      </c>
      <c r="N556" s="24" t="s">
        <v>840</v>
      </c>
      <c r="O556" s="24"/>
    </row>
    <row r="557" spans="1:19" s="11" customFormat="1">
      <c r="A557" s="39"/>
      <c r="B557" s="6" t="s">
        <v>905</v>
      </c>
      <c r="C557" s="24">
        <v>316040306</v>
      </c>
      <c r="D557" s="24" t="s">
        <v>882</v>
      </c>
      <c r="E557" s="24" t="s">
        <v>236</v>
      </c>
      <c r="F557" s="24">
        <v>1</v>
      </c>
      <c r="G557" s="24" t="s">
        <v>430</v>
      </c>
      <c r="H557" s="24" t="s">
        <v>604</v>
      </c>
      <c r="I557" s="24">
        <v>0</v>
      </c>
      <c r="J557" s="24"/>
      <c r="K557" s="24"/>
      <c r="L557" s="24"/>
      <c r="M557" s="24" t="e">
        <f>VLOOKUP(A:A,[1]进仓汇总!A$1:G$65536,7,0)</f>
        <v>#N/A</v>
      </c>
      <c r="N557" s="24" t="s">
        <v>840</v>
      </c>
      <c r="O557" s="24"/>
    </row>
    <row r="558" spans="1:19" s="11" customFormat="1">
      <c r="A558" s="38"/>
      <c r="B558" s="6" t="s">
        <v>905</v>
      </c>
      <c r="C558" s="24">
        <v>316040307</v>
      </c>
      <c r="D558" s="24" t="s">
        <v>891</v>
      </c>
      <c r="E558" s="24" t="s">
        <v>236</v>
      </c>
      <c r="F558" s="24">
        <v>1</v>
      </c>
      <c r="G558" s="24" t="s">
        <v>430</v>
      </c>
      <c r="H558" s="24" t="s">
        <v>606</v>
      </c>
      <c r="I558" s="24">
        <v>0</v>
      </c>
      <c r="J558" s="24"/>
      <c r="K558" s="24"/>
      <c r="L558" s="24"/>
      <c r="M558" s="24" t="e">
        <f>VLOOKUP(A:A,[1]进仓汇总!A$1:G$65536,7,0)</f>
        <v>#N/A</v>
      </c>
      <c r="N558" s="24" t="s">
        <v>840</v>
      </c>
      <c r="O558" s="24"/>
    </row>
    <row r="559" spans="1:19" s="11" customFormat="1">
      <c r="A559" s="24">
        <v>316040308</v>
      </c>
      <c r="B559" s="6" t="s">
        <v>906</v>
      </c>
      <c r="C559" s="24"/>
      <c r="D559" s="24" t="s">
        <v>907</v>
      </c>
      <c r="E559" s="24" t="s">
        <v>908</v>
      </c>
      <c r="F559" s="24">
        <v>4</v>
      </c>
      <c r="G559" s="24" t="s">
        <v>430</v>
      </c>
      <c r="H559" s="24" t="s">
        <v>909</v>
      </c>
      <c r="I559" s="24">
        <v>0</v>
      </c>
      <c r="J559" s="24"/>
      <c r="K559" s="24"/>
      <c r="L559" s="24"/>
      <c r="M559" s="24">
        <f>VLOOKUP(A:A,[1]进仓汇总!A$1:G$65536,7,0)</f>
        <v>18</v>
      </c>
      <c r="N559" s="24" t="s">
        <v>840</v>
      </c>
      <c r="O559" s="26">
        <v>-8</v>
      </c>
      <c r="Q559" s="9"/>
      <c r="R559" s="9"/>
      <c r="S559" s="9"/>
    </row>
    <row r="560" spans="1:19">
      <c r="A560" s="37">
        <v>316050100</v>
      </c>
      <c r="B560" s="6" t="s">
        <v>910</v>
      </c>
      <c r="C560" s="24">
        <v>316050101</v>
      </c>
      <c r="D560" s="24" t="s">
        <v>911</v>
      </c>
      <c r="E560" s="24" t="s">
        <v>870</v>
      </c>
      <c r="F560" s="24">
        <v>1</v>
      </c>
      <c r="G560" s="24" t="s">
        <v>430</v>
      </c>
      <c r="H560" s="23" t="s">
        <v>875</v>
      </c>
      <c r="I560" s="24">
        <v>5</v>
      </c>
      <c r="J560" s="24">
        <v>10</v>
      </c>
      <c r="K560" s="25"/>
      <c r="L560" s="25"/>
      <c r="M560" s="25">
        <f>VLOOKUP(A:A,[1]进仓汇总!A$1:G$65536,7,0)</f>
        <v>0</v>
      </c>
      <c r="N560" s="26" t="s">
        <v>840</v>
      </c>
      <c r="O560" s="26"/>
    </row>
    <row r="561" spans="1:19">
      <c r="A561" s="39"/>
      <c r="B561" s="6" t="s">
        <v>910</v>
      </c>
      <c r="C561" s="24">
        <v>316050102</v>
      </c>
      <c r="D561" s="24" t="s">
        <v>912</v>
      </c>
      <c r="E561" s="24" t="s">
        <v>913</v>
      </c>
      <c r="F561" s="24">
        <v>1</v>
      </c>
      <c r="G561" s="24" t="s">
        <v>430</v>
      </c>
      <c r="H561" s="23" t="s">
        <v>156</v>
      </c>
      <c r="I561" s="24">
        <v>5</v>
      </c>
      <c r="J561" s="24">
        <v>10</v>
      </c>
      <c r="K561" s="25"/>
      <c r="L561" s="25"/>
      <c r="M561" s="25" t="e">
        <f>VLOOKUP(A:A,[1]进仓汇总!A$1:G$65536,7,0)</f>
        <v>#N/A</v>
      </c>
      <c r="N561" s="26" t="s">
        <v>840</v>
      </c>
      <c r="O561" s="26"/>
    </row>
    <row r="562" spans="1:19">
      <c r="A562" s="38"/>
      <c r="B562" s="6" t="s">
        <v>910</v>
      </c>
      <c r="C562" s="24">
        <v>316050103</v>
      </c>
      <c r="D562" s="24" t="s">
        <v>914</v>
      </c>
      <c r="E562" s="24" t="s">
        <v>904</v>
      </c>
      <c r="F562" s="24">
        <v>1</v>
      </c>
      <c r="G562" s="24" t="s">
        <v>430</v>
      </c>
      <c r="H562" s="23" t="s">
        <v>915</v>
      </c>
      <c r="I562" s="24">
        <v>5</v>
      </c>
      <c r="J562" s="24">
        <v>10</v>
      </c>
      <c r="K562" s="25"/>
      <c r="L562" s="25"/>
      <c r="M562" s="25" t="e">
        <f>VLOOKUP(A:A,[1]进仓汇总!A$1:G$65536,7,0)</f>
        <v>#N/A</v>
      </c>
      <c r="N562" s="26" t="s">
        <v>840</v>
      </c>
      <c r="O562" s="26"/>
    </row>
    <row r="563" spans="1:19">
      <c r="A563" s="37">
        <v>3160500500</v>
      </c>
      <c r="B563" s="6" t="s">
        <v>916</v>
      </c>
      <c r="C563" s="24">
        <v>3160500501</v>
      </c>
      <c r="D563" s="24" t="s">
        <v>911</v>
      </c>
      <c r="E563" s="24" t="s">
        <v>870</v>
      </c>
      <c r="F563" s="24">
        <v>1</v>
      </c>
      <c r="G563" s="24" t="s">
        <v>430</v>
      </c>
      <c r="H563" s="23" t="s">
        <v>875</v>
      </c>
      <c r="I563" s="24">
        <v>5</v>
      </c>
      <c r="J563" s="24">
        <v>10</v>
      </c>
      <c r="K563" s="25"/>
      <c r="L563" s="25"/>
      <c r="M563" s="25">
        <f>VLOOKUP(A:A,[1]进仓汇总!A$1:G$65536,7,0)</f>
        <v>0</v>
      </c>
      <c r="N563" s="26" t="s">
        <v>840</v>
      </c>
      <c r="O563" s="26"/>
    </row>
    <row r="564" spans="1:19">
      <c r="A564" s="39"/>
      <c r="B564" s="6" t="s">
        <v>916</v>
      </c>
      <c r="C564" s="24">
        <v>3160500502</v>
      </c>
      <c r="D564" s="24" t="s">
        <v>912</v>
      </c>
      <c r="E564" s="24" t="s">
        <v>913</v>
      </c>
      <c r="F564" s="24">
        <v>1</v>
      </c>
      <c r="G564" s="24" t="s">
        <v>430</v>
      </c>
      <c r="H564" s="23" t="s">
        <v>156</v>
      </c>
      <c r="I564" s="24">
        <v>5</v>
      </c>
      <c r="J564" s="24">
        <v>10</v>
      </c>
      <c r="K564" s="25"/>
      <c r="L564" s="25"/>
      <c r="M564" s="25" t="e">
        <f>VLOOKUP(A:A,[1]进仓汇总!A$1:G$65536,7,0)</f>
        <v>#N/A</v>
      </c>
      <c r="N564" s="26" t="s">
        <v>840</v>
      </c>
      <c r="O564" s="26"/>
    </row>
    <row r="565" spans="1:19">
      <c r="A565" s="38"/>
      <c r="B565" s="6" t="s">
        <v>916</v>
      </c>
      <c r="C565" s="24">
        <v>3160500503</v>
      </c>
      <c r="D565" s="24" t="s">
        <v>914</v>
      </c>
      <c r="E565" s="24" t="s">
        <v>904</v>
      </c>
      <c r="F565" s="24">
        <v>1</v>
      </c>
      <c r="G565" s="24" t="s">
        <v>430</v>
      </c>
      <c r="H565" s="23" t="s">
        <v>915</v>
      </c>
      <c r="I565" s="24">
        <v>5</v>
      </c>
      <c r="J565" s="24">
        <v>10</v>
      </c>
      <c r="K565" s="25"/>
      <c r="L565" s="25"/>
      <c r="M565" s="25" t="e">
        <f>VLOOKUP(A:A,[1]进仓汇总!A$1:G$65536,7,0)</f>
        <v>#N/A</v>
      </c>
      <c r="N565" s="26" t="s">
        <v>840</v>
      </c>
      <c r="O565" s="26"/>
    </row>
    <row r="566" spans="1:19">
      <c r="A566" s="37">
        <v>316050200</v>
      </c>
      <c r="B566" s="6" t="s">
        <v>917</v>
      </c>
      <c r="C566" s="24">
        <v>316050201</v>
      </c>
      <c r="D566" s="24" t="s">
        <v>911</v>
      </c>
      <c r="E566" s="24" t="s">
        <v>870</v>
      </c>
      <c r="F566" s="24">
        <v>1</v>
      </c>
      <c r="G566" s="24" t="s">
        <v>430</v>
      </c>
      <c r="H566" s="23" t="s">
        <v>875</v>
      </c>
      <c r="I566" s="24">
        <v>10</v>
      </c>
      <c r="J566" s="24">
        <v>20</v>
      </c>
      <c r="K566" s="25"/>
      <c r="L566" s="25">
        <v>580</v>
      </c>
      <c r="M566" s="25">
        <f>VLOOKUP(A:A,[1]进仓汇总!A$1:G$65536,7,0)</f>
        <v>0</v>
      </c>
      <c r="N566" s="26" t="s">
        <v>840</v>
      </c>
      <c r="O566" s="26"/>
    </row>
    <row r="567" spans="1:19">
      <c r="A567" s="39"/>
      <c r="B567" s="6" t="s">
        <v>917</v>
      </c>
      <c r="C567" s="24">
        <v>316050202</v>
      </c>
      <c r="D567" s="24" t="s">
        <v>912</v>
      </c>
      <c r="E567" s="24" t="s">
        <v>854</v>
      </c>
      <c r="F567" s="24">
        <v>1</v>
      </c>
      <c r="G567" s="24" t="s">
        <v>430</v>
      </c>
      <c r="H567" s="23" t="s">
        <v>156</v>
      </c>
      <c r="I567" s="24">
        <v>10</v>
      </c>
      <c r="J567" s="24">
        <v>20</v>
      </c>
      <c r="K567" s="25"/>
      <c r="L567" s="25">
        <v>0</v>
      </c>
      <c r="M567" s="25" t="e">
        <f>VLOOKUP(A:A,[1]进仓汇总!A$1:G$65536,7,0)</f>
        <v>#N/A</v>
      </c>
      <c r="N567" s="26" t="s">
        <v>840</v>
      </c>
      <c r="O567" s="26"/>
    </row>
    <row r="568" spans="1:19">
      <c r="A568" s="38"/>
      <c r="B568" s="6" t="s">
        <v>917</v>
      </c>
      <c r="C568" s="24">
        <v>316050204</v>
      </c>
      <c r="D568" s="24" t="s">
        <v>914</v>
      </c>
      <c r="E568" s="24" t="s">
        <v>236</v>
      </c>
      <c r="F568" s="24">
        <v>1</v>
      </c>
      <c r="G568" s="24" t="s">
        <v>430</v>
      </c>
      <c r="H568" s="23" t="s">
        <v>915</v>
      </c>
      <c r="I568" s="24">
        <v>10</v>
      </c>
      <c r="J568" s="24">
        <v>20</v>
      </c>
      <c r="K568" s="25"/>
      <c r="L568" s="25">
        <v>0</v>
      </c>
      <c r="M568" s="25" t="e">
        <f>VLOOKUP(A:A,[1]进仓汇总!A$1:G$65536,7,0)</f>
        <v>#N/A</v>
      </c>
      <c r="N568" s="26" t="s">
        <v>840</v>
      </c>
      <c r="O568" s="26"/>
    </row>
    <row r="569" spans="1:19">
      <c r="A569" s="37">
        <v>316050300</v>
      </c>
      <c r="B569" s="6" t="s">
        <v>918</v>
      </c>
      <c r="C569" s="24">
        <v>316050301</v>
      </c>
      <c r="D569" s="24" t="s">
        <v>911</v>
      </c>
      <c r="E569" s="24" t="s">
        <v>870</v>
      </c>
      <c r="F569" s="24">
        <v>1</v>
      </c>
      <c r="G569" s="24" t="s">
        <v>430</v>
      </c>
      <c r="H569" s="23" t="s">
        <v>83</v>
      </c>
      <c r="I569" s="24">
        <v>5</v>
      </c>
      <c r="J569" s="24">
        <v>10</v>
      </c>
      <c r="K569" s="25"/>
      <c r="L569" s="25"/>
      <c r="M569" s="25">
        <f>VLOOKUP(A:A,[1]进仓汇总!A$1:G$65536,7,0)</f>
        <v>0</v>
      </c>
      <c r="N569" s="26" t="s">
        <v>840</v>
      </c>
      <c r="O569" s="26"/>
    </row>
    <row r="570" spans="1:19">
      <c r="A570" s="39"/>
      <c r="B570" s="6" t="s">
        <v>918</v>
      </c>
      <c r="C570" s="24">
        <v>316050302</v>
      </c>
      <c r="D570" s="24" t="s">
        <v>912</v>
      </c>
      <c r="E570" s="24" t="s">
        <v>870</v>
      </c>
      <c r="F570" s="24">
        <v>1</v>
      </c>
      <c r="G570" s="24" t="s">
        <v>430</v>
      </c>
      <c r="H570" s="23" t="s">
        <v>919</v>
      </c>
      <c r="I570" s="24">
        <v>5</v>
      </c>
      <c r="J570" s="24">
        <v>10</v>
      </c>
      <c r="K570" s="25"/>
      <c r="L570" s="25"/>
      <c r="M570" s="25" t="e">
        <f>VLOOKUP(A:A,[1]进仓汇总!A$1:G$65536,7,0)</f>
        <v>#N/A</v>
      </c>
      <c r="N570" s="26" t="s">
        <v>840</v>
      </c>
      <c r="O570" s="26"/>
    </row>
    <row r="571" spans="1:19">
      <c r="A571" s="39"/>
      <c r="B571" s="6" t="s">
        <v>918</v>
      </c>
      <c r="C571" s="24">
        <v>316050303</v>
      </c>
      <c r="D571" s="24" t="s">
        <v>914</v>
      </c>
      <c r="E571" s="24" t="s">
        <v>904</v>
      </c>
      <c r="F571" s="24">
        <v>1</v>
      </c>
      <c r="G571" s="24" t="s">
        <v>430</v>
      </c>
      <c r="H571" s="23" t="s">
        <v>920</v>
      </c>
      <c r="I571" s="24">
        <v>5</v>
      </c>
      <c r="J571" s="24">
        <v>10</v>
      </c>
      <c r="K571" s="25"/>
      <c r="L571" s="25"/>
      <c r="M571" s="25" t="e">
        <f>VLOOKUP(A:A,[1]进仓汇总!A$1:G$65536,7,0)</f>
        <v>#N/A</v>
      </c>
      <c r="N571" s="26" t="s">
        <v>840</v>
      </c>
      <c r="O571" s="26"/>
    </row>
    <row r="572" spans="1:19">
      <c r="A572" s="38"/>
      <c r="B572" s="6" t="s">
        <v>918</v>
      </c>
      <c r="C572" s="24">
        <v>316050304</v>
      </c>
      <c r="D572" s="24" t="s">
        <v>921</v>
      </c>
      <c r="E572" s="24" t="s">
        <v>236</v>
      </c>
      <c r="F572" s="24">
        <v>1</v>
      </c>
      <c r="G572" s="24" t="s">
        <v>430</v>
      </c>
      <c r="H572" s="23" t="s">
        <v>922</v>
      </c>
      <c r="I572" s="24">
        <v>5</v>
      </c>
      <c r="J572" s="24">
        <v>10</v>
      </c>
      <c r="K572" s="25"/>
      <c r="L572" s="25"/>
      <c r="M572" s="25" t="e">
        <f>VLOOKUP(A:A,[1]进仓汇总!A$1:G$65536,7,0)</f>
        <v>#N/A</v>
      </c>
      <c r="N572" s="26" t="s">
        <v>840</v>
      </c>
      <c r="O572" s="26"/>
      <c r="Q572" s="14"/>
      <c r="R572" s="14"/>
      <c r="S572" s="14"/>
    </row>
    <row r="573" spans="1:19" s="14" customFormat="1">
      <c r="A573" s="37">
        <v>316050400</v>
      </c>
      <c r="B573" s="6" t="s">
        <v>923</v>
      </c>
      <c r="C573" s="24">
        <v>316050401</v>
      </c>
      <c r="D573" s="24" t="s">
        <v>911</v>
      </c>
      <c r="E573" s="24" t="s">
        <v>870</v>
      </c>
      <c r="F573" s="24">
        <v>1</v>
      </c>
      <c r="G573" s="24" t="s">
        <v>430</v>
      </c>
      <c r="H573" s="23" t="s">
        <v>83</v>
      </c>
      <c r="I573" s="24">
        <v>10</v>
      </c>
      <c r="J573" s="24">
        <v>20</v>
      </c>
      <c r="K573" s="25"/>
      <c r="L573" s="25">
        <v>720</v>
      </c>
      <c r="M573" s="25">
        <f>VLOOKUP(A:A,[1]进仓汇总!A$1:G$65536,7,0)</f>
        <v>0</v>
      </c>
      <c r="N573" s="26" t="s">
        <v>840</v>
      </c>
      <c r="O573" s="26"/>
    </row>
    <row r="574" spans="1:19" s="14" customFormat="1">
      <c r="A574" s="39"/>
      <c r="B574" s="6" t="s">
        <v>923</v>
      </c>
      <c r="C574" s="24">
        <v>316050402</v>
      </c>
      <c r="D574" s="24" t="s">
        <v>912</v>
      </c>
      <c r="E574" s="24" t="s">
        <v>854</v>
      </c>
      <c r="F574" s="24">
        <v>1</v>
      </c>
      <c r="G574" s="24" t="s">
        <v>430</v>
      </c>
      <c r="H574" s="23" t="s">
        <v>919</v>
      </c>
      <c r="I574" s="24">
        <v>10</v>
      </c>
      <c r="J574" s="24">
        <v>20</v>
      </c>
      <c r="K574" s="25"/>
      <c r="L574" s="25">
        <v>0</v>
      </c>
      <c r="M574" s="25" t="e">
        <f>VLOOKUP(A:A,[1]进仓汇总!A$1:G$65536,7,0)</f>
        <v>#N/A</v>
      </c>
      <c r="N574" s="26" t="s">
        <v>840</v>
      </c>
      <c r="O574" s="26"/>
      <c r="Q574" s="9"/>
      <c r="R574" s="9"/>
      <c r="S574" s="9"/>
    </row>
    <row r="575" spans="1:19">
      <c r="A575" s="39"/>
      <c r="B575" s="6" t="s">
        <v>923</v>
      </c>
      <c r="C575" s="24">
        <v>316050403</v>
      </c>
      <c r="D575" s="24" t="s">
        <v>914</v>
      </c>
      <c r="E575" s="24" t="s">
        <v>904</v>
      </c>
      <c r="F575" s="24">
        <v>1</v>
      </c>
      <c r="G575" s="24" t="s">
        <v>430</v>
      </c>
      <c r="H575" s="23" t="s">
        <v>920</v>
      </c>
      <c r="I575" s="24">
        <v>10</v>
      </c>
      <c r="J575" s="24">
        <v>20</v>
      </c>
      <c r="K575" s="25"/>
      <c r="L575" s="25">
        <v>0</v>
      </c>
      <c r="M575" s="25" t="e">
        <f>VLOOKUP(A:A,[1]进仓汇总!A$1:G$65536,7,0)</f>
        <v>#N/A</v>
      </c>
      <c r="N575" s="26" t="s">
        <v>840</v>
      </c>
      <c r="O575" s="26"/>
    </row>
    <row r="576" spans="1:19">
      <c r="A576" s="38"/>
      <c r="B576" s="6" t="s">
        <v>923</v>
      </c>
      <c r="C576" s="24">
        <v>316050404</v>
      </c>
      <c r="D576" s="24" t="s">
        <v>921</v>
      </c>
      <c r="E576" s="24" t="s">
        <v>236</v>
      </c>
      <c r="F576" s="24">
        <v>1</v>
      </c>
      <c r="G576" s="24" t="s">
        <v>430</v>
      </c>
      <c r="H576" s="23" t="s">
        <v>922</v>
      </c>
      <c r="I576" s="24">
        <v>10</v>
      </c>
      <c r="J576" s="24">
        <v>20</v>
      </c>
      <c r="K576" s="25"/>
      <c r="L576" s="25">
        <v>0</v>
      </c>
      <c r="M576" s="25" t="e">
        <f>VLOOKUP(A:A,[1]进仓汇总!A$1:G$65536,7,0)</f>
        <v>#N/A</v>
      </c>
      <c r="N576" s="26" t="s">
        <v>840</v>
      </c>
      <c r="O576" s="26"/>
    </row>
    <row r="577" spans="1:15">
      <c r="A577" s="37">
        <v>316030400</v>
      </c>
      <c r="B577" s="6" t="s">
        <v>924</v>
      </c>
      <c r="C577" s="24">
        <v>316030401</v>
      </c>
      <c r="D577" s="24" t="s">
        <v>879</v>
      </c>
      <c r="E577" s="24" t="s">
        <v>870</v>
      </c>
      <c r="F577" s="24">
        <v>1</v>
      </c>
      <c r="G577" s="24" t="s">
        <v>430</v>
      </c>
      <c r="H577" s="23" t="s">
        <v>863</v>
      </c>
      <c r="I577" s="24">
        <v>10</v>
      </c>
      <c r="J577" s="24">
        <v>15</v>
      </c>
      <c r="K577" s="25"/>
      <c r="L577" s="25"/>
      <c r="M577" s="25">
        <f>VLOOKUP(A:A,[1]进仓汇总!A$1:G$65536,7,0)</f>
        <v>0</v>
      </c>
      <c r="N577" s="26" t="s">
        <v>840</v>
      </c>
      <c r="O577" s="26"/>
    </row>
    <row r="578" spans="1:15">
      <c r="A578" s="38"/>
      <c r="B578" s="6" t="s">
        <v>924</v>
      </c>
      <c r="C578" s="24">
        <v>316030402</v>
      </c>
      <c r="D578" s="24" t="s">
        <v>925</v>
      </c>
      <c r="E578" s="24" t="s">
        <v>236</v>
      </c>
      <c r="F578" s="24">
        <v>1</v>
      </c>
      <c r="G578" s="24" t="s">
        <v>430</v>
      </c>
      <c r="H578" s="23" t="s">
        <v>140</v>
      </c>
      <c r="I578" s="24">
        <v>10</v>
      </c>
      <c r="J578" s="24">
        <v>15</v>
      </c>
      <c r="K578" s="25"/>
      <c r="L578" s="25"/>
      <c r="M578" s="25" t="e">
        <f>VLOOKUP(A:A,[1]进仓汇总!A$1:G$65536,7,0)</f>
        <v>#N/A</v>
      </c>
      <c r="N578" s="26" t="s">
        <v>840</v>
      </c>
      <c r="O578" s="26"/>
    </row>
    <row r="579" spans="1:15">
      <c r="A579" s="37">
        <v>316030500</v>
      </c>
      <c r="B579" s="6" t="s">
        <v>926</v>
      </c>
      <c r="C579" s="24">
        <v>316030501</v>
      </c>
      <c r="D579" s="24" t="s">
        <v>879</v>
      </c>
      <c r="E579" s="24" t="s">
        <v>874</v>
      </c>
      <c r="F579" s="24">
        <v>1</v>
      </c>
      <c r="G579" s="24" t="s">
        <v>430</v>
      </c>
      <c r="H579" s="23" t="s">
        <v>863</v>
      </c>
      <c r="I579" s="24">
        <v>0</v>
      </c>
      <c r="J579" s="24"/>
      <c r="K579" s="25"/>
      <c r="L579" s="25"/>
      <c r="M579" s="25">
        <f>VLOOKUP(A:A,[1]进仓汇总!A$1:G$65536,7,0)</f>
        <v>0</v>
      </c>
      <c r="N579" s="26" t="s">
        <v>840</v>
      </c>
      <c r="O579" s="26"/>
    </row>
    <row r="580" spans="1:15">
      <c r="A580" s="38"/>
      <c r="B580" s="6" t="s">
        <v>926</v>
      </c>
      <c r="C580" s="24">
        <v>316030502</v>
      </c>
      <c r="D580" s="24" t="s">
        <v>925</v>
      </c>
      <c r="E580" s="24" t="s">
        <v>236</v>
      </c>
      <c r="F580" s="24">
        <v>1</v>
      </c>
      <c r="G580" s="24" t="s">
        <v>430</v>
      </c>
      <c r="H580" s="23" t="s">
        <v>140</v>
      </c>
      <c r="I580" s="24">
        <v>0</v>
      </c>
      <c r="J580" s="24"/>
      <c r="K580" s="25"/>
      <c r="L580" s="25"/>
      <c r="M580" s="25" t="e">
        <f>VLOOKUP(A:A,[1]进仓汇总!A$1:G$65536,7,0)</f>
        <v>#N/A</v>
      </c>
      <c r="N580" s="26" t="s">
        <v>840</v>
      </c>
      <c r="O580" s="26"/>
    </row>
    <row r="581" spans="1:15">
      <c r="A581" s="23" t="s">
        <v>1218</v>
      </c>
      <c r="B581" s="7" t="s">
        <v>927</v>
      </c>
      <c r="C581" s="35"/>
      <c r="D581" s="24" t="s">
        <v>928</v>
      </c>
      <c r="E581" s="24" t="s">
        <v>929</v>
      </c>
      <c r="F581" s="24">
        <v>1</v>
      </c>
      <c r="G581" s="3" t="s">
        <v>792</v>
      </c>
      <c r="H581" s="24" t="s">
        <v>930</v>
      </c>
      <c r="I581" s="24" t="e">
        <f>+VLOOKUP(A:A,[1]安全库存!A$1:I$65536,9,0)</f>
        <v>#N/A</v>
      </c>
      <c r="J581" s="24">
        <v>25</v>
      </c>
      <c r="K581" s="25" t="s">
        <v>931</v>
      </c>
      <c r="L581" s="25"/>
      <c r="M581" s="25" t="e">
        <f>VLOOKUP(A:A,[1]进仓汇总!A$1:G$65536,7,0)</f>
        <v>#N/A</v>
      </c>
      <c r="N581" s="26" t="s">
        <v>932</v>
      </c>
      <c r="O581" s="26"/>
    </row>
    <row r="582" spans="1:15">
      <c r="A582" s="23" t="s">
        <v>1219</v>
      </c>
      <c r="B582" s="7" t="s">
        <v>933</v>
      </c>
      <c r="C582" s="35"/>
      <c r="D582" s="24" t="s">
        <v>928</v>
      </c>
      <c r="E582" s="24" t="s">
        <v>929</v>
      </c>
      <c r="F582" s="24">
        <v>1</v>
      </c>
      <c r="G582" s="3" t="s">
        <v>792</v>
      </c>
      <c r="H582" s="24" t="s">
        <v>930</v>
      </c>
      <c r="I582" s="24" t="e">
        <f>+VLOOKUP(A:A,[1]安全库存!A$1:I$65536,9,0)</f>
        <v>#N/A</v>
      </c>
      <c r="J582" s="24">
        <v>25</v>
      </c>
      <c r="K582" s="25" t="s">
        <v>934</v>
      </c>
      <c r="L582" s="25"/>
      <c r="M582" s="25" t="e">
        <f>VLOOKUP(A:A,[1]进仓汇总!A$1:G$65536,7,0)</f>
        <v>#N/A</v>
      </c>
      <c r="N582" s="26" t="s">
        <v>932</v>
      </c>
      <c r="O582" s="26"/>
    </row>
    <row r="583" spans="1:15">
      <c r="A583" s="23" t="s">
        <v>1220</v>
      </c>
      <c r="B583" s="7" t="s">
        <v>935</v>
      </c>
      <c r="C583" s="35"/>
      <c r="D583" s="24" t="s">
        <v>928</v>
      </c>
      <c r="E583" s="24" t="s">
        <v>936</v>
      </c>
      <c r="F583" s="24">
        <v>1</v>
      </c>
      <c r="G583" s="3" t="s">
        <v>792</v>
      </c>
      <c r="H583" s="24" t="s">
        <v>930</v>
      </c>
      <c r="I583" s="24" t="e">
        <f>+VLOOKUP(A:A,[1]安全库存!A$1:I$65536,9,0)</f>
        <v>#N/A</v>
      </c>
      <c r="J583" s="24">
        <v>25</v>
      </c>
      <c r="K583" s="25" t="s">
        <v>931</v>
      </c>
      <c r="L583" s="25"/>
      <c r="M583" s="25" t="e">
        <f>VLOOKUP(A:A,[1]进仓汇总!A$1:G$65536,7,0)</f>
        <v>#N/A</v>
      </c>
      <c r="N583" s="26" t="s">
        <v>932</v>
      </c>
      <c r="O583" s="26"/>
    </row>
    <row r="584" spans="1:15">
      <c r="A584" s="23" t="s">
        <v>1221</v>
      </c>
      <c r="B584" s="7" t="s">
        <v>937</v>
      </c>
      <c r="C584" s="35"/>
      <c r="D584" s="24" t="s">
        <v>928</v>
      </c>
      <c r="E584" s="24" t="s">
        <v>936</v>
      </c>
      <c r="F584" s="24">
        <v>1</v>
      </c>
      <c r="G584" s="3" t="s">
        <v>792</v>
      </c>
      <c r="H584" s="24" t="s">
        <v>930</v>
      </c>
      <c r="I584" s="24" t="e">
        <f>+VLOOKUP(A:A,[1]安全库存!A$1:I$65536,9,0)</f>
        <v>#N/A</v>
      </c>
      <c r="J584" s="24">
        <v>25</v>
      </c>
      <c r="K584" s="25" t="s">
        <v>934</v>
      </c>
      <c r="L584" s="25"/>
      <c r="M584" s="25" t="e">
        <f>VLOOKUP(A:A,[1]进仓汇总!A$1:G$65536,7,0)</f>
        <v>#N/A</v>
      </c>
      <c r="N584" s="26" t="s">
        <v>932</v>
      </c>
      <c r="O584" s="26"/>
    </row>
    <row r="585" spans="1:15">
      <c r="A585" s="23" t="s">
        <v>1222</v>
      </c>
      <c r="B585" s="6" t="s">
        <v>938</v>
      </c>
      <c r="C585" s="24"/>
      <c r="D585" s="24" t="s">
        <v>928</v>
      </c>
      <c r="E585" s="24" t="s">
        <v>939</v>
      </c>
      <c r="F585" s="24">
        <v>1</v>
      </c>
      <c r="G585" s="3" t="s">
        <v>792</v>
      </c>
      <c r="H585" s="24" t="s">
        <v>930</v>
      </c>
      <c r="I585" s="24" t="e">
        <f>+VLOOKUP(A:A,[1]安全库存!A$1:I$65536,9,0)</f>
        <v>#N/A</v>
      </c>
      <c r="J585" s="24">
        <v>30</v>
      </c>
      <c r="K585" s="25" t="s">
        <v>940</v>
      </c>
      <c r="L585" s="25">
        <v>756</v>
      </c>
      <c r="M585" s="25" t="e">
        <f>VLOOKUP(A:A,[1]进仓汇总!A$1:G$65536,7,0)</f>
        <v>#N/A</v>
      </c>
      <c r="N585" s="26" t="s">
        <v>932</v>
      </c>
      <c r="O585" s="26"/>
    </row>
    <row r="586" spans="1:15">
      <c r="A586" s="23" t="s">
        <v>1223</v>
      </c>
      <c r="B586" s="6" t="s">
        <v>938</v>
      </c>
      <c r="C586" s="24"/>
      <c r="D586" s="24" t="s">
        <v>941</v>
      </c>
      <c r="E586" s="24" t="s">
        <v>939</v>
      </c>
      <c r="F586" s="24">
        <v>1</v>
      </c>
      <c r="G586" s="3" t="s">
        <v>792</v>
      </c>
      <c r="H586" s="24" t="s">
        <v>930</v>
      </c>
      <c r="I586" s="24" t="e">
        <f>+VLOOKUP(A:A,[1]安全库存!A$1:I$65536,9,0)</f>
        <v>#N/A</v>
      </c>
      <c r="J586" s="24">
        <v>15</v>
      </c>
      <c r="K586" s="25" t="s">
        <v>940</v>
      </c>
      <c r="L586" s="25">
        <v>1290</v>
      </c>
      <c r="M586" s="25" t="e">
        <f>VLOOKUP(A:A,[1]进仓汇总!A$1:G$65536,7,0)</f>
        <v>#N/A</v>
      </c>
      <c r="N586" s="26" t="s">
        <v>932</v>
      </c>
      <c r="O586" s="26"/>
    </row>
    <row r="587" spans="1:15">
      <c r="A587" s="23" t="s">
        <v>1224</v>
      </c>
      <c r="B587" s="6" t="s">
        <v>942</v>
      </c>
      <c r="C587" s="24"/>
      <c r="D587" s="24" t="s">
        <v>928</v>
      </c>
      <c r="E587" s="24" t="s">
        <v>943</v>
      </c>
      <c r="F587" s="24">
        <v>1</v>
      </c>
      <c r="G587" s="3" t="s">
        <v>792</v>
      </c>
      <c r="H587" s="24" t="s">
        <v>930</v>
      </c>
      <c r="I587" s="24" t="e">
        <f>+VLOOKUP(A:A,[1]安全库存!A$1:I$65536,9,0)</f>
        <v>#N/A</v>
      </c>
      <c r="J587" s="24">
        <v>20</v>
      </c>
      <c r="K587" s="25" t="s">
        <v>940</v>
      </c>
      <c r="L587" s="25">
        <v>480</v>
      </c>
      <c r="M587" s="25" t="e">
        <f>VLOOKUP(A:A,[1]进仓汇总!A$1:G$65536,7,0)</f>
        <v>#N/A</v>
      </c>
      <c r="N587" s="26" t="s">
        <v>932</v>
      </c>
      <c r="O587" s="26"/>
    </row>
    <row r="588" spans="1:15">
      <c r="A588" s="23" t="s">
        <v>1225</v>
      </c>
      <c r="B588" s="6" t="s">
        <v>942</v>
      </c>
      <c r="C588" s="24"/>
      <c r="D588" s="24" t="s">
        <v>941</v>
      </c>
      <c r="E588" s="24" t="s">
        <v>943</v>
      </c>
      <c r="F588" s="24">
        <v>1</v>
      </c>
      <c r="G588" s="3" t="s">
        <v>792</v>
      </c>
      <c r="H588" s="24" t="s">
        <v>930</v>
      </c>
      <c r="I588" s="24" t="e">
        <f>+VLOOKUP(A:A,[1]安全库存!A$1:I$65536,9,0)</f>
        <v>#N/A</v>
      </c>
      <c r="J588" s="24">
        <v>10</v>
      </c>
      <c r="K588" s="25" t="s">
        <v>940</v>
      </c>
      <c r="L588" s="25">
        <v>890</v>
      </c>
      <c r="M588" s="25" t="e">
        <f>VLOOKUP(A:A,[1]进仓汇总!A$1:G$65536,7,0)</f>
        <v>#N/A</v>
      </c>
      <c r="N588" s="26" t="s">
        <v>932</v>
      </c>
      <c r="O588" s="26"/>
    </row>
    <row r="589" spans="1:15">
      <c r="A589" s="23" t="s">
        <v>1226</v>
      </c>
      <c r="B589" s="36" t="s">
        <v>944</v>
      </c>
      <c r="C589" s="23"/>
      <c r="D589" s="24" t="s">
        <v>928</v>
      </c>
      <c r="E589" s="24" t="s">
        <v>945</v>
      </c>
      <c r="F589" s="24">
        <v>1</v>
      </c>
      <c r="G589" s="3" t="s">
        <v>792</v>
      </c>
      <c r="H589" s="24" t="s">
        <v>930</v>
      </c>
      <c r="I589" s="24">
        <v>0</v>
      </c>
      <c r="J589" s="24">
        <v>0</v>
      </c>
      <c r="K589" s="25" t="s">
        <v>946</v>
      </c>
      <c r="L589" s="25"/>
      <c r="M589" s="25" t="e">
        <f>VLOOKUP(A:A,[1]进仓汇总!A$1:G$65536,7,0)</f>
        <v>#N/A</v>
      </c>
      <c r="N589" s="26" t="s">
        <v>932</v>
      </c>
      <c r="O589" s="26"/>
    </row>
    <row r="590" spans="1:15">
      <c r="A590" s="23" t="s">
        <v>1227</v>
      </c>
      <c r="B590" s="36" t="s">
        <v>944</v>
      </c>
      <c r="C590" s="23"/>
      <c r="D590" s="24" t="s">
        <v>941</v>
      </c>
      <c r="E590" s="24" t="s">
        <v>945</v>
      </c>
      <c r="F590" s="24">
        <v>1</v>
      </c>
      <c r="G590" s="3" t="s">
        <v>792</v>
      </c>
      <c r="H590" s="24" t="s">
        <v>930</v>
      </c>
      <c r="I590" s="24">
        <v>0</v>
      </c>
      <c r="J590" s="24">
        <v>0</v>
      </c>
      <c r="K590" s="25" t="s">
        <v>946</v>
      </c>
      <c r="L590" s="25"/>
      <c r="M590" s="25" t="e">
        <f>VLOOKUP(A:A,[1]进仓汇总!A$1:G$65536,7,0)</f>
        <v>#N/A</v>
      </c>
      <c r="N590" s="26" t="s">
        <v>932</v>
      </c>
      <c r="O590" s="26"/>
    </row>
    <row r="591" spans="1:15">
      <c r="A591" s="23" t="s">
        <v>1228</v>
      </c>
      <c r="B591" s="6" t="s">
        <v>947</v>
      </c>
      <c r="C591" s="24"/>
      <c r="D591" s="24" t="s">
        <v>928</v>
      </c>
      <c r="E591" s="24" t="s">
        <v>948</v>
      </c>
      <c r="F591" s="24">
        <v>1</v>
      </c>
      <c r="G591" s="3" t="s">
        <v>792</v>
      </c>
      <c r="H591" s="24" t="s">
        <v>930</v>
      </c>
      <c r="I591" s="24" t="e">
        <f>+VLOOKUP(A:A,[1]安全库存!A$1:I$65536,9,0)</f>
        <v>#N/A</v>
      </c>
      <c r="J591" s="24">
        <v>10</v>
      </c>
      <c r="K591" s="25" t="s">
        <v>940</v>
      </c>
      <c r="L591" s="25">
        <v>680</v>
      </c>
      <c r="M591" s="25" t="e">
        <f>VLOOKUP(A:A,[1]进仓汇总!A$1:G$65536,7,0)</f>
        <v>#N/A</v>
      </c>
      <c r="N591" s="26" t="s">
        <v>932</v>
      </c>
      <c r="O591" s="26"/>
    </row>
    <row r="592" spans="1:15">
      <c r="A592" s="23" t="s">
        <v>1229</v>
      </c>
      <c r="B592" s="6" t="s">
        <v>947</v>
      </c>
      <c r="C592" s="24"/>
      <c r="D592" s="24" t="s">
        <v>941</v>
      </c>
      <c r="E592" s="24" t="s">
        <v>948</v>
      </c>
      <c r="F592" s="24">
        <v>1</v>
      </c>
      <c r="G592" s="3" t="s">
        <v>792</v>
      </c>
      <c r="H592" s="24" t="s">
        <v>930</v>
      </c>
      <c r="I592" s="24" t="e">
        <f>+VLOOKUP(A:A,[1]安全库存!A$1:I$65536,9,0)</f>
        <v>#N/A</v>
      </c>
      <c r="J592" s="24">
        <v>5</v>
      </c>
      <c r="K592" s="25" t="s">
        <v>940</v>
      </c>
      <c r="L592" s="25"/>
      <c r="M592" s="25" t="e">
        <f>VLOOKUP(A:A,[1]进仓汇总!A$1:G$65536,7,0)</f>
        <v>#N/A</v>
      </c>
      <c r="N592" s="26" t="s">
        <v>932</v>
      </c>
      <c r="O592" s="26"/>
    </row>
    <row r="593" spans="1:15">
      <c r="A593" s="2" t="s">
        <v>1230</v>
      </c>
      <c r="B593" s="6" t="s">
        <v>949</v>
      </c>
      <c r="C593" s="24"/>
      <c r="D593" s="24" t="s">
        <v>950</v>
      </c>
      <c r="E593" s="24" t="s">
        <v>951</v>
      </c>
      <c r="F593" s="24">
        <v>1</v>
      </c>
      <c r="G593" s="23" t="s">
        <v>24</v>
      </c>
      <c r="H593" s="23" t="s">
        <v>952</v>
      </c>
      <c r="I593" s="23" t="e">
        <f>+VLOOKUP(A:A,[1]安全库存!A$1:I$65536,9,0)</f>
        <v>#N/A</v>
      </c>
      <c r="J593" s="23" t="s">
        <v>221</v>
      </c>
      <c r="K593" s="25" t="s">
        <v>953</v>
      </c>
      <c r="L593" s="25">
        <v>498</v>
      </c>
      <c r="M593" s="25" t="e">
        <f>VLOOKUP(A:A,[1]进仓汇总!A$1:G$65536,7,0)</f>
        <v>#N/A</v>
      </c>
      <c r="N593" s="26" t="s">
        <v>932</v>
      </c>
      <c r="O593" s="26"/>
    </row>
    <row r="594" spans="1:15">
      <c r="A594" s="23" t="s">
        <v>1231</v>
      </c>
      <c r="B594" s="6" t="s">
        <v>949</v>
      </c>
      <c r="C594" s="24"/>
      <c r="D594" s="24" t="s">
        <v>954</v>
      </c>
      <c r="E594" s="24" t="s">
        <v>951</v>
      </c>
      <c r="F594" s="24">
        <v>1</v>
      </c>
      <c r="G594" s="23" t="s">
        <v>24</v>
      </c>
      <c r="H594" s="23" t="s">
        <v>140</v>
      </c>
      <c r="I594" s="23">
        <v>20</v>
      </c>
      <c r="J594" s="23" t="s">
        <v>221</v>
      </c>
      <c r="K594" s="25" t="s">
        <v>953</v>
      </c>
      <c r="L594" s="25"/>
      <c r="M594" s="25">
        <f>VLOOKUP(A:A,[1]进仓汇总!A$1:G$65536,7,0)</f>
        <v>0</v>
      </c>
      <c r="N594" s="26" t="s">
        <v>932</v>
      </c>
      <c r="O594" s="26"/>
    </row>
    <row r="595" spans="1:15">
      <c r="A595" s="23" t="s">
        <v>1232</v>
      </c>
      <c r="B595" s="6" t="s">
        <v>955</v>
      </c>
      <c r="C595" s="24"/>
      <c r="D595" s="24" t="s">
        <v>956</v>
      </c>
      <c r="E595" s="24" t="s">
        <v>951</v>
      </c>
      <c r="F595" s="24">
        <v>1</v>
      </c>
      <c r="G595" s="23" t="s">
        <v>24</v>
      </c>
      <c r="H595" s="23" t="s">
        <v>952</v>
      </c>
      <c r="I595" s="23">
        <v>0</v>
      </c>
      <c r="J595" s="23" t="s">
        <v>221</v>
      </c>
      <c r="K595" s="25" t="s">
        <v>953</v>
      </c>
      <c r="L595" s="25"/>
      <c r="M595" s="25" t="e">
        <f>VLOOKUP(A:A,[1]进仓汇总!A$1:G$65536,7,0)</f>
        <v>#N/A</v>
      </c>
      <c r="N595" s="26" t="s">
        <v>932</v>
      </c>
      <c r="O595" s="26"/>
    </row>
    <row r="596" spans="1:15">
      <c r="A596" s="23" t="s">
        <v>1233</v>
      </c>
      <c r="B596" s="6" t="s">
        <v>955</v>
      </c>
      <c r="C596" s="24"/>
      <c r="D596" s="24" t="s">
        <v>957</v>
      </c>
      <c r="E596" s="24" t="s">
        <v>951</v>
      </c>
      <c r="F596" s="24">
        <v>1</v>
      </c>
      <c r="G596" s="23" t="s">
        <v>24</v>
      </c>
      <c r="H596" s="23" t="s">
        <v>140</v>
      </c>
      <c r="I596" s="23">
        <v>0</v>
      </c>
      <c r="J596" s="23" t="s">
        <v>221</v>
      </c>
      <c r="K596" s="25" t="s">
        <v>953</v>
      </c>
      <c r="L596" s="25"/>
      <c r="M596" s="25" t="e">
        <f>VLOOKUP(A:A,[1]进仓汇总!A$1:G$65536,7,0)</f>
        <v>#N/A</v>
      </c>
      <c r="N596" s="26" t="s">
        <v>932</v>
      </c>
      <c r="O596" s="26"/>
    </row>
    <row r="597" spans="1:15">
      <c r="A597" s="23" t="s">
        <v>1234</v>
      </c>
      <c r="B597" s="6" t="s">
        <v>958</v>
      </c>
      <c r="C597" s="24"/>
      <c r="D597" s="24" t="s">
        <v>959</v>
      </c>
      <c r="E597" s="24" t="s">
        <v>951</v>
      </c>
      <c r="F597" s="24">
        <v>2</v>
      </c>
      <c r="G597" s="3" t="s">
        <v>792</v>
      </c>
      <c r="H597" s="24" t="s">
        <v>930</v>
      </c>
      <c r="I597" s="24">
        <v>0</v>
      </c>
      <c r="J597" s="24">
        <v>50</v>
      </c>
      <c r="K597" s="25" t="s">
        <v>960</v>
      </c>
      <c r="L597" s="25">
        <v>276</v>
      </c>
      <c r="M597" s="25" t="e">
        <f>VLOOKUP(A:A,[1]进仓汇总!A$1:G$65536,7,0)</f>
        <v>#N/A</v>
      </c>
      <c r="N597" s="26" t="s">
        <v>932</v>
      </c>
      <c r="O597" s="26"/>
    </row>
    <row r="598" spans="1:15">
      <c r="A598" s="23" t="s">
        <v>1235</v>
      </c>
      <c r="B598" s="6" t="s">
        <v>961</v>
      </c>
      <c r="C598" s="24"/>
      <c r="D598" s="24" t="s">
        <v>962</v>
      </c>
      <c r="E598" s="24" t="s">
        <v>963</v>
      </c>
      <c r="F598" s="24">
        <v>1</v>
      </c>
      <c r="G598" s="3" t="s">
        <v>792</v>
      </c>
      <c r="H598" s="24" t="s">
        <v>930</v>
      </c>
      <c r="I598" s="24">
        <v>0</v>
      </c>
      <c r="J598" s="24"/>
      <c r="K598" s="25" t="s">
        <v>960</v>
      </c>
      <c r="L598" s="25">
        <v>498</v>
      </c>
      <c r="M598" s="25">
        <f>VLOOKUP(A:A,[1]进仓汇总!A$1:G$65536,7,0)</f>
        <v>0</v>
      </c>
      <c r="N598" s="26" t="s">
        <v>932</v>
      </c>
      <c r="O598" s="26"/>
    </row>
    <row r="599" spans="1:15">
      <c r="A599" s="23" t="s">
        <v>1236</v>
      </c>
      <c r="B599" s="21" t="s">
        <v>964</v>
      </c>
      <c r="C599" s="3"/>
      <c r="D599" s="24" t="s">
        <v>965</v>
      </c>
      <c r="E599" s="24" t="s">
        <v>963</v>
      </c>
      <c r="F599" s="24">
        <v>2</v>
      </c>
      <c r="G599" s="3" t="s">
        <v>792</v>
      </c>
      <c r="H599" s="24" t="s">
        <v>930</v>
      </c>
      <c r="I599" s="24">
        <v>0</v>
      </c>
      <c r="J599" s="24">
        <v>40</v>
      </c>
      <c r="K599" s="25" t="s">
        <v>960</v>
      </c>
      <c r="L599" s="25"/>
      <c r="M599" s="25" t="e">
        <f>VLOOKUP(A:A,[1]进仓汇总!A$1:G$65536,7,0)</f>
        <v>#N/A</v>
      </c>
      <c r="N599" s="26" t="s">
        <v>932</v>
      </c>
      <c r="O599" s="26"/>
    </row>
    <row r="600" spans="1:15">
      <c r="A600" s="23" t="s">
        <v>1237</v>
      </c>
      <c r="B600" s="21" t="s">
        <v>966</v>
      </c>
      <c r="C600" s="3"/>
      <c r="D600" s="24" t="s">
        <v>967</v>
      </c>
      <c r="E600" s="24" t="s">
        <v>963</v>
      </c>
      <c r="F600" s="24">
        <v>2</v>
      </c>
      <c r="G600" s="3" t="s">
        <v>792</v>
      </c>
      <c r="H600" s="24" t="s">
        <v>930</v>
      </c>
      <c r="I600" s="24" t="e">
        <f>+VLOOKUP(A:A,[1]安全库存!A$1:I$65536,9,0)</f>
        <v>#N/A</v>
      </c>
      <c r="J600" s="24"/>
      <c r="K600" s="25" t="s">
        <v>960</v>
      </c>
      <c r="L600" s="25">
        <v>300</v>
      </c>
      <c r="M600" s="25" t="e">
        <f>VLOOKUP(A:A,[1]进仓汇总!A$1:G$65536,7,0)</f>
        <v>#N/A</v>
      </c>
      <c r="N600" s="26" t="s">
        <v>932</v>
      </c>
      <c r="O600" s="26"/>
    </row>
    <row r="601" spans="1:15">
      <c r="A601" s="23" t="s">
        <v>1238</v>
      </c>
      <c r="B601" s="6" t="s">
        <v>968</v>
      </c>
      <c r="C601" s="24"/>
      <c r="D601" s="24" t="s">
        <v>969</v>
      </c>
      <c r="E601" s="3" t="s">
        <v>970</v>
      </c>
      <c r="F601" s="24">
        <v>2</v>
      </c>
      <c r="G601" s="3" t="s">
        <v>792</v>
      </c>
      <c r="H601" s="24" t="s">
        <v>930</v>
      </c>
      <c r="I601" s="24">
        <v>0</v>
      </c>
      <c r="J601" s="24"/>
      <c r="K601" s="25" t="s">
        <v>960</v>
      </c>
      <c r="L601" s="25"/>
      <c r="M601" s="25" t="e">
        <f>VLOOKUP(A:A,[1]进仓汇总!A$1:G$65536,7,0)</f>
        <v>#N/A</v>
      </c>
      <c r="N601" s="26" t="s">
        <v>932</v>
      </c>
      <c r="O601" s="26"/>
    </row>
    <row r="602" spans="1:15">
      <c r="A602" s="23" t="s">
        <v>1239</v>
      </c>
      <c r="B602" s="6" t="s">
        <v>968</v>
      </c>
      <c r="C602" s="24"/>
      <c r="D602" s="24" t="s">
        <v>969</v>
      </c>
      <c r="E602" s="24" t="s">
        <v>971</v>
      </c>
      <c r="F602" s="24">
        <v>2</v>
      </c>
      <c r="G602" s="3" t="s">
        <v>792</v>
      </c>
      <c r="H602" s="24" t="s">
        <v>930</v>
      </c>
      <c r="I602" s="24">
        <v>0</v>
      </c>
      <c r="J602" s="24"/>
      <c r="K602" s="25" t="s">
        <v>960</v>
      </c>
      <c r="L602" s="25"/>
      <c r="M602" s="25" t="e">
        <f>VLOOKUP(A:A,[1]进仓汇总!A$1:G$65536,7,0)</f>
        <v>#N/A</v>
      </c>
      <c r="N602" s="26" t="s">
        <v>932</v>
      </c>
      <c r="O602" s="26"/>
    </row>
    <row r="603" spans="1:15">
      <c r="A603" s="23" t="s">
        <v>1240</v>
      </c>
      <c r="B603" s="6" t="s">
        <v>972</v>
      </c>
      <c r="C603" s="24"/>
      <c r="D603" s="24" t="s">
        <v>973</v>
      </c>
      <c r="E603" s="24" t="s">
        <v>963</v>
      </c>
      <c r="F603" s="24">
        <v>2</v>
      </c>
      <c r="G603" s="3" t="s">
        <v>974</v>
      </c>
      <c r="H603" s="24"/>
      <c r="I603" s="24">
        <v>0</v>
      </c>
      <c r="J603" s="24"/>
      <c r="K603" s="25"/>
      <c r="L603" s="25"/>
      <c r="M603" s="25" t="e">
        <f>VLOOKUP(A:A,[1]进仓汇总!A$1:G$65536,7,0)</f>
        <v>#N/A</v>
      </c>
      <c r="N603" s="26" t="s">
        <v>932</v>
      </c>
      <c r="O603" s="26"/>
    </row>
    <row r="604" spans="1:15">
      <c r="A604" s="23" t="s">
        <v>1241</v>
      </c>
      <c r="B604" s="6" t="s">
        <v>975</v>
      </c>
      <c r="C604" s="24"/>
      <c r="D604" s="24" t="s">
        <v>976</v>
      </c>
      <c r="E604" s="24" t="s">
        <v>977</v>
      </c>
      <c r="F604" s="24">
        <v>1</v>
      </c>
      <c r="G604" s="3" t="s">
        <v>792</v>
      </c>
      <c r="H604" s="24" t="s">
        <v>930</v>
      </c>
      <c r="I604" s="24">
        <v>0</v>
      </c>
      <c r="J604" s="24"/>
      <c r="K604" s="25">
        <v>0</v>
      </c>
      <c r="L604" s="25"/>
      <c r="M604" s="25" t="e">
        <f>VLOOKUP(A:A,[1]进仓汇总!A$1:G$65536,7,0)</f>
        <v>#N/A</v>
      </c>
      <c r="N604" s="26" t="s">
        <v>932</v>
      </c>
      <c r="O604" s="26"/>
    </row>
    <row r="605" spans="1:15">
      <c r="A605" s="23" t="s">
        <v>1242</v>
      </c>
      <c r="B605" s="6" t="s">
        <v>978</v>
      </c>
      <c r="C605" s="24"/>
      <c r="D605" s="24" t="s">
        <v>928</v>
      </c>
      <c r="E605" s="24" t="s">
        <v>979</v>
      </c>
      <c r="F605" s="24">
        <v>1</v>
      </c>
      <c r="G605" s="3" t="s">
        <v>792</v>
      </c>
      <c r="H605" s="24" t="s">
        <v>930</v>
      </c>
      <c r="I605" s="24" t="e">
        <f>+VLOOKUP(A:A,[1]安全库存!A$1:I$65536,9,0)</f>
        <v>#N/A</v>
      </c>
      <c r="J605" s="24">
        <v>30</v>
      </c>
      <c r="K605" s="25" t="s">
        <v>940</v>
      </c>
      <c r="L605" s="25">
        <v>670</v>
      </c>
      <c r="M605" s="25" t="e">
        <f>VLOOKUP(A:A,[1]进仓汇总!A$1:G$65536,7,0)</f>
        <v>#N/A</v>
      </c>
      <c r="N605" s="26" t="s">
        <v>932</v>
      </c>
      <c r="O605" s="26"/>
    </row>
    <row r="606" spans="1:15">
      <c r="A606" s="23" t="s">
        <v>1243</v>
      </c>
      <c r="B606" s="6" t="s">
        <v>980</v>
      </c>
      <c r="C606" s="24"/>
      <c r="D606" s="24" t="s">
        <v>941</v>
      </c>
      <c r="E606" s="24" t="s">
        <v>979</v>
      </c>
      <c r="F606" s="24">
        <v>1</v>
      </c>
      <c r="G606" s="3" t="s">
        <v>792</v>
      </c>
      <c r="H606" s="24" t="s">
        <v>930</v>
      </c>
      <c r="I606" s="24" t="e">
        <f>+VLOOKUP(A:A,[1]安全库存!A$1:I$65536,9,0)</f>
        <v>#N/A</v>
      </c>
      <c r="J606" s="24">
        <v>15</v>
      </c>
      <c r="K606" s="25" t="s">
        <v>940</v>
      </c>
      <c r="L606" s="25">
        <v>1196</v>
      </c>
      <c r="M606" s="25" t="e">
        <f>VLOOKUP(A:A,[1]进仓汇总!A$1:G$65536,7,0)</f>
        <v>#N/A</v>
      </c>
      <c r="N606" s="26" t="s">
        <v>932</v>
      </c>
      <c r="O606" s="26"/>
    </row>
    <row r="607" spans="1:15">
      <c r="A607" s="23" t="s">
        <v>1244</v>
      </c>
      <c r="B607" s="6" t="s">
        <v>981</v>
      </c>
      <c r="C607" s="24"/>
      <c r="D607" s="24" t="s">
        <v>928</v>
      </c>
      <c r="E607" s="24" t="s">
        <v>982</v>
      </c>
      <c r="F607" s="24"/>
      <c r="G607" s="3" t="s">
        <v>792</v>
      </c>
      <c r="H607" s="24"/>
      <c r="I607" s="24">
        <f>+VLOOKUP(A:A,[1]安全库存!A$1:I$65536,9,0)</f>
        <v>10</v>
      </c>
      <c r="J607" s="24">
        <v>10</v>
      </c>
      <c r="K607" s="25" t="s">
        <v>983</v>
      </c>
      <c r="L607" s="25">
        <v>710</v>
      </c>
      <c r="M607" s="25">
        <f>VLOOKUP(A:A,[1]进仓汇总!A$1:G$65536,7,0)</f>
        <v>10</v>
      </c>
      <c r="N607" s="26" t="s">
        <v>932</v>
      </c>
      <c r="O607" s="26"/>
    </row>
    <row r="608" spans="1:15">
      <c r="A608" s="23" t="s">
        <v>1245</v>
      </c>
      <c r="B608" s="6" t="s">
        <v>984</v>
      </c>
      <c r="C608" s="24"/>
      <c r="D608" s="24" t="s">
        <v>941</v>
      </c>
      <c r="E608" s="24" t="s">
        <v>982</v>
      </c>
      <c r="F608" s="24"/>
      <c r="G608" s="3" t="s">
        <v>792</v>
      </c>
      <c r="H608" s="24"/>
      <c r="I608" s="24">
        <f>+VLOOKUP(A:A,[1]安全库存!A$1:I$65536,9,0)</f>
        <v>5</v>
      </c>
      <c r="J608" s="24">
        <v>5</v>
      </c>
      <c r="K608" s="25" t="s">
        <v>983</v>
      </c>
      <c r="L608" s="25">
        <v>1260</v>
      </c>
      <c r="M608" s="25">
        <f>VLOOKUP(A:A,[1]进仓汇总!A$1:G$65536,7,0)</f>
        <v>5</v>
      </c>
      <c r="N608" s="26" t="s">
        <v>932</v>
      </c>
      <c r="O608" s="26"/>
    </row>
    <row r="609" spans="1:15">
      <c r="A609" s="23" t="s">
        <v>1246</v>
      </c>
      <c r="B609" s="6" t="s">
        <v>985</v>
      </c>
      <c r="C609" s="24"/>
      <c r="D609" s="24" t="s">
        <v>986</v>
      </c>
      <c r="E609" s="24" t="s">
        <v>987</v>
      </c>
      <c r="F609" s="24">
        <v>2</v>
      </c>
      <c r="G609" s="3" t="s">
        <v>792</v>
      </c>
      <c r="H609" s="24" t="s">
        <v>930</v>
      </c>
      <c r="I609" s="24">
        <v>0</v>
      </c>
      <c r="J609" s="24"/>
      <c r="K609" s="25" t="s">
        <v>960</v>
      </c>
      <c r="L609" s="25"/>
      <c r="M609" s="25" t="e">
        <f>VLOOKUP(A:A,[1]进仓汇总!A$1:G$65536,7,0)</f>
        <v>#N/A</v>
      </c>
      <c r="N609" s="26" t="s">
        <v>932</v>
      </c>
      <c r="O609" s="26"/>
    </row>
    <row r="610" spans="1:15">
      <c r="A610" s="23" t="s">
        <v>1247</v>
      </c>
      <c r="B610" s="6" t="s">
        <v>988</v>
      </c>
      <c r="C610" s="24"/>
      <c r="D610" s="24" t="s">
        <v>989</v>
      </c>
      <c r="E610" s="24" t="s">
        <v>990</v>
      </c>
      <c r="F610" s="24">
        <v>2</v>
      </c>
      <c r="G610" s="3" t="s">
        <v>792</v>
      </c>
      <c r="H610" s="24" t="s">
        <v>930</v>
      </c>
      <c r="I610" s="24" t="e">
        <f>+VLOOKUP(A:A,[1]安全库存!A$1:I$65536,9,0)</f>
        <v>#N/A</v>
      </c>
      <c r="J610" s="24">
        <v>50</v>
      </c>
      <c r="K610" s="25" t="s">
        <v>991</v>
      </c>
      <c r="L610" s="25">
        <v>220</v>
      </c>
      <c r="M610" s="25" t="e">
        <f>VLOOKUP(A:A,[1]进仓汇总!A$1:G$65536,7,0)</f>
        <v>#N/A</v>
      </c>
      <c r="N610" s="26" t="s">
        <v>932</v>
      </c>
      <c r="O610" s="26"/>
    </row>
    <row r="611" spans="1:15">
      <c r="A611" s="23" t="s">
        <v>1248</v>
      </c>
      <c r="B611" s="6" t="s">
        <v>992</v>
      </c>
      <c r="C611" s="24"/>
      <c r="D611" s="24" t="s">
        <v>993</v>
      </c>
      <c r="E611" s="24" t="s">
        <v>990</v>
      </c>
      <c r="F611" s="24">
        <v>2</v>
      </c>
      <c r="G611" s="3" t="s">
        <v>792</v>
      </c>
      <c r="H611" s="24" t="s">
        <v>930</v>
      </c>
      <c r="I611" s="24" t="e">
        <f>+VLOOKUP(A:A,[1]安全库存!A$1:I$65536,9,0)</f>
        <v>#N/A</v>
      </c>
      <c r="J611" s="24">
        <v>50</v>
      </c>
      <c r="K611" s="25" t="s">
        <v>991</v>
      </c>
      <c r="L611" s="25"/>
      <c r="M611" s="25" t="e">
        <f>VLOOKUP(A:A,[1]进仓汇总!A$1:G$65536,7,0)</f>
        <v>#N/A</v>
      </c>
      <c r="N611" s="26" t="s">
        <v>932</v>
      </c>
      <c r="O611" s="26"/>
    </row>
    <row r="612" spans="1:15">
      <c r="A612" s="23" t="s">
        <v>1249</v>
      </c>
      <c r="B612" s="6" t="s">
        <v>985</v>
      </c>
      <c r="C612" s="24"/>
      <c r="D612" s="24" t="s">
        <v>994</v>
      </c>
      <c r="E612" s="24" t="s">
        <v>995</v>
      </c>
      <c r="F612" s="24">
        <v>2</v>
      </c>
      <c r="G612" s="3" t="s">
        <v>792</v>
      </c>
      <c r="H612" s="24" t="s">
        <v>930</v>
      </c>
      <c r="I612" s="24">
        <v>0</v>
      </c>
      <c r="J612" s="24"/>
      <c r="K612" s="25" t="s">
        <v>996</v>
      </c>
      <c r="L612" s="25"/>
      <c r="M612" s="25" t="e">
        <f>VLOOKUP(A:A,[1]进仓汇总!A$1:G$65536,7,0)</f>
        <v>#N/A</v>
      </c>
      <c r="N612" s="26" t="s">
        <v>932</v>
      </c>
      <c r="O612" s="26"/>
    </row>
    <row r="613" spans="1:15">
      <c r="A613" s="23" t="s">
        <v>1250</v>
      </c>
      <c r="B613" s="6" t="s">
        <v>997</v>
      </c>
      <c r="C613" s="24"/>
      <c r="D613" s="24" t="s">
        <v>998</v>
      </c>
      <c r="E613" s="24" t="s">
        <v>995</v>
      </c>
      <c r="F613" s="24">
        <v>2</v>
      </c>
      <c r="G613" s="3" t="s">
        <v>792</v>
      </c>
      <c r="H613" s="24" t="s">
        <v>930</v>
      </c>
      <c r="I613" s="24">
        <v>0</v>
      </c>
      <c r="J613" s="24"/>
      <c r="K613" s="25" t="s">
        <v>960</v>
      </c>
      <c r="L613" s="25"/>
      <c r="M613" s="25" t="e">
        <f>VLOOKUP(A:A,[1]进仓汇总!A$1:G$65536,7,0)</f>
        <v>#N/A</v>
      </c>
      <c r="N613" s="26" t="s">
        <v>932</v>
      </c>
      <c r="O613" s="26"/>
    </row>
    <row r="614" spans="1:15">
      <c r="A614" s="23" t="s">
        <v>1251</v>
      </c>
      <c r="B614" s="6" t="s">
        <v>999</v>
      </c>
      <c r="C614" s="24"/>
      <c r="D614" s="24" t="s">
        <v>998</v>
      </c>
      <c r="E614" s="24" t="s">
        <v>1000</v>
      </c>
      <c r="F614" s="24">
        <v>2</v>
      </c>
      <c r="G614" s="3" t="s">
        <v>792</v>
      </c>
      <c r="H614" s="24" t="s">
        <v>930</v>
      </c>
      <c r="I614" s="24">
        <v>0</v>
      </c>
      <c r="J614" s="24"/>
      <c r="K614" s="25" t="s">
        <v>960</v>
      </c>
      <c r="L614" s="25"/>
      <c r="M614" s="25" t="e">
        <f>VLOOKUP(A:A,[1]进仓汇总!A$1:G$65536,7,0)</f>
        <v>#N/A</v>
      </c>
      <c r="N614" s="26" t="s">
        <v>932</v>
      </c>
      <c r="O614" s="26"/>
    </row>
    <row r="615" spans="1:15">
      <c r="A615" s="23" t="s">
        <v>1252</v>
      </c>
      <c r="B615" s="6" t="s">
        <v>961</v>
      </c>
      <c r="C615" s="24"/>
      <c r="D615" s="24" t="s">
        <v>1001</v>
      </c>
      <c r="E615" s="24" t="s">
        <v>1002</v>
      </c>
      <c r="F615" s="24">
        <v>2</v>
      </c>
      <c r="G615" s="3" t="s">
        <v>792</v>
      </c>
      <c r="H615" s="24" t="s">
        <v>930</v>
      </c>
      <c r="I615" s="24" t="e">
        <f>+VLOOKUP(A:A,[1]安全库存!A$1:I$65536,9,0)</f>
        <v>#N/A</v>
      </c>
      <c r="J615" s="24">
        <v>10</v>
      </c>
      <c r="K615" s="25" t="s">
        <v>960</v>
      </c>
      <c r="L615" s="25">
        <f>8436/2</f>
        <v>4218</v>
      </c>
      <c r="M615" s="25" t="e">
        <f>VLOOKUP(A:A,[1]进仓汇总!A$1:G$65536,7,0)</f>
        <v>#N/A</v>
      </c>
      <c r="N615" s="26" t="s">
        <v>932</v>
      </c>
      <c r="O615" s="26"/>
    </row>
    <row r="616" spans="1:15">
      <c r="A616" s="23" t="s">
        <v>1253</v>
      </c>
      <c r="B616" s="6" t="s">
        <v>949</v>
      </c>
      <c r="C616" s="24"/>
      <c r="D616" s="24" t="s">
        <v>1001</v>
      </c>
      <c r="E616" s="24" t="s">
        <v>1003</v>
      </c>
      <c r="F616" s="24">
        <v>2</v>
      </c>
      <c r="G616" s="3" t="s">
        <v>792</v>
      </c>
      <c r="H616" s="24" t="s">
        <v>930</v>
      </c>
      <c r="I616" s="24" t="e">
        <f>+VLOOKUP(A:A,[1]安全库存!A$1:I$65536,9,0)</f>
        <v>#N/A</v>
      </c>
      <c r="J616" s="24">
        <v>10</v>
      </c>
      <c r="K616" s="25" t="s">
        <v>960</v>
      </c>
      <c r="L616" s="25"/>
      <c r="M616" s="25" t="e">
        <f>VLOOKUP(A:A,[1]进仓汇总!A$1:G$65536,7,0)</f>
        <v>#N/A</v>
      </c>
      <c r="N616" s="26" t="s">
        <v>932</v>
      </c>
      <c r="O616" s="26"/>
    </row>
    <row r="617" spans="1:15">
      <c r="A617" s="23" t="s">
        <v>1254</v>
      </c>
      <c r="B617" s="6" t="s">
        <v>966</v>
      </c>
      <c r="C617" s="24"/>
      <c r="D617" s="24" t="s">
        <v>1004</v>
      </c>
      <c r="E617" s="24" t="s">
        <v>1003</v>
      </c>
      <c r="F617" s="24">
        <v>2</v>
      </c>
      <c r="G617" s="3" t="s">
        <v>792</v>
      </c>
      <c r="H617" s="24" t="s">
        <v>930</v>
      </c>
      <c r="I617" s="24" t="e">
        <f>+VLOOKUP(A:A,[1]安全库存!A$1:I$65536,9,0)</f>
        <v>#N/A</v>
      </c>
      <c r="J617" s="24">
        <v>10</v>
      </c>
      <c r="K617" s="25" t="s">
        <v>960</v>
      </c>
      <c r="L617" s="25"/>
      <c r="M617" s="25" t="e">
        <f>VLOOKUP(A:A,[1]进仓汇总!A$1:G$65536,7,0)</f>
        <v>#N/A</v>
      </c>
      <c r="N617" s="26" t="s">
        <v>932</v>
      </c>
      <c r="O617" s="26"/>
    </row>
    <row r="618" spans="1:15">
      <c r="A618" s="23" t="s">
        <v>1255</v>
      </c>
      <c r="B618" s="6" t="s">
        <v>1005</v>
      </c>
      <c r="C618" s="24"/>
      <c r="D618" s="24" t="s">
        <v>1006</v>
      </c>
      <c r="E618" s="24" t="s">
        <v>1007</v>
      </c>
      <c r="F618" s="24">
        <v>2</v>
      </c>
      <c r="G618" s="3" t="s">
        <v>792</v>
      </c>
      <c r="H618" s="24" t="s">
        <v>930</v>
      </c>
      <c r="I618" s="24">
        <v>0</v>
      </c>
      <c r="J618" s="24">
        <v>20</v>
      </c>
      <c r="K618" s="25" t="s">
        <v>960</v>
      </c>
      <c r="L618" s="25"/>
      <c r="M618" s="25">
        <f>VLOOKUP(A:A,[1]进仓汇总!A$1:G$65536,7,0)</f>
        <v>0</v>
      </c>
      <c r="N618" s="26" t="s">
        <v>932</v>
      </c>
      <c r="O618" s="26"/>
    </row>
    <row r="619" spans="1:15">
      <c r="A619" s="23" t="s">
        <v>1256</v>
      </c>
      <c r="B619" s="6" t="s">
        <v>1008</v>
      </c>
      <c r="C619" s="24"/>
      <c r="D619" s="24" t="s">
        <v>928</v>
      </c>
      <c r="E619" s="24" t="s">
        <v>1009</v>
      </c>
      <c r="F619" s="24">
        <v>1</v>
      </c>
      <c r="G619" s="3" t="s">
        <v>792</v>
      </c>
      <c r="H619" s="24" t="s">
        <v>930</v>
      </c>
      <c r="I619" s="24">
        <v>0</v>
      </c>
      <c r="J619" s="24">
        <v>10</v>
      </c>
      <c r="K619" s="25" t="s">
        <v>946</v>
      </c>
      <c r="L619" s="25"/>
      <c r="M619" s="25">
        <f>VLOOKUP(A:A,[1]进仓汇总!A$1:G$65536,7,0)</f>
        <v>0</v>
      </c>
      <c r="N619" s="26" t="s">
        <v>932</v>
      </c>
      <c r="O619" s="26"/>
    </row>
    <row r="620" spans="1:15">
      <c r="A620" s="23" t="s">
        <v>1257</v>
      </c>
      <c r="B620" s="6" t="s">
        <v>1010</v>
      </c>
      <c r="C620" s="24"/>
      <c r="D620" s="24" t="s">
        <v>941</v>
      </c>
      <c r="E620" s="24" t="s">
        <v>1009</v>
      </c>
      <c r="F620" s="24">
        <v>1</v>
      </c>
      <c r="G620" s="3" t="s">
        <v>792</v>
      </c>
      <c r="H620" s="24" t="s">
        <v>930</v>
      </c>
      <c r="I620" s="24">
        <v>0</v>
      </c>
      <c r="J620" s="24">
        <v>5</v>
      </c>
      <c r="K620" s="25" t="s">
        <v>946</v>
      </c>
      <c r="L620" s="25"/>
      <c r="M620" s="25" t="e">
        <f>VLOOKUP(A:A,[1]进仓汇总!A$1:G$65536,7,0)</f>
        <v>#N/A</v>
      </c>
      <c r="N620" s="26" t="s">
        <v>932</v>
      </c>
      <c r="O620" s="26"/>
    </row>
    <row r="621" spans="1:15">
      <c r="A621" s="23" t="s">
        <v>1258</v>
      </c>
      <c r="B621" s="6" t="s">
        <v>1008</v>
      </c>
      <c r="C621" s="24"/>
      <c r="D621" s="24" t="s">
        <v>928</v>
      </c>
      <c r="E621" s="24" t="s">
        <v>1011</v>
      </c>
      <c r="F621" s="24">
        <v>1</v>
      </c>
      <c r="G621" s="3" t="s">
        <v>792</v>
      </c>
      <c r="H621" s="24" t="s">
        <v>930</v>
      </c>
      <c r="I621" s="24">
        <v>0</v>
      </c>
      <c r="J621" s="24">
        <v>10</v>
      </c>
      <c r="K621" s="25" t="s">
        <v>946</v>
      </c>
      <c r="L621" s="25"/>
      <c r="M621" s="25">
        <f>VLOOKUP(A:A,[1]进仓汇总!A$1:G$65536,7,0)</f>
        <v>0</v>
      </c>
      <c r="N621" s="26" t="s">
        <v>932</v>
      </c>
      <c r="O621" s="26"/>
    </row>
    <row r="622" spans="1:15">
      <c r="A622" s="23" t="s">
        <v>1259</v>
      </c>
      <c r="B622" s="6" t="s">
        <v>1012</v>
      </c>
      <c r="C622" s="24"/>
      <c r="D622" s="24" t="s">
        <v>928</v>
      </c>
      <c r="E622" s="24" t="s">
        <v>1013</v>
      </c>
      <c r="F622" s="24">
        <v>1</v>
      </c>
      <c r="G622" s="3" t="s">
        <v>792</v>
      </c>
      <c r="H622" s="24"/>
      <c r="I622" s="24">
        <v>0</v>
      </c>
      <c r="J622" s="24">
        <v>10</v>
      </c>
      <c r="K622" s="25" t="s">
        <v>1014</v>
      </c>
      <c r="L622" s="25"/>
      <c r="M622" s="25" t="e">
        <f>VLOOKUP(A:A,[1]进仓汇总!A$1:G$65536,7,0)</f>
        <v>#N/A</v>
      </c>
      <c r="N622" s="26" t="s">
        <v>932</v>
      </c>
      <c r="O622" s="26"/>
    </row>
    <row r="623" spans="1:15">
      <c r="A623" s="23" t="s">
        <v>1260</v>
      </c>
      <c r="B623" s="6" t="s">
        <v>1012</v>
      </c>
      <c r="C623" s="24"/>
      <c r="D623" s="24" t="s">
        <v>941</v>
      </c>
      <c r="E623" s="24" t="s">
        <v>1015</v>
      </c>
      <c r="F623" s="24">
        <v>1</v>
      </c>
      <c r="G623" s="3" t="s">
        <v>792</v>
      </c>
      <c r="H623" s="24"/>
      <c r="I623" s="24">
        <v>0</v>
      </c>
      <c r="J623" s="24">
        <v>5</v>
      </c>
      <c r="K623" s="25" t="s">
        <v>1014</v>
      </c>
      <c r="L623" s="25"/>
      <c r="M623" s="25" t="e">
        <f>VLOOKUP(A:A,[1]进仓汇总!A$1:G$65536,7,0)</f>
        <v>#N/A</v>
      </c>
      <c r="N623" s="26" t="s">
        <v>932</v>
      </c>
      <c r="O623" s="26"/>
    </row>
    <row r="624" spans="1:15">
      <c r="A624" s="23" t="s">
        <v>1261</v>
      </c>
      <c r="B624" s="6" t="s">
        <v>1016</v>
      </c>
      <c r="C624" s="24"/>
      <c r="D624" s="24" t="s">
        <v>928</v>
      </c>
      <c r="E624" s="24"/>
      <c r="F624" s="24">
        <v>1</v>
      </c>
      <c r="G624" s="3" t="s">
        <v>792</v>
      </c>
      <c r="H624" s="24"/>
      <c r="I624" s="24">
        <v>0</v>
      </c>
      <c r="J624" s="24">
        <v>10</v>
      </c>
      <c r="K624" s="25" t="s">
        <v>983</v>
      </c>
      <c r="L624" s="25"/>
      <c r="M624" s="25" t="e">
        <f>VLOOKUP(A:A,[1]进仓汇总!A$1:G$65536,7,0)</f>
        <v>#N/A</v>
      </c>
      <c r="N624" s="26" t="s">
        <v>932</v>
      </c>
      <c r="O624" s="26"/>
    </row>
    <row r="625" spans="1:15">
      <c r="A625" s="23" t="s">
        <v>1262</v>
      </c>
      <c r="B625" s="6" t="s">
        <v>1016</v>
      </c>
      <c r="C625" s="24"/>
      <c r="D625" s="24" t="s">
        <v>941</v>
      </c>
      <c r="E625" s="24"/>
      <c r="F625" s="24">
        <v>1</v>
      </c>
      <c r="G625" s="3" t="s">
        <v>792</v>
      </c>
      <c r="H625" s="24"/>
      <c r="I625" s="24">
        <v>0</v>
      </c>
      <c r="J625" s="24">
        <v>5</v>
      </c>
      <c r="K625" s="25" t="s">
        <v>983</v>
      </c>
      <c r="L625" s="25"/>
      <c r="M625" s="25" t="e">
        <f>VLOOKUP(A:A,[1]进仓汇总!A$1:G$65536,7,0)</f>
        <v>#N/A</v>
      </c>
      <c r="N625" s="26" t="s">
        <v>932</v>
      </c>
      <c r="O625" s="26"/>
    </row>
    <row r="626" spans="1:15">
      <c r="A626" s="23" t="s">
        <v>1263</v>
      </c>
      <c r="B626" s="6" t="s">
        <v>1017</v>
      </c>
      <c r="C626" s="24"/>
      <c r="D626" s="24" t="s">
        <v>928</v>
      </c>
      <c r="E626" s="24" t="s">
        <v>1018</v>
      </c>
      <c r="F626" s="24">
        <v>1</v>
      </c>
      <c r="G626" s="3" t="s">
        <v>792</v>
      </c>
      <c r="H626" s="24"/>
      <c r="I626" s="24" t="e">
        <f>+VLOOKUP(A:A,[1]安全库存!A$1:I$65536,9,0)</f>
        <v>#N/A</v>
      </c>
      <c r="J626" s="24">
        <v>10</v>
      </c>
      <c r="K626" s="25" t="s">
        <v>1014</v>
      </c>
      <c r="L626" s="25">
        <v>780</v>
      </c>
      <c r="M626" s="25" t="e">
        <f>VLOOKUP(A:A,[1]进仓汇总!A$1:G$65536,7,0)</f>
        <v>#N/A</v>
      </c>
      <c r="N626" s="26" t="s">
        <v>932</v>
      </c>
      <c r="O626" s="26"/>
    </row>
    <row r="627" spans="1:15">
      <c r="A627" s="23" t="s">
        <v>1264</v>
      </c>
      <c r="B627" s="6" t="s">
        <v>1017</v>
      </c>
      <c r="C627" s="24"/>
      <c r="D627" s="24" t="s">
        <v>941</v>
      </c>
      <c r="E627" s="24" t="s">
        <v>1018</v>
      </c>
      <c r="F627" s="24">
        <v>1</v>
      </c>
      <c r="G627" s="3" t="s">
        <v>792</v>
      </c>
      <c r="H627" s="24"/>
      <c r="I627" s="24" t="e">
        <f>+VLOOKUP(A:A,[1]安全库存!A$1:I$65536,9,0)</f>
        <v>#N/A</v>
      </c>
      <c r="J627" s="24">
        <v>5</v>
      </c>
      <c r="K627" s="25" t="s">
        <v>1014</v>
      </c>
      <c r="L627" s="25">
        <v>1350</v>
      </c>
      <c r="M627" s="25" t="e">
        <f>VLOOKUP(A:A,[1]进仓汇总!A$1:G$65536,7,0)</f>
        <v>#N/A</v>
      </c>
      <c r="N627" s="26" t="s">
        <v>932</v>
      </c>
      <c r="O627" s="26"/>
    </row>
    <row r="628" spans="1:15">
      <c r="A628" s="23" t="s">
        <v>1265</v>
      </c>
      <c r="B628" s="6" t="s">
        <v>1017</v>
      </c>
      <c r="C628" s="24"/>
      <c r="D628" s="24" t="s">
        <v>928</v>
      </c>
      <c r="E628" s="24" t="s">
        <v>982</v>
      </c>
      <c r="F628" s="24">
        <v>1</v>
      </c>
      <c r="G628" s="3" t="s">
        <v>792</v>
      </c>
      <c r="H628" s="24">
        <v>20</v>
      </c>
      <c r="I628" s="24" t="e">
        <f>+VLOOKUP(A:A,[1]安全库存!A$1:I$65536,9,0)</f>
        <v>#N/A</v>
      </c>
      <c r="J628" s="24">
        <v>10</v>
      </c>
      <c r="K628" s="25" t="s">
        <v>1014</v>
      </c>
      <c r="L628" s="25"/>
      <c r="M628" s="25" t="e">
        <f>VLOOKUP(A:A,[1]进仓汇总!A$1:G$65536,7,0)</f>
        <v>#N/A</v>
      </c>
      <c r="N628" s="26" t="s">
        <v>932</v>
      </c>
      <c r="O628" s="26"/>
    </row>
    <row r="629" spans="1:15">
      <c r="A629" s="23" t="s">
        <v>1266</v>
      </c>
      <c r="B629" s="6" t="s">
        <v>1017</v>
      </c>
      <c r="C629" s="24"/>
      <c r="D629" s="24" t="s">
        <v>941</v>
      </c>
      <c r="E629" s="24" t="s">
        <v>982</v>
      </c>
      <c r="F629" s="24">
        <v>1</v>
      </c>
      <c r="G629" s="3" t="s">
        <v>792</v>
      </c>
      <c r="H629" s="24">
        <v>10</v>
      </c>
      <c r="I629" s="24" t="e">
        <f>+VLOOKUP(A:A,[1]安全库存!A$1:I$65536,9,0)</f>
        <v>#N/A</v>
      </c>
      <c r="J629" s="24">
        <v>5</v>
      </c>
      <c r="K629" s="25" t="s">
        <v>1014</v>
      </c>
      <c r="L629" s="25"/>
      <c r="M629" s="25" t="e">
        <f>VLOOKUP(A:A,[1]进仓汇总!A$1:G$65536,7,0)</f>
        <v>#N/A</v>
      </c>
      <c r="N629" s="26" t="s">
        <v>932</v>
      </c>
      <c r="O629" s="26"/>
    </row>
    <row r="630" spans="1:15">
      <c r="A630" s="23" t="s">
        <v>1267</v>
      </c>
      <c r="B630" s="6" t="s">
        <v>1019</v>
      </c>
      <c r="C630" s="24"/>
      <c r="D630" s="24" t="s">
        <v>1020</v>
      </c>
      <c r="E630" s="24" t="s">
        <v>1018</v>
      </c>
      <c r="F630" s="24">
        <v>1</v>
      </c>
      <c r="G630" s="3" t="s">
        <v>792</v>
      </c>
      <c r="H630" s="24"/>
      <c r="I630" s="24">
        <f>+VLOOKUP(A:A,[1]安全库存!A$1:I$65536,9,0)</f>
        <v>0</v>
      </c>
      <c r="J630" s="24">
        <v>10</v>
      </c>
      <c r="K630" s="25" t="s">
        <v>953</v>
      </c>
      <c r="L630" s="25"/>
      <c r="M630" s="25">
        <f>VLOOKUP(A:A,[1]进仓汇总!A$1:G$65536,7,0)</f>
        <v>0</v>
      </c>
      <c r="N630" s="26" t="s">
        <v>932</v>
      </c>
      <c r="O630" s="26"/>
    </row>
    <row r="631" spans="1:15">
      <c r="A631" s="23" t="s">
        <v>1268</v>
      </c>
      <c r="B631" s="6" t="s">
        <v>972</v>
      </c>
      <c r="C631" s="24"/>
      <c r="D631" s="24" t="s">
        <v>1021</v>
      </c>
      <c r="E631" s="24" t="s">
        <v>1018</v>
      </c>
      <c r="F631" s="24">
        <v>1</v>
      </c>
      <c r="G631" s="3" t="s">
        <v>792</v>
      </c>
      <c r="H631" s="24"/>
      <c r="I631" s="24">
        <f>+VLOOKUP(A:A,[1]安全库存!A$1:I$65536,9,0)</f>
        <v>0</v>
      </c>
      <c r="J631" s="24">
        <v>10</v>
      </c>
      <c r="K631" s="25" t="s">
        <v>953</v>
      </c>
      <c r="L631" s="25"/>
      <c r="M631" s="25">
        <f>VLOOKUP(A:A,[1]进仓汇总!A$1:G$65536,7,0)</f>
        <v>0</v>
      </c>
      <c r="N631" s="26" t="s">
        <v>932</v>
      </c>
      <c r="O631" s="26"/>
    </row>
    <row r="632" spans="1:15">
      <c r="A632" s="23" t="s">
        <v>1269</v>
      </c>
      <c r="B632" s="6" t="s">
        <v>1019</v>
      </c>
      <c r="C632" s="24"/>
      <c r="D632" s="24" t="s">
        <v>1022</v>
      </c>
      <c r="E632" s="24" t="s">
        <v>1018</v>
      </c>
      <c r="F632" s="24">
        <v>2</v>
      </c>
      <c r="G632" s="3" t="s">
        <v>792</v>
      </c>
      <c r="H632" s="24"/>
      <c r="I632" s="24">
        <f>+VLOOKUP(A:A,[1]安全库存!A$1:I$65536,9,0)</f>
        <v>0</v>
      </c>
      <c r="J632" s="24"/>
      <c r="K632" s="25" t="s">
        <v>953</v>
      </c>
      <c r="L632" s="25"/>
      <c r="M632" s="25">
        <f>VLOOKUP(A:A,[1]进仓汇总!A$1:G$65536,7,0)</f>
        <v>0</v>
      </c>
      <c r="N632" s="26" t="s">
        <v>932</v>
      </c>
      <c r="O632" s="26"/>
    </row>
    <row r="633" spans="1:15">
      <c r="A633" s="23" t="s">
        <v>1270</v>
      </c>
      <c r="B633" s="6" t="s">
        <v>972</v>
      </c>
      <c r="C633" s="24"/>
      <c r="D633" s="24" t="s">
        <v>1023</v>
      </c>
      <c r="E633" s="24" t="s">
        <v>1018</v>
      </c>
      <c r="F633" s="24">
        <v>2</v>
      </c>
      <c r="G633" s="3" t="s">
        <v>792</v>
      </c>
      <c r="H633" s="24"/>
      <c r="I633" s="24">
        <f>+VLOOKUP(A:A,[1]安全库存!A$1:I$65536,9,0)</f>
        <v>0</v>
      </c>
      <c r="J633" s="24">
        <v>10</v>
      </c>
      <c r="K633" s="25" t="s">
        <v>953</v>
      </c>
      <c r="L633" s="25"/>
      <c r="M633" s="25">
        <f>VLOOKUP(A:A,[1]进仓汇总!A$1:G$65536,7,0)</f>
        <v>0</v>
      </c>
      <c r="N633" s="26" t="s">
        <v>932</v>
      </c>
      <c r="O633" s="26"/>
    </row>
    <row r="634" spans="1:15">
      <c r="A634" s="23" t="s">
        <v>1271</v>
      </c>
      <c r="B634" s="6" t="s">
        <v>961</v>
      </c>
      <c r="C634" s="24"/>
      <c r="D634" s="24" t="s">
        <v>1024</v>
      </c>
      <c r="E634" s="24" t="s">
        <v>1025</v>
      </c>
      <c r="F634" s="24">
        <v>2</v>
      </c>
      <c r="G634" s="3" t="s">
        <v>974</v>
      </c>
      <c r="H634" s="24"/>
      <c r="I634" s="24">
        <f>+VLOOKUP(A:A,[1]安全库存!A$1:I$65536,9,0)</f>
        <v>3</v>
      </c>
      <c r="J634" s="24">
        <v>10</v>
      </c>
      <c r="K634" s="25"/>
      <c r="L634" s="25"/>
      <c r="M634" s="25">
        <f>VLOOKUP(A:A,[1]进仓汇总!A$1:G$65536,7,0)</f>
        <v>0</v>
      </c>
      <c r="N634" s="26" t="s">
        <v>932</v>
      </c>
      <c r="O634" s="26"/>
    </row>
    <row r="635" spans="1:15">
      <c r="A635" s="23" t="s">
        <v>1272</v>
      </c>
      <c r="B635" s="6" t="s">
        <v>961</v>
      </c>
      <c r="C635" s="24"/>
      <c r="D635" s="24" t="s">
        <v>1024</v>
      </c>
      <c r="E635" s="24" t="s">
        <v>1026</v>
      </c>
      <c r="F635" s="24">
        <v>2</v>
      </c>
      <c r="G635" s="3" t="s">
        <v>974</v>
      </c>
      <c r="H635" s="24"/>
      <c r="I635" s="24">
        <f>+VLOOKUP(A:A,[1]安全库存!A$1:I$65536,9,0)</f>
        <v>5</v>
      </c>
      <c r="J635" s="24">
        <v>10</v>
      </c>
      <c r="K635" s="25"/>
      <c r="L635" s="25"/>
      <c r="M635" s="25">
        <f>VLOOKUP(A:A,[1]进仓汇总!A$1:G$65536,7,0)</f>
        <v>0</v>
      </c>
      <c r="N635" s="26" t="s">
        <v>932</v>
      </c>
      <c r="O635" s="26"/>
    </row>
    <row r="636" spans="1:15">
      <c r="A636" s="23" t="s">
        <v>1273</v>
      </c>
      <c r="B636" s="6" t="s">
        <v>1027</v>
      </c>
      <c r="C636" s="24"/>
      <c r="D636" s="24" t="s">
        <v>1028</v>
      </c>
      <c r="E636" s="24" t="s">
        <v>1025</v>
      </c>
      <c r="F636" s="24">
        <v>2</v>
      </c>
      <c r="G636" s="3" t="s">
        <v>974</v>
      </c>
      <c r="H636" s="24"/>
      <c r="I636" s="24">
        <f>+VLOOKUP(A:A,[1]安全库存!A$1:I$65536,9,0)</f>
        <v>0</v>
      </c>
      <c r="J636" s="24"/>
      <c r="K636" s="25" t="s">
        <v>953</v>
      </c>
      <c r="L636" s="25"/>
      <c r="M636" s="25">
        <f>VLOOKUP(A:A,[1]进仓汇总!A$1:G$65536,7,0)</f>
        <v>0</v>
      </c>
      <c r="N636" s="26" t="s">
        <v>932</v>
      </c>
      <c r="O636" s="26"/>
    </row>
    <row r="637" spans="1:15">
      <c r="A637" s="23" t="s">
        <v>1274</v>
      </c>
      <c r="B637" s="6" t="s">
        <v>1027</v>
      </c>
      <c r="C637" s="24"/>
      <c r="D637" s="24" t="s">
        <v>1028</v>
      </c>
      <c r="E637" s="24" t="s">
        <v>1026</v>
      </c>
      <c r="F637" s="24">
        <v>2</v>
      </c>
      <c r="G637" s="3" t="s">
        <v>974</v>
      </c>
      <c r="H637" s="24"/>
      <c r="I637" s="24">
        <f>+VLOOKUP(A:A,[1]安全库存!A$1:I$65536,9,0)</f>
        <v>0</v>
      </c>
      <c r="J637" s="24"/>
      <c r="K637" s="25" t="s">
        <v>953</v>
      </c>
      <c r="L637" s="25"/>
      <c r="M637" s="25">
        <f>VLOOKUP(A:A,[1]进仓汇总!A$1:G$65536,7,0)</f>
        <v>0</v>
      </c>
      <c r="N637" s="26" t="s">
        <v>932</v>
      </c>
      <c r="O637" s="26"/>
    </row>
    <row r="638" spans="1:15">
      <c r="A638" s="23" t="s">
        <v>1275</v>
      </c>
      <c r="B638" s="6" t="s">
        <v>1029</v>
      </c>
      <c r="C638" s="24"/>
      <c r="D638" s="24" t="s">
        <v>1030</v>
      </c>
      <c r="E638" s="24" t="s">
        <v>1031</v>
      </c>
      <c r="F638" s="24">
        <v>2</v>
      </c>
      <c r="G638" s="3" t="s">
        <v>974</v>
      </c>
      <c r="H638" s="24"/>
      <c r="I638" s="24">
        <f>+VLOOKUP(A:A,[1]安全库存!A$1:I$65536,9,0)</f>
        <v>0</v>
      </c>
      <c r="J638" s="24"/>
      <c r="K638" s="25"/>
      <c r="L638" s="25"/>
      <c r="M638" s="25">
        <f>VLOOKUP(A:A,[1]进仓汇总!A$1:G$65536,7,0)</f>
        <v>0</v>
      </c>
      <c r="N638" s="26" t="s">
        <v>932</v>
      </c>
      <c r="O638" s="26"/>
    </row>
    <row r="639" spans="1:15">
      <c r="A639" s="23" t="s">
        <v>1276</v>
      </c>
      <c r="B639" s="6" t="s">
        <v>1032</v>
      </c>
      <c r="C639" s="24"/>
      <c r="D639" s="24"/>
      <c r="E639" s="24"/>
      <c r="F639" s="24">
        <v>1</v>
      </c>
      <c r="G639" s="3" t="s">
        <v>792</v>
      </c>
      <c r="H639" s="24"/>
      <c r="I639" s="24" t="e">
        <f>+VLOOKUP(A:A,[1]安全库存!A$1:I$65536,9,0)</f>
        <v>#N/A</v>
      </c>
      <c r="J639" s="24">
        <v>0</v>
      </c>
      <c r="K639" s="25" t="s">
        <v>953</v>
      </c>
      <c r="L639" s="25"/>
      <c r="M639" s="25" t="e">
        <f>VLOOKUP(A:A,[1]进仓汇总!A$1:G$65536,7,0)</f>
        <v>#N/A</v>
      </c>
      <c r="N639" s="26" t="s">
        <v>932</v>
      </c>
      <c r="O639" s="26"/>
    </row>
    <row r="640" spans="1:15">
      <c r="A640" s="23" t="s">
        <v>1277</v>
      </c>
      <c r="B640" s="21" t="s">
        <v>1033</v>
      </c>
      <c r="C640" s="3"/>
      <c r="D640" s="24"/>
      <c r="E640" s="3"/>
      <c r="F640" s="3">
        <v>1</v>
      </c>
      <c r="G640" s="3" t="s">
        <v>94</v>
      </c>
      <c r="H640" s="27" t="s">
        <v>719</v>
      </c>
      <c r="I640" s="27" t="e">
        <f>+VLOOKUP(A:A,[1]安全库存!A$1:I$65536,9,0)</f>
        <v>#N/A</v>
      </c>
      <c r="J640" s="27"/>
      <c r="K640" s="25" t="s">
        <v>1034</v>
      </c>
      <c r="L640" s="25"/>
      <c r="M640" s="25" t="e">
        <f>VLOOKUP(A:A,[1]进仓汇总!A$1:G$65536,7,0)</f>
        <v>#N/A</v>
      </c>
      <c r="N640" s="26" t="s">
        <v>1035</v>
      </c>
      <c r="O640" s="26"/>
    </row>
    <row r="641" spans="1:15">
      <c r="A641" s="23" t="s">
        <v>1278</v>
      </c>
      <c r="B641" s="21" t="s">
        <v>1036</v>
      </c>
      <c r="C641" s="3"/>
      <c r="D641" s="24"/>
      <c r="E641" s="3" t="s">
        <v>1037</v>
      </c>
      <c r="F641" s="3">
        <v>1</v>
      </c>
      <c r="G641" s="3" t="s">
        <v>94</v>
      </c>
      <c r="H641" s="27" t="s">
        <v>719</v>
      </c>
      <c r="I641" s="27"/>
      <c r="J641" s="27"/>
      <c r="K641" s="25" t="s">
        <v>1034</v>
      </c>
      <c r="L641" s="25"/>
      <c r="M641" s="25" t="e">
        <f>VLOOKUP(A:A,[1]进仓汇总!A$1:G$65536,7,0)</f>
        <v>#N/A</v>
      </c>
      <c r="N641" s="26" t="s">
        <v>1035</v>
      </c>
      <c r="O641" s="26"/>
    </row>
    <row r="642" spans="1:15">
      <c r="A642" s="23" t="s">
        <v>1279</v>
      </c>
      <c r="B642" s="21" t="s">
        <v>1036</v>
      </c>
      <c r="C642" s="3"/>
      <c r="D642" s="24"/>
      <c r="E642" s="3" t="s">
        <v>1038</v>
      </c>
      <c r="F642" s="3">
        <v>1</v>
      </c>
      <c r="G642" s="3" t="s">
        <v>94</v>
      </c>
      <c r="H642" s="27" t="s">
        <v>719</v>
      </c>
      <c r="I642" s="27"/>
      <c r="J642" s="27"/>
      <c r="K642" s="25" t="s">
        <v>1034</v>
      </c>
      <c r="L642" s="25"/>
      <c r="M642" s="25" t="e">
        <f>VLOOKUP(A:A,[1]进仓汇总!A$1:G$65536,7,0)</f>
        <v>#N/A</v>
      </c>
      <c r="N642" s="26" t="s">
        <v>1035</v>
      </c>
      <c r="O642" s="26"/>
    </row>
    <row r="643" spans="1:15">
      <c r="A643" s="23" t="s">
        <v>1280</v>
      </c>
      <c r="B643" s="21" t="s">
        <v>1039</v>
      </c>
      <c r="C643" s="3"/>
      <c r="D643" s="24"/>
      <c r="E643" s="3"/>
      <c r="F643" s="3" t="s">
        <v>1040</v>
      </c>
      <c r="G643" s="3" t="s">
        <v>94</v>
      </c>
      <c r="H643" s="27" t="s">
        <v>719</v>
      </c>
      <c r="I643" s="27"/>
      <c r="J643" s="27"/>
      <c r="K643" s="25" t="s">
        <v>1041</v>
      </c>
      <c r="L643" s="25"/>
      <c r="M643" s="25" t="e">
        <f>VLOOKUP(A:A,[1]进仓汇总!A$1:G$65536,7,0)</f>
        <v>#N/A</v>
      </c>
      <c r="N643" s="26" t="s">
        <v>1035</v>
      </c>
      <c r="O643" s="26"/>
    </row>
    <row r="644" spans="1:15">
      <c r="A644" s="23" t="s">
        <v>1281</v>
      </c>
      <c r="B644" s="6" t="s">
        <v>1042</v>
      </c>
      <c r="C644" s="24"/>
      <c r="D644" s="24" t="s">
        <v>1043</v>
      </c>
      <c r="E644" s="24"/>
      <c r="F644" s="24">
        <v>1</v>
      </c>
      <c r="G644" s="24" t="s">
        <v>24</v>
      </c>
      <c r="H644" s="23" t="s">
        <v>136</v>
      </c>
      <c r="I644" s="23"/>
      <c r="J644" s="23"/>
      <c r="K644" s="25" t="s">
        <v>831</v>
      </c>
      <c r="L644" s="25"/>
      <c r="M644" s="25" t="e">
        <f>VLOOKUP(A:A,[1]进仓汇总!A$1:G$65536,7,0)</f>
        <v>#N/A</v>
      </c>
      <c r="N644" s="26" t="s">
        <v>1035</v>
      </c>
      <c r="O644" s="26"/>
    </row>
    <row r="645" spans="1:15">
      <c r="A645" s="23" t="s">
        <v>1282</v>
      </c>
      <c r="B645" s="6" t="s">
        <v>1042</v>
      </c>
      <c r="C645" s="24"/>
      <c r="D645" s="24" t="s">
        <v>1044</v>
      </c>
      <c r="E645" s="24"/>
      <c r="F645" s="24">
        <v>1</v>
      </c>
      <c r="G645" s="24" t="s">
        <v>24</v>
      </c>
      <c r="H645" s="23" t="s">
        <v>140</v>
      </c>
      <c r="I645" s="23"/>
      <c r="J645" s="23"/>
      <c r="K645" s="25" t="s">
        <v>831</v>
      </c>
      <c r="L645" s="25"/>
      <c r="M645" s="25" t="e">
        <f>VLOOKUP(A:A,[1]进仓汇总!A$1:G$65536,7,0)</f>
        <v>#N/A</v>
      </c>
      <c r="N645" s="26" t="s">
        <v>1035</v>
      </c>
      <c r="O645" s="26"/>
    </row>
    <row r="646" spans="1:15">
      <c r="A646" s="23" t="s">
        <v>1283</v>
      </c>
      <c r="B646" s="6" t="s">
        <v>1045</v>
      </c>
      <c r="C646" s="24"/>
      <c r="D646" s="24" t="s">
        <v>1046</v>
      </c>
      <c r="E646" s="24"/>
      <c r="F646" s="24">
        <v>1</v>
      </c>
      <c r="G646" s="24" t="s">
        <v>24</v>
      </c>
      <c r="H646" s="23" t="s">
        <v>153</v>
      </c>
      <c r="I646" s="23"/>
      <c r="J646" s="23"/>
      <c r="K646" s="25" t="s">
        <v>1047</v>
      </c>
      <c r="L646" s="25"/>
      <c r="M646" s="25" t="e">
        <f>VLOOKUP(A:A,[1]进仓汇总!A$1:G$65536,7,0)</f>
        <v>#N/A</v>
      </c>
      <c r="N646" s="26" t="s">
        <v>1035</v>
      </c>
      <c r="O646" s="26"/>
    </row>
    <row r="647" spans="1:15">
      <c r="A647" s="23" t="s">
        <v>1284</v>
      </c>
      <c r="B647" s="6" t="s">
        <v>1045</v>
      </c>
      <c r="C647" s="24"/>
      <c r="D647" s="24" t="s">
        <v>1048</v>
      </c>
      <c r="E647" s="24"/>
      <c r="F647" s="24">
        <v>1</v>
      </c>
      <c r="G647" s="24" t="s">
        <v>24</v>
      </c>
      <c r="H647" s="23" t="s">
        <v>156</v>
      </c>
      <c r="I647" s="23"/>
      <c r="J647" s="23"/>
      <c r="K647" s="25" t="s">
        <v>1047</v>
      </c>
      <c r="L647" s="25"/>
      <c r="M647" s="25" t="e">
        <f>VLOOKUP(A:A,[1]进仓汇总!A$1:G$65536,7,0)</f>
        <v>#N/A</v>
      </c>
      <c r="N647" s="26" t="s">
        <v>1035</v>
      </c>
      <c r="O647" s="26"/>
    </row>
    <row r="648" spans="1:15">
      <c r="A648" s="23" t="s">
        <v>1285</v>
      </c>
      <c r="B648" s="6" t="s">
        <v>1049</v>
      </c>
      <c r="C648" s="24"/>
      <c r="D648" s="24" t="s">
        <v>1050</v>
      </c>
      <c r="E648" s="24"/>
      <c r="F648" s="24">
        <v>1</v>
      </c>
      <c r="G648" s="24" t="s">
        <v>24</v>
      </c>
      <c r="H648" s="23" t="s">
        <v>153</v>
      </c>
      <c r="I648" s="23"/>
      <c r="J648" s="23"/>
      <c r="K648" s="25" t="s">
        <v>1051</v>
      </c>
      <c r="L648" s="25"/>
      <c r="M648" s="25" t="e">
        <f>VLOOKUP(A:A,[1]进仓汇总!A$1:G$65536,7,0)</f>
        <v>#N/A</v>
      </c>
      <c r="N648" s="26" t="s">
        <v>1035</v>
      </c>
      <c r="O648" s="26"/>
    </row>
    <row r="649" spans="1:15">
      <c r="A649" s="23" t="s">
        <v>1286</v>
      </c>
      <c r="B649" s="6" t="s">
        <v>1049</v>
      </c>
      <c r="C649" s="24"/>
      <c r="D649" s="24" t="s">
        <v>1052</v>
      </c>
      <c r="E649" s="24" t="s">
        <v>1053</v>
      </c>
      <c r="F649" s="24">
        <v>1</v>
      </c>
      <c r="G649" s="24" t="s">
        <v>24</v>
      </c>
      <c r="H649" s="23" t="s">
        <v>156</v>
      </c>
      <c r="I649" s="23"/>
      <c r="J649" s="23"/>
      <c r="K649" s="25" t="s">
        <v>1051</v>
      </c>
      <c r="L649" s="25"/>
      <c r="M649" s="25" t="e">
        <f>VLOOKUP(A:A,[1]进仓汇总!A$1:G$65536,7,0)</f>
        <v>#N/A</v>
      </c>
      <c r="N649" s="26" t="s">
        <v>1035</v>
      </c>
      <c r="O649" s="26"/>
    </row>
    <row r="650" spans="1:15">
      <c r="A650" s="23" t="s">
        <v>1287</v>
      </c>
      <c r="B650" s="6" t="s">
        <v>1049</v>
      </c>
      <c r="C650" s="24"/>
      <c r="D650" s="24" t="s">
        <v>1054</v>
      </c>
      <c r="E650" s="24"/>
      <c r="F650" s="24">
        <v>1</v>
      </c>
      <c r="G650" s="24" t="s">
        <v>24</v>
      </c>
      <c r="H650" s="23" t="s">
        <v>159</v>
      </c>
      <c r="I650" s="23"/>
      <c r="J650" s="23"/>
      <c r="K650" s="25" t="s">
        <v>1051</v>
      </c>
      <c r="L650" s="25"/>
      <c r="M650" s="25" t="e">
        <f>VLOOKUP(A:A,[1]进仓汇总!A$1:G$65536,7,0)</f>
        <v>#N/A</v>
      </c>
      <c r="N650" s="26" t="s">
        <v>1035</v>
      </c>
      <c r="O650" s="26"/>
    </row>
    <row r="651" spans="1:15">
      <c r="A651" s="23" t="s">
        <v>1288</v>
      </c>
      <c r="B651" s="21" t="s">
        <v>1055</v>
      </c>
      <c r="C651" s="3"/>
      <c r="D651" s="24"/>
      <c r="E651" s="3"/>
      <c r="F651" s="24" t="s">
        <v>1056</v>
      </c>
      <c r="G651" s="24" t="s">
        <v>24</v>
      </c>
      <c r="H651" s="23" t="s">
        <v>719</v>
      </c>
      <c r="I651" s="23"/>
      <c r="J651" s="23"/>
      <c r="K651" s="25" t="s">
        <v>1057</v>
      </c>
      <c r="L651" s="25"/>
      <c r="M651" s="25" t="e">
        <f>VLOOKUP(A:A,[1]进仓汇总!A$1:G$65536,7,0)</f>
        <v>#N/A</v>
      </c>
      <c r="N651" s="26" t="s">
        <v>1035</v>
      </c>
      <c r="O651" s="26"/>
    </row>
    <row r="652" spans="1:15">
      <c r="A652" s="23" t="s">
        <v>1289</v>
      </c>
      <c r="B652" s="21" t="s">
        <v>1058</v>
      </c>
      <c r="C652" s="3"/>
      <c r="D652" s="29"/>
      <c r="E652" s="3"/>
      <c r="F652" s="24">
        <v>1</v>
      </c>
      <c r="G652" s="24" t="s">
        <v>24</v>
      </c>
      <c r="H652" s="23" t="s">
        <v>719</v>
      </c>
      <c r="I652" s="23"/>
      <c r="J652" s="23"/>
      <c r="K652" s="25" t="s">
        <v>1059</v>
      </c>
      <c r="L652" s="25"/>
      <c r="M652" s="25" t="e">
        <f>VLOOKUP(A:A,[1]进仓汇总!A$1:G$65536,7,0)</f>
        <v>#N/A</v>
      </c>
      <c r="N652" s="26" t="s">
        <v>1035</v>
      </c>
      <c r="O652" s="26"/>
    </row>
    <row r="653" spans="1:15">
      <c r="A653" s="23" t="s">
        <v>1290</v>
      </c>
      <c r="B653" s="21" t="s">
        <v>1060</v>
      </c>
      <c r="C653" s="3"/>
      <c r="D653" s="32"/>
      <c r="E653" s="3"/>
      <c r="F653" s="24">
        <v>1</v>
      </c>
      <c r="G653" s="24" t="s">
        <v>24</v>
      </c>
      <c r="H653" s="23" t="s">
        <v>719</v>
      </c>
      <c r="I653" s="23"/>
      <c r="J653" s="23"/>
      <c r="K653" s="25" t="s">
        <v>1059</v>
      </c>
      <c r="L653" s="25"/>
      <c r="M653" s="25" t="e">
        <f>VLOOKUP(A:A,[1]进仓汇总!A$1:G$65536,7,0)</f>
        <v>#N/A</v>
      </c>
      <c r="N653" s="26" t="s">
        <v>1035</v>
      </c>
      <c r="O653" s="26"/>
    </row>
    <row r="654" spans="1:15">
      <c r="A654" s="23" t="s">
        <v>1291</v>
      </c>
      <c r="B654" s="21" t="s">
        <v>1061</v>
      </c>
      <c r="C654" s="3"/>
      <c r="D654" s="3" t="s">
        <v>1062</v>
      </c>
      <c r="E654" s="24"/>
      <c r="F654" s="24">
        <v>2</v>
      </c>
      <c r="G654" s="24" t="s">
        <v>24</v>
      </c>
      <c r="H654" s="23" t="s">
        <v>1063</v>
      </c>
      <c r="I654" s="23">
        <v>10</v>
      </c>
      <c r="J654" s="23" t="s">
        <v>808</v>
      </c>
      <c r="K654" s="25" t="s">
        <v>1064</v>
      </c>
      <c r="L654" s="25"/>
      <c r="M654" s="25" t="e">
        <f>VLOOKUP(A:A,[1]进仓汇总!A$1:G$65536,7,0)</f>
        <v>#N/A</v>
      </c>
      <c r="N654" s="26" t="s">
        <v>1035</v>
      </c>
      <c r="O654" s="26"/>
    </row>
    <row r="655" spans="1:15">
      <c r="A655" s="23" t="s">
        <v>1292</v>
      </c>
      <c r="B655" s="21" t="s">
        <v>1061</v>
      </c>
      <c r="C655" s="3"/>
      <c r="D655" s="3" t="s">
        <v>1065</v>
      </c>
      <c r="E655" s="24"/>
      <c r="F655" s="24">
        <v>1</v>
      </c>
      <c r="G655" s="24" t="s">
        <v>24</v>
      </c>
      <c r="H655" s="23" t="s">
        <v>1066</v>
      </c>
      <c r="I655" s="23">
        <v>5</v>
      </c>
      <c r="J655" s="23" t="s">
        <v>808</v>
      </c>
      <c r="K655" s="25" t="s">
        <v>1067</v>
      </c>
      <c r="L655" s="25"/>
      <c r="M655" s="25" t="e">
        <f>VLOOKUP(A:A,[1]进仓汇总!A$1:G$65536,7,0)</f>
        <v>#N/A</v>
      </c>
      <c r="N655" s="26" t="s">
        <v>1035</v>
      </c>
      <c r="O655" s="26"/>
    </row>
    <row r="656" spans="1:15">
      <c r="A656" s="23" t="s">
        <v>1293</v>
      </c>
      <c r="B656" s="21" t="s">
        <v>1061</v>
      </c>
      <c r="C656" s="3"/>
      <c r="D656" s="3" t="s">
        <v>1068</v>
      </c>
      <c r="E656" s="24"/>
      <c r="F656" s="24">
        <v>3</v>
      </c>
      <c r="G656" s="24" t="s">
        <v>24</v>
      </c>
      <c r="H656" s="23" t="s">
        <v>1069</v>
      </c>
      <c r="I656" s="23">
        <v>15</v>
      </c>
      <c r="J656" s="23" t="s">
        <v>808</v>
      </c>
      <c r="K656" s="25" t="s">
        <v>1067</v>
      </c>
      <c r="L656" s="25"/>
      <c r="M656" s="25" t="e">
        <f>VLOOKUP(A:A,[1]进仓汇总!A$1:G$65536,7,0)</f>
        <v>#N/A</v>
      </c>
      <c r="N656" s="26" t="s">
        <v>1035</v>
      </c>
      <c r="O656" s="26"/>
    </row>
    <row r="657" spans="1:15">
      <c r="A657" s="23" t="s">
        <v>1294</v>
      </c>
      <c r="B657" s="21" t="s">
        <v>1061</v>
      </c>
      <c r="C657" s="3"/>
      <c r="D657" s="3" t="s">
        <v>1070</v>
      </c>
      <c r="E657" s="24"/>
      <c r="F657" s="24">
        <v>2</v>
      </c>
      <c r="G657" s="24" t="s">
        <v>24</v>
      </c>
      <c r="H657" s="23" t="s">
        <v>1071</v>
      </c>
      <c r="I657" s="23">
        <v>10</v>
      </c>
      <c r="J657" s="23" t="s">
        <v>808</v>
      </c>
      <c r="K657" s="25" t="s">
        <v>1072</v>
      </c>
      <c r="L657" s="25"/>
      <c r="M657" s="25" t="e">
        <f>VLOOKUP(A:A,[1]进仓汇总!A$1:G$65536,7,0)</f>
        <v>#N/A</v>
      </c>
      <c r="N657" s="26" t="s">
        <v>1035</v>
      </c>
      <c r="O657" s="26"/>
    </row>
    <row r="658" spans="1:15">
      <c r="A658" s="23" t="s">
        <v>1295</v>
      </c>
      <c r="B658" s="21" t="s">
        <v>1061</v>
      </c>
      <c r="C658" s="3"/>
      <c r="D658" s="3" t="s">
        <v>1073</v>
      </c>
      <c r="E658" s="24"/>
      <c r="F658" s="24">
        <v>2</v>
      </c>
      <c r="G658" s="24" t="s">
        <v>24</v>
      </c>
      <c r="H658" s="23" t="s">
        <v>1074</v>
      </c>
      <c r="I658" s="23">
        <v>10</v>
      </c>
      <c r="J658" s="23" t="s">
        <v>808</v>
      </c>
      <c r="K658" s="25" t="s">
        <v>1072</v>
      </c>
      <c r="L658" s="25"/>
      <c r="M658" s="25" t="e">
        <f>VLOOKUP(A:A,[1]进仓汇总!A$1:G$65536,7,0)</f>
        <v>#N/A</v>
      </c>
      <c r="N658" s="26" t="s">
        <v>1035</v>
      </c>
      <c r="O658" s="26"/>
    </row>
    <row r="659" spans="1:15">
      <c r="A659" s="23" t="s">
        <v>1296</v>
      </c>
      <c r="B659" s="21" t="s">
        <v>1061</v>
      </c>
      <c r="C659" s="3"/>
      <c r="D659" s="3" t="s">
        <v>1075</v>
      </c>
      <c r="E659" s="24"/>
      <c r="F659" s="24">
        <v>1</v>
      </c>
      <c r="G659" s="24" t="s">
        <v>24</v>
      </c>
      <c r="H659" s="23" t="s">
        <v>1076</v>
      </c>
      <c r="I659" s="23">
        <v>5</v>
      </c>
      <c r="J659" s="23" t="s">
        <v>808</v>
      </c>
      <c r="K659" s="25" t="s">
        <v>1077</v>
      </c>
      <c r="L659" s="25"/>
      <c r="M659" s="25" t="e">
        <f>VLOOKUP(A:A,[1]进仓汇总!A$1:G$65536,7,0)</f>
        <v>#N/A</v>
      </c>
      <c r="N659" s="26" t="s">
        <v>1035</v>
      </c>
      <c r="O659" s="26"/>
    </row>
    <row r="660" spans="1:15">
      <c r="A660" s="23" t="s">
        <v>1297</v>
      </c>
      <c r="B660" s="21" t="s">
        <v>1061</v>
      </c>
      <c r="C660" s="3"/>
      <c r="D660" s="3" t="s">
        <v>1078</v>
      </c>
      <c r="E660" s="24"/>
      <c r="F660" s="24">
        <v>1</v>
      </c>
      <c r="G660" s="24" t="s">
        <v>24</v>
      </c>
      <c r="H660" s="23" t="s">
        <v>1079</v>
      </c>
      <c r="I660" s="23">
        <v>5</v>
      </c>
      <c r="J660" s="23" t="s">
        <v>808</v>
      </c>
      <c r="K660" s="25" t="s">
        <v>1077</v>
      </c>
      <c r="L660" s="25"/>
      <c r="M660" s="25" t="e">
        <f>VLOOKUP(A:A,[1]进仓汇总!A$1:G$65536,7,0)</f>
        <v>#N/A</v>
      </c>
      <c r="N660" s="26" t="s">
        <v>1035</v>
      </c>
      <c r="O660" s="26"/>
    </row>
    <row r="661" spans="1:15">
      <c r="A661" s="23" t="s">
        <v>1298</v>
      </c>
      <c r="B661" s="21" t="s">
        <v>1061</v>
      </c>
      <c r="C661" s="3"/>
      <c r="D661" s="3" t="s">
        <v>1044</v>
      </c>
      <c r="E661" s="24"/>
      <c r="F661" s="24">
        <v>1</v>
      </c>
      <c r="G661" s="24" t="s">
        <v>24</v>
      </c>
      <c r="H661" s="23" t="s">
        <v>72</v>
      </c>
      <c r="I661" s="23">
        <v>5</v>
      </c>
      <c r="J661" s="23" t="s">
        <v>808</v>
      </c>
      <c r="K661" s="25" t="s">
        <v>1064</v>
      </c>
      <c r="L661" s="25"/>
      <c r="M661" s="25" t="e">
        <f>VLOOKUP(A:A,[1]进仓汇总!A$1:G$65536,7,0)</f>
        <v>#N/A</v>
      </c>
      <c r="N661" s="26" t="s">
        <v>1035</v>
      </c>
      <c r="O661" s="26"/>
    </row>
    <row r="662" spans="1:15">
      <c r="A662" s="23" t="s">
        <v>1299</v>
      </c>
      <c r="B662" s="6" t="s">
        <v>1080</v>
      </c>
      <c r="C662" s="24"/>
      <c r="D662" s="24"/>
      <c r="E662" s="24" t="s">
        <v>1081</v>
      </c>
      <c r="F662" s="24" t="s">
        <v>1082</v>
      </c>
      <c r="G662" s="24" t="s">
        <v>24</v>
      </c>
      <c r="H662" s="23"/>
      <c r="I662" s="23"/>
      <c r="J662" s="23"/>
      <c r="K662" s="25">
        <v>0</v>
      </c>
      <c r="L662" s="25"/>
      <c r="M662" s="25" t="e">
        <f>VLOOKUP(A:A,[1]进仓汇总!A$1:G$65536,7,0)</f>
        <v>#N/A</v>
      </c>
      <c r="N662" s="26" t="s">
        <v>1035</v>
      </c>
      <c r="O662" s="26"/>
    </row>
    <row r="663" spans="1:15">
      <c r="A663" s="23" t="s">
        <v>1300</v>
      </c>
      <c r="B663" s="6" t="s">
        <v>1080</v>
      </c>
      <c r="C663" s="24"/>
      <c r="D663" s="24"/>
      <c r="E663" s="24" t="s">
        <v>1083</v>
      </c>
      <c r="F663" s="24" t="s">
        <v>1082</v>
      </c>
      <c r="G663" s="24" t="s">
        <v>24</v>
      </c>
      <c r="H663" s="23"/>
      <c r="I663" s="23"/>
      <c r="J663" s="23"/>
      <c r="K663" s="25">
        <v>0</v>
      </c>
      <c r="L663" s="25"/>
      <c r="M663" s="25" t="e">
        <f>VLOOKUP(A:A,[1]进仓汇总!A$1:G$65536,7,0)</f>
        <v>#N/A</v>
      </c>
      <c r="N663" s="26" t="s">
        <v>1035</v>
      </c>
      <c r="O663" s="26"/>
    </row>
    <row r="664" spans="1:15">
      <c r="A664" s="23" t="s">
        <v>1301</v>
      </c>
      <c r="B664" s="6" t="s">
        <v>1084</v>
      </c>
      <c r="C664" s="24"/>
      <c r="D664" s="24"/>
      <c r="E664" s="24"/>
      <c r="F664" s="24"/>
      <c r="G664" s="24" t="s">
        <v>24</v>
      </c>
      <c r="H664" s="23"/>
      <c r="I664" s="23"/>
      <c r="J664" s="23"/>
      <c r="K664" s="25" t="s">
        <v>1057</v>
      </c>
      <c r="L664" s="25"/>
      <c r="M664" s="25" t="e">
        <f>VLOOKUP(A:A,[1]进仓汇总!A$1:G$65536,7,0)</f>
        <v>#N/A</v>
      </c>
      <c r="N664" s="26" t="s">
        <v>1035</v>
      </c>
      <c r="O664" s="26"/>
    </row>
    <row r="665" spans="1:15">
      <c r="A665" s="23" t="s">
        <v>1302</v>
      </c>
      <c r="B665" s="6" t="s">
        <v>1085</v>
      </c>
      <c r="C665" s="24"/>
      <c r="D665" s="24" t="s">
        <v>1086</v>
      </c>
      <c r="E665" s="24"/>
      <c r="F665" s="24"/>
      <c r="G665" s="24" t="s">
        <v>24</v>
      </c>
      <c r="H665" s="23" t="s">
        <v>952</v>
      </c>
      <c r="I665" s="23">
        <v>20</v>
      </c>
      <c r="J665" s="23" t="s">
        <v>78</v>
      </c>
      <c r="K665" s="25" t="s">
        <v>1051</v>
      </c>
      <c r="L665" s="25"/>
      <c r="M665" s="25">
        <f>VLOOKUP(A:A,[1]进仓汇总!A$1:G$65536,7,0)</f>
        <v>0</v>
      </c>
      <c r="N665" s="26" t="s">
        <v>1035</v>
      </c>
      <c r="O665" s="26"/>
    </row>
    <row r="666" spans="1:15">
      <c r="A666" s="23" t="s">
        <v>1303</v>
      </c>
      <c r="B666" s="6" t="s">
        <v>1087</v>
      </c>
      <c r="C666" s="24"/>
      <c r="D666" s="24" t="s">
        <v>1086</v>
      </c>
      <c r="E666" s="24"/>
      <c r="F666" s="24"/>
      <c r="G666" s="24" t="s">
        <v>24</v>
      </c>
      <c r="H666" s="23" t="s">
        <v>1088</v>
      </c>
      <c r="I666" s="23">
        <v>20</v>
      </c>
      <c r="J666" s="23" t="s">
        <v>78</v>
      </c>
      <c r="K666" s="25" t="s">
        <v>1051</v>
      </c>
      <c r="L666" s="25"/>
      <c r="M666" s="25" t="e">
        <f>VLOOKUP(A:A,[1]进仓汇总!A$1:G$65536,7,0)</f>
        <v>#N/A</v>
      </c>
      <c r="N666" s="26" t="s">
        <v>1035</v>
      </c>
      <c r="O666" s="26"/>
    </row>
    <row r="667" spans="1:15">
      <c r="A667" s="23" t="s">
        <v>1304</v>
      </c>
      <c r="B667" s="6" t="s">
        <v>1085</v>
      </c>
      <c r="C667" s="24"/>
      <c r="D667" s="24" t="s">
        <v>1089</v>
      </c>
      <c r="E667" s="24"/>
      <c r="F667" s="24"/>
      <c r="G667" s="24" t="s">
        <v>24</v>
      </c>
      <c r="H667" s="23" t="s">
        <v>952</v>
      </c>
      <c r="I667" s="23">
        <v>0</v>
      </c>
      <c r="J667" s="23"/>
      <c r="K667" s="25" t="s">
        <v>1051</v>
      </c>
      <c r="L667" s="25"/>
      <c r="M667" s="25">
        <f>VLOOKUP(A:A,[1]进仓汇总!A$1:G$65536,7,0)</f>
        <v>0</v>
      </c>
      <c r="N667" s="26" t="s">
        <v>1035</v>
      </c>
      <c r="O667" s="26"/>
    </row>
    <row r="668" spans="1:15">
      <c r="A668" s="23" t="s">
        <v>1305</v>
      </c>
      <c r="B668" s="6" t="s">
        <v>1087</v>
      </c>
      <c r="C668" s="24"/>
      <c r="D668" s="24" t="s">
        <v>1089</v>
      </c>
      <c r="E668" s="24"/>
      <c r="F668" s="24"/>
      <c r="G668" s="24" t="s">
        <v>24</v>
      </c>
      <c r="H668" s="23" t="s">
        <v>1088</v>
      </c>
      <c r="I668" s="23">
        <v>0</v>
      </c>
      <c r="J668" s="23"/>
      <c r="K668" s="25" t="s">
        <v>1051</v>
      </c>
      <c r="L668" s="25"/>
      <c r="M668" s="25" t="e">
        <f>VLOOKUP(A:A,[1]进仓汇总!A$1:G$65536,7,0)</f>
        <v>#N/A</v>
      </c>
      <c r="N668" s="26" t="s">
        <v>1035</v>
      </c>
      <c r="O668" s="26"/>
    </row>
    <row r="669" spans="1:15">
      <c r="A669" s="23" t="s">
        <v>1306</v>
      </c>
      <c r="B669" s="6" t="s">
        <v>1085</v>
      </c>
      <c r="C669" s="24"/>
      <c r="D669" s="24" t="s">
        <v>1090</v>
      </c>
      <c r="E669" s="24"/>
      <c r="F669" s="24"/>
      <c r="G669" s="24" t="s">
        <v>24</v>
      </c>
      <c r="H669" s="23" t="s">
        <v>952</v>
      </c>
      <c r="I669" s="23">
        <v>20</v>
      </c>
      <c r="J669" s="23" t="s">
        <v>78</v>
      </c>
      <c r="K669" s="25" t="s">
        <v>1051</v>
      </c>
      <c r="L669" s="25"/>
      <c r="M669" s="25">
        <f>VLOOKUP(A:A,[1]进仓汇总!A$1:G$65536,7,0)</f>
        <v>0</v>
      </c>
      <c r="N669" s="26" t="s">
        <v>1035</v>
      </c>
      <c r="O669" s="26"/>
    </row>
    <row r="670" spans="1:15">
      <c r="A670" s="23" t="s">
        <v>1307</v>
      </c>
      <c r="B670" s="6" t="s">
        <v>1087</v>
      </c>
      <c r="C670" s="24"/>
      <c r="D670" s="24" t="s">
        <v>1090</v>
      </c>
      <c r="E670" s="24"/>
      <c r="F670" s="24"/>
      <c r="G670" s="24" t="s">
        <v>24</v>
      </c>
      <c r="H670" s="23" t="s">
        <v>1088</v>
      </c>
      <c r="I670" s="23">
        <v>20</v>
      </c>
      <c r="J670" s="23" t="s">
        <v>78</v>
      </c>
      <c r="K670" s="25" t="s">
        <v>1051</v>
      </c>
      <c r="L670" s="25"/>
      <c r="M670" s="25" t="e">
        <f>VLOOKUP(A:A,[1]进仓汇总!A$1:G$65536,7,0)</f>
        <v>#N/A</v>
      </c>
      <c r="N670" s="26" t="s">
        <v>1035</v>
      </c>
      <c r="O670" s="26"/>
    </row>
    <row r="671" spans="1:15">
      <c r="A671" s="23" t="s">
        <v>1308</v>
      </c>
      <c r="B671" s="6" t="s">
        <v>1091</v>
      </c>
      <c r="C671" s="24"/>
      <c r="D671" s="24"/>
      <c r="E671" s="24" t="s">
        <v>236</v>
      </c>
      <c r="F671" s="24"/>
      <c r="G671" s="24"/>
      <c r="H671" s="24"/>
      <c r="I671" s="24">
        <f>+VLOOKUP(A:A,[1]安全库存!A$1:I$65536,9,0)</f>
        <v>0</v>
      </c>
      <c r="J671" s="24"/>
      <c r="K671" s="25"/>
      <c r="L671" s="25"/>
      <c r="M671" s="25">
        <f>VLOOKUP(A:A,[1]进仓汇总!A$1:G$65536,7,0)</f>
        <v>0</v>
      </c>
      <c r="N671" s="26" t="s">
        <v>1035</v>
      </c>
      <c r="O671" s="26"/>
    </row>
  </sheetData>
  <mergeCells count="122">
    <mergeCell ref="A2:A8"/>
    <mergeCell ref="A9:A15"/>
    <mergeCell ref="A18:A23"/>
    <mergeCell ref="A28:A32"/>
    <mergeCell ref="A24:A27"/>
    <mergeCell ref="A38:A42"/>
    <mergeCell ref="A33:A37"/>
    <mergeCell ref="A49:A50"/>
    <mergeCell ref="A43:A48"/>
    <mergeCell ref="A57:A59"/>
    <mergeCell ref="A55:A56"/>
    <mergeCell ref="A53:A54"/>
    <mergeCell ref="A51:A52"/>
    <mergeCell ref="A69:A70"/>
    <mergeCell ref="A67:A68"/>
    <mergeCell ref="A65:A66"/>
    <mergeCell ref="A63:A64"/>
    <mergeCell ref="A60:A62"/>
    <mergeCell ref="A71:A78"/>
    <mergeCell ref="A79:A84"/>
    <mergeCell ref="A94:A96"/>
    <mergeCell ref="A85:A90"/>
    <mergeCell ref="A106:A107"/>
    <mergeCell ref="A104:A105"/>
    <mergeCell ref="A97:A103"/>
    <mergeCell ref="A108:A113"/>
    <mergeCell ref="A114:A119"/>
    <mergeCell ref="A125:A129"/>
    <mergeCell ref="A120:A124"/>
    <mergeCell ref="A139:A140"/>
    <mergeCell ref="A136:A138"/>
    <mergeCell ref="A130:A135"/>
    <mergeCell ref="A147:A149"/>
    <mergeCell ref="A144:A146"/>
    <mergeCell ref="A141:A143"/>
    <mergeCell ref="A157:A161"/>
    <mergeCell ref="A150:A156"/>
    <mergeCell ref="A171:A175"/>
    <mergeCell ref="A163:A167"/>
    <mergeCell ref="A185:A188"/>
    <mergeCell ref="A178:A184"/>
    <mergeCell ref="A193:A196"/>
    <mergeCell ref="A189:A191"/>
    <mergeCell ref="A203:A204"/>
    <mergeCell ref="A200:A202"/>
    <mergeCell ref="A197:A199"/>
    <mergeCell ref="A205:A210"/>
    <mergeCell ref="A216:A219"/>
    <mergeCell ref="A211:A215"/>
    <mergeCell ref="A228:A229"/>
    <mergeCell ref="A226:A227"/>
    <mergeCell ref="A223:A225"/>
    <mergeCell ref="A220:A222"/>
    <mergeCell ref="A230:A237"/>
    <mergeCell ref="A239:A244"/>
    <mergeCell ref="A246:A257"/>
    <mergeCell ref="A258:A264"/>
    <mergeCell ref="A265:A270"/>
    <mergeCell ref="A271:A276"/>
    <mergeCell ref="A290:A291"/>
    <mergeCell ref="A280:A289"/>
    <mergeCell ref="A292:A299"/>
    <mergeCell ref="A305:A309"/>
    <mergeCell ref="A300:A304"/>
    <mergeCell ref="A310:A316"/>
    <mergeCell ref="A317:A324"/>
    <mergeCell ref="A332:A333"/>
    <mergeCell ref="A330:A331"/>
    <mergeCell ref="A328:A329"/>
    <mergeCell ref="A325:A327"/>
    <mergeCell ref="A349:A354"/>
    <mergeCell ref="A361:A364"/>
    <mergeCell ref="A355:A360"/>
    <mergeCell ref="A369:A372"/>
    <mergeCell ref="A365:A368"/>
    <mergeCell ref="A373:A379"/>
    <mergeCell ref="A394:A395"/>
    <mergeCell ref="A388:A391"/>
    <mergeCell ref="A380:A387"/>
    <mergeCell ref="A398:A403"/>
    <mergeCell ref="A409:A410"/>
    <mergeCell ref="A404:A408"/>
    <mergeCell ref="A411:A416"/>
    <mergeCell ref="A417:A425"/>
    <mergeCell ref="A437:A438"/>
    <mergeCell ref="A426:A433"/>
    <mergeCell ref="A450:A453"/>
    <mergeCell ref="A441:A447"/>
    <mergeCell ref="A454:A459"/>
    <mergeCell ref="A460:A466"/>
    <mergeCell ref="A475:A476"/>
    <mergeCell ref="A473:A474"/>
    <mergeCell ref="A471:A472"/>
    <mergeCell ref="A469:A470"/>
    <mergeCell ref="A467:A468"/>
    <mergeCell ref="A477:A482"/>
    <mergeCell ref="A488:A492"/>
    <mergeCell ref="A483:A487"/>
    <mergeCell ref="A498:A502"/>
    <mergeCell ref="A493:A497"/>
    <mergeCell ref="A508:A512"/>
    <mergeCell ref="A503:A507"/>
    <mergeCell ref="A518:A519"/>
    <mergeCell ref="A513:A517"/>
    <mergeCell ref="A526:A528"/>
    <mergeCell ref="A524:A525"/>
    <mergeCell ref="A522:A523"/>
    <mergeCell ref="A520:A521"/>
    <mergeCell ref="A533:A537"/>
    <mergeCell ref="A529:A532"/>
    <mergeCell ref="A538:A544"/>
    <mergeCell ref="A545:A551"/>
    <mergeCell ref="A563:A565"/>
    <mergeCell ref="A560:A562"/>
    <mergeCell ref="A552:A558"/>
    <mergeCell ref="A569:A572"/>
    <mergeCell ref="A566:A568"/>
    <mergeCell ref="A579:A580"/>
    <mergeCell ref="A577:A578"/>
    <mergeCell ref="A573:A576"/>
    <mergeCell ref="A340:A346"/>
    <mergeCell ref="A334:A339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4"/>
  <sheetViews>
    <sheetView workbookViewId="0">
      <selection sqref="A1:A4"/>
    </sheetView>
  </sheetViews>
  <sheetFormatPr defaultRowHeight="14.4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creator>罗刚君</dc:creator>
  <dc:description>来吧，带你玩转Excel VBA</dc:description>
  <cp:lastModifiedBy>wwuhnwu01</cp:lastModifiedBy>
  <dcterms:created xsi:type="dcterms:W3CDTF">2012-12-13T11:40:36Z</dcterms:created>
  <dcterms:modified xsi:type="dcterms:W3CDTF">2017-04-18T13:44:42Z</dcterms:modified>
</cp:coreProperties>
</file>