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hidePivotFieldList="1" defaultThemeVersion="124226"/>
  <bookViews>
    <workbookView xWindow="96" yWindow="72" windowWidth="15288" windowHeight="6168" activeTab="2"/>
  </bookViews>
  <sheets>
    <sheet name="结存" sheetId="125" r:id="rId1"/>
    <sheet name="000目录" sheetId="101" r:id="rId2"/>
    <sheet name="明细" sheetId="3" r:id="rId3"/>
    <sheet name="基础资料" sheetId="1" r:id="rId4"/>
    <sheet name="说明" sheetId="4" r:id="rId5"/>
    <sheet name="打印结存" sheetId="98" r:id="rId6"/>
  </sheets>
  <definedNames>
    <definedName name="_xlnm._FilterDatabase" localSheetId="3" hidden="1">基础资料!$A$1:$H$320</definedName>
    <definedName name="_xlnm._FilterDatabase" localSheetId="2" hidden="1">明细!$A$1:$O$282</definedName>
    <definedName name="_xlnm.Print_Titles" localSheetId="5">打印结存!$1:$1</definedName>
  </definedNames>
  <calcPr calcId="124519" refMode="R1C1"/>
  <pivotCaches>
    <pivotCache cacheId="0" r:id="rId7"/>
  </pivotCaches>
</workbook>
</file>

<file path=xl/calcChain.xml><?xml version="1.0" encoding="utf-8"?>
<calcChain xmlns="http://schemas.openxmlformats.org/spreadsheetml/2006/main">
  <c r="I79" i="3"/>
  <c r="H79"/>
  <c r="G79"/>
  <c r="O290"/>
  <c r="N290"/>
  <c r="M290"/>
  <c r="I290"/>
  <c r="H290"/>
  <c r="G290"/>
  <c r="F290"/>
  <c r="E290"/>
  <c r="O289"/>
  <c r="N289"/>
  <c r="M289"/>
  <c r="I289"/>
  <c r="H289"/>
  <c r="G289"/>
  <c r="F289"/>
  <c r="E289"/>
  <c r="O288"/>
  <c r="N288"/>
  <c r="M288"/>
  <c r="I288"/>
  <c r="H288"/>
  <c r="G288"/>
  <c r="F288"/>
  <c r="E288"/>
  <c r="O287"/>
  <c r="N287"/>
  <c r="M287"/>
  <c r="I287"/>
  <c r="H287"/>
  <c r="G287"/>
  <c r="F287"/>
  <c r="E287"/>
  <c r="O286"/>
  <c r="N286"/>
  <c r="M286"/>
  <c r="I286"/>
  <c r="H286"/>
  <c r="G286"/>
  <c r="F286"/>
  <c r="E286"/>
  <c r="O285"/>
  <c r="N285"/>
  <c r="M285"/>
  <c r="I285"/>
  <c r="H285"/>
  <c r="G285"/>
  <c r="F285"/>
  <c r="E285"/>
  <c r="O284"/>
  <c r="N284"/>
  <c r="M284"/>
  <c r="I284"/>
  <c r="H284"/>
  <c r="G284"/>
  <c r="F284"/>
  <c r="E284"/>
  <c r="O283"/>
  <c r="N283"/>
  <c r="M283"/>
  <c r="I283"/>
  <c r="H283"/>
  <c r="G283"/>
  <c r="F283"/>
  <c r="E283"/>
  <c r="O282"/>
  <c r="N282"/>
  <c r="M282"/>
  <c r="I282"/>
  <c r="H282"/>
  <c r="G282"/>
  <c r="F282"/>
  <c r="E282"/>
  <c r="O281"/>
  <c r="N281"/>
  <c r="M281"/>
  <c r="I281"/>
  <c r="H281"/>
  <c r="G281"/>
  <c r="F281"/>
  <c r="E281"/>
  <c r="O280"/>
  <c r="N280"/>
  <c r="M280"/>
  <c r="I280"/>
  <c r="H280"/>
  <c r="G280"/>
  <c r="F280"/>
  <c r="E280"/>
  <c r="O279"/>
  <c r="N279"/>
  <c r="M279"/>
  <c r="I279"/>
  <c r="H279"/>
  <c r="G279"/>
  <c r="F279"/>
  <c r="E279"/>
  <c r="O278"/>
  <c r="N278"/>
  <c r="M278"/>
  <c r="I278"/>
  <c r="H278"/>
  <c r="G278"/>
  <c r="F278"/>
  <c r="E278"/>
  <c r="O277"/>
  <c r="N277"/>
  <c r="M277"/>
  <c r="I277"/>
  <c r="H277"/>
  <c r="G277"/>
  <c r="F277"/>
  <c r="E277"/>
  <c r="O276"/>
  <c r="N276"/>
  <c r="M276"/>
  <c r="I276"/>
  <c r="H276"/>
  <c r="G276"/>
  <c r="F276"/>
  <c r="E276"/>
  <c r="O275"/>
  <c r="N275"/>
  <c r="M275"/>
  <c r="I275"/>
  <c r="H275"/>
  <c r="G275"/>
  <c r="F275"/>
  <c r="E275"/>
  <c r="O274"/>
  <c r="N274"/>
  <c r="M274"/>
  <c r="I274"/>
  <c r="H274"/>
  <c r="G274"/>
  <c r="F274"/>
  <c r="E274"/>
  <c r="O273"/>
  <c r="N273"/>
  <c r="M273"/>
  <c r="I273"/>
  <c r="H273"/>
  <c r="G273"/>
  <c r="F273"/>
  <c r="E273"/>
  <c r="O272"/>
  <c r="N272"/>
  <c r="M272"/>
  <c r="I272"/>
  <c r="H272"/>
  <c r="G272"/>
  <c r="F272"/>
  <c r="E272"/>
  <c r="O271"/>
  <c r="N271"/>
  <c r="M271"/>
  <c r="I271"/>
  <c r="H271"/>
  <c r="G271"/>
  <c r="F271"/>
  <c r="E271"/>
  <c r="O270"/>
  <c r="N270"/>
  <c r="M270"/>
  <c r="I270"/>
  <c r="H270"/>
  <c r="G270"/>
  <c r="F270"/>
  <c r="E270"/>
  <c r="O269"/>
  <c r="N269"/>
  <c r="M269"/>
  <c r="I269"/>
  <c r="H269"/>
  <c r="G269"/>
  <c r="F269"/>
  <c r="E269"/>
  <c r="O268"/>
  <c r="N268"/>
  <c r="M268"/>
  <c r="I268"/>
  <c r="H268"/>
  <c r="G268"/>
  <c r="F268"/>
  <c r="E268"/>
  <c r="O267"/>
  <c r="N267"/>
  <c r="M267"/>
  <c r="I267"/>
  <c r="H267"/>
  <c r="G267"/>
  <c r="F267"/>
  <c r="E267"/>
  <c r="O266"/>
  <c r="N266"/>
  <c r="M266"/>
  <c r="I266"/>
  <c r="H266"/>
  <c r="G266"/>
  <c r="F266"/>
  <c r="E266"/>
  <c r="O265"/>
  <c r="N265"/>
  <c r="M265"/>
  <c r="I265"/>
  <c r="H265"/>
  <c r="G265"/>
  <c r="F265"/>
  <c r="E265"/>
  <c r="O264"/>
  <c r="N264"/>
  <c r="M264"/>
  <c r="I264"/>
  <c r="H264"/>
  <c r="G264"/>
  <c r="F264"/>
  <c r="E264"/>
  <c r="O263"/>
  <c r="N263"/>
  <c r="M263"/>
  <c r="I263"/>
  <c r="H263"/>
  <c r="G263"/>
  <c r="F263"/>
  <c r="E263"/>
  <c r="O262"/>
  <c r="N262"/>
  <c r="M262"/>
  <c r="I262"/>
  <c r="H262"/>
  <c r="G262"/>
  <c r="F262"/>
  <c r="E262"/>
  <c r="O261"/>
  <c r="N261"/>
  <c r="M261"/>
  <c r="I261"/>
  <c r="H261"/>
  <c r="G261"/>
  <c r="F261"/>
  <c r="E261"/>
  <c r="O260"/>
  <c r="N260"/>
  <c r="M260"/>
  <c r="I260"/>
  <c r="H260"/>
  <c r="G260"/>
  <c r="F260"/>
  <c r="E260"/>
  <c r="O259"/>
  <c r="N259"/>
  <c r="M259"/>
  <c r="I259"/>
  <c r="H259"/>
  <c r="G259"/>
  <c r="F259"/>
  <c r="E259"/>
  <c r="O258"/>
  <c r="N258"/>
  <c r="M258"/>
  <c r="I258"/>
  <c r="H258"/>
  <c r="G258"/>
  <c r="F258"/>
  <c r="E258"/>
  <c r="O257"/>
  <c r="N257"/>
  <c r="M257"/>
  <c r="I257"/>
  <c r="H257"/>
  <c r="G257"/>
  <c r="F257"/>
  <c r="E257"/>
  <c r="O256"/>
  <c r="N256"/>
  <c r="M256"/>
  <c r="I256"/>
  <c r="H256"/>
  <c r="G256"/>
  <c r="F256"/>
  <c r="E256"/>
  <c r="O255"/>
  <c r="N255"/>
  <c r="M255"/>
  <c r="I255"/>
  <c r="H255"/>
  <c r="G255"/>
  <c r="F255"/>
  <c r="E255"/>
  <c r="O254"/>
  <c r="N254"/>
  <c r="M254"/>
  <c r="I254"/>
  <c r="H254"/>
  <c r="G254"/>
  <c r="F254"/>
  <c r="E254"/>
  <c r="O253"/>
  <c r="N253"/>
  <c r="M253"/>
  <c r="I253"/>
  <c r="H253"/>
  <c r="G253"/>
  <c r="F253"/>
  <c r="E253"/>
  <c r="O252"/>
  <c r="N252"/>
  <c r="M252"/>
  <c r="I252"/>
  <c r="H252"/>
  <c r="G252"/>
  <c r="F252"/>
  <c r="E252"/>
  <c r="O251"/>
  <c r="N251"/>
  <c r="M251"/>
  <c r="I251"/>
  <c r="H251"/>
  <c r="G251"/>
  <c r="F251"/>
  <c r="E251"/>
  <c r="O250"/>
  <c r="N250"/>
  <c r="M250"/>
  <c r="I250"/>
  <c r="H250"/>
  <c r="G250"/>
  <c r="F250"/>
  <c r="E250"/>
  <c r="O249"/>
  <c r="N249"/>
  <c r="M249"/>
  <c r="I249"/>
  <c r="H249"/>
  <c r="G249"/>
  <c r="F249"/>
  <c r="E249"/>
  <c r="O248"/>
  <c r="N248"/>
  <c r="M248"/>
  <c r="I248"/>
  <c r="H248"/>
  <c r="G248"/>
  <c r="F248"/>
  <c r="E248"/>
  <c r="O247"/>
  <c r="N247"/>
  <c r="M247"/>
  <c r="I247"/>
  <c r="H247"/>
  <c r="G247"/>
  <c r="F247"/>
  <c r="E247"/>
  <c r="O246"/>
  <c r="N246"/>
  <c r="M246"/>
  <c r="I246"/>
  <c r="H246"/>
  <c r="G246"/>
  <c r="F246"/>
  <c r="E246"/>
  <c r="O245"/>
  <c r="N245"/>
  <c r="M245"/>
  <c r="I245"/>
  <c r="H245"/>
  <c r="G245"/>
  <c r="F245"/>
  <c r="E245"/>
  <c r="O244"/>
  <c r="N244"/>
  <c r="M244"/>
  <c r="I244"/>
  <c r="H244"/>
  <c r="G244"/>
  <c r="F244"/>
  <c r="E244"/>
  <c r="O243"/>
  <c r="N243"/>
  <c r="M243"/>
  <c r="I243"/>
  <c r="H243"/>
  <c r="G243"/>
  <c r="F243"/>
  <c r="E243"/>
  <c r="O242"/>
  <c r="N242"/>
  <c r="M242"/>
  <c r="I242"/>
  <c r="H242"/>
  <c r="G242"/>
  <c r="F242"/>
  <c r="E242"/>
  <c r="O241"/>
  <c r="N241"/>
  <c r="M241"/>
  <c r="I241"/>
  <c r="H241"/>
  <c r="G241"/>
  <c r="F241"/>
  <c r="E241"/>
  <c r="O240"/>
  <c r="N240"/>
  <c r="M240"/>
  <c r="I240"/>
  <c r="H240"/>
  <c r="G240"/>
  <c r="F240"/>
  <c r="E240"/>
  <c r="O239"/>
  <c r="N239"/>
  <c r="M239"/>
  <c r="I239"/>
  <c r="H239"/>
  <c r="G239"/>
  <c r="F239"/>
  <c r="E239"/>
  <c r="O238"/>
  <c r="N238"/>
  <c r="M238"/>
  <c r="I238"/>
  <c r="H238"/>
  <c r="G238"/>
  <c r="F238"/>
  <c r="E238"/>
  <c r="O237"/>
  <c r="N237"/>
  <c r="M237"/>
  <c r="I237"/>
  <c r="H237"/>
  <c r="G237"/>
  <c r="F237"/>
  <c r="E237"/>
  <c r="O236"/>
  <c r="N236"/>
  <c r="M236"/>
  <c r="I236"/>
  <c r="H236"/>
  <c r="G236"/>
  <c r="F236"/>
  <c r="E236"/>
  <c r="O235"/>
  <c r="N235"/>
  <c r="M235"/>
  <c r="I235"/>
  <c r="H235"/>
  <c r="G235"/>
  <c r="F235"/>
  <c r="E235"/>
  <c r="O234"/>
  <c r="N234"/>
  <c r="M234"/>
  <c r="I234"/>
  <c r="H234"/>
  <c r="G234"/>
  <c r="F234"/>
  <c r="E234"/>
  <c r="O233"/>
  <c r="N233"/>
  <c r="M233"/>
  <c r="I233"/>
  <c r="H233"/>
  <c r="G233"/>
  <c r="F233"/>
  <c r="E233"/>
  <c r="O232"/>
  <c r="N232"/>
  <c r="M232"/>
  <c r="I232"/>
  <c r="H232"/>
  <c r="G232"/>
  <c r="F232"/>
  <c r="E232"/>
  <c r="O231"/>
  <c r="N231"/>
  <c r="M231"/>
  <c r="I231"/>
  <c r="H231"/>
  <c r="G231"/>
  <c r="F231"/>
  <c r="E231"/>
  <c r="O230"/>
  <c r="N230"/>
  <c r="M230"/>
  <c r="I230"/>
  <c r="H230"/>
  <c r="G230"/>
  <c r="F230"/>
  <c r="E230"/>
  <c r="O229"/>
  <c r="N229"/>
  <c r="M229"/>
  <c r="I229"/>
  <c r="H229"/>
  <c r="G229"/>
  <c r="F229"/>
  <c r="E229"/>
  <c r="O228"/>
  <c r="N228"/>
  <c r="M228"/>
  <c r="I228"/>
  <c r="H228"/>
  <c r="G228"/>
  <c r="F228"/>
  <c r="E228"/>
  <c r="O227"/>
  <c r="N227"/>
  <c r="M227"/>
  <c r="I227"/>
  <c r="H227"/>
  <c r="G227"/>
  <c r="F227"/>
  <c r="E227"/>
  <c r="O226"/>
  <c r="N226"/>
  <c r="M226"/>
  <c r="I226"/>
  <c r="H226"/>
  <c r="G226"/>
  <c r="F226"/>
  <c r="E226"/>
  <c r="O225"/>
  <c r="N225"/>
  <c r="M225"/>
  <c r="I225"/>
  <c r="H225"/>
  <c r="G225"/>
  <c r="F225"/>
  <c r="E225"/>
  <c r="O224"/>
  <c r="N224"/>
  <c r="M224"/>
  <c r="I224"/>
  <c r="H224"/>
  <c r="G224"/>
  <c r="F224"/>
  <c r="E224"/>
  <c r="O223"/>
  <c r="N223"/>
  <c r="M223"/>
  <c r="I223"/>
  <c r="H223"/>
  <c r="G223"/>
  <c r="F223"/>
  <c r="E223"/>
  <c r="O222"/>
  <c r="N222"/>
  <c r="M222"/>
  <c r="I222"/>
  <c r="H222"/>
  <c r="G222"/>
  <c r="F222"/>
  <c r="E222"/>
  <c r="O221"/>
  <c r="N221"/>
  <c r="M221"/>
  <c r="I221"/>
  <c r="H221"/>
  <c r="G221"/>
  <c r="F221"/>
  <c r="E221"/>
  <c r="O220"/>
  <c r="N220"/>
  <c r="M220"/>
  <c r="I220"/>
  <c r="H220"/>
  <c r="G220"/>
  <c r="F220"/>
  <c r="E220"/>
  <c r="O219"/>
  <c r="N219"/>
  <c r="M219"/>
  <c r="I219"/>
  <c r="H219"/>
  <c r="G219"/>
  <c r="F219"/>
  <c r="E219"/>
  <c r="O218"/>
  <c r="N218"/>
  <c r="M218"/>
  <c r="I218"/>
  <c r="H218"/>
  <c r="G218"/>
  <c r="F218"/>
  <c r="E218"/>
  <c r="O217"/>
  <c r="N217"/>
  <c r="M217"/>
  <c r="I217"/>
  <c r="H217"/>
  <c r="G217"/>
  <c r="F217"/>
  <c r="E217"/>
  <c r="O216"/>
  <c r="N216"/>
  <c r="M216"/>
  <c r="I216"/>
  <c r="H216"/>
  <c r="G216"/>
  <c r="F216"/>
  <c r="E216"/>
  <c r="O215"/>
  <c r="N215"/>
  <c r="M215"/>
  <c r="I215"/>
  <c r="H215"/>
  <c r="G215"/>
  <c r="F215"/>
  <c r="E215"/>
  <c r="O214"/>
  <c r="N214"/>
  <c r="M214"/>
  <c r="I214"/>
  <c r="H214"/>
  <c r="G214"/>
  <c r="F214"/>
  <c r="E214"/>
  <c r="O213"/>
  <c r="N213"/>
  <c r="M213"/>
  <c r="I213"/>
  <c r="H213"/>
  <c r="G213"/>
  <c r="F213"/>
  <c r="E213"/>
  <c r="O212"/>
  <c r="N212"/>
  <c r="M212"/>
  <c r="I212"/>
  <c r="H212"/>
  <c r="G212"/>
  <c r="F212"/>
  <c r="E212"/>
  <c r="O211"/>
  <c r="N211"/>
  <c r="M211"/>
  <c r="I211"/>
  <c r="H211"/>
  <c r="G211"/>
  <c r="F211"/>
  <c r="E211"/>
  <c r="O210"/>
  <c r="N210"/>
  <c r="M210"/>
  <c r="I210"/>
  <c r="H210"/>
  <c r="G210"/>
  <c r="F210"/>
  <c r="E210"/>
  <c r="O209"/>
  <c r="N209"/>
  <c r="M209"/>
  <c r="I209"/>
  <c r="H209"/>
  <c r="G209"/>
  <c r="F209"/>
  <c r="E209"/>
  <c r="O208"/>
  <c r="N208"/>
  <c r="M208"/>
  <c r="I208"/>
  <c r="H208"/>
  <c r="G208"/>
  <c r="F208"/>
  <c r="E208"/>
  <c r="O207"/>
  <c r="N207"/>
  <c r="M207"/>
  <c r="I207"/>
  <c r="H207"/>
  <c r="G207"/>
  <c r="F207"/>
  <c r="E207"/>
  <c r="O206"/>
  <c r="N206"/>
  <c r="M206"/>
  <c r="I206"/>
  <c r="H206"/>
  <c r="G206"/>
  <c r="F206"/>
  <c r="E206"/>
  <c r="O205"/>
  <c r="N205"/>
  <c r="M205"/>
  <c r="I205"/>
  <c r="H205"/>
  <c r="G205"/>
  <c r="F205"/>
  <c r="E205"/>
  <c r="O204"/>
  <c r="N204"/>
  <c r="M204"/>
  <c r="I204"/>
  <c r="H204"/>
  <c r="G204"/>
  <c r="F204"/>
  <c r="E204"/>
  <c r="O203"/>
  <c r="N203"/>
  <c r="M203"/>
  <c r="I203"/>
  <c r="H203"/>
  <c r="G203"/>
  <c r="F203"/>
  <c r="E203"/>
  <c r="O202"/>
  <c r="N202"/>
  <c r="M202"/>
  <c r="I202"/>
  <c r="H202"/>
  <c r="G202"/>
  <c r="F202"/>
  <c r="E202"/>
  <c r="O201"/>
  <c r="N201"/>
  <c r="M201"/>
  <c r="I201"/>
  <c r="H201"/>
  <c r="G201"/>
  <c r="F201"/>
  <c r="E201"/>
  <c r="O200"/>
  <c r="N200"/>
  <c r="M200"/>
  <c r="I200"/>
  <c r="H200"/>
  <c r="G200"/>
  <c r="F200"/>
  <c r="E200"/>
  <c r="O199"/>
  <c r="N199"/>
  <c r="M199"/>
  <c r="I199"/>
  <c r="H199"/>
  <c r="G199"/>
  <c r="F199"/>
  <c r="E199"/>
  <c r="O198"/>
  <c r="N198"/>
  <c r="M198"/>
  <c r="I198"/>
  <c r="H198"/>
  <c r="G198"/>
  <c r="F198"/>
  <c r="E198"/>
  <c r="O197"/>
  <c r="N197"/>
  <c r="M197"/>
  <c r="I197"/>
  <c r="H197"/>
  <c r="G197"/>
  <c r="F197"/>
  <c r="E197"/>
  <c r="O196"/>
  <c r="N196"/>
  <c r="M196"/>
  <c r="I196"/>
  <c r="H196"/>
  <c r="G196"/>
  <c r="F196"/>
  <c r="E196"/>
  <c r="O195"/>
  <c r="N195"/>
  <c r="M195"/>
  <c r="I195"/>
  <c r="H195"/>
  <c r="G195"/>
  <c r="F195"/>
  <c r="E195"/>
  <c r="O194"/>
  <c r="N194"/>
  <c r="M194"/>
  <c r="I194"/>
  <c r="H194"/>
  <c r="G194"/>
  <c r="F194"/>
  <c r="E194"/>
  <c r="O193"/>
  <c r="N193"/>
  <c r="M193"/>
  <c r="I193"/>
  <c r="H193"/>
  <c r="G193"/>
  <c r="F193"/>
  <c r="E193"/>
  <c r="O192"/>
  <c r="N192"/>
  <c r="M192"/>
  <c r="I192"/>
  <c r="H192"/>
  <c r="G192"/>
  <c r="F192"/>
  <c r="E192"/>
  <c r="O191"/>
  <c r="N191"/>
  <c r="M191"/>
  <c r="I191"/>
  <c r="H191"/>
  <c r="G191"/>
  <c r="F191"/>
  <c r="E191"/>
  <c r="O190"/>
  <c r="N190"/>
  <c r="M190"/>
  <c r="I190"/>
  <c r="H190"/>
  <c r="G190"/>
  <c r="F190"/>
  <c r="E190"/>
  <c r="O189"/>
  <c r="N189"/>
  <c r="M189"/>
  <c r="I189"/>
  <c r="H189"/>
  <c r="G189"/>
  <c r="F189"/>
  <c r="E189"/>
  <c r="O188"/>
  <c r="N188"/>
  <c r="M188"/>
  <c r="I188"/>
  <c r="H188"/>
  <c r="G188"/>
  <c r="F188"/>
  <c r="E188"/>
  <c r="O187"/>
  <c r="N187"/>
  <c r="M187"/>
  <c r="I187"/>
  <c r="H187"/>
  <c r="G187"/>
  <c r="F187"/>
  <c r="E187"/>
  <c r="O186"/>
  <c r="N186"/>
  <c r="M186"/>
  <c r="I186"/>
  <c r="H186"/>
  <c r="G186"/>
  <c r="F186"/>
  <c r="E186"/>
  <c r="O185"/>
  <c r="N185"/>
  <c r="M185"/>
  <c r="I185"/>
  <c r="H185"/>
  <c r="G185"/>
  <c r="F185"/>
  <c r="E185"/>
  <c r="O184"/>
  <c r="N184"/>
  <c r="M184"/>
  <c r="I184"/>
  <c r="H184"/>
  <c r="G184"/>
  <c r="F184"/>
  <c r="E184"/>
  <c r="O183"/>
  <c r="N183"/>
  <c r="M183"/>
  <c r="I183"/>
  <c r="H183"/>
  <c r="G183"/>
  <c r="F183"/>
  <c r="E183"/>
  <c r="O182"/>
  <c r="N182"/>
  <c r="M182"/>
  <c r="I182"/>
  <c r="H182"/>
  <c r="G182"/>
  <c r="F182"/>
  <c r="E182"/>
  <c r="O181"/>
  <c r="N181"/>
  <c r="M181"/>
  <c r="I181"/>
  <c r="H181"/>
  <c r="G181"/>
  <c r="F181"/>
  <c r="E181"/>
  <c r="O180"/>
  <c r="N180"/>
  <c r="M180"/>
  <c r="I180"/>
  <c r="H180"/>
  <c r="G180"/>
  <c r="F180"/>
  <c r="E180"/>
  <c r="O179"/>
  <c r="N179"/>
  <c r="M179"/>
  <c r="I179"/>
  <c r="H179"/>
  <c r="G179"/>
  <c r="F179"/>
  <c r="E179"/>
  <c r="O178"/>
  <c r="N178"/>
  <c r="M178"/>
  <c r="I178"/>
  <c r="H178"/>
  <c r="G178"/>
  <c r="F178"/>
  <c r="E178"/>
  <c r="O177"/>
  <c r="N177"/>
  <c r="M177"/>
  <c r="I177"/>
  <c r="H177"/>
  <c r="G177"/>
  <c r="F177"/>
  <c r="E177"/>
  <c r="O176"/>
  <c r="N176"/>
  <c r="M176"/>
  <c r="I176"/>
  <c r="H176"/>
  <c r="G176"/>
  <c r="F176"/>
  <c r="E176"/>
  <c r="O175"/>
  <c r="N175"/>
  <c r="M175"/>
  <c r="I175"/>
  <c r="H175"/>
  <c r="G175"/>
  <c r="F175"/>
  <c r="E175"/>
  <c r="O174"/>
  <c r="N174"/>
  <c r="M174"/>
  <c r="I174"/>
  <c r="H174"/>
  <c r="G174"/>
  <c r="F174"/>
  <c r="E174"/>
  <c r="O173"/>
  <c r="N173"/>
  <c r="M173"/>
  <c r="I173"/>
  <c r="H173"/>
  <c r="G173"/>
  <c r="F173"/>
  <c r="E173"/>
  <c r="O172"/>
  <c r="N172"/>
  <c r="M172"/>
  <c r="I172"/>
  <c r="H172"/>
  <c r="G172"/>
  <c r="F172"/>
  <c r="E172"/>
  <c r="O171"/>
  <c r="N171"/>
  <c r="M171"/>
  <c r="I171"/>
  <c r="H171"/>
  <c r="G171"/>
  <c r="F171"/>
  <c r="E171"/>
  <c r="O170"/>
  <c r="N170"/>
  <c r="M170"/>
  <c r="I170"/>
  <c r="H170"/>
  <c r="G170"/>
  <c r="F170"/>
  <c r="E170"/>
  <c r="O169"/>
  <c r="N169"/>
  <c r="M169"/>
  <c r="I169"/>
  <c r="H169"/>
  <c r="G169"/>
  <c r="F169"/>
  <c r="E169"/>
  <c r="O168"/>
  <c r="N168"/>
  <c r="M168"/>
  <c r="I168"/>
  <c r="H168"/>
  <c r="G168"/>
  <c r="F168"/>
  <c r="E168"/>
  <c r="O167"/>
  <c r="N167"/>
  <c r="M167"/>
  <c r="I167"/>
  <c r="H167"/>
  <c r="G167"/>
  <c r="F167"/>
  <c r="E167"/>
  <c r="O166"/>
  <c r="N166"/>
  <c r="M166"/>
  <c r="I166"/>
  <c r="H166"/>
  <c r="G166"/>
  <c r="F166"/>
  <c r="E166"/>
  <c r="O165"/>
  <c r="N165"/>
  <c r="M165"/>
  <c r="I165"/>
  <c r="H165"/>
  <c r="G165"/>
  <c r="F165"/>
  <c r="E165"/>
  <c r="O164"/>
  <c r="N164"/>
  <c r="M164"/>
  <c r="I164"/>
  <c r="H164"/>
  <c r="G164"/>
  <c r="F164"/>
  <c r="E164"/>
  <c r="O163"/>
  <c r="N163"/>
  <c r="M163"/>
  <c r="I163"/>
  <c r="H163"/>
  <c r="G163"/>
  <c r="F163"/>
  <c r="E163"/>
  <c r="O162"/>
  <c r="N162"/>
  <c r="M162"/>
  <c r="I162"/>
  <c r="H162"/>
  <c r="G162"/>
  <c r="F162"/>
  <c r="E162"/>
  <c r="O161"/>
  <c r="N161"/>
  <c r="M161"/>
  <c r="I161"/>
  <c r="H161"/>
  <c r="G161"/>
  <c r="F161"/>
  <c r="E161"/>
  <c r="O160"/>
  <c r="N160"/>
  <c r="M160"/>
  <c r="I160"/>
  <c r="H160"/>
  <c r="G160"/>
  <c r="F160"/>
  <c r="E160"/>
  <c r="O159"/>
  <c r="N159"/>
  <c r="M159"/>
  <c r="I159"/>
  <c r="H159"/>
  <c r="G159"/>
  <c r="F159"/>
  <c r="E159"/>
  <c r="O158"/>
  <c r="N158"/>
  <c r="M158"/>
  <c r="I158"/>
  <c r="H158"/>
  <c r="G158"/>
  <c r="F158"/>
  <c r="E158"/>
  <c r="O157"/>
  <c r="N157"/>
  <c r="M157"/>
  <c r="I157"/>
  <c r="H157"/>
  <c r="G157"/>
  <c r="F157"/>
  <c r="E157"/>
  <c r="O156"/>
  <c r="N156"/>
  <c r="M156"/>
  <c r="I156"/>
  <c r="H156"/>
  <c r="G156"/>
  <c r="F156"/>
  <c r="E156"/>
  <c r="O155"/>
  <c r="N155"/>
  <c r="M155"/>
  <c r="I155"/>
  <c r="H155"/>
  <c r="G155"/>
  <c r="F155"/>
  <c r="E155"/>
  <c r="O154"/>
  <c r="N154"/>
  <c r="M154"/>
  <c r="I154"/>
  <c r="H154"/>
  <c r="G154"/>
  <c r="F154"/>
  <c r="E154"/>
  <c r="O153"/>
  <c r="N153"/>
  <c r="M153"/>
  <c r="I153"/>
  <c r="H153"/>
  <c r="G153"/>
  <c r="F153"/>
  <c r="E153"/>
  <c r="O152"/>
  <c r="N152"/>
  <c r="M152"/>
  <c r="I152"/>
  <c r="H152"/>
  <c r="G152"/>
  <c r="F152"/>
  <c r="E152"/>
  <c r="O151"/>
  <c r="N151"/>
  <c r="M151"/>
  <c r="I151"/>
  <c r="H151"/>
  <c r="G151"/>
  <c r="F151"/>
  <c r="E151"/>
  <c r="O150"/>
  <c r="N150"/>
  <c r="M150"/>
  <c r="I150"/>
  <c r="H150"/>
  <c r="G150"/>
  <c r="F150"/>
  <c r="E150"/>
  <c r="O149"/>
  <c r="N149"/>
  <c r="M149"/>
  <c r="I149"/>
  <c r="H149"/>
  <c r="G149"/>
  <c r="F149"/>
  <c r="E149"/>
  <c r="O148"/>
  <c r="N148"/>
  <c r="M148"/>
  <c r="I148"/>
  <c r="H148"/>
  <c r="G148"/>
  <c r="F148"/>
  <c r="E148"/>
  <c r="O147"/>
  <c r="N147"/>
  <c r="M147"/>
  <c r="I147"/>
  <c r="H147"/>
  <c r="G147"/>
  <c r="F147"/>
  <c r="E147"/>
  <c r="O146"/>
  <c r="N146"/>
  <c r="M146"/>
  <c r="I146"/>
  <c r="H146"/>
  <c r="G146"/>
  <c r="F146"/>
  <c r="E146"/>
  <c r="O145"/>
  <c r="N145"/>
  <c r="M145"/>
  <c r="I145"/>
  <c r="H145"/>
  <c r="G145"/>
  <c r="F145"/>
  <c r="E145"/>
  <c r="O144"/>
  <c r="N144"/>
  <c r="M144"/>
  <c r="I144"/>
  <c r="H144"/>
  <c r="G144"/>
  <c r="F144"/>
  <c r="E144"/>
  <c r="O143"/>
  <c r="N143"/>
  <c r="M143"/>
  <c r="I143"/>
  <c r="H143"/>
  <c r="G143"/>
  <c r="F143"/>
  <c r="E143"/>
  <c r="O142"/>
  <c r="N142"/>
  <c r="M142"/>
  <c r="I142"/>
  <c r="H142"/>
  <c r="G142"/>
  <c r="F142"/>
  <c r="E142"/>
  <c r="O141"/>
  <c r="N141"/>
  <c r="M141"/>
  <c r="I141"/>
  <c r="H141"/>
  <c r="G141"/>
  <c r="F141"/>
  <c r="E141"/>
  <c r="O140"/>
  <c r="N140"/>
  <c r="M140"/>
  <c r="I140"/>
  <c r="H140"/>
  <c r="G140"/>
  <c r="F140"/>
  <c r="E140"/>
  <c r="O139"/>
  <c r="N139"/>
  <c r="M139"/>
  <c r="I139"/>
  <c r="H139"/>
  <c r="G139"/>
  <c r="F139"/>
  <c r="E139"/>
  <c r="O138"/>
  <c r="N138"/>
  <c r="M138"/>
  <c r="I138"/>
  <c r="H138"/>
  <c r="G138"/>
  <c r="F138"/>
  <c r="E138"/>
  <c r="O137"/>
  <c r="N137"/>
  <c r="M137"/>
  <c r="I137"/>
  <c r="H137"/>
  <c r="G137"/>
  <c r="F137"/>
  <c r="E137"/>
  <c r="O136"/>
  <c r="N136"/>
  <c r="M136"/>
  <c r="I136"/>
  <c r="H136"/>
  <c r="G136"/>
  <c r="F136"/>
  <c r="E136"/>
  <c r="O135"/>
  <c r="N135"/>
  <c r="M135"/>
  <c r="I135"/>
  <c r="H135"/>
  <c r="G135"/>
  <c r="F135"/>
  <c r="E135"/>
  <c r="O134"/>
  <c r="N134"/>
  <c r="M134"/>
  <c r="I134"/>
  <c r="H134"/>
  <c r="G134"/>
  <c r="F134"/>
  <c r="E134"/>
  <c r="O133"/>
  <c r="N133"/>
  <c r="M133"/>
  <c r="I133"/>
  <c r="H133"/>
  <c r="G133"/>
  <c r="F133"/>
  <c r="E133"/>
  <c r="O132"/>
  <c r="N132"/>
  <c r="M132"/>
  <c r="I132"/>
  <c r="H132"/>
  <c r="G132"/>
  <c r="F132"/>
  <c r="E132"/>
  <c r="O131"/>
  <c r="N131"/>
  <c r="M131"/>
  <c r="I131"/>
  <c r="H131"/>
  <c r="G131"/>
  <c r="F131"/>
  <c r="E131"/>
  <c r="O130"/>
  <c r="N130"/>
  <c r="M130"/>
  <c r="I130"/>
  <c r="H130"/>
  <c r="G130"/>
  <c r="F130"/>
  <c r="E130"/>
  <c r="O129"/>
  <c r="N129"/>
  <c r="M129"/>
  <c r="I129"/>
  <c r="H129"/>
  <c r="G129"/>
  <c r="F129"/>
  <c r="E129"/>
  <c r="O128"/>
  <c r="N128"/>
  <c r="M128"/>
  <c r="I128"/>
  <c r="H128"/>
  <c r="G128"/>
  <c r="F128"/>
  <c r="E128"/>
  <c r="O127"/>
  <c r="N127"/>
  <c r="M127"/>
  <c r="I127"/>
  <c r="H127"/>
  <c r="G127"/>
  <c r="F127"/>
  <c r="E127"/>
  <c r="O126"/>
  <c r="N126"/>
  <c r="M126"/>
  <c r="I126"/>
  <c r="H126"/>
  <c r="G126"/>
  <c r="F126"/>
  <c r="E126"/>
  <c r="O125"/>
  <c r="N125"/>
  <c r="M125"/>
  <c r="I125"/>
  <c r="H125"/>
  <c r="G125"/>
  <c r="F125"/>
  <c r="E125"/>
  <c r="O124"/>
  <c r="N124"/>
  <c r="M124"/>
  <c r="I124"/>
  <c r="H124"/>
  <c r="G124"/>
  <c r="F124"/>
  <c r="E124"/>
  <c r="O123"/>
  <c r="N123"/>
  <c r="M123"/>
  <c r="I123"/>
  <c r="H123"/>
  <c r="G123"/>
  <c r="F123"/>
  <c r="E123"/>
  <c r="O122"/>
  <c r="N122"/>
  <c r="M122"/>
  <c r="I122"/>
  <c r="H122"/>
  <c r="G122"/>
  <c r="F122"/>
  <c r="E122"/>
  <c r="O121"/>
  <c r="N121"/>
  <c r="M121"/>
  <c r="I121"/>
  <c r="H121"/>
  <c r="G121"/>
  <c r="F121"/>
  <c r="E121"/>
  <c r="O120"/>
  <c r="N120"/>
  <c r="M120"/>
  <c r="I120"/>
  <c r="H120"/>
  <c r="G120"/>
  <c r="F120"/>
  <c r="E120"/>
  <c r="O119"/>
  <c r="N119"/>
  <c r="M119"/>
  <c r="I119"/>
  <c r="H119"/>
  <c r="G119"/>
  <c r="F119"/>
  <c r="E119"/>
  <c r="O118"/>
  <c r="N118"/>
  <c r="M118"/>
  <c r="I118"/>
  <c r="H118"/>
  <c r="G118"/>
  <c r="F118"/>
  <c r="E118"/>
  <c r="O117"/>
  <c r="N117"/>
  <c r="M117"/>
  <c r="I117"/>
  <c r="H117"/>
  <c r="G117"/>
  <c r="F117"/>
  <c r="E117"/>
  <c r="O116"/>
  <c r="N116"/>
  <c r="M116"/>
  <c r="I116"/>
  <c r="H116"/>
  <c r="G116"/>
  <c r="F116"/>
  <c r="E116"/>
  <c r="O115"/>
  <c r="N115"/>
  <c r="M115"/>
  <c r="I115"/>
  <c r="H115"/>
  <c r="G115"/>
  <c r="F115"/>
  <c r="E115"/>
  <c r="O114"/>
  <c r="N114"/>
  <c r="M114"/>
  <c r="I114"/>
  <c r="H114"/>
  <c r="G114"/>
  <c r="F114"/>
  <c r="E114"/>
  <c r="O113"/>
  <c r="N113"/>
  <c r="M113"/>
  <c r="I113"/>
  <c r="H113"/>
  <c r="G113"/>
  <c r="F113"/>
  <c r="E113"/>
  <c r="O112"/>
  <c r="N112"/>
  <c r="M112"/>
  <c r="I112"/>
  <c r="H112"/>
  <c r="G112"/>
  <c r="F112"/>
  <c r="E112"/>
  <c r="O111"/>
  <c r="N111"/>
  <c r="M111"/>
  <c r="I111"/>
  <c r="H111"/>
  <c r="G111"/>
  <c r="F111"/>
  <c r="E111"/>
  <c r="O110"/>
  <c r="N110"/>
  <c r="M110"/>
  <c r="I110"/>
  <c r="H110"/>
  <c r="G110"/>
  <c r="F110"/>
  <c r="E110"/>
  <c r="O109"/>
  <c r="N109"/>
  <c r="M109"/>
  <c r="I109"/>
  <c r="H109"/>
  <c r="G109"/>
  <c r="F109"/>
  <c r="E109"/>
  <c r="O108"/>
  <c r="N108"/>
  <c r="M108"/>
  <c r="I108"/>
  <c r="H108"/>
  <c r="G108"/>
  <c r="F108"/>
  <c r="E108"/>
  <c r="O107"/>
  <c r="N107"/>
  <c r="M107"/>
  <c r="I107"/>
  <c r="H107"/>
  <c r="G107"/>
  <c r="F107"/>
  <c r="E107"/>
  <c r="O106"/>
  <c r="N106"/>
  <c r="M106"/>
  <c r="I106"/>
  <c r="H106"/>
  <c r="G106"/>
  <c r="F106"/>
  <c r="E106"/>
  <c r="O105"/>
  <c r="N105"/>
  <c r="M105"/>
  <c r="I105"/>
  <c r="H105"/>
  <c r="G105"/>
  <c r="F105"/>
  <c r="E105"/>
  <c r="O104"/>
  <c r="N104"/>
  <c r="M104"/>
  <c r="I104"/>
  <c r="H104"/>
  <c r="G104"/>
  <c r="F104"/>
  <c r="E104"/>
  <c r="O103"/>
  <c r="N103"/>
  <c r="M103"/>
  <c r="I103"/>
  <c r="H103"/>
  <c r="G103"/>
  <c r="F103"/>
  <c r="E103"/>
  <c r="O102"/>
  <c r="N102"/>
  <c r="M102"/>
  <c r="I102"/>
  <c r="H102"/>
  <c r="G102"/>
  <c r="F102"/>
  <c r="E102"/>
  <c r="O101"/>
  <c r="N101"/>
  <c r="M101"/>
  <c r="I101"/>
  <c r="H101"/>
  <c r="G101"/>
  <c r="F101"/>
  <c r="E101"/>
  <c r="O100"/>
  <c r="N100"/>
  <c r="M100"/>
  <c r="I100"/>
  <c r="H100"/>
  <c r="G100"/>
  <c r="F100"/>
  <c r="E100"/>
  <c r="O99"/>
  <c r="N99"/>
  <c r="M99"/>
  <c r="I99"/>
  <c r="H99"/>
  <c r="G99"/>
  <c r="F99"/>
  <c r="E99"/>
  <c r="O98"/>
  <c r="N98"/>
  <c r="M98"/>
  <c r="I98"/>
  <c r="H98"/>
  <c r="G98"/>
  <c r="F98"/>
  <c r="E98"/>
  <c r="O97"/>
  <c r="N97"/>
  <c r="M97"/>
  <c r="I97"/>
  <c r="H97"/>
  <c r="G97"/>
  <c r="F97"/>
  <c r="E97"/>
  <c r="O96"/>
  <c r="N96"/>
  <c r="M96"/>
  <c r="I96"/>
  <c r="H96"/>
  <c r="G96"/>
  <c r="F96"/>
  <c r="E96"/>
  <c r="O95"/>
  <c r="N95"/>
  <c r="M95"/>
  <c r="I95"/>
  <c r="H95"/>
  <c r="G95"/>
  <c r="F95"/>
  <c r="E95"/>
  <c r="O94"/>
  <c r="N94"/>
  <c r="M94"/>
  <c r="I94"/>
  <c r="H94"/>
  <c r="G94"/>
  <c r="F94"/>
  <c r="E94"/>
  <c r="O93"/>
  <c r="N93"/>
  <c r="M93"/>
  <c r="I93"/>
  <c r="H93"/>
  <c r="G93"/>
  <c r="F93"/>
  <c r="E93"/>
  <c r="O92"/>
  <c r="N92"/>
  <c r="M92"/>
  <c r="I92"/>
  <c r="H92"/>
  <c r="G92"/>
  <c r="F92"/>
  <c r="E92"/>
  <c r="O91"/>
  <c r="N91"/>
  <c r="M91"/>
  <c r="I91"/>
  <c r="H91"/>
  <c r="G91"/>
  <c r="F91"/>
  <c r="E91"/>
  <c r="O90"/>
  <c r="N90"/>
  <c r="M90"/>
  <c r="K111" i="125" s="1"/>
  <c r="I90" i="3"/>
  <c r="H90"/>
  <c r="G90"/>
  <c r="F90"/>
  <c r="E90"/>
  <c r="O89"/>
  <c r="N89"/>
  <c r="M89"/>
  <c r="I89"/>
  <c r="H89"/>
  <c r="G89"/>
  <c r="F89"/>
  <c r="E89"/>
  <c r="O88"/>
  <c r="N88"/>
  <c r="M88"/>
  <c r="K109" i="125" s="1"/>
  <c r="I88" i="3"/>
  <c r="H88"/>
  <c r="G88"/>
  <c r="F88"/>
  <c r="E88"/>
  <c r="O87"/>
  <c r="N87"/>
  <c r="M87"/>
  <c r="I87"/>
  <c r="H87"/>
  <c r="G87"/>
  <c r="F87"/>
  <c r="E87"/>
  <c r="O86"/>
  <c r="N86"/>
  <c r="M86"/>
  <c r="I86"/>
  <c r="H86"/>
  <c r="G86"/>
  <c r="F86"/>
  <c r="E86"/>
  <c r="O85"/>
  <c r="N85"/>
  <c r="M85"/>
  <c r="I85"/>
  <c r="H85"/>
  <c r="G85"/>
  <c r="F85"/>
  <c r="E85"/>
  <c r="O84"/>
  <c r="N84"/>
  <c r="M84"/>
  <c r="K105" i="125" s="1"/>
  <c r="I84" i="3"/>
  <c r="H84"/>
  <c r="G84"/>
  <c r="F84"/>
  <c r="E84"/>
  <c r="O83"/>
  <c r="N83"/>
  <c r="M83"/>
  <c r="I83"/>
  <c r="H83"/>
  <c r="G83"/>
  <c r="F83"/>
  <c r="E83"/>
  <c r="O82"/>
  <c r="N82"/>
  <c r="M82"/>
  <c r="K96" i="125" s="1"/>
  <c r="I82" i="3"/>
  <c r="H82"/>
  <c r="G82"/>
  <c r="F82"/>
  <c r="E82"/>
  <c r="O81"/>
  <c r="N81"/>
  <c r="M81"/>
  <c r="I81"/>
  <c r="H81"/>
  <c r="G81"/>
  <c r="F81"/>
  <c r="E81"/>
  <c r="O80"/>
  <c r="N80"/>
  <c r="M80"/>
  <c r="I80"/>
  <c r="H80"/>
  <c r="G80"/>
  <c r="F80"/>
  <c r="E80"/>
  <c r="O79"/>
  <c r="N79"/>
  <c r="M79"/>
  <c r="F79"/>
  <c r="E79"/>
  <c r="O78"/>
  <c r="N78"/>
  <c r="M78"/>
  <c r="I78"/>
  <c r="H78"/>
  <c r="G78"/>
  <c r="F78"/>
  <c r="E78"/>
  <c r="O77"/>
  <c r="N77"/>
  <c r="M77"/>
  <c r="I77"/>
  <c r="H77"/>
  <c r="G77"/>
  <c r="F77"/>
  <c r="E77"/>
  <c r="O76"/>
  <c r="N76"/>
  <c r="M76"/>
  <c r="I76"/>
  <c r="H76"/>
  <c r="G76"/>
  <c r="F76"/>
  <c r="E76"/>
  <c r="O75"/>
  <c r="N75"/>
  <c r="M75"/>
  <c r="I75"/>
  <c r="H75"/>
  <c r="G75"/>
  <c r="F75"/>
  <c r="E75"/>
  <c r="O74"/>
  <c r="N74"/>
  <c r="M74"/>
  <c r="I74"/>
  <c r="H74"/>
  <c r="G74"/>
  <c r="F74"/>
  <c r="E74"/>
  <c r="O73"/>
  <c r="N73"/>
  <c r="M73"/>
  <c r="I73"/>
  <c r="H73"/>
  <c r="G73"/>
  <c r="F73"/>
  <c r="E73"/>
  <c r="O72"/>
  <c r="N72"/>
  <c r="M72"/>
  <c r="I72"/>
  <c r="H72"/>
  <c r="G72"/>
  <c r="F72"/>
  <c r="E72"/>
  <c r="O71"/>
  <c r="N71"/>
  <c r="M71"/>
  <c r="I71"/>
  <c r="H71"/>
  <c r="G71"/>
  <c r="F71"/>
  <c r="E71"/>
  <c r="O70"/>
  <c r="N70"/>
  <c r="M70"/>
  <c r="I70"/>
  <c r="H70"/>
  <c r="G70"/>
  <c r="F70"/>
  <c r="E70"/>
  <c r="O69"/>
  <c r="N69"/>
  <c r="M69"/>
  <c r="I69"/>
  <c r="H69"/>
  <c r="G69"/>
  <c r="F69"/>
  <c r="E69"/>
  <c r="O68"/>
  <c r="N68"/>
  <c r="M68"/>
  <c r="I68"/>
  <c r="H68"/>
  <c r="G68"/>
  <c r="F68"/>
  <c r="E68"/>
  <c r="O67"/>
  <c r="N67"/>
  <c r="M67"/>
  <c r="I67"/>
  <c r="H67"/>
  <c r="G67"/>
  <c r="F67"/>
  <c r="E67"/>
  <c r="O66"/>
  <c r="N66"/>
  <c r="M66"/>
  <c r="I66"/>
  <c r="H66"/>
  <c r="G66"/>
  <c r="F66"/>
  <c r="E66"/>
  <c r="O65"/>
  <c r="N65"/>
  <c r="M65"/>
  <c r="I65"/>
  <c r="H65"/>
  <c r="G65"/>
  <c r="F65"/>
  <c r="E65"/>
  <c r="O64"/>
  <c r="N64"/>
  <c r="M64"/>
  <c r="I64"/>
  <c r="H64"/>
  <c r="G64"/>
  <c r="F64"/>
  <c r="E64"/>
  <c r="O63"/>
  <c r="N63"/>
  <c r="M63"/>
  <c r="I63"/>
  <c r="H63"/>
  <c r="G63"/>
  <c r="F63"/>
  <c r="E63"/>
  <c r="O62"/>
  <c r="N62"/>
  <c r="M62"/>
  <c r="I62"/>
  <c r="H62"/>
  <c r="G62"/>
  <c r="F62"/>
  <c r="E62"/>
  <c r="O61"/>
  <c r="N61"/>
  <c r="M61"/>
  <c r="I61"/>
  <c r="H61"/>
  <c r="G61"/>
  <c r="F61"/>
  <c r="E61"/>
  <c r="O60"/>
  <c r="N60"/>
  <c r="M60"/>
  <c r="I60"/>
  <c r="H60"/>
  <c r="G60"/>
  <c r="F60"/>
  <c r="E60"/>
  <c r="O59"/>
  <c r="N59"/>
  <c r="M59"/>
  <c r="I59"/>
  <c r="H59"/>
  <c r="G59"/>
  <c r="F59"/>
  <c r="E59"/>
  <c r="O58"/>
  <c r="N58"/>
  <c r="M58"/>
  <c r="I58"/>
  <c r="H58"/>
  <c r="G58"/>
  <c r="F58"/>
  <c r="E58"/>
  <c r="O57"/>
  <c r="N57"/>
  <c r="M57"/>
  <c r="I57"/>
  <c r="H57"/>
  <c r="G57"/>
  <c r="F57"/>
  <c r="E57"/>
  <c r="O56"/>
  <c r="N56"/>
  <c r="M56"/>
  <c r="I56"/>
  <c r="H56"/>
  <c r="G56"/>
  <c r="F56"/>
  <c r="E56"/>
  <c r="O55"/>
  <c r="N55"/>
  <c r="M55"/>
  <c r="K69" i="125" s="1"/>
  <c r="I55" i="3"/>
  <c r="H55"/>
  <c r="G55"/>
  <c r="F55"/>
  <c r="E55"/>
  <c r="O54"/>
  <c r="N54"/>
  <c r="M54"/>
  <c r="I54"/>
  <c r="H54"/>
  <c r="G54"/>
  <c r="F54"/>
  <c r="E54"/>
  <c r="O53"/>
  <c r="N53"/>
  <c r="M53"/>
  <c r="K67" i="125" s="1"/>
  <c r="I53" i="3"/>
  <c r="H53"/>
  <c r="G53"/>
  <c r="F53"/>
  <c r="E53"/>
  <c r="O52"/>
  <c r="N52"/>
  <c r="M52"/>
  <c r="I52"/>
  <c r="H52"/>
  <c r="G52"/>
  <c r="F52"/>
  <c r="E52"/>
  <c r="O51"/>
  <c r="N51"/>
  <c r="M51"/>
  <c r="K65" i="125" s="1"/>
  <c r="I51" i="3"/>
  <c r="H51"/>
  <c r="G51"/>
  <c r="F51"/>
  <c r="E51"/>
  <c r="O50"/>
  <c r="N50"/>
  <c r="M50"/>
  <c r="I50"/>
  <c r="H50"/>
  <c r="G50"/>
  <c r="F50"/>
  <c r="E50"/>
  <c r="O49"/>
  <c r="N49"/>
  <c r="M49"/>
  <c r="K63" i="125" s="1"/>
  <c r="I49" i="3"/>
  <c r="H49"/>
  <c r="G49"/>
  <c r="F49"/>
  <c r="E49"/>
  <c r="O48"/>
  <c r="N48"/>
  <c r="M48"/>
  <c r="I48"/>
  <c r="H48"/>
  <c r="G48"/>
  <c r="F48"/>
  <c r="E48"/>
  <c r="O47"/>
  <c r="N47"/>
  <c r="M47"/>
  <c r="K60" i="125" s="1"/>
  <c r="I47" i="3"/>
  <c r="H47"/>
  <c r="G47"/>
  <c r="F47"/>
  <c r="E47"/>
  <c r="O46"/>
  <c r="N46"/>
  <c r="M46"/>
  <c r="I46"/>
  <c r="H46"/>
  <c r="G46"/>
  <c r="F46"/>
  <c r="E46"/>
  <c r="O45"/>
  <c r="N45"/>
  <c r="M45"/>
  <c r="K58" i="125" s="1"/>
  <c r="I45" i="3"/>
  <c r="H45"/>
  <c r="G45"/>
  <c r="F45"/>
  <c r="E45"/>
  <c r="O44"/>
  <c r="N44"/>
  <c r="M44"/>
  <c r="I44"/>
  <c r="H44"/>
  <c r="G44"/>
  <c r="F44"/>
  <c r="E44"/>
  <c r="O43"/>
  <c r="N43"/>
  <c r="M43"/>
  <c r="I43"/>
  <c r="H43"/>
  <c r="G43"/>
  <c r="F43"/>
  <c r="E43"/>
  <c r="O42"/>
  <c r="N42"/>
  <c r="M42"/>
  <c r="I42"/>
  <c r="H42"/>
  <c r="G42"/>
  <c r="F42"/>
  <c r="E42"/>
  <c r="O41"/>
  <c r="N41"/>
  <c r="M41"/>
  <c r="I41"/>
  <c r="H41"/>
  <c r="G41"/>
  <c r="F41"/>
  <c r="E41"/>
  <c r="O40"/>
  <c r="N40"/>
  <c r="M40"/>
  <c r="I40"/>
  <c r="H40"/>
  <c r="G40"/>
  <c r="F40"/>
  <c r="E40"/>
  <c r="O39"/>
  <c r="N39"/>
  <c r="M39"/>
  <c r="I39"/>
  <c r="H39"/>
  <c r="G39"/>
  <c r="F39"/>
  <c r="E39"/>
  <c r="O38"/>
  <c r="N38"/>
  <c r="M38"/>
  <c r="I38"/>
  <c r="H38"/>
  <c r="G38"/>
  <c r="F38"/>
  <c r="E38"/>
  <c r="O37"/>
  <c r="N37"/>
  <c r="M37"/>
  <c r="I37"/>
  <c r="H37"/>
  <c r="G37"/>
  <c r="F37"/>
  <c r="E37"/>
  <c r="O36"/>
  <c r="N36"/>
  <c r="M36"/>
  <c r="I36"/>
  <c r="H36"/>
  <c r="G36"/>
  <c r="F36"/>
  <c r="E36"/>
  <c r="O35"/>
  <c r="N35"/>
  <c r="M35"/>
  <c r="I35"/>
  <c r="H35"/>
  <c r="G35"/>
  <c r="F35"/>
  <c r="E35"/>
  <c r="O34"/>
  <c r="N34"/>
  <c r="M34"/>
  <c r="K45" i="125" s="1"/>
  <c r="I34" i="3"/>
  <c r="H34"/>
  <c r="G34"/>
  <c r="F34"/>
  <c r="E34"/>
  <c r="O33"/>
  <c r="N33"/>
  <c r="M33"/>
  <c r="I33"/>
  <c r="H33"/>
  <c r="G33"/>
  <c r="F33"/>
  <c r="E33"/>
  <c r="O32"/>
  <c r="N32"/>
  <c r="M32"/>
  <c r="I32"/>
  <c r="H32"/>
  <c r="G32"/>
  <c r="F32"/>
  <c r="E32"/>
  <c r="O31"/>
  <c r="N31"/>
  <c r="M31"/>
  <c r="I31"/>
  <c r="H31"/>
  <c r="G31"/>
  <c r="F31"/>
  <c r="E31"/>
  <c r="O30"/>
  <c r="N30"/>
  <c r="M30"/>
  <c r="K41" i="125" s="1"/>
  <c r="I30" i="3"/>
  <c r="H30"/>
  <c r="G30"/>
  <c r="F30"/>
  <c r="E30"/>
  <c r="O29"/>
  <c r="N29"/>
  <c r="M29"/>
  <c r="I29"/>
  <c r="H29"/>
  <c r="G29"/>
  <c r="F29"/>
  <c r="E29"/>
  <c r="O28"/>
  <c r="N28"/>
  <c r="M28"/>
  <c r="I28"/>
  <c r="H28"/>
  <c r="G28"/>
  <c r="F28"/>
  <c r="E28"/>
  <c r="O27"/>
  <c r="N27"/>
  <c r="M27"/>
  <c r="I27"/>
  <c r="H27"/>
  <c r="G27"/>
  <c r="F27"/>
  <c r="E27"/>
  <c r="O26"/>
  <c r="N26"/>
  <c r="M26"/>
  <c r="I26"/>
  <c r="H26"/>
  <c r="G26"/>
  <c r="F26"/>
  <c r="E26"/>
  <c r="O25"/>
  <c r="N25"/>
  <c r="M25"/>
  <c r="I25"/>
  <c r="H25"/>
  <c r="G25"/>
  <c r="F25"/>
  <c r="E25"/>
  <c r="O24"/>
  <c r="N24"/>
  <c r="M24"/>
  <c r="I24"/>
  <c r="H24"/>
  <c r="G24"/>
  <c r="F24"/>
  <c r="E24"/>
  <c r="O23"/>
  <c r="N23"/>
  <c r="M23"/>
  <c r="I23"/>
  <c r="H23"/>
  <c r="G23"/>
  <c r="F23"/>
  <c r="E23"/>
  <c r="O22"/>
  <c r="N22"/>
  <c r="M22"/>
  <c r="I22"/>
  <c r="H22"/>
  <c r="G22"/>
  <c r="F22"/>
  <c r="E22"/>
  <c r="O21"/>
  <c r="N21"/>
  <c r="M21"/>
  <c r="I21"/>
  <c r="H21"/>
  <c r="G21"/>
  <c r="F21"/>
  <c r="E21"/>
  <c r="O20"/>
  <c r="N20"/>
  <c r="M20"/>
  <c r="I20"/>
  <c r="H20"/>
  <c r="G20"/>
  <c r="F20"/>
  <c r="E20"/>
  <c r="O19"/>
  <c r="N19"/>
  <c r="M19"/>
  <c r="I19"/>
  <c r="H19"/>
  <c r="G19"/>
  <c r="F19"/>
  <c r="E19"/>
  <c r="O18"/>
  <c r="N18"/>
  <c r="M18"/>
  <c r="I18"/>
  <c r="H18"/>
  <c r="G18"/>
  <c r="F18"/>
  <c r="E18"/>
  <c r="O17"/>
  <c r="N17"/>
  <c r="M17"/>
  <c r="I17"/>
  <c r="H17"/>
  <c r="G17"/>
  <c r="F17"/>
  <c r="E17"/>
  <c r="O16"/>
  <c r="N16"/>
  <c r="M16"/>
  <c r="I16"/>
  <c r="H16"/>
  <c r="G16"/>
  <c r="F16"/>
  <c r="E16"/>
  <c r="O15"/>
  <c r="N15"/>
  <c r="M15"/>
  <c r="I15"/>
  <c r="H15"/>
  <c r="G15"/>
  <c r="F15"/>
  <c r="E15"/>
  <c r="O14"/>
  <c r="N14"/>
  <c r="M14"/>
  <c r="I14"/>
  <c r="H14"/>
  <c r="G14"/>
  <c r="F14"/>
  <c r="E14"/>
  <c r="O13"/>
  <c r="N13"/>
  <c r="M13"/>
  <c r="I13"/>
  <c r="H13"/>
  <c r="G13"/>
  <c r="F13"/>
  <c r="E13"/>
  <c r="O12"/>
  <c r="N12"/>
  <c r="M12"/>
  <c r="I12"/>
  <c r="H12"/>
  <c r="G12"/>
  <c r="F12"/>
  <c r="E12"/>
  <c r="O11"/>
  <c r="N11"/>
  <c r="M11"/>
  <c r="I11"/>
  <c r="H11"/>
  <c r="G11"/>
  <c r="F11"/>
  <c r="E11"/>
  <c r="O10"/>
  <c r="N10"/>
  <c r="M10"/>
  <c r="I10"/>
  <c r="H10"/>
  <c r="G10"/>
  <c r="F10"/>
  <c r="E10"/>
  <c r="O9"/>
  <c r="N9"/>
  <c r="M9"/>
  <c r="I9"/>
  <c r="H9"/>
  <c r="G9"/>
  <c r="F9"/>
  <c r="E9"/>
  <c r="N8"/>
  <c r="M8"/>
  <c r="O8" s="1"/>
  <c r="I8"/>
  <c r="H8"/>
  <c r="G8"/>
  <c r="F8"/>
  <c r="E8"/>
  <c r="N7"/>
  <c r="M7"/>
  <c r="O7" s="1"/>
  <c r="I7"/>
  <c r="H7"/>
  <c r="G7"/>
  <c r="F7"/>
  <c r="E7"/>
  <c r="N6"/>
  <c r="M6"/>
  <c r="O6" s="1"/>
  <c r="I6"/>
  <c r="H6"/>
  <c r="G6"/>
  <c r="F6"/>
  <c r="E6"/>
  <c r="N5"/>
  <c r="M5"/>
  <c r="O5" s="1"/>
  <c r="I5"/>
  <c r="H5"/>
  <c r="G5"/>
  <c r="F5"/>
  <c r="E5"/>
  <c r="N4"/>
  <c r="M4"/>
  <c r="O4" s="1"/>
  <c r="I4"/>
  <c r="H4"/>
  <c r="G4"/>
  <c r="F4"/>
  <c r="E4"/>
  <c r="N3"/>
  <c r="M3"/>
  <c r="O3" s="1"/>
  <c r="I3"/>
  <c r="H3"/>
  <c r="G3"/>
  <c r="F3"/>
  <c r="E3"/>
  <c r="N2"/>
  <c r="M2"/>
  <c r="O2" s="1"/>
  <c r="I2"/>
  <c r="H2"/>
  <c r="G2"/>
  <c r="F2"/>
  <c r="E2"/>
  <c r="J5"/>
  <c r="J6"/>
  <c r="J7"/>
  <c r="J8"/>
  <c r="J9"/>
  <c r="J3"/>
  <c r="J14"/>
  <c r="J2"/>
  <c r="K4" i="125"/>
  <c r="K114"/>
  <c r="K115"/>
  <c r="K57"/>
  <c r="K70"/>
  <c r="K6"/>
  <c r="J120"/>
  <c r="K119"/>
  <c r="J119"/>
  <c r="J118"/>
  <c r="K117"/>
  <c r="J117"/>
  <c r="K116"/>
  <c r="J116"/>
  <c r="J115"/>
  <c r="J114"/>
  <c r="K113"/>
  <c r="J113"/>
  <c r="K112"/>
  <c r="J112"/>
  <c r="J111"/>
  <c r="K110"/>
  <c r="J110"/>
  <c r="J109"/>
  <c r="K108"/>
  <c r="J108"/>
  <c r="K107"/>
  <c r="J107"/>
  <c r="K106"/>
  <c r="J106"/>
  <c r="J105"/>
  <c r="K104"/>
  <c r="J104"/>
  <c r="K103"/>
  <c r="J103"/>
  <c r="J102"/>
  <c r="K101"/>
  <c r="J101"/>
  <c r="J100"/>
  <c r="K99"/>
  <c r="J99"/>
  <c r="J98"/>
  <c r="K97"/>
  <c r="J97"/>
  <c r="J96"/>
  <c r="K95"/>
  <c r="J95"/>
  <c r="K94"/>
  <c r="J94"/>
  <c r="K93"/>
  <c r="J93"/>
  <c r="K92"/>
  <c r="J92"/>
  <c r="K91"/>
  <c r="J91"/>
  <c r="K90"/>
  <c r="J90"/>
  <c r="K89"/>
  <c r="J89"/>
  <c r="K88"/>
  <c r="J88"/>
  <c r="K87"/>
  <c r="J87"/>
  <c r="K86"/>
  <c r="J86"/>
  <c r="K85"/>
  <c r="J85"/>
  <c r="K84"/>
  <c r="J84"/>
  <c r="K83"/>
  <c r="J83"/>
  <c r="K82"/>
  <c r="J82"/>
  <c r="K81"/>
  <c r="J81"/>
  <c r="K80"/>
  <c r="J80"/>
  <c r="K79"/>
  <c r="J79"/>
  <c r="K78"/>
  <c r="J78"/>
  <c r="K77"/>
  <c r="J77"/>
  <c r="K76"/>
  <c r="J76"/>
  <c r="K75"/>
  <c r="J75"/>
  <c r="K74"/>
  <c r="J74"/>
  <c r="K73"/>
  <c r="J73"/>
  <c r="K72"/>
  <c r="J72"/>
  <c r="K71"/>
  <c r="J71"/>
  <c r="J70"/>
  <c r="J69"/>
  <c r="J68"/>
  <c r="J67"/>
  <c r="J66"/>
  <c r="J65"/>
  <c r="J64"/>
  <c r="J63"/>
  <c r="J62"/>
  <c r="J61"/>
  <c r="J60"/>
  <c r="J59"/>
  <c r="J58"/>
  <c r="J57"/>
  <c r="K56"/>
  <c r="J56"/>
  <c r="K55"/>
  <c r="J55"/>
  <c r="K54"/>
  <c r="J54"/>
  <c r="K53"/>
  <c r="J53"/>
  <c r="K52"/>
  <c r="J52"/>
  <c r="K51"/>
  <c r="J51"/>
  <c r="K50"/>
  <c r="J50"/>
  <c r="K49"/>
  <c r="J49"/>
  <c r="K48"/>
  <c r="J48"/>
  <c r="K47"/>
  <c r="J47"/>
  <c r="J46"/>
  <c r="J45"/>
  <c r="J44"/>
  <c r="K43"/>
  <c r="J43"/>
  <c r="J42"/>
  <c r="J41"/>
  <c r="J40"/>
  <c r="J39"/>
  <c r="J38"/>
  <c r="K37"/>
  <c r="J37"/>
  <c r="J36"/>
  <c r="J35"/>
  <c r="J34"/>
  <c r="J33"/>
  <c r="K32"/>
  <c r="J32"/>
  <c r="J31"/>
  <c r="J30"/>
  <c r="J29"/>
  <c r="J28"/>
  <c r="J27"/>
  <c r="J26"/>
  <c r="K25"/>
  <c r="J25"/>
  <c r="J24"/>
  <c r="J23"/>
  <c r="J22"/>
  <c r="K21"/>
  <c r="J21"/>
  <c r="J20"/>
  <c r="J19"/>
  <c r="J18"/>
  <c r="J17"/>
  <c r="J16"/>
  <c r="J15"/>
  <c r="J14"/>
  <c r="J13"/>
  <c r="J12"/>
  <c r="K11"/>
  <c r="J11"/>
  <c r="J10"/>
  <c r="J9"/>
  <c r="K8"/>
  <c r="J8"/>
  <c r="J7"/>
  <c r="J6"/>
  <c r="K5"/>
  <c r="J5"/>
  <c r="J4"/>
  <c r="K3"/>
  <c r="J3"/>
  <c r="J116" i="98"/>
  <c r="J117"/>
  <c r="J18"/>
  <c r="J53"/>
  <c r="J2"/>
  <c r="J65"/>
  <c r="J4"/>
  <c r="J19"/>
  <c r="J110"/>
  <c r="J109"/>
  <c r="J108"/>
  <c r="J107"/>
  <c r="J106"/>
  <c r="J105"/>
  <c r="J104"/>
  <c r="J103"/>
  <c r="J102"/>
  <c r="J66"/>
  <c r="J78"/>
  <c r="J86"/>
  <c r="J69"/>
  <c r="J71"/>
  <c r="J72"/>
  <c r="J91"/>
  <c r="J111"/>
  <c r="J99"/>
  <c r="J80"/>
  <c r="J92"/>
  <c r="J114"/>
  <c r="J82"/>
  <c r="J85"/>
  <c r="J96"/>
  <c r="J84"/>
  <c r="J87"/>
  <c r="J94"/>
  <c r="J97"/>
  <c r="J113"/>
  <c r="J81"/>
  <c r="J112"/>
  <c r="J93"/>
  <c r="J95"/>
  <c r="J74"/>
  <c r="J76"/>
  <c r="J98"/>
  <c r="J75"/>
  <c r="J67"/>
  <c r="J115"/>
  <c r="J83"/>
  <c r="J73"/>
  <c r="J77"/>
  <c r="J70"/>
  <c r="J79"/>
  <c r="J100"/>
  <c r="J90"/>
  <c r="J68"/>
  <c r="J89"/>
  <c r="J101"/>
  <c r="J88"/>
  <c r="J60"/>
  <c r="J63"/>
  <c r="J62"/>
  <c r="J61"/>
  <c r="J55"/>
  <c r="J54"/>
  <c r="J57"/>
  <c r="J58"/>
  <c r="J59"/>
  <c r="J64"/>
  <c r="J56"/>
  <c r="J48"/>
  <c r="J32"/>
  <c r="J35"/>
  <c r="J34"/>
  <c r="J33"/>
  <c r="J30"/>
  <c r="J26"/>
  <c r="J25"/>
  <c r="J27"/>
  <c r="J36"/>
  <c r="J20"/>
  <c r="J46"/>
  <c r="J31"/>
  <c r="J41"/>
  <c r="J42"/>
  <c r="J37"/>
  <c r="J40"/>
  <c r="J39"/>
  <c r="J50"/>
  <c r="J23"/>
  <c r="J52"/>
  <c r="J22"/>
  <c r="J29"/>
  <c r="J28"/>
  <c r="J24"/>
  <c r="J45"/>
  <c r="J49"/>
  <c r="J38"/>
  <c r="J21"/>
  <c r="J51"/>
  <c r="J43"/>
  <c r="J44"/>
  <c r="J47"/>
  <c r="J12"/>
  <c r="J11"/>
  <c r="J7"/>
  <c r="J10"/>
  <c r="J9"/>
  <c r="J17"/>
  <c r="J5"/>
  <c r="J16"/>
  <c r="J15"/>
  <c r="J14"/>
  <c r="J6"/>
  <c r="J13"/>
  <c r="J8"/>
  <c r="J3"/>
  <c r="J118"/>
  <c r="J119"/>
  <c r="N8" i="4"/>
  <c r="M8"/>
  <c r="I8"/>
  <c r="H8"/>
  <c r="G8"/>
  <c r="F8"/>
  <c r="E8"/>
  <c r="K120" i="125" l="1"/>
  <c r="K118"/>
  <c r="L118" s="1"/>
  <c r="K20"/>
  <c r="K19"/>
  <c r="L19" s="1"/>
  <c r="K102"/>
  <c r="L102" s="1"/>
  <c r="K100"/>
  <c r="L100" s="1"/>
  <c r="K98"/>
  <c r="L98" s="1"/>
  <c r="K34"/>
  <c r="L34" s="1"/>
  <c r="K29"/>
  <c r="L29" s="1"/>
  <c r="K39"/>
  <c r="L39" s="1"/>
  <c r="K27"/>
  <c r="L27" s="1"/>
  <c r="K31"/>
  <c r="L31" s="1"/>
  <c r="K36"/>
  <c r="L36" s="1"/>
  <c r="J4" i="3"/>
  <c r="K23" i="125"/>
  <c r="L23" s="1"/>
  <c r="K7"/>
  <c r="L7" s="1"/>
  <c r="K9"/>
  <c r="L9" s="1"/>
  <c r="K10"/>
  <c r="L10" s="1"/>
  <c r="K13"/>
  <c r="L13" s="1"/>
  <c r="K15"/>
  <c r="L15" s="1"/>
  <c r="K16"/>
  <c r="L16" s="1"/>
  <c r="K17"/>
  <c r="L17" s="1"/>
  <c r="K18"/>
  <c r="L18" s="1"/>
  <c r="K22"/>
  <c r="L22" s="1"/>
  <c r="K24"/>
  <c r="L24" s="1"/>
  <c r="K26"/>
  <c r="L26" s="1"/>
  <c r="K28"/>
  <c r="L28" s="1"/>
  <c r="K30"/>
  <c r="L30" s="1"/>
  <c r="K33"/>
  <c r="L33" s="1"/>
  <c r="K35"/>
  <c r="L35" s="1"/>
  <c r="K38"/>
  <c r="L38" s="1"/>
  <c r="K40"/>
  <c r="L40" s="1"/>
  <c r="K42"/>
  <c r="L42" s="1"/>
  <c r="K44"/>
  <c r="L44" s="1"/>
  <c r="K46"/>
  <c r="L46" s="1"/>
  <c r="K59"/>
  <c r="L59" s="1"/>
  <c r="K61"/>
  <c r="L61" s="1"/>
  <c r="K62"/>
  <c r="L62" s="1"/>
  <c r="K64"/>
  <c r="L64" s="1"/>
  <c r="K66"/>
  <c r="L66" s="1"/>
  <c r="K68"/>
  <c r="L68" s="1"/>
  <c r="L99"/>
  <c r="L101"/>
  <c r="L103"/>
  <c r="L104"/>
  <c r="L105"/>
  <c r="L106"/>
  <c r="L107"/>
  <c r="L108"/>
  <c r="L109"/>
  <c r="L110"/>
  <c r="L111"/>
  <c r="L112"/>
  <c r="L113"/>
  <c r="L114"/>
  <c r="L115"/>
  <c r="L116"/>
  <c r="L117"/>
  <c r="L3"/>
  <c r="L4"/>
  <c r="L5"/>
  <c r="L6"/>
  <c r="L8"/>
  <c r="L11"/>
  <c r="L20"/>
  <c r="L21"/>
  <c r="L25"/>
  <c r="L32"/>
  <c r="L37"/>
  <c r="L41"/>
  <c r="L43"/>
  <c r="L45"/>
  <c r="L47"/>
  <c r="L48"/>
  <c r="L49"/>
  <c r="L50"/>
  <c r="L51"/>
  <c r="L52"/>
  <c r="L53"/>
  <c r="L54"/>
  <c r="L55"/>
  <c r="L56"/>
  <c r="L57"/>
  <c r="L58"/>
  <c r="L60"/>
  <c r="L63"/>
  <c r="L65"/>
  <c r="L67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119"/>
  <c r="L120"/>
  <c r="O8" i="4"/>
  <c r="K14" i="125" l="1"/>
  <c r="L14" s="1"/>
  <c r="K12"/>
  <c r="L12" s="1"/>
</calcChain>
</file>

<file path=xl/sharedStrings.xml><?xml version="1.0" encoding="utf-8"?>
<sst xmlns="http://schemas.openxmlformats.org/spreadsheetml/2006/main" count="3323" uniqueCount="981">
  <si>
    <t>单位</t>
  </si>
  <si>
    <t>存货名称</t>
  </si>
  <si>
    <t>英文名</t>
  </si>
  <si>
    <t>规格</t>
  </si>
  <si>
    <t>存货大类</t>
  </si>
  <si>
    <t>实盘数</t>
  </si>
  <si>
    <t>备注</t>
  </si>
  <si>
    <t>0001010273</t>
  </si>
  <si>
    <t>蓝光-美女与野兽第2季贝儿的心愿1DVD+1BD</t>
  </si>
  <si>
    <t>2</t>
  </si>
  <si>
    <t>调用成品</t>
  </si>
  <si>
    <t>套</t>
  </si>
  <si>
    <t>0001010274</t>
  </si>
  <si>
    <t>蓝光-八恶人1BD+1DVD</t>
  </si>
  <si>
    <t>0001010275</t>
  </si>
  <si>
    <t>蓝光-石中剑50周年版 1BD+1DVD</t>
  </si>
  <si>
    <t>0001010276</t>
  </si>
  <si>
    <t>蓝光-绝命毒师完整版16BD</t>
  </si>
  <si>
    <t>16</t>
  </si>
  <si>
    <t>0001010277</t>
  </si>
  <si>
    <t>蓝光-詹姆斯邦德（007）完整版25BD</t>
  </si>
  <si>
    <t>25</t>
  </si>
  <si>
    <t>0001010278</t>
  </si>
  <si>
    <t>蓝光战争与和平 2BD</t>
  </si>
  <si>
    <t>0001010279</t>
  </si>
  <si>
    <t>蓝光-猫的报恩 1BD+1DVD</t>
  </si>
  <si>
    <t>0001010280</t>
  </si>
  <si>
    <t>蓝光-绿箭侠第3季 4BD</t>
  </si>
  <si>
    <t>4</t>
  </si>
  <si>
    <t>0001010281</t>
  </si>
  <si>
    <t>蓝光-绿箭侠第2季4BD</t>
  </si>
  <si>
    <t>0001010282</t>
  </si>
  <si>
    <t>蓝光-绿箭侠第1季4BD</t>
  </si>
  <si>
    <t>0001010283</t>
  </si>
  <si>
    <t>蓝光-迪士尼动画短片合集1BD+1DVD</t>
  </si>
  <si>
    <t>0001010284</t>
  </si>
  <si>
    <t>蓝光-末日孤舰第2季3BD</t>
  </si>
  <si>
    <t>3</t>
  </si>
  <si>
    <t>0001010285</t>
  </si>
  <si>
    <t>蓝光-乐高大电影1BD+1DVD</t>
  </si>
  <si>
    <t>0001010286</t>
  </si>
  <si>
    <t>蓝光-侏罗纪公园完整版6BD</t>
  </si>
  <si>
    <t>6</t>
  </si>
  <si>
    <t>0001010287</t>
  </si>
  <si>
    <t>蓝光-行尸之惧第1季2BD</t>
  </si>
  <si>
    <t>0001010288</t>
  </si>
  <si>
    <t>蓝光-童话镇第4季5BD</t>
  </si>
  <si>
    <t>5</t>
  </si>
  <si>
    <t>0001010289</t>
  </si>
  <si>
    <t>蓝光-格林第4季 5BD</t>
  </si>
  <si>
    <t>0001010290</t>
  </si>
  <si>
    <t>蓝光-公主与青蛙 1BD+1DVD</t>
  </si>
  <si>
    <t>0007050243</t>
  </si>
  <si>
    <t>自由之歌的CD盒集4CD</t>
  </si>
  <si>
    <t>Songs Of Freedom</t>
  </si>
  <si>
    <t>CD成品</t>
  </si>
  <si>
    <t>0007050244</t>
  </si>
  <si>
    <t>迪士尼经典套装4CD</t>
  </si>
  <si>
    <t>Disney Classics Box Set</t>
  </si>
  <si>
    <t>0007050245</t>
  </si>
  <si>
    <t>在一个盒子里的信息：完整的录音CD盒集[ 4 ]套盒4CD</t>
  </si>
  <si>
    <t>Message in a Box: The Complete Recording</t>
  </si>
  <si>
    <t>0007050246</t>
  </si>
  <si>
    <t>猫王这是它的方式（旧版)2CD</t>
  </si>
  <si>
    <t>That`s the Way It Is</t>
  </si>
  <si>
    <t>0007050247</t>
  </si>
  <si>
    <t>《终极收藏套盒5CD</t>
  </si>
  <si>
    <t>The Ultimate Collection</t>
  </si>
  <si>
    <t>0601010001</t>
  </si>
  <si>
    <t>14mm蓝色4碟PP盒（蓝光）</t>
  </si>
  <si>
    <t>PP盒</t>
  </si>
  <si>
    <t>个</t>
  </si>
  <si>
    <t>0601010002</t>
  </si>
  <si>
    <t>14mm蓝色3碟PP盒</t>
  </si>
  <si>
    <t>0602010001</t>
  </si>
  <si>
    <t>BD-R</t>
  </si>
  <si>
    <t>BD碟</t>
  </si>
  <si>
    <t>片</t>
  </si>
  <si>
    <t>0602010002</t>
  </si>
  <si>
    <t>KL-虞美人盛开的山坡  BD碟1</t>
  </si>
  <si>
    <t>From Up on Poppy Hill</t>
  </si>
  <si>
    <t>0602010003</t>
  </si>
  <si>
    <t>KL-猫王-埃尔维斯之旅 BD碟1</t>
  </si>
  <si>
    <t>Elvis Presley - Elvis On Tour</t>
  </si>
  <si>
    <t>0602010004</t>
  </si>
  <si>
    <t>KL-地球百子第1季 BD碟1</t>
  </si>
  <si>
    <t>The 100: Season 1</t>
  </si>
  <si>
    <t>0602010005</t>
  </si>
  <si>
    <t>KL-地球百子第1季 BD碟2</t>
  </si>
  <si>
    <t>0602010006</t>
  </si>
  <si>
    <t>KL-地球百子第1季 BD碟3</t>
  </si>
  <si>
    <t>0602010007</t>
  </si>
  <si>
    <t>KL-奥丽芙.基特里奇 BD碟1</t>
  </si>
  <si>
    <t>Olive Kitteridge</t>
  </si>
  <si>
    <t>0602010008</t>
  </si>
  <si>
    <t>KL-奥丽芙.基特里奇 BD碟2</t>
  </si>
  <si>
    <t>0602010009</t>
  </si>
  <si>
    <t>KL-死亡笔记：完整系列的标准版 BD碟1</t>
  </si>
  <si>
    <t>Death Note: Complete Series Standard Edition</t>
  </si>
  <si>
    <t>0602010010</t>
  </si>
  <si>
    <t>KL-死亡笔记：完整系列的标准版 BD碟2</t>
  </si>
  <si>
    <t>0602010011</t>
  </si>
  <si>
    <t>KL-死亡笔记：完整系列的标准版 BD碟3</t>
  </si>
  <si>
    <t>0602010012</t>
  </si>
  <si>
    <t>KL-死亡笔记：完整系列的标准版 BD碟4</t>
  </si>
  <si>
    <t>0602010013</t>
  </si>
  <si>
    <t>KL-死亡笔记：完整系列的标准版 BD碟5</t>
  </si>
  <si>
    <t>0602010014</t>
  </si>
  <si>
    <t>KL-硅谷：第2季 BD碟1</t>
  </si>
  <si>
    <t>Silicon Valley:The Complete Second Season</t>
  </si>
  <si>
    <t>0602010015</t>
  </si>
  <si>
    <t>KL-硅谷：第2季 BD碟2</t>
  </si>
  <si>
    <t>0602010016</t>
  </si>
  <si>
    <t>KL-尼克斯第2季 BD碟1</t>
  </si>
  <si>
    <t>The Knick The Complete Second Season</t>
  </si>
  <si>
    <t>0602010017</t>
  </si>
  <si>
    <t>KL-尼克斯第2季 BD碟2</t>
  </si>
  <si>
    <t>0602010018</t>
  </si>
  <si>
    <t>KL-尼克斯第2季 BD碟3</t>
  </si>
  <si>
    <t>0602010019</t>
  </si>
  <si>
    <t>KL-尼克斯第2季 BD碟4</t>
  </si>
  <si>
    <t>0602010020</t>
  </si>
  <si>
    <t>KL-辉夜姬物语 BD碟1</t>
  </si>
  <si>
    <t>The Tale of the Princess kaguya</t>
  </si>
  <si>
    <t>0602010021</t>
  </si>
  <si>
    <t>KL-元气囝仔 BD碟1</t>
  </si>
  <si>
    <t>Barakamon: The Complete Series</t>
  </si>
  <si>
    <t>0602010022</t>
  </si>
  <si>
    <t>KL-元气囝仔 BD碟2</t>
  </si>
  <si>
    <t>0602010023</t>
  </si>
  <si>
    <t>KL-大西洋帝国第5季 BD碟1</t>
  </si>
  <si>
    <t>Boarwalk Empire:Season 5</t>
  </si>
  <si>
    <t>0602010024</t>
  </si>
  <si>
    <t>KL-大西洋帝国第5季 BD碟2</t>
  </si>
  <si>
    <t>0602010025</t>
  </si>
  <si>
    <t>KL-大西洋帝国第5季 BD碟3</t>
  </si>
  <si>
    <t>0602010026</t>
  </si>
  <si>
    <t>KL-刑事 BD碟1</t>
  </si>
  <si>
    <t>Criminal</t>
  </si>
  <si>
    <t>0602010027</t>
  </si>
  <si>
    <t>KL-黑客军团第1季 BD碟1</t>
  </si>
  <si>
    <t>Mr.Robot - Season 1</t>
  </si>
  <si>
    <t>0602010028</t>
  </si>
  <si>
    <t>KL-黑客军团第1季 BD碟2</t>
  </si>
  <si>
    <t>0602010029</t>
  </si>
  <si>
    <t>KL-欢乐满人间第五十周年纪念版 BD碟1</t>
  </si>
  <si>
    <t>Mary Poppins:50th Anniversary edition</t>
  </si>
  <si>
    <t>0602010030</t>
  </si>
  <si>
    <t>KL-雷神：黑暗世界 BD碟1</t>
  </si>
  <si>
    <t>Thor:The Dark World</t>
  </si>
  <si>
    <t>0602010031</t>
  </si>
  <si>
    <t>KL-美国队长：美国队长：冬日战士 BD碟1</t>
  </si>
  <si>
    <t>Captain American:The Winter Soldier</t>
  </si>
  <si>
    <t>0602010032</t>
  </si>
  <si>
    <t>KL-银河护卫队 BD碟1</t>
  </si>
  <si>
    <t>Guardians Of The Galaxy</t>
  </si>
  <si>
    <t>0602010033</t>
  </si>
  <si>
    <t>KL-美国队长：星球大战：义军崛起第1季 BD碟1</t>
  </si>
  <si>
    <t>Star Wars Rebels:Season 1</t>
  </si>
  <si>
    <t>0602010034</t>
  </si>
  <si>
    <t>KL-美国队长：星球大战：义军崛起第1季 BD碟2</t>
  </si>
  <si>
    <t>0602010035</t>
  </si>
  <si>
    <t>KL-辛普森一家20周年特辑 BD碟2</t>
  </si>
  <si>
    <t>The Simpsons - Season 20(20 Years)</t>
  </si>
  <si>
    <t>0602010036</t>
  </si>
  <si>
    <t>KL-辛普森一家20周年特辑 BD碟1</t>
  </si>
  <si>
    <t>0602010037</t>
  </si>
  <si>
    <t>KL-猫王:是这样的:特别版 BD碟1</t>
  </si>
  <si>
    <t>Elvis:That is the Way It is :special Edition</t>
  </si>
  <si>
    <t>0602010038</t>
  </si>
  <si>
    <t>KL-海贼王剧场版10：强者天下 BD碟1</t>
  </si>
  <si>
    <t>ONE PIECE FILM STRONG WORLD</t>
  </si>
  <si>
    <t>0602010039</t>
  </si>
  <si>
    <t>KL-海贼王剧场版10：强者天下 BD碟2</t>
  </si>
  <si>
    <t>0602010040</t>
  </si>
  <si>
    <t>KL-海贼王剧场版:Z(港) BD碟1</t>
  </si>
  <si>
    <t>ONE PIECE FILM:Film Z</t>
  </si>
  <si>
    <t>0602010041</t>
  </si>
  <si>
    <t>KL-海贼王剧场版:Z(港) BD碟2</t>
  </si>
  <si>
    <t>0602010042</t>
  </si>
  <si>
    <t>KL-冰血暴第2季 BD碟2</t>
  </si>
  <si>
    <t>Fargo:Season 2</t>
  </si>
  <si>
    <t>0602010043</t>
  </si>
  <si>
    <t>KL-冰血暴第2季 BD碟1</t>
  </si>
  <si>
    <t>0602010044</t>
  </si>
  <si>
    <t>KL-冰血暴第2季 BD碟3</t>
  </si>
  <si>
    <t>0602010045</t>
  </si>
  <si>
    <t>KL-X战警：金刚狼 BD碟6</t>
  </si>
  <si>
    <t>X-men and the Wolverine Collection(X-men/X2:X-men United/X-men:The Last Stand/X-men Origins:Wolverin</t>
  </si>
  <si>
    <t>0602010046</t>
  </si>
  <si>
    <t>KL-X战警：金刚狼 BD碟4</t>
  </si>
  <si>
    <t>0602010047</t>
  </si>
  <si>
    <t>KL-X战警：金刚狼 BD碟1</t>
  </si>
  <si>
    <t>0602010048</t>
  </si>
  <si>
    <t>KL-X战警：金刚狼 BD碟3</t>
  </si>
  <si>
    <t>0602010049</t>
  </si>
  <si>
    <t>KL-X战警：金刚狼 BD碟5</t>
  </si>
  <si>
    <t>0602010050</t>
  </si>
  <si>
    <t>KL-X战警：金刚狼 BD碟2</t>
  </si>
  <si>
    <t>0602010051</t>
  </si>
  <si>
    <t>KL-美国不为人知的历史  BD碟1</t>
  </si>
  <si>
    <t>The United History of the United States</t>
  </si>
  <si>
    <t>0602010052</t>
  </si>
  <si>
    <t>KL-美国队长：第一复仇者 BD碟1</t>
  </si>
  <si>
    <t>Captain American:The First Avenger</t>
  </si>
  <si>
    <t>0602010053</t>
  </si>
  <si>
    <t>KL-钢铁侠3 BD碟1</t>
  </si>
  <si>
    <t>Iron Man 3-Movie Collection</t>
  </si>
  <si>
    <t>0602010054</t>
  </si>
  <si>
    <t>KL-浴血黑帮 BD碟1</t>
  </si>
  <si>
    <t>Peaky Blinders</t>
  </si>
  <si>
    <t>0602010055</t>
  </si>
  <si>
    <t>KL-浴血黑帮 BD碟2</t>
  </si>
  <si>
    <t>0602010056</t>
  </si>
  <si>
    <t>KL-雷神 BD碟1</t>
  </si>
  <si>
    <t>Thor “Spectacular”</t>
  </si>
  <si>
    <t>0602010057</t>
  </si>
  <si>
    <t>KL-鲁邦三世：卡里奥斯特罗城 BD碟1</t>
  </si>
  <si>
    <t>Lupin the Third:The Castle of Cagliostro</t>
  </si>
  <si>
    <t>0602010058</t>
  </si>
  <si>
    <t>KL-我是僵尸第2季 BD碟1</t>
  </si>
  <si>
    <t>iZombie Season 2</t>
  </si>
  <si>
    <t>0602010059</t>
  </si>
  <si>
    <t>KL-地球百子第3季  BD碟1</t>
  </si>
  <si>
    <t>Person of Interest: S1-5</t>
  </si>
  <si>
    <t>0602010060</t>
  </si>
  <si>
    <t>KL-我是僵尸第2季 BD碟2</t>
  </si>
  <si>
    <t>0602010061</t>
  </si>
  <si>
    <t>KL-我是僵尸第2季 BD碟3</t>
  </si>
  <si>
    <t>0602010062</t>
  </si>
  <si>
    <t>KL-我是僵尸第2季 BD碟4</t>
  </si>
  <si>
    <t>0602010063</t>
  </si>
  <si>
    <t>KL-怪物之子 BD碟1</t>
  </si>
  <si>
    <t>The Boy and the Beast</t>
  </si>
  <si>
    <t>0602010064</t>
  </si>
  <si>
    <t>KL-穿越时空的少女 BD碟1</t>
  </si>
  <si>
    <t>The Girl Who Leapt Through Time</t>
  </si>
  <si>
    <t>0602010065</t>
  </si>
  <si>
    <t>KL-非凡的世界 BD碟1</t>
  </si>
  <si>
    <t>April AND THE EXTRAORDINARY WORLD</t>
  </si>
  <si>
    <t>0602010066</t>
  </si>
  <si>
    <t>KL-硬核亨利 BD碟1</t>
  </si>
  <si>
    <t>Hardcore Herry</t>
  </si>
  <si>
    <t>0602010067</t>
  </si>
  <si>
    <t>KL-守望者收藏版 BD碟1</t>
  </si>
  <si>
    <t>Watchmen</t>
  </si>
  <si>
    <t>0602010068</t>
  </si>
  <si>
    <t>KL-黑色孤儿第1季 BD碟1</t>
  </si>
  <si>
    <t>Orphan Black Season 1</t>
  </si>
  <si>
    <t>0602010069</t>
  </si>
  <si>
    <t>KL-好莱坞在维也纳 BD碟1</t>
  </si>
  <si>
    <t>Hollywood In Vienna</t>
  </si>
  <si>
    <t>0602010070</t>
  </si>
  <si>
    <t>KL-控方证人 BD碟1</t>
  </si>
  <si>
    <t>Witness for the Prosecution</t>
  </si>
  <si>
    <t>0602010071</t>
  </si>
  <si>
    <t>KL-钢之炼金术师完整版 BD碟1</t>
  </si>
  <si>
    <t>FULLMETAL ALCHEMIST The Complete Series</t>
  </si>
  <si>
    <t>0602010072</t>
  </si>
  <si>
    <t>KL-钢之炼金术师：兄弟会（上） BD碟1</t>
  </si>
  <si>
    <t>FULLMETAL ALCHEMIST：BROTHERHOOD Complete One</t>
  </si>
  <si>
    <t>0602010073</t>
  </si>
  <si>
    <t>KL-钢之炼金术师：兄弟会（下） BD碟1</t>
  </si>
  <si>
    <t>FULLMETAL ALCHEMIST：BROTHERHOOD Complete Two</t>
  </si>
  <si>
    <t>0602010074</t>
  </si>
  <si>
    <t>KL-狼之子雨与雪 BD碟1</t>
  </si>
  <si>
    <t>WOLF CHILDREN</t>
  </si>
  <si>
    <t>0602010075</t>
  </si>
  <si>
    <t>KL-夏日大作战 BD碟1</t>
  </si>
  <si>
    <t>Summer wars</t>
  </si>
  <si>
    <t>0602010076</t>
  </si>
  <si>
    <t>KL-守望者收藏版 BD碟2</t>
  </si>
  <si>
    <t>0602010077</t>
  </si>
  <si>
    <t>KL-黑色孤儿第1季 BD碟2</t>
  </si>
  <si>
    <t>0602010078</t>
  </si>
  <si>
    <t>KL-钢之炼金术师完整版 BD碟2</t>
  </si>
  <si>
    <t>0602010079</t>
  </si>
  <si>
    <t>KL-钢之炼金术师：兄弟会（上） BD碟2</t>
  </si>
  <si>
    <t>0602010080</t>
  </si>
  <si>
    <t>KL-钢之炼金术师：兄弟会（下） BD碟2</t>
  </si>
  <si>
    <t>0602010081</t>
  </si>
  <si>
    <t>KL-守望者收藏版 BD碟3</t>
  </si>
  <si>
    <t>0602010082</t>
  </si>
  <si>
    <t>KL-黑色孤儿第3季 BD碟3</t>
  </si>
  <si>
    <t>Orphan Black Season 3</t>
  </si>
  <si>
    <t>0602010083</t>
  </si>
  <si>
    <t>KL-钢之炼金术师完整版 BD碟3</t>
  </si>
  <si>
    <t>0602010084</t>
  </si>
  <si>
    <t>KL-钢之炼金术师：兄弟会（上） BD碟3</t>
  </si>
  <si>
    <t>0602010085</t>
  </si>
  <si>
    <t>KL-钢之炼金术师：兄弟会（下） BD碟3</t>
  </si>
  <si>
    <t>0602010086</t>
  </si>
  <si>
    <t>KL-黑色孤儿第3季 BD碟4</t>
  </si>
  <si>
    <t>Orphan Black Season 4</t>
  </si>
  <si>
    <t>0602010087</t>
  </si>
  <si>
    <t>KL-钢之炼金术师完整版 BD碟4</t>
  </si>
  <si>
    <t>0602010088</t>
  </si>
  <si>
    <t>KL-钢之炼金术师：兄弟会（上） BD碟4</t>
  </si>
  <si>
    <t>0602010089</t>
  </si>
  <si>
    <t>KL-钢之炼金术师：兄弟会（下） BD碟4</t>
  </si>
  <si>
    <t>0602010090</t>
  </si>
  <si>
    <t>KL-钢之炼金术师完整版 BD碟5</t>
  </si>
  <si>
    <t>0602010091</t>
  </si>
  <si>
    <t>KL-钢之炼金术师完整版 BD碟6</t>
  </si>
  <si>
    <t>0602010092</t>
  </si>
  <si>
    <t>KL-星际牛仔 BD碟4</t>
  </si>
  <si>
    <t>Cowboy Bebop</t>
  </si>
  <si>
    <t>0602010093</t>
  </si>
  <si>
    <t>KL-星际牛仔 BD碟3</t>
  </si>
  <si>
    <t>0602010094</t>
  </si>
  <si>
    <t>KL-星际牛仔 BD碟2</t>
  </si>
  <si>
    <t>0602010095</t>
  </si>
  <si>
    <t>KL-星际牛仔 BD碟1</t>
  </si>
  <si>
    <t>0602010096</t>
  </si>
  <si>
    <t>KL-言叶之庭 BD碟1</t>
  </si>
  <si>
    <t>The Garden of Words</t>
  </si>
  <si>
    <t>0602010097</t>
  </si>
  <si>
    <t>KL-狼厅 BD碟1</t>
  </si>
  <si>
    <t>Masterpiece: Wolf.Hall</t>
  </si>
  <si>
    <t>0602010098</t>
  </si>
  <si>
    <t>kl-狼厅 BD碟2</t>
  </si>
  <si>
    <t>0602010099</t>
  </si>
  <si>
    <t>KL-狼厅 BD碟3</t>
  </si>
  <si>
    <t>0602010100</t>
  </si>
  <si>
    <t>KL-李小龙首播集 BD碟1</t>
  </si>
  <si>
    <t>THE BRUCE LEE PREMIERE COLLECTION</t>
  </si>
  <si>
    <t>0602010101</t>
  </si>
  <si>
    <t>KL-李小龙首播集  BD碟2</t>
  </si>
  <si>
    <t>0602010102</t>
  </si>
  <si>
    <t>KL-李小龙首播集 BD碟3</t>
  </si>
  <si>
    <t>0602010103</t>
  </si>
  <si>
    <t>KL-李小龙首播集 BD碟4</t>
  </si>
  <si>
    <t>0602010104</t>
  </si>
  <si>
    <t>蓝卡-虞美人盛开的山坡  D5碟1</t>
  </si>
  <si>
    <t>DVD碟和CD碟</t>
  </si>
  <si>
    <t>0602010105</t>
  </si>
  <si>
    <t>蓝剧-大西洋帝国第5季 D5碟1</t>
  </si>
  <si>
    <t>0602010106</t>
  </si>
  <si>
    <t>蓝卡-辉夜姬物语  D5碟1</t>
  </si>
  <si>
    <t>0602010107</t>
  </si>
  <si>
    <t>蓝卡-辉夜姬物语  D5碟2</t>
  </si>
  <si>
    <t>0602010108</t>
  </si>
  <si>
    <t>蓝影-元气囝仔 D5碟1</t>
  </si>
  <si>
    <t>0602010109</t>
  </si>
  <si>
    <t>蓝影-元气囝仔 D5碟2</t>
  </si>
  <si>
    <t>0602010110</t>
  </si>
  <si>
    <t>蓝影-刑事  D5碟1</t>
  </si>
  <si>
    <t>0602010111</t>
  </si>
  <si>
    <t>蓝影-欢乐满人间第五十周年纪念版 D5碟1</t>
  </si>
  <si>
    <t>0602010112</t>
  </si>
  <si>
    <t>蓝影-猫王:是这样的:特别版 D5碟1</t>
  </si>
  <si>
    <t>0602010113</t>
  </si>
  <si>
    <t>蓝影-海贼王剧场版10：强者天下 D5碟1</t>
  </si>
  <si>
    <t>0602010114</t>
  </si>
  <si>
    <t>蓝影-海贼王剧场版:Z(港) D5碟1</t>
  </si>
  <si>
    <t>0602010115</t>
  </si>
  <si>
    <t>蓝卡-怪物之子 D5碟1</t>
  </si>
  <si>
    <t>0602010116</t>
  </si>
  <si>
    <t>蓝卡-穿越时空的少女 D5碟1</t>
  </si>
  <si>
    <t>0602010117</t>
  </si>
  <si>
    <t>蓝卡-非凡的世界 D5碟1</t>
  </si>
  <si>
    <t>0602010118</t>
  </si>
  <si>
    <t>蓝卡-狼之子雨与雪 D5碟1</t>
  </si>
  <si>
    <t>0602010119</t>
  </si>
  <si>
    <t>蓝卡-夏日大作战 D5碟1</t>
  </si>
  <si>
    <t>0602010120</t>
  </si>
  <si>
    <t>蓝卡-穿越时空的少女 D5碟2</t>
  </si>
  <si>
    <t>0602010121</t>
  </si>
  <si>
    <t>蓝卡-狼之子雨与雪 D5碟2</t>
  </si>
  <si>
    <t>0602010122</t>
  </si>
  <si>
    <t>蓝卡-夏日大作战 D5碟2</t>
  </si>
  <si>
    <t>0602010123</t>
  </si>
  <si>
    <t>蓝卡-守望者收藏版 D5碟1</t>
  </si>
  <si>
    <t>07010001</t>
  </si>
  <si>
    <t>蓝剧-地球百子第3季 4BD</t>
  </si>
  <si>
    <t>The 100 Season 3</t>
  </si>
  <si>
    <t>蓝光电视剧</t>
  </si>
  <si>
    <t>07010002</t>
  </si>
  <si>
    <t>蓝剧-降世神通：科拉传奇 第2季 神灵2BD</t>
  </si>
  <si>
    <t>The Legend of Korra: Book 2, Spirits</t>
  </si>
  <si>
    <t>0701000232</t>
  </si>
  <si>
    <t>蓝剧扫兴者 第一季2BD</t>
  </si>
  <si>
    <t>Killjoys Season 1</t>
  </si>
  <si>
    <t>0701000235</t>
  </si>
  <si>
    <t>蓝剧传教士 第一季3BD</t>
  </si>
  <si>
    <t>Preacher Season 1</t>
  </si>
  <si>
    <t>07010003</t>
  </si>
  <si>
    <t>蓝剧-降世神通：科拉传奇 第3季2BD</t>
  </si>
  <si>
    <t>Legend of Korra: Book Three: Change</t>
  </si>
  <si>
    <t>07010004</t>
  </si>
  <si>
    <t>蓝剧-降世神通：科拉传奇 第4季2BD</t>
  </si>
  <si>
    <t>The Legend of Korra: Book Four: Balance</t>
  </si>
  <si>
    <t>07010005</t>
  </si>
  <si>
    <t>蓝剧-我是僵尸第2季  4BD</t>
  </si>
  <si>
    <t>07010006</t>
  </si>
  <si>
    <t>蓝剧-冰血暴第2季  3BD</t>
  </si>
  <si>
    <t>07010008</t>
  </si>
  <si>
    <t>蓝剧-我是僵尸第2季 4BD</t>
  </si>
  <si>
    <t>07010009</t>
  </si>
  <si>
    <t>蓝剧-黑客军团第1季  2BD</t>
  </si>
  <si>
    <t>07010010</t>
  </si>
  <si>
    <t>蓝剧-黑色孤儿第1季  2BD</t>
  </si>
  <si>
    <t>07010011</t>
  </si>
  <si>
    <t>蓝剧-黑色孤儿第2季  2BD</t>
  </si>
  <si>
    <t>Orphan Black Season 2</t>
  </si>
  <si>
    <t>07010012</t>
  </si>
  <si>
    <t>蓝剧-地球百子第1季 3BD</t>
  </si>
  <si>
    <t>07010013</t>
  </si>
  <si>
    <t>蓝剧-黑色孤儿第3季  2BD</t>
  </si>
  <si>
    <t>07010014</t>
  </si>
  <si>
    <t>蓝剧-硅谷：第2季  2BD</t>
  </si>
  <si>
    <t>07010015</t>
  </si>
  <si>
    <t>蓝剧-黑色孤儿第4季  2BD</t>
  </si>
  <si>
    <t>07010016</t>
  </si>
  <si>
    <t>蓝剧-大西洋帝国第5季  3BD+1DVD</t>
  </si>
  <si>
    <t>07010017</t>
  </si>
  <si>
    <t>蓝剧-尼克斯：第2季  4BD</t>
  </si>
  <si>
    <t>07010018</t>
  </si>
  <si>
    <t>蓝剧-星球大战：义军崛起第1季 2BD</t>
  </si>
  <si>
    <t>07010019</t>
  </si>
  <si>
    <t>蓝剧-蓝光-疑犯追踪1-5季完整版  19BD</t>
  </si>
  <si>
    <t>19</t>
  </si>
  <si>
    <t>0702000006</t>
  </si>
  <si>
    <t>蓝影哈利·波特与魔法石2BD</t>
  </si>
  <si>
    <t>蓝光电影</t>
  </si>
  <si>
    <t>0702000007</t>
  </si>
  <si>
    <t>蓝影哈利·波特与密室2BD</t>
  </si>
  <si>
    <t>Harry Potter and the Chamber of Secrets</t>
  </si>
  <si>
    <t>0702000008</t>
  </si>
  <si>
    <t>蓝影哈利·波特与阿兹卡班的囚徒2BD</t>
  </si>
  <si>
    <t>Harry Potter and the Prisoner of Azkaban</t>
  </si>
  <si>
    <t>0702000009</t>
  </si>
  <si>
    <t>蓝影哈利·波特与火焰杯2BD</t>
  </si>
  <si>
    <t>Harry Potter and the Goblet of Fire</t>
  </si>
  <si>
    <t>0702000010</t>
  </si>
  <si>
    <t>蓝影哈利·波特与凤凰社2BD</t>
  </si>
  <si>
    <t>Harry Potter and the Order of the Phoenix</t>
  </si>
  <si>
    <t>0702000011</t>
  </si>
  <si>
    <t>蓝影哈利·波特与混血王子2B</t>
  </si>
  <si>
    <t>Harry Potter and the Half-Blood Prince</t>
  </si>
  <si>
    <t>0702000012</t>
  </si>
  <si>
    <t>蓝影哈利·与死亡圣器(上)2B</t>
  </si>
  <si>
    <t>Harry Potter and the Deathly Hallows: Part 1</t>
  </si>
  <si>
    <t>0702000013</t>
  </si>
  <si>
    <t>蓝影-哈利·与死亡圣器(下)2BD</t>
  </si>
  <si>
    <t>Harry Potter and the Deathly Hallows: Part 2</t>
  </si>
  <si>
    <t>0702000014</t>
  </si>
  <si>
    <t>蓝影逃亡1BD</t>
  </si>
  <si>
    <t>To Have and Have Not</t>
  </si>
  <si>
    <t>1</t>
  </si>
  <si>
    <t>0702000015</t>
  </si>
  <si>
    <t>蓝影夜长梦多1BD</t>
  </si>
  <si>
    <t>The Big Sleep</t>
  </si>
  <si>
    <t>0702000016</t>
  </si>
  <si>
    <t>蓝影逃狱雪冤1BD</t>
  </si>
  <si>
    <t>Dark Passage</t>
  </si>
  <si>
    <t>0702000017</t>
  </si>
  <si>
    <t>蓝影蚁人1BD+3D</t>
  </si>
  <si>
    <t>Ant-Man</t>
  </si>
  <si>
    <t>0702000018</t>
  </si>
  <si>
    <t>蓝影聚焦1BD+1DVD</t>
  </si>
  <si>
    <t>Spotlight</t>
  </si>
  <si>
    <t>0702000019</t>
  </si>
  <si>
    <t>蓝影天堂电影院1BD</t>
  </si>
  <si>
    <t>Nuovo Cinema Paradiso</t>
  </si>
  <si>
    <t>0702000020</t>
  </si>
  <si>
    <t>蓝影西游记之大圣闹天宫1BD</t>
  </si>
  <si>
    <t>The Monkey King: Havoc In Heaven&amp;#39;s Palace</t>
  </si>
  <si>
    <t>0702000025</t>
  </si>
  <si>
    <t>蓝影爆裂鼓手1BD</t>
  </si>
  <si>
    <t>Whiplash [Blu-ray]</t>
  </si>
  <si>
    <t>0702000026</t>
  </si>
  <si>
    <t>蓝影我们都为比尔着盛装1BD</t>
  </si>
  <si>
    <t>Bill Cunningham New York</t>
  </si>
  <si>
    <t>0702000027</t>
  </si>
  <si>
    <t>蓝影攀登梅鲁峰1BD</t>
  </si>
  <si>
    <t>Meru</t>
  </si>
  <si>
    <t>0702000028</t>
  </si>
  <si>
    <t>蓝影房间1BD</t>
  </si>
  <si>
    <t>Room</t>
  </si>
  <si>
    <t>0702000029</t>
  </si>
  <si>
    <t>蓝影记住1BD</t>
  </si>
  <si>
    <t>Remember</t>
  </si>
  <si>
    <t>0702000030</t>
  </si>
  <si>
    <t>蓝影夜行者1BD+1DVD</t>
  </si>
  <si>
    <t>Nightcrawler</t>
  </si>
  <si>
    <t>0702000031</t>
  </si>
  <si>
    <t>蓝影特朗勃1BD</t>
  </si>
  <si>
    <t>Trumbo</t>
  </si>
  <si>
    <t>0702000032</t>
  </si>
  <si>
    <t>蓝影年轻气盛1BD</t>
  </si>
  <si>
    <t>Youth</t>
  </si>
  <si>
    <t>07020001</t>
  </si>
  <si>
    <t>蓝影-星际迷航：下一代电影收藏4BD</t>
  </si>
  <si>
    <t>Star Trek: The Next Generation Motion Picture Collection</t>
  </si>
  <si>
    <t>07020002</t>
  </si>
  <si>
    <t>蓝影-星际迷航：原初 第1季6BD</t>
  </si>
  <si>
    <t>Star Trek: Original Motion Picture Collection</t>
  </si>
  <si>
    <t>07020003</t>
  </si>
  <si>
    <t>蓝影-遇见你之前1BD+1DVD</t>
  </si>
  <si>
    <t>ME BEFORE YOU</t>
  </si>
  <si>
    <t>07020004</t>
  </si>
  <si>
    <t>蓝影 -一切都会过去：淘儿唱片的浮与沉  1BD</t>
  </si>
  <si>
    <t>All Things Must Pass:The rise and Fall of Tower Records</t>
  </si>
  <si>
    <t>07020005</t>
  </si>
  <si>
    <t>蓝影-猫王:是这样的:特别版  1BD+1DVD</t>
  </si>
  <si>
    <t>07020006</t>
  </si>
  <si>
    <t>蓝影-辛普森一家20周年特辑 2BD</t>
  </si>
  <si>
    <t>07020007</t>
  </si>
  <si>
    <t>蓝影-滚石乐队 完全剥离，豪华限量版亚马逊独家3BD+1SD+1CD</t>
  </si>
  <si>
    <t>otally Stripped Deluxe Limited Edition Amazon Exclusive</t>
  </si>
  <si>
    <t>07020008</t>
  </si>
  <si>
    <t>蓝影-三傻大闹宝莱坞1BD</t>
  </si>
  <si>
    <t>3 idiots</t>
  </si>
  <si>
    <t>07020009</t>
  </si>
  <si>
    <t>蓝影-盖世枭雄1BD</t>
  </si>
  <si>
    <t>Key Largo</t>
  </si>
  <si>
    <t>07020010</t>
  </si>
  <si>
    <t>蓝影-功夫熊猫21BD+2DVD</t>
  </si>
  <si>
    <t>KUNG FU PANDA 2</t>
  </si>
  <si>
    <t>07020011</t>
  </si>
  <si>
    <t>蓝影-功夫熊猫3  1BD+1DVD</t>
  </si>
  <si>
    <t>KUNG FU PANDA 3</t>
  </si>
  <si>
    <t>07020012</t>
  </si>
  <si>
    <t>蓝影-钢铁侠3  1BD</t>
  </si>
  <si>
    <t>07020013</t>
  </si>
  <si>
    <t>蓝影-欢乐满人间第五十周年纪念版  1BD+1DVD</t>
  </si>
  <si>
    <t>07020014</t>
  </si>
  <si>
    <t>蓝影 -银河护卫队  1BD</t>
  </si>
  <si>
    <t>07020015</t>
  </si>
  <si>
    <t>蓝影-元气囝仔 2BD+2DVD</t>
  </si>
  <si>
    <t>07020016</t>
  </si>
  <si>
    <t>蓝影-X战警：金刚狼  6BD</t>
  </si>
  <si>
    <t>07020017</t>
  </si>
  <si>
    <t>蓝影-刑事  1BD+1DVD</t>
  </si>
  <si>
    <t>07020018</t>
  </si>
  <si>
    <t>蓝影-硬核亨利  1BD</t>
  </si>
  <si>
    <t>07020019</t>
  </si>
  <si>
    <t>蓝影-名人音乐会 第二十五周年摇滚名人  2BD</t>
  </si>
  <si>
    <t>THE 25THANNIVERSARY ROCK &amp; ROLL HALL OF FAME CONCERTS</t>
  </si>
  <si>
    <t>07020020</t>
  </si>
  <si>
    <t>蓝影-猫王-埃尔维斯之旅 1BD</t>
  </si>
  <si>
    <t>07020021</t>
  </si>
  <si>
    <t>蓝影-守望者收藏版  3BD+1DVD</t>
  </si>
  <si>
    <t>07020022</t>
  </si>
  <si>
    <t>蓝影-美国不为人知的历史 1BD</t>
  </si>
  <si>
    <t>07020023</t>
  </si>
  <si>
    <t>蓝影-绿野仙踪1BD</t>
  </si>
  <si>
    <t>THE WIZARD OF OZ</t>
  </si>
  <si>
    <t>07020024</t>
  </si>
  <si>
    <t>蓝影-浴血黑帮  2BD</t>
  </si>
  <si>
    <t>07020025</t>
  </si>
  <si>
    <t>蓝影-死亡笔记：完整系列的标准版  5BD</t>
  </si>
  <si>
    <t>07020026</t>
  </si>
  <si>
    <t>蓝影-耐撕侦探1BD+1DVD</t>
  </si>
  <si>
    <t>the nice guys</t>
  </si>
  <si>
    <t>07020027</t>
  </si>
  <si>
    <t>蓝影-好莱坞在维也纳  1BD</t>
  </si>
  <si>
    <t>07020028</t>
  </si>
  <si>
    <t>蓝影-模仿游戏1BD+1DVD</t>
  </si>
  <si>
    <t>THE IMITATION GAME</t>
  </si>
  <si>
    <t>07020029</t>
  </si>
  <si>
    <t>蓝影-奥丽芙.基特里奇 2BD</t>
  </si>
  <si>
    <t>07020030</t>
  </si>
  <si>
    <t>蓝影-金钱怪兽1BD</t>
  </si>
  <si>
    <t>MONEY MONSTER</t>
  </si>
  <si>
    <t>07020031</t>
  </si>
  <si>
    <t>蓝影-杀死一只知更鸟1BD</t>
  </si>
  <si>
    <t>To Kill a Mockingbird</t>
  </si>
  <si>
    <t>07020032</t>
  </si>
  <si>
    <t>蓝影-雷神：黑暗世界  1BD</t>
  </si>
  <si>
    <t>07020033</t>
  </si>
  <si>
    <t>蓝影-美国队长：第一复仇者 1BD</t>
  </si>
  <si>
    <t>07020034</t>
  </si>
  <si>
    <t>蓝影-美国队长：冬日战士  1BD</t>
  </si>
  <si>
    <t>07020035</t>
  </si>
  <si>
    <t>蓝影-雷神  1BD</t>
  </si>
  <si>
    <t>07020036</t>
  </si>
  <si>
    <t>蓝影- 喷火战斗机住在温布利球场 1BD</t>
  </si>
  <si>
    <t>FOO FIGHTERS LIVE AT WEMBLEY STADIUM</t>
  </si>
  <si>
    <t>07020037</t>
  </si>
  <si>
    <t>蓝影-鲁邦三世：卡里奥斯特罗城  1BD</t>
  </si>
  <si>
    <t>07020038</t>
  </si>
  <si>
    <t>蓝影-钢之炼金术师完整版 6BD</t>
  </si>
  <si>
    <t>07020039</t>
  </si>
  <si>
    <t>蓝影-钢之炼金术师：兄弟会（上）  4BD</t>
  </si>
  <si>
    <t>07020040</t>
  </si>
  <si>
    <t>蓝影-钢之炼金术师：兄弟会（下）  4BD</t>
  </si>
  <si>
    <t>07020041</t>
  </si>
  <si>
    <t>蓝影-海贼王剧场版10：强者天下  1BD+1DVD</t>
  </si>
  <si>
    <t>07020042</t>
  </si>
  <si>
    <t>蓝影-控方证人 1BD</t>
  </si>
  <si>
    <t>07020043</t>
  </si>
  <si>
    <t>蓝影-狼厅 3BD</t>
  </si>
  <si>
    <t>07020044</t>
  </si>
  <si>
    <t>蓝影-海贼王剧场版:Z(港) 1BD+1DVD</t>
  </si>
  <si>
    <t>07020045</t>
  </si>
  <si>
    <t>蓝影-李小龙首播集  4BD</t>
  </si>
  <si>
    <t>07020046</t>
  </si>
  <si>
    <t>蓝影-卡罗尔1BD</t>
  </si>
  <si>
    <t>CAROL</t>
  </si>
  <si>
    <t>07020047</t>
  </si>
  <si>
    <t>蓝影-无人生还 2BD</t>
  </si>
  <si>
    <t>AND THEN THERE WERE NONE</t>
  </si>
  <si>
    <t>07020048</t>
  </si>
  <si>
    <t>蓝影-《悲惨世界》:25周年音乐会 1BD</t>
  </si>
  <si>
    <t>0703000005</t>
  </si>
  <si>
    <t>蓝卡-萤火虫之墓1BD+1DVD  WM</t>
  </si>
  <si>
    <t>Grave of the Fireflies</t>
  </si>
  <si>
    <t>1BD+1DVD</t>
  </si>
  <si>
    <t>蓝光卡通</t>
  </si>
  <si>
    <t>0703000021</t>
  </si>
  <si>
    <t>蓝卡火影忍者剧场版：终章1BD+1DVD</t>
  </si>
  <si>
    <t>THE LAST -NARUTO THE MOVIE</t>
  </si>
  <si>
    <t>0703000022</t>
  </si>
  <si>
    <t>蓝卡火影忍者剧场版：血狱 劇場版1BD</t>
  </si>
  <si>
    <t>Naruto Shippuden The Movie: Blood Prison</t>
  </si>
  <si>
    <t>0703000023</t>
  </si>
  <si>
    <t>蓝卡玛丽和马克斯1BD</t>
  </si>
  <si>
    <t>mary &amp; max</t>
  </si>
  <si>
    <t>0703000024</t>
  </si>
  <si>
    <t>蓝卡愤怒的小鸟1BD+1DVD</t>
  </si>
  <si>
    <t>Angry Birds</t>
  </si>
  <si>
    <t>0703000033</t>
  </si>
  <si>
    <t>蓝卡新世纪福音士3.33你可以（不）重做1BD</t>
  </si>
  <si>
    <t>Evangelion 3.33: You Can (Not) Redo</t>
  </si>
  <si>
    <t>0703000034</t>
  </si>
  <si>
    <t>蓝卡海贼王剧场版8：沙漠公主与海盗们1BD</t>
  </si>
  <si>
    <t>ONE PIECE</t>
  </si>
  <si>
    <t>07030001</t>
  </si>
  <si>
    <t>蓝卡-虞美人盛开的山坡  1BD+1DVD</t>
  </si>
  <si>
    <t>07030002</t>
  </si>
  <si>
    <t>蓝卡-辉夜姬物语  1BD+2DVD</t>
  </si>
  <si>
    <t>0703000233</t>
  </si>
  <si>
    <t>蓝卡美食总动员1BD+1DVD</t>
  </si>
  <si>
    <t>Ratatouille</t>
  </si>
  <si>
    <t>07030003</t>
  </si>
  <si>
    <t>蓝卡-海洋之歌1BD+1DVD</t>
  </si>
  <si>
    <t>Song of the Sea</t>
  </si>
  <si>
    <t>07030004</t>
  </si>
  <si>
    <t>蓝卡-怪物之子 1BD+1DVD</t>
  </si>
  <si>
    <t>07030005</t>
  </si>
  <si>
    <t>蓝卡-穿越时空的少女  1BD+2DVD</t>
  </si>
  <si>
    <t>07030006</t>
  </si>
  <si>
    <t>蓝卡-非凡的世界  1BD+1DVD</t>
  </si>
  <si>
    <t>07030007</t>
  </si>
  <si>
    <t>蓝卡-狼之子雨与雪  1BD+2DVD</t>
  </si>
  <si>
    <t>07030008</t>
  </si>
  <si>
    <t>蓝卡-夏日大作战  1BD+2DVD</t>
  </si>
  <si>
    <t>SUMMER WARS</t>
  </si>
  <si>
    <t>07030009</t>
  </si>
  <si>
    <t>蓝卡-星际牛仔  4BD</t>
  </si>
  <si>
    <t>07030010</t>
  </si>
  <si>
    <t>蓝卡-言叶之庭 1BD</t>
  </si>
  <si>
    <t>07030011</t>
  </si>
  <si>
    <t>蓝卡-凉宫春日的消失  1BD+2DVD</t>
  </si>
  <si>
    <t>The Disappearance of HARUHI SUZUMIYA</t>
  </si>
  <si>
    <t>0704000001</t>
  </si>
  <si>
    <t>S-内识心理学</t>
  </si>
  <si>
    <t>understanding psychology</t>
  </si>
  <si>
    <t>书本</t>
  </si>
  <si>
    <t>本</t>
  </si>
  <si>
    <t>0704000002</t>
  </si>
  <si>
    <t>S-项目评价</t>
  </si>
  <si>
    <t>Program evaluation</t>
  </si>
  <si>
    <t>0704000003</t>
  </si>
  <si>
    <t>S-人格理论</t>
  </si>
  <si>
    <t>Theory of Personality</t>
  </si>
  <si>
    <t>0704000004</t>
  </si>
  <si>
    <t>S-电器查询</t>
  </si>
  <si>
    <t>FE Electrical and copputer review manual</t>
  </si>
  <si>
    <t>0704000035</t>
  </si>
  <si>
    <t>S-商业：一个不断变化的世界</t>
  </si>
  <si>
    <t>Business a changing world</t>
  </si>
  <si>
    <t>0704000036</t>
  </si>
  <si>
    <t>S-我们的人民</t>
  </si>
  <si>
    <t>We The People</t>
  </si>
  <si>
    <t>07040001</t>
  </si>
  <si>
    <t>S-恐怖故事（3本一套）</t>
  </si>
  <si>
    <t>SCARY STORIES to Tell in the Dark/SCARY STORIES More Tales to Chill Your Bones/MORE SCARY STORIES to</t>
  </si>
  <si>
    <t>07040002</t>
  </si>
  <si>
    <t>S-定量技术分析</t>
  </si>
  <si>
    <t>QUANTITATIVE TECHNICAL ANALYSIS(Bandy)</t>
  </si>
  <si>
    <t>0704000293</t>
  </si>
  <si>
    <t>S-环境经济学</t>
  </si>
  <si>
    <t>FINANCINGEDUCATIONINACLINAFEOF.CHANGE</t>
  </si>
  <si>
    <t>07040003</t>
  </si>
  <si>
    <t>S-公共演讲的艺术</t>
  </si>
  <si>
    <t>THE ART OF PUBLIC SPEAKING(LUCAS)</t>
  </si>
  <si>
    <t>07040004</t>
  </si>
  <si>
    <t>S-媒体伦理</t>
  </si>
  <si>
    <t>media ethics (ISSUES &amp; CASES)</t>
  </si>
  <si>
    <t>07040005</t>
  </si>
  <si>
    <t>S-有效的小组讨论</t>
  </si>
  <si>
    <t>Effective Group DISCUSSION(Theory and Practice</t>
  </si>
  <si>
    <t>07040006</t>
  </si>
  <si>
    <t>S-大众传媒法</t>
  </si>
  <si>
    <t>MASS MEDIA LAW</t>
  </si>
  <si>
    <t>07040007</t>
  </si>
  <si>
    <t>S-行为研究方法</t>
  </si>
  <si>
    <t>Methods in Behavioral Research</t>
  </si>
  <si>
    <t>07040008</t>
  </si>
  <si>
    <t>S-谈判精要</t>
  </si>
  <si>
    <t>ESSENTIALS</t>
  </si>
  <si>
    <t>07040009</t>
  </si>
  <si>
    <t>S-合作、协商和团队合作</t>
  </si>
  <si>
    <t>COLLABORATION,CONSULTATION,AND TEAMWORK for Students with Special Needs (SEVENTH EDITION)</t>
  </si>
  <si>
    <t>07040010</t>
  </si>
  <si>
    <t>S-管理技能养成</t>
  </si>
  <si>
    <t>Developing Management Skills</t>
  </si>
  <si>
    <t>07040011</t>
  </si>
  <si>
    <t>S-实现改变</t>
  </si>
  <si>
    <t>IMPLEMENTING CHANGE</t>
  </si>
  <si>
    <t>07040012</t>
  </si>
  <si>
    <t>S-实践研究</t>
  </si>
  <si>
    <t>PRACTICAL RESEARCH</t>
  </si>
  <si>
    <t>07040013</t>
  </si>
  <si>
    <t>S-校园法律</t>
  </si>
  <si>
    <t>SCHOOL LAW AND THE PUBLIC SCHOOLS</t>
  </si>
  <si>
    <t>07040014</t>
  </si>
  <si>
    <t>S-伦理护理</t>
  </si>
  <si>
    <t>ETHICAL,LEGAL,AND PROFESSIONAL ISSUES IN COUNSELING</t>
  </si>
  <si>
    <t>07040015</t>
  </si>
  <si>
    <t>S-心理学</t>
  </si>
  <si>
    <t>How to Think Straight About PSYCHOLOGY</t>
  </si>
  <si>
    <t>07040016</t>
  </si>
  <si>
    <t>S-四十项心理学的研究 821</t>
  </si>
  <si>
    <t>FORTY STUDIES THAT CHANGED PSYCHOLOGY</t>
  </si>
  <si>
    <t>07040017</t>
  </si>
  <si>
    <t>S-实习手册</t>
  </si>
  <si>
    <t>The Internship,Practicum,and Field Placement Handbook(A GUIDE FOR THE HELPING PROFESSIONS)</t>
  </si>
  <si>
    <t>07040018</t>
  </si>
  <si>
    <t>S-明了和优雅风格的教训</t>
  </si>
  <si>
    <t>Style Lessons in Clarity and Grace</t>
  </si>
  <si>
    <t>07040019</t>
  </si>
  <si>
    <t>S-美国药疗保健</t>
  </si>
  <si>
    <t>Jonas &amp; Kovner s Health Care Delivery in the United States</t>
  </si>
  <si>
    <t>07040020</t>
  </si>
  <si>
    <t>S-硕士考试指南</t>
  </si>
  <si>
    <t>SOCIAL WORK ASWB MASTERS EXAM GUIDE</t>
  </si>
  <si>
    <t>07040021</t>
  </si>
  <si>
    <t>S-面试技巧</t>
  </si>
  <si>
    <t>INTERVIEWING FOR SOLUTIONS</t>
  </si>
  <si>
    <t>07040022</t>
  </si>
  <si>
    <t>S-麦克的学习技巧</t>
  </si>
  <si>
    <t>Mckeachie s TEACHING TIPS</t>
  </si>
  <si>
    <t>07040023</t>
  </si>
  <si>
    <t>S-医生的护理实践</t>
  </si>
  <si>
    <t>The Doctor of Nursing Practice</t>
  </si>
  <si>
    <t>07040024</t>
  </si>
  <si>
    <t>S-社会精神</t>
  </si>
  <si>
    <t>The Social Worker and Psychotropic Medication</t>
  </si>
  <si>
    <t>07040025</t>
  </si>
  <si>
    <t>S-临床评估工作簿</t>
  </si>
  <si>
    <t>THE CLINICAL ASSESSMENT WORKBOOK(BALANCING STRENGTHS AND DIFFERENTIAL DIAGNOSIS)</t>
  </si>
  <si>
    <t>07040026</t>
  </si>
  <si>
    <t>S-团体咨询</t>
  </si>
  <si>
    <t>Group counseling</t>
  </si>
  <si>
    <t>07040027</t>
  </si>
  <si>
    <t>S-小屁孩日记（9本一套）</t>
  </si>
  <si>
    <t>Diary of a Wimpy Kid(KINNEY)（1-9）</t>
  </si>
  <si>
    <t>07040028</t>
  </si>
  <si>
    <t>S-上诉辩护</t>
  </si>
  <si>
    <t>A PRACTICAL GUIDE TO APPELLATE ADVOCACY</t>
  </si>
  <si>
    <t>07040029</t>
  </si>
  <si>
    <t>S-法律研究</t>
  </si>
  <si>
    <t>Researching  the law</t>
  </si>
  <si>
    <t>07040030</t>
  </si>
  <si>
    <t>S-法律写作和分析</t>
  </si>
  <si>
    <t>Legal Writing and Analysis</t>
  </si>
  <si>
    <t>07040031</t>
  </si>
  <si>
    <t>S-电子和计算机考试学习指南</t>
  </si>
  <si>
    <t>Study Guide for Fundamentals of Engineering(FE) Electrical &amp; Computer CBT Exam</t>
  </si>
  <si>
    <t>07040032</t>
  </si>
  <si>
    <t>S-民事诉讼</t>
  </si>
  <si>
    <t>FE CIVIL PRACTICE PROBLEMS</t>
  </si>
  <si>
    <t>07040033</t>
  </si>
  <si>
    <t>S-机械实践</t>
  </si>
  <si>
    <t>FE MECHANICAL PRACTICE PROBLEMS</t>
  </si>
  <si>
    <t>07040034</t>
  </si>
  <si>
    <t>S-程序员考试</t>
  </si>
  <si>
    <t>Colders  Desk Reference for Diagnoses(ICD-10-CM)</t>
  </si>
  <si>
    <t>07040027-1</t>
  </si>
  <si>
    <r>
      <t>S-小屁孩日记（</t>
    </r>
    <r>
      <rPr>
        <sz val="12"/>
        <rFont val="宋体"/>
        <family val="3"/>
        <charset val="134"/>
      </rPr>
      <t>1/</t>
    </r>
    <r>
      <rPr>
        <sz val="12"/>
        <rFont val="宋体"/>
        <family val="3"/>
        <charset val="134"/>
      </rPr>
      <t>9本一套）</t>
    </r>
  </si>
  <si>
    <t>Diary of a Wimpy Kid(KINNEY)（1）</t>
  </si>
  <si>
    <t>07040027-2</t>
  </si>
  <si>
    <r>
      <t>S-小屁孩日记（2/</t>
    </r>
    <r>
      <rPr>
        <sz val="12"/>
        <rFont val="宋体"/>
        <family val="3"/>
        <charset val="134"/>
      </rPr>
      <t>9本一套）</t>
    </r>
  </si>
  <si>
    <t>Diary of a Wimpy Kid(KINNEY)（2）</t>
  </si>
  <si>
    <t>07040027-3</t>
  </si>
  <si>
    <r>
      <t>S-小屁孩日记（3/</t>
    </r>
    <r>
      <rPr>
        <sz val="12"/>
        <rFont val="宋体"/>
        <family val="3"/>
        <charset val="134"/>
      </rPr>
      <t>9本一套）</t>
    </r>
  </si>
  <si>
    <t>Diary of a Wimpy Kid(KINNEY)（3）</t>
  </si>
  <si>
    <t>07040027-4</t>
  </si>
  <si>
    <r>
      <t>S-小屁孩日记（4/</t>
    </r>
    <r>
      <rPr>
        <sz val="12"/>
        <rFont val="宋体"/>
        <family val="3"/>
        <charset val="134"/>
      </rPr>
      <t>9本一套）</t>
    </r>
  </si>
  <si>
    <t>Diary of a Wimpy Kid(KINNEY)（4）</t>
  </si>
  <si>
    <t>07040027-5</t>
  </si>
  <si>
    <r>
      <t>S-小屁孩日记（5/</t>
    </r>
    <r>
      <rPr>
        <sz val="12"/>
        <rFont val="宋体"/>
        <family val="3"/>
        <charset val="134"/>
      </rPr>
      <t>9本一套）</t>
    </r>
  </si>
  <si>
    <t>Diary of a Wimpy Kid(KINNEY)（5）</t>
  </si>
  <si>
    <t>07040027-6</t>
  </si>
  <si>
    <r>
      <t>S-小屁孩日记（6/</t>
    </r>
    <r>
      <rPr>
        <sz val="12"/>
        <rFont val="宋体"/>
        <family val="3"/>
        <charset val="134"/>
      </rPr>
      <t>9本一套）</t>
    </r>
  </si>
  <si>
    <t>Diary of a Wimpy Kid(KINNEY)（6）</t>
  </si>
  <si>
    <t>07040027-7</t>
  </si>
  <si>
    <r>
      <t>S-小屁孩日记（7/</t>
    </r>
    <r>
      <rPr>
        <sz val="12"/>
        <rFont val="宋体"/>
        <family val="3"/>
        <charset val="134"/>
      </rPr>
      <t>9本一套）</t>
    </r>
  </si>
  <si>
    <t>Diary of a Wimpy Kid(KINNEY)（7）</t>
  </si>
  <si>
    <t>07040027-8</t>
  </si>
  <si>
    <r>
      <t>S-小屁孩日记（8/</t>
    </r>
    <r>
      <rPr>
        <sz val="12"/>
        <rFont val="宋体"/>
        <family val="3"/>
        <charset val="134"/>
      </rPr>
      <t>9本一套）</t>
    </r>
  </si>
  <si>
    <t>Diary of a Wimpy Kid(KINNEY)（8）</t>
  </si>
  <si>
    <t>07040027-9</t>
  </si>
  <si>
    <r>
      <t>S-小屁孩日记（9/</t>
    </r>
    <r>
      <rPr>
        <sz val="12"/>
        <rFont val="宋体"/>
        <family val="3"/>
        <charset val="134"/>
      </rPr>
      <t>9本一套）</t>
    </r>
  </si>
  <si>
    <t>Diary of a Wimpy Kid(KINNEY)（9）</t>
  </si>
  <si>
    <t>裕丰光碟专用纸箱</t>
  </si>
  <si>
    <t>包装物料</t>
  </si>
  <si>
    <r>
      <t>e</t>
    </r>
    <r>
      <rPr>
        <sz val="12"/>
        <rFont val="宋体"/>
        <family val="3"/>
        <charset val="134"/>
      </rPr>
      <t>ssential research methods for social work</t>
    </r>
  </si>
  <si>
    <r>
      <t>蓝光瑞壳和莫蒂第</t>
    </r>
    <r>
      <rPr>
        <sz val="12"/>
        <rFont val="宋体"/>
        <family val="3"/>
        <charset val="134"/>
      </rPr>
      <t>1季1BD</t>
    </r>
  </si>
  <si>
    <r>
      <t>0</t>
    </r>
    <r>
      <rPr>
        <sz val="12"/>
        <rFont val="宋体"/>
        <family val="3"/>
        <charset val="134"/>
      </rPr>
      <t>701000349</t>
    </r>
  </si>
  <si>
    <t>奥丽芙.基特里奇2BD</t>
  </si>
  <si>
    <t>Olive Kitteridge [blu-ray] Digita</t>
  </si>
  <si>
    <r>
      <t>0</t>
    </r>
    <r>
      <rPr>
        <sz val="12"/>
        <rFont val="宋体"/>
        <family val="3"/>
        <charset val="134"/>
      </rPr>
      <t>703000344</t>
    </r>
  </si>
  <si>
    <t>瑞奇与叮当</t>
  </si>
  <si>
    <t>Ratchet &amp; Clank</t>
  </si>
  <si>
    <t>我们都为比尔着盛装</t>
  </si>
  <si>
    <t xml:space="preserve"> Bill Cunningham New York</t>
  </si>
  <si>
    <t>0007050305</t>
  </si>
  <si>
    <t>滚石乐队15CD</t>
  </si>
  <si>
    <t>0702000350</t>
  </si>
  <si>
    <t>星际迷航3：超越星辰</t>
  </si>
  <si>
    <t>0701000355</t>
  </si>
  <si>
    <r>
      <t>贝茨旅馆第四季2</t>
    </r>
    <r>
      <rPr>
        <sz val="10"/>
        <rFont val="宋体"/>
        <family val="3"/>
        <charset val="134"/>
      </rPr>
      <t>BD</t>
    </r>
  </si>
  <si>
    <t>0704000366</t>
  </si>
  <si>
    <t>课程指南</t>
  </si>
  <si>
    <t>0704000368</t>
  </si>
  <si>
    <t>国际业务：全球化的挑战</t>
  </si>
  <si>
    <t>内部编号</t>
    <phoneticPr fontId="3" type="noConversion"/>
  </si>
  <si>
    <t>SKU</t>
    <phoneticPr fontId="3" type="noConversion"/>
  </si>
  <si>
    <t>日期</t>
  </si>
  <si>
    <t>单号</t>
  </si>
  <si>
    <t>收入数量</t>
  </si>
  <si>
    <t>发出数量</t>
  </si>
  <si>
    <t>期初数量</t>
  </si>
  <si>
    <t>S-小屁孩日记（1/9本一套）</t>
  </si>
  <si>
    <t>S-小屁孩日记（2/9本一套）</t>
  </si>
  <si>
    <t>S-小屁孩日记（3/9本一套）</t>
  </si>
  <si>
    <t>S-小屁孩日记（4/9本一套）</t>
  </si>
  <si>
    <t>S-小屁孩日记（5/9本一套）</t>
  </si>
  <si>
    <t>S-小屁孩日记（6/9本一套）</t>
  </si>
  <si>
    <t>S-小屁孩日记（7/9本一套）</t>
  </si>
  <si>
    <t>S-小屁孩日记（8/9本一套）</t>
  </si>
  <si>
    <t>S-小屁孩日记（9/9本一套）</t>
  </si>
  <si>
    <t>1080047</t>
  </si>
  <si>
    <t>10Y0049</t>
  </si>
  <si>
    <t>10Y0041</t>
  </si>
  <si>
    <t>0000000027</t>
  </si>
  <si>
    <t>0000000028</t>
  </si>
  <si>
    <t>1080052</t>
  </si>
  <si>
    <t>1080049</t>
  </si>
  <si>
    <t>1080050</t>
  </si>
  <si>
    <t>‘0000000003</t>
  </si>
  <si>
    <t>蓝光瑞壳和莫蒂第1季1BD</t>
  </si>
  <si>
    <t>1080051</t>
  </si>
  <si>
    <t>10Y0055</t>
  </si>
  <si>
    <t>10Y0054</t>
  </si>
  <si>
    <t>10Y0056</t>
  </si>
  <si>
    <t>1080055</t>
  </si>
  <si>
    <t>1080054</t>
  </si>
  <si>
    <t>0703000344</t>
  </si>
  <si>
    <t>1080065</t>
  </si>
  <si>
    <t>1080060</t>
  </si>
  <si>
    <t>1080062</t>
  </si>
  <si>
    <t>1080061</t>
  </si>
  <si>
    <t>10Y0058</t>
  </si>
  <si>
    <t>0000000012</t>
  </si>
  <si>
    <t>10Y0057</t>
  </si>
  <si>
    <t>0701000349</t>
  </si>
  <si>
    <t>0000000042</t>
  </si>
  <si>
    <t>1180074</t>
  </si>
  <si>
    <t>11Y0065</t>
  </si>
  <si>
    <t>1180075</t>
  </si>
  <si>
    <t>11Y0064</t>
  </si>
  <si>
    <t>2016-11-01</t>
  </si>
  <si>
    <t>11Y0061</t>
  </si>
  <si>
    <t>1080067</t>
  </si>
  <si>
    <t>10Y0059</t>
  </si>
  <si>
    <t>0000000040</t>
  </si>
  <si>
    <t>0000000038</t>
  </si>
  <si>
    <t>0000000013</t>
  </si>
  <si>
    <t>1080071</t>
  </si>
  <si>
    <t>10Y0060</t>
  </si>
  <si>
    <t>0000000039</t>
  </si>
  <si>
    <t>1080068</t>
  </si>
  <si>
    <t>1080069</t>
  </si>
  <si>
    <t>11Y0063</t>
  </si>
  <si>
    <t>0000000041</t>
  </si>
  <si>
    <t>1180073</t>
  </si>
  <si>
    <t>1180072</t>
  </si>
  <si>
    <t>11Y0062</t>
  </si>
  <si>
    <t>1180080</t>
  </si>
  <si>
    <t>1180083</t>
  </si>
  <si>
    <t>1180086</t>
  </si>
  <si>
    <t>1180077</t>
  </si>
  <si>
    <t>11Y0066</t>
  </si>
  <si>
    <t>0000000007</t>
  </si>
  <si>
    <t>0000000044</t>
  </si>
  <si>
    <t>0000000043</t>
  </si>
  <si>
    <t>1180088</t>
  </si>
  <si>
    <t>11Y0070</t>
  </si>
  <si>
    <t>00000000049</t>
  </si>
  <si>
    <t>1180089</t>
  </si>
  <si>
    <t>1180087</t>
  </si>
  <si>
    <t>11Y0068</t>
  </si>
  <si>
    <t>0000000048</t>
  </si>
  <si>
    <t>0000000047</t>
  </si>
  <si>
    <t>1180090</t>
  </si>
  <si>
    <t>1180092</t>
  </si>
  <si>
    <t>1180094</t>
  </si>
  <si>
    <t>贝茨旅馆第四季2BD</t>
  </si>
  <si>
    <t>0000000051</t>
  </si>
  <si>
    <t>0000000014</t>
  </si>
  <si>
    <t>1180093</t>
  </si>
  <si>
    <t>2016-11-04</t>
  </si>
  <si>
    <t>11Y0071</t>
  </si>
  <si>
    <r>
      <t>1</t>
    </r>
    <r>
      <rPr>
        <sz val="12"/>
        <rFont val="宋体"/>
        <family val="3"/>
        <charset val="134"/>
      </rPr>
      <t>1Y0073</t>
    </r>
  </si>
  <si>
    <r>
      <t>1</t>
    </r>
    <r>
      <rPr>
        <sz val="12"/>
        <rFont val="宋体"/>
        <family val="3"/>
        <charset val="134"/>
      </rPr>
      <t>1Y0072</t>
    </r>
  </si>
  <si>
    <r>
      <t>0</t>
    </r>
    <r>
      <rPr>
        <sz val="12"/>
        <rFont val="宋体"/>
        <family val="3"/>
        <charset val="134"/>
      </rPr>
      <t>000000015</t>
    </r>
  </si>
  <si>
    <t>公司或部门</t>
    <phoneticPr fontId="3" type="noConversion"/>
  </si>
  <si>
    <t>社会调查</t>
    <phoneticPr fontId="3" type="noConversion"/>
  </si>
  <si>
    <t>Cells(X, 12).Formula = "=SUMIF($D:$D,D" &amp; X &amp; ",$I:$I)+SUMIF($D:$D,D" &amp; X &amp; ",$J:$J)-SUMIF($D:$D,D" &amp; X &amp; ",$K:$K)"</t>
  </si>
  <si>
    <t>即使下面公式也出现一些莫名其秒的问题，如开始是填充第11列，后改到第12例，但11例还在填充。如把公式都全部删除了，还是可以有效果，奇怪了；</t>
    <phoneticPr fontId="3" type="noConversion"/>
  </si>
  <si>
    <t>1 单元格变化时的事件Worksheet_Change来自动填充公式，对于vlookup函数不是很好用；</t>
    <phoneticPr fontId="3" type="noConversion"/>
  </si>
  <si>
    <t>2 单元格变化时的事件Worksheet_Change来自动跳过公式也不是很好用；</t>
    <phoneticPr fontId="3" type="noConversion"/>
  </si>
  <si>
    <t>3 条件求和特别慢；</t>
    <phoneticPr fontId="3" type="noConversion"/>
  </si>
  <si>
    <t>(空白)</t>
  </si>
  <si>
    <t>总计</t>
  </si>
  <si>
    <t>值</t>
  </si>
  <si>
    <t>内部编号</t>
  </si>
  <si>
    <t>SKU</t>
  </si>
  <si>
    <t>4 公式备份</t>
    <phoneticPr fontId="3" type="noConversion"/>
  </si>
  <si>
    <t>结存(公式）</t>
    <phoneticPr fontId="3" type="noConversion"/>
  </si>
  <si>
    <t>结存(引用）</t>
    <phoneticPr fontId="3" type="noConversion"/>
  </si>
  <si>
    <t>结存(比较）</t>
    <phoneticPr fontId="3" type="noConversion"/>
  </si>
  <si>
    <t>结存(透视表)</t>
  </si>
  <si>
    <t>结存(公式)</t>
  </si>
  <si>
    <t>结存差异</t>
  </si>
  <si>
    <t>备注</t>
    <phoneticPr fontId="3" type="noConversion"/>
  </si>
  <si>
    <t>结存数量</t>
  </si>
  <si>
    <t>实点</t>
  </si>
  <si>
    <t>5 打印页面</t>
    <phoneticPr fontId="3" type="noConversion"/>
  </si>
  <si>
    <t>5.1 有排序（透视表的排序不是很灵活）；</t>
    <phoneticPr fontId="3" type="noConversion"/>
  </si>
  <si>
    <t>5.2 加了一列（实点）；</t>
    <phoneticPr fontId="3" type="noConversion"/>
  </si>
  <si>
    <t>5.3 自然有各种格式化；</t>
    <phoneticPr fontId="3" type="noConversion"/>
  </si>
  <si>
    <t>6 VBA过程也可以添加到快速启动栏</t>
    <phoneticPr fontId="3" type="noConversion"/>
  </si>
  <si>
    <t>Excel选项→自定义→宏→选择一个过程；</t>
    <phoneticPr fontId="3" type="noConversion"/>
  </si>
  <si>
    <t>变通的办法是把历史数据的公式复制为值，只保留最近两天的数据的公式；</t>
    <phoneticPr fontId="3" type="noConversion"/>
  </si>
  <si>
    <t>7 自定义工具栏存在的问题</t>
    <phoneticPr fontId="3" type="noConversion"/>
  </si>
  <si>
    <t>如果是在A路径下添加的工作，复制到B路径后，发现菜单下关连的过程运行不了，需要重新更新一下工具（也就是运行一下添加菜单的过程）；</t>
    <phoneticPr fontId="3" type="noConversion"/>
  </si>
  <si>
    <t>\</t>
  </si>
  <si>
    <t>\</t>
    <phoneticPr fontId="3" type="noConversion"/>
  </si>
  <si>
    <t>CD成品</t>
    <phoneticPr fontId="3" type="noConversion"/>
  </si>
  <si>
    <t>编号</t>
  </si>
  <si>
    <t>目录</t>
  </si>
  <si>
    <t>结存</t>
  </si>
  <si>
    <t>明细</t>
  </si>
  <si>
    <t>基础资料</t>
  </si>
  <si>
    <t>说明</t>
  </si>
  <si>
    <t>使用公式和函数</t>
  </si>
  <si>
    <t>打印结存</t>
  </si>
  <si>
    <t>水平并排/垂直并排显示透视字段：选项→选项→布局；</t>
  </si>
  <si>
    <t>字段名称如何去除“求和项：”</t>
  </si>
  <si>
    <t>在“编辑栏”中删除“求和项”，再在文本的最后输入一个空格；</t>
  </si>
  <si>
    <t>8 数据透视表</t>
    <phoneticPr fontId="3" type="noConversion"/>
  </si>
  <si>
    <t xml:space="preserve">期初数量 </t>
  </si>
  <si>
    <t xml:space="preserve">        </t>
    <phoneticPr fontId="3" type="noConversion"/>
  </si>
  <si>
    <t>ActiveSheet.PivotTables("数据透视表1").DataPivotField.PivotItems("求和项:期初数量").Caption = "期初数量 "</t>
    <phoneticPr fontId="3" type="noConversion"/>
  </si>
  <si>
    <t xml:space="preserve">收入数量 </t>
  </si>
  <si>
    <t xml:space="preserve">发出数量 </t>
  </si>
  <si>
    <t>9 自动刷新代码</t>
    <phoneticPr fontId="3" type="noConversion"/>
  </si>
  <si>
    <t>ThisWorkbook.RefreshAll</t>
    <phoneticPr fontId="3" type="noConversion"/>
  </si>
  <si>
    <t>10 刷新透视表后保持原来的和格式</t>
    <phoneticPr fontId="3" type="noConversion"/>
  </si>
  <si>
    <t>选项→布局和格式→勾选“更新时保留单元格格式”和去掉勾选“更新时自动调整列宽”；</t>
    <phoneticPr fontId="3" type="noConversion"/>
  </si>
  <si>
    <t>11 多重合并数据透视表</t>
    <phoneticPr fontId="3" type="noConversion"/>
  </si>
  <si>
    <t>1 在2003版的数据透视表向导中可以添加多重源数据，如果是2007版则选要调出此向导：</t>
    <phoneticPr fontId="3" type="noConversion"/>
  </si>
  <si>
    <t>快速访问工具栏→不在功能区中的命令→数据透视表和数据透视图向导→添加→确定</t>
  </si>
  <si>
    <t>2 按向导操作即可选择多重数据源；</t>
    <phoneticPr fontId="3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</si>
</sst>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宋体"/>
      <family val="2"/>
      <charset val="134"/>
      <scheme val="minor"/>
    </font>
    <font>
      <sz val="18"/>
      <name val="Arial"/>
      <family val="2"/>
    </font>
    <font>
      <sz val="10"/>
      <name val="Arial"/>
      <family val="2"/>
    </font>
    <font>
      <sz val="9"/>
      <name val="宋体"/>
      <family val="2"/>
      <charset val="134"/>
      <scheme val="minor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sz val="10"/>
      <name val="宋体"/>
      <family val="3"/>
      <charset val="134"/>
    </font>
    <font>
      <sz val="12"/>
      <color rgb="FF0070C0"/>
      <name val="宋体"/>
      <family val="3"/>
      <charset val="134"/>
    </font>
    <font>
      <sz val="12"/>
      <color rgb="FF00B050"/>
      <name val="宋体"/>
      <family val="3"/>
      <charset val="134"/>
    </font>
    <font>
      <sz val="11"/>
      <color theme="3" tint="0.39997558519241921"/>
      <name val="宋体"/>
      <family val="3"/>
      <charset val="134"/>
      <scheme val="minor"/>
    </font>
    <font>
      <sz val="11"/>
      <color theme="3" tint="0.39994506668294322"/>
      <name val="宋体"/>
      <family val="2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sz val="12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>
      <alignment vertical="center"/>
    </xf>
    <xf numFmtId="0" fontId="1" fillId="0" borderId="0"/>
    <xf numFmtId="0" fontId="2" fillId="0" borderId="0"/>
    <xf numFmtId="0" fontId="5" fillId="0" borderId="0">
      <alignment vertical="center"/>
    </xf>
    <xf numFmtId="0" fontId="4" fillId="0" borderId="0"/>
    <xf numFmtId="0" fontId="4" fillId="0" borderId="0"/>
    <xf numFmtId="0" fontId="5" fillId="0" borderId="0">
      <alignment vertical="center"/>
    </xf>
    <xf numFmtId="0" fontId="4" fillId="0" borderId="0"/>
    <xf numFmtId="0" fontId="4" fillId="0" borderId="0"/>
    <xf numFmtId="0" fontId="5" fillId="0" borderId="0">
      <alignment vertical="center"/>
    </xf>
    <xf numFmtId="0" fontId="4" fillId="0" borderId="0"/>
    <xf numFmtId="0" fontId="4" fillId="0" borderId="0"/>
    <xf numFmtId="0" fontId="16" fillId="0" borderId="0" applyNumberFormat="0" applyFill="0" applyBorder="0" applyAlignment="0" applyProtection="0">
      <alignment vertical="top"/>
      <protection locked="0"/>
    </xf>
  </cellStyleXfs>
  <cellXfs count="43">
    <xf numFmtId="0" fontId="0" fillId="0" borderId="0" xfId="0">
      <alignment vertical="center"/>
    </xf>
    <xf numFmtId="49" fontId="5" fillId="0" borderId="1" xfId="3" applyNumberFormat="1" applyFont="1" applyFill="1" applyBorder="1" applyAlignment="1">
      <alignment horizontal="left" vertical="center"/>
    </xf>
    <xf numFmtId="0" fontId="6" fillId="0" borderId="1" xfId="3" quotePrefix="1" applyNumberFormat="1" applyFont="1" applyFill="1" applyBorder="1" applyAlignment="1">
      <alignment horizontal="center" vertical="center"/>
    </xf>
    <xf numFmtId="0" fontId="6" fillId="0" borderId="1" xfId="3" quotePrefix="1" applyNumberFormat="1" applyFont="1" applyFill="1" applyBorder="1" applyAlignment="1">
      <alignment horizontal="left" vertical="center"/>
    </xf>
    <xf numFmtId="0" fontId="6" fillId="0" borderId="1" xfId="3" applyNumberFormat="1" applyFont="1" applyFill="1" applyBorder="1" applyAlignment="1">
      <alignment horizontal="center" vertical="center"/>
    </xf>
    <xf numFmtId="0" fontId="4" fillId="0" borderId="1" xfId="3" applyNumberFormat="1" applyFont="1" applyFill="1" applyBorder="1" applyAlignment="1">
      <alignment horizontal="center" vertical="center"/>
    </xf>
    <xf numFmtId="0" fontId="4" fillId="0" borderId="1" xfId="3" quotePrefix="1" applyNumberFormat="1" applyFont="1" applyFill="1" applyBorder="1" applyAlignment="1">
      <alignment horizontal="center" vertical="center" shrinkToFit="1"/>
    </xf>
    <xf numFmtId="0" fontId="4" fillId="0" borderId="1" xfId="3" quotePrefix="1" applyNumberFormat="1" applyFont="1" applyFill="1" applyBorder="1" applyAlignment="1">
      <alignment horizontal="left" vertical="center"/>
    </xf>
    <xf numFmtId="0" fontId="4" fillId="0" borderId="1" xfId="3" applyNumberFormat="1" applyFont="1" applyFill="1" applyBorder="1" applyAlignment="1">
      <alignment horizontal="left" vertical="center"/>
    </xf>
    <xf numFmtId="0" fontId="4" fillId="0" borderId="1" xfId="3" quotePrefix="1" applyNumberFormat="1" applyFont="1" applyFill="1" applyBorder="1" applyAlignment="1">
      <alignment horizontal="center" vertical="center"/>
    </xf>
    <xf numFmtId="49" fontId="5" fillId="0" borderId="1" xfId="3" applyNumberFormat="1" applyFont="1" applyFill="1" applyBorder="1" applyAlignment="1">
      <alignment horizontal="right" vertical="center"/>
    </xf>
    <xf numFmtId="49" fontId="4" fillId="0" borderId="1" xfId="3" applyNumberFormat="1" applyFont="1" applyFill="1" applyBorder="1" applyAlignment="1">
      <alignment horizontal="center" vertical="center" shrinkToFit="1"/>
    </xf>
    <xf numFmtId="0" fontId="6" fillId="0" borderId="1" xfId="3" applyNumberFormat="1" applyFont="1" applyFill="1" applyBorder="1" applyAlignment="1">
      <alignment horizontal="center" vertical="center" shrinkToFit="1"/>
    </xf>
    <xf numFmtId="0" fontId="5" fillId="0" borderId="1" xfId="6" applyFont="1" applyFill="1" applyBorder="1" applyAlignment="1">
      <alignment horizontal="left" vertical="center" shrinkToFit="1"/>
    </xf>
    <xf numFmtId="0" fontId="5" fillId="0" borderId="1" xfId="6" applyFont="1" applyFill="1" applyBorder="1" applyAlignment="1">
      <alignment horizontal="left" vertical="center"/>
    </xf>
    <xf numFmtId="14" fontId="5" fillId="0" borderId="1" xfId="6" applyNumberFormat="1" applyFont="1" applyFill="1" applyBorder="1" applyAlignment="1">
      <alignment horizontal="left" vertical="center" shrinkToFit="1"/>
    </xf>
    <xf numFmtId="49" fontId="5" fillId="0" borderId="1" xfId="6" applyNumberFormat="1" applyFont="1" applyFill="1" applyBorder="1" applyAlignment="1">
      <alignment horizontal="left" vertical="center" shrinkToFit="1"/>
    </xf>
    <xf numFmtId="49" fontId="5" fillId="0" borderId="1" xfId="6" applyNumberFormat="1" applyFont="1" applyFill="1" applyBorder="1" applyAlignment="1">
      <alignment horizontal="left" vertical="center"/>
    </xf>
    <xf numFmtId="0" fontId="7" fillId="0" borderId="1" xfId="6" applyFont="1" applyFill="1" applyBorder="1" applyAlignment="1">
      <alignment horizontal="left" vertical="center" shrinkToFit="1"/>
    </xf>
    <xf numFmtId="0" fontId="8" fillId="0" borderId="1" xfId="6" applyFont="1" applyFill="1" applyBorder="1" applyAlignment="1">
      <alignment horizontal="left" vertical="center" shrinkToFit="1"/>
    </xf>
    <xf numFmtId="0" fontId="5" fillId="0" borderId="1" xfId="6" applyNumberFormat="1" applyFont="1" applyFill="1" applyBorder="1" applyAlignment="1">
      <alignment horizontal="left" vertical="center"/>
    </xf>
    <xf numFmtId="0" fontId="9" fillId="0" borderId="0" xfId="0" applyFont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11" fillId="0" borderId="1" xfId="0" applyFont="1" applyBorder="1">
      <alignment vertical="center"/>
    </xf>
    <xf numFmtId="0" fontId="13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2" fillId="0" borderId="1" xfId="0" applyFont="1" applyBorder="1">
      <alignment vertical="center"/>
    </xf>
    <xf numFmtId="0" fontId="8" fillId="0" borderId="2" xfId="6" applyFont="1" applyFill="1" applyBorder="1" applyAlignment="1">
      <alignment horizontal="left" vertical="center" shrinkToFit="1"/>
    </xf>
    <xf numFmtId="0" fontId="5" fillId="0" borderId="2" xfId="6" applyNumberFormat="1" applyFont="1" applyFill="1" applyBorder="1" applyAlignment="1">
      <alignment horizontal="left" vertical="center"/>
    </xf>
    <xf numFmtId="0" fontId="10" fillId="0" borderId="0" xfId="0" applyFont="1">
      <alignment vertical="center"/>
    </xf>
    <xf numFmtId="0" fontId="12" fillId="0" borderId="0" xfId="0" applyFont="1">
      <alignment vertical="center"/>
    </xf>
    <xf numFmtId="0" fontId="0" fillId="0" borderId="0" xfId="0" applyFill="1">
      <alignment vertical="center"/>
    </xf>
    <xf numFmtId="0" fontId="0" fillId="0" borderId="1" xfId="0" applyNumberFormat="1" applyFill="1" applyBorder="1">
      <alignment vertical="center"/>
    </xf>
    <xf numFmtId="0" fontId="14" fillId="0" borderId="3" xfId="0" applyNumberFormat="1" applyFont="1" applyFill="1" applyBorder="1" applyAlignment="1">
      <alignment vertical="center" shrinkToFit="1"/>
    </xf>
    <xf numFmtId="0" fontId="0" fillId="0" borderId="3" xfId="0" applyFill="1" applyBorder="1" applyAlignment="1">
      <alignment vertical="center" shrinkToFit="1"/>
    </xf>
    <xf numFmtId="14" fontId="0" fillId="0" borderId="1" xfId="0" applyNumberFormat="1" applyBorder="1">
      <alignment vertical="center"/>
    </xf>
    <xf numFmtId="0" fontId="16" fillId="0" borderId="0" xfId="12" applyAlignment="1" applyProtection="1">
      <alignment vertical="center"/>
    </xf>
    <xf numFmtId="0" fontId="0" fillId="0" borderId="0" xfId="0" applyAlignment="1">
      <alignment horizontal="center" vertical="center"/>
    </xf>
    <xf numFmtId="0" fontId="17" fillId="0" borderId="0" xfId="0" applyFont="1" applyAlignment="1">
      <alignment vertical="center"/>
    </xf>
    <xf numFmtId="0" fontId="0" fillId="0" borderId="1" xfId="0" pivotButton="1" applyBorder="1">
      <alignment vertical="center"/>
    </xf>
  </cellXfs>
  <cellStyles count="13">
    <cellStyle name="Normal_Sheet1" xfId="1"/>
    <cellStyle name="常规" xfId="0" builtinId="0"/>
    <cellStyle name="常规 2 2" xfId="4"/>
    <cellStyle name="常规 2 3" xfId="7"/>
    <cellStyle name="常规 2 4" xfId="10"/>
    <cellStyle name="常规 3" xfId="3"/>
    <cellStyle name="常规 3 2" xfId="5"/>
    <cellStyle name="常规 3 3" xfId="8"/>
    <cellStyle name="常规 3 4" xfId="11"/>
    <cellStyle name="常规 4" xfId="6"/>
    <cellStyle name="常规 5" xfId="9"/>
    <cellStyle name="超链接" xfId="12" builtinId="8"/>
    <cellStyle name="样式 1" xfId="2"/>
  </cellStyles>
  <dxfs count="5004"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wuhnwu01" refreshedDate="43124.897108564815" createdVersion="3" refreshedVersion="3" minRefreshableVersion="3" recordCount="290">
  <cacheSource type="worksheet">
    <worksheetSource ref="A1:M1048576" sheet="明细"/>
  </cacheSource>
  <cacheFields count="13">
    <cacheField name="日期" numFmtId="0">
      <sharedItems containsDate="1" containsBlank="1" containsMixedTypes="1" minDate="2016-10-25T00:00:00" maxDate="2018-01-22T00:00:00" count="16">
        <m/>
        <d v="2016-10-25T00:00:00"/>
        <d v="2016-10-26T00:00:00"/>
        <d v="2016-10-27T00:00:00"/>
        <d v="2016-10-28T00:00:00"/>
        <d v="2016-10-29T00:00:00"/>
        <d v="2016-10-30T00:00:00"/>
        <d v="2016-11-01T00:00:00"/>
        <s v="2016-11-01"/>
        <d v="2016-10-31T00:00:00"/>
        <d v="2016-11-02T00:00:00"/>
        <d v="2016-11-03T00:00:00"/>
        <d v="2016-11-04T00:00:00"/>
        <s v="2016-11-04"/>
        <d v="2016-11-05T00:00:00"/>
        <d v="2018-01-21T00:00:00"/>
      </sharedItems>
    </cacheField>
    <cacheField name="单号" numFmtId="0">
      <sharedItems containsBlank="1" count="70">
        <m/>
        <s v="1080047"/>
        <s v="10Y0049"/>
        <s v="10Y0041"/>
        <s v="0000000027"/>
        <s v="0000000028"/>
        <s v="1080052"/>
        <s v="1080049"/>
        <s v="1080050"/>
        <s v="‘0000000003"/>
        <s v="1080051"/>
        <s v="10Y0055"/>
        <s v="10Y0054"/>
        <s v="10Y0056"/>
        <s v="1080055"/>
        <s v="1080054"/>
        <s v="1080065"/>
        <s v="1080060"/>
        <s v="1080062"/>
        <s v="1080061"/>
        <s v="10Y0058"/>
        <s v="0000000012"/>
        <s v="10Y0057"/>
        <s v="0000000042"/>
        <s v="1180074"/>
        <s v="11Y0065"/>
        <s v="1180075"/>
        <s v="11Y0064"/>
        <s v="11Y0061"/>
        <s v="1080067"/>
        <s v="10Y0059"/>
        <s v="0000000040"/>
        <s v="0000000038"/>
        <s v="0000000013"/>
        <s v="1080071"/>
        <s v="10Y0060"/>
        <s v="0000000039"/>
        <s v="1080068"/>
        <s v="1080069"/>
        <s v="11Y0063"/>
        <s v="0000000041"/>
        <s v="1180073"/>
        <s v="1180072"/>
        <s v="11Y0062"/>
        <s v="1180080"/>
        <s v="1180083"/>
        <s v="1180086"/>
        <s v="1180077"/>
        <s v="11Y0066"/>
        <s v="0000000007"/>
        <s v="0000000044"/>
        <s v="0000000043"/>
        <s v="1180088"/>
        <s v="11Y0070"/>
        <s v="00000000049"/>
        <s v="1180089"/>
        <s v="1180087"/>
        <s v="11Y0068"/>
        <s v="0000000048"/>
        <s v="0000000047"/>
        <s v="1180090"/>
        <s v="1180092"/>
        <s v="1180094"/>
        <s v="0000000051"/>
        <s v="0000000014"/>
        <s v="1180093"/>
        <s v="11Y0071"/>
        <s v="11Y0073"/>
        <s v="11Y0072"/>
        <s v="0000000015"/>
      </sharedItems>
    </cacheField>
    <cacheField name="公司或部门" numFmtId="0">
      <sharedItems containsNonDate="0" containsString="0" containsBlank="1" count="1">
        <m/>
      </sharedItems>
    </cacheField>
    <cacheField name="内部编号" numFmtId="0">
      <sharedItems containsString="0" containsBlank="1" containsNumber="1" containsInteger="1" minValue="1" maxValue="696" count="119">
        <n v="526"/>
        <n v="527"/>
        <n v="530"/>
        <n v="531"/>
        <n v="533"/>
        <n v="534"/>
        <n v="536"/>
        <n v="537"/>
        <n v="538"/>
        <n v="539"/>
        <n v="541"/>
        <n v="571"/>
        <n v="572"/>
        <n v="573"/>
        <n v="574"/>
        <n v="576"/>
        <n v="577"/>
        <n v="578"/>
        <n v="579"/>
        <n v="582"/>
        <n v="583"/>
        <n v="585"/>
        <n v="588"/>
        <n v="590"/>
        <n v="591"/>
        <n v="596"/>
        <n v="598"/>
        <n v="599"/>
        <n v="604"/>
        <n v="605"/>
        <n v="606"/>
        <n v="607"/>
        <n v="608"/>
        <n v="609"/>
        <n v="610"/>
        <n v="611"/>
        <n v="613"/>
        <n v="614"/>
        <n v="615"/>
        <n v="624"/>
        <n v="625"/>
        <n v="627"/>
        <n v="628"/>
        <n v="630"/>
        <n v="632"/>
        <n v="633"/>
        <n v="634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7"/>
        <n v="678"/>
        <n v="679"/>
        <n v="680"/>
        <n v="681"/>
        <n v="682"/>
        <n v="683"/>
        <n v="684"/>
        <n v="685"/>
        <n v="670"/>
        <n v="671"/>
        <n v="672"/>
        <n v="673"/>
        <n v="674"/>
        <n v="675"/>
        <n v="629"/>
        <n v="676"/>
        <n v="568"/>
        <n v="594"/>
        <n v="688"/>
        <n v="690"/>
        <n v="635"/>
        <n v="689"/>
        <n v="562"/>
        <n v="692"/>
        <n v="532"/>
        <n v="693"/>
        <n v="563"/>
        <n v="529"/>
        <n v="621"/>
        <n v="22"/>
        <n v="694"/>
        <n v="584"/>
        <n v="695"/>
        <n v="696"/>
        <n v="1"/>
        <n v="2"/>
        <m/>
      </sharedItems>
    </cacheField>
    <cacheField name="SKU" numFmtId="0">
      <sharedItems containsBlank="1" containsMixedTypes="1" containsNumber="1" containsInteger="1" minValue="9090003" maxValue="9090003" count="119">
        <s v="07010001"/>
        <s v="07010002"/>
        <s v="07010003"/>
        <s v="07010004"/>
        <s v="07010006"/>
        <s v="07010008"/>
        <s v="07010010"/>
        <s v="07010011"/>
        <s v="07010012"/>
        <s v="07010013"/>
        <s v="07010015"/>
        <s v="07020003"/>
        <s v="07020004"/>
        <s v="07020005"/>
        <s v="07020006"/>
        <s v="07020008"/>
        <s v="07020009"/>
        <s v="07020010"/>
        <s v="07020011"/>
        <s v="07020014"/>
        <s v="07020015"/>
        <s v="07020017"/>
        <s v="07020020"/>
        <s v="07020022"/>
        <s v="07020023"/>
        <s v="07020028"/>
        <s v="07020030"/>
        <s v="07020031"/>
        <s v="07020036"/>
        <s v="07020037"/>
        <s v="07020038"/>
        <s v="07020039"/>
        <s v="07020040"/>
        <s v="07020041"/>
        <s v="07020042"/>
        <s v="07020043"/>
        <s v="07020045"/>
        <s v="07020046"/>
        <s v="07020047"/>
        <s v="07030001"/>
        <s v="07030002"/>
        <s v="07030003"/>
        <s v="07030004"/>
        <s v="07030006"/>
        <s v="07030008"/>
        <s v="07030009"/>
        <s v="07030010"/>
        <s v="0704000001"/>
        <s v="0704000002"/>
        <s v="0704000003"/>
        <s v="0704000004"/>
        <s v="0704000035"/>
        <s v="0704000036"/>
        <s v="07040001"/>
        <s v="07040002"/>
        <s v="0704000293"/>
        <s v="07040003"/>
        <s v="07040004"/>
        <s v="07040005"/>
        <s v="07040006"/>
        <s v="07040007"/>
        <s v="07040008"/>
        <s v="07040009"/>
        <s v="07040010"/>
        <s v="07040011"/>
        <s v="07040012"/>
        <s v="07040013"/>
        <s v="07040014"/>
        <s v="07040015"/>
        <s v="07040016"/>
        <s v="07040017"/>
        <s v="07040018"/>
        <s v="07040019"/>
        <s v="07040020"/>
        <s v="07040021"/>
        <s v="07040022"/>
        <s v="07040023"/>
        <s v="07040024"/>
        <s v="07040025"/>
        <s v="07040026"/>
        <s v="07040027"/>
        <s v="07040027-1"/>
        <s v="07040027-2"/>
        <s v="07040027-3"/>
        <s v="07040027-4"/>
        <s v="07040027-5"/>
        <s v="07040027-6"/>
        <s v="07040027-7"/>
        <s v="07040027-8"/>
        <s v="07040027-9"/>
        <s v="07040028"/>
        <s v="07040029"/>
        <s v="07040030"/>
        <s v="07040031"/>
        <s v="07040032"/>
        <s v="07040033"/>
        <s v="07030005"/>
        <s v="07040034"/>
        <s v="0702000032"/>
        <s v="07020026"/>
        <n v="9090003"/>
        <s v="0703000344"/>
        <s v="07030011"/>
        <s v="0701000349"/>
        <s v="0702000026"/>
        <s v="0007050305"/>
        <s v="07010005"/>
        <s v="0702000350"/>
        <s v="0702000027"/>
        <s v="0701000235"/>
        <s v="0703000024"/>
        <s v="0007050246"/>
        <s v="0701000355"/>
        <s v="07020016"/>
        <s v="0704000366"/>
        <s v="0704000368"/>
        <s v="0001010273"/>
        <s v="0001010274"/>
        <m/>
      </sharedItems>
    </cacheField>
    <cacheField name="存货名称" numFmtId="0">
      <sharedItems containsBlank="1" count="119">
        <s v="蓝剧-地球百子第3季 4BD"/>
        <s v="蓝剧-降世神通：科拉传奇 第2季 神灵2BD"/>
        <s v="蓝剧-降世神通：科拉传奇 第3季2BD"/>
        <s v="蓝剧-降世神通：科拉传奇 第4季2BD"/>
        <s v="蓝剧-冰血暴第2季  3BD"/>
        <s v="蓝剧-我是僵尸第2季 4BD"/>
        <s v="蓝剧-黑色孤儿第1季  2BD"/>
        <s v="蓝剧-黑色孤儿第2季  2BD"/>
        <s v="蓝剧-地球百子第1季 3BD"/>
        <s v="蓝剧-黑色孤儿第3季  2BD"/>
        <s v="蓝剧-黑色孤儿第4季  2BD"/>
        <s v="蓝影-遇见你之前1BD+1DVD"/>
        <s v="蓝影 -一切都会过去：淘儿唱片的浮与沉  1BD"/>
        <s v="蓝影-猫王:是这样的:特别版  1BD+1DVD"/>
        <s v="蓝影-辛普森一家20周年特辑 2BD"/>
        <s v="蓝影-三傻大闹宝莱坞1BD"/>
        <s v="蓝影-盖世枭雄1BD"/>
        <s v="蓝影-功夫熊猫21BD+2DVD"/>
        <s v="蓝影-功夫熊猫3  1BD+1DVD"/>
        <s v="蓝影 -银河护卫队  1BD"/>
        <s v="蓝影-元气囝仔 2BD+2DVD"/>
        <s v="蓝影-刑事  1BD+1DVD"/>
        <s v="蓝影-猫王-埃尔维斯之旅 1BD"/>
        <s v="蓝影-美国不为人知的历史 1BD"/>
        <s v="蓝影-绿野仙踪1BD"/>
        <s v="蓝影-模仿游戏1BD+1DVD"/>
        <s v="蓝影-金钱怪兽1BD"/>
        <s v="蓝影-杀死一只知更鸟1BD"/>
        <s v="蓝影- 喷火战斗机住在温布利球场 1BD"/>
        <s v="蓝影-鲁邦三世：卡里奥斯特罗城  1BD"/>
        <s v="蓝影-钢之炼金术师完整版 6BD"/>
        <s v="蓝影-钢之炼金术师：兄弟会（上）  4BD"/>
        <s v="蓝影-钢之炼金术师：兄弟会（下）  4BD"/>
        <s v="蓝影-海贼王剧场版10：强者天下  1BD+1DVD"/>
        <s v="蓝影-控方证人 1BD"/>
        <s v="蓝影-狼厅 3BD"/>
        <s v="蓝影-李小龙首播集  4BD"/>
        <s v="蓝影-卡罗尔1BD"/>
        <s v="蓝影-无人生还 2BD"/>
        <s v="蓝卡-虞美人盛开的山坡  1BD+1DVD"/>
        <s v="蓝卡-辉夜姬物语  1BD+2DVD"/>
        <s v="蓝卡-海洋之歌1BD+1DVD"/>
        <s v="蓝卡-怪物之子 1BD+1DVD"/>
        <s v="蓝卡-非凡的世界  1BD+1DVD"/>
        <s v="蓝卡-夏日大作战  1BD+2DVD"/>
        <s v="蓝卡-星际牛仔  4BD"/>
        <s v="蓝卡-言叶之庭 1BD"/>
        <s v="S-内识心理学"/>
        <s v="S-项目评价"/>
        <s v="S-人格理论"/>
        <s v="S-电器查询"/>
        <s v="S-商业：一个不断变化的世界"/>
        <s v="S-我们的人民"/>
        <s v="S-恐怖故事（3本一套）"/>
        <s v="S-定量技术分析"/>
        <s v="S-环境经济学"/>
        <s v="S-公共演讲的艺术"/>
        <s v="S-媒体伦理"/>
        <s v="S-有效的小组讨论"/>
        <s v="S-大众传媒法"/>
        <s v="S-行为研究方法"/>
        <s v="S-谈判精要"/>
        <s v="S-合作、协商和团队合作"/>
        <s v="S-管理技能养成"/>
        <s v="S-实现改变"/>
        <s v="S-实践研究"/>
        <s v="S-校园法律"/>
        <s v="S-伦理护理"/>
        <s v="S-心理学"/>
        <s v="S-四十项心理学的研究 821"/>
        <s v="S-实习手册"/>
        <s v="S-明了和优雅风格的教训"/>
        <s v="S-美国药疗保健"/>
        <s v="S-硕士考试指南"/>
        <s v="S-面试技巧"/>
        <s v="S-麦克的学习技巧"/>
        <s v="S-医生的护理实践"/>
        <s v="S-社会精神"/>
        <s v="S-临床评估工作簿"/>
        <s v="S-团体咨询"/>
        <s v="S-小屁孩日记（9本一套）"/>
        <s v="S-小屁孩日记（1/9本一套）"/>
        <s v="S-小屁孩日记（2/9本一套）"/>
        <s v="S-小屁孩日记（3/9本一套）"/>
        <s v="S-小屁孩日记（4/9本一套）"/>
        <s v="S-小屁孩日记（5/9本一套）"/>
        <s v="S-小屁孩日记（6/9本一套）"/>
        <s v="S-小屁孩日记（7/9本一套）"/>
        <s v="S-小屁孩日记（8/9本一套）"/>
        <s v="S-小屁孩日记（9/9本一套）"/>
        <s v="S-上诉辩护"/>
        <s v="S-法律研究"/>
        <s v="S-法律写作和分析"/>
        <s v="S-电子和计算机考试学习指南"/>
        <s v="S-民事诉讼"/>
        <s v="S-机械实践"/>
        <s v="蓝卡-穿越时空的少女  1BD+2DVD"/>
        <s v="S-程序员考试"/>
        <s v="蓝影年轻气盛1BD"/>
        <s v="蓝影-耐撕侦探1BD+1DVD"/>
        <s v="蓝光瑞壳和莫蒂第1季1BD"/>
        <s v="瑞奇与叮当"/>
        <s v="蓝卡-凉宫春日的消失  1BD+2DVD"/>
        <s v="奥丽芙.基特里奇2BD"/>
        <s v="蓝影我们都为比尔着盛装1BD"/>
        <s v="滚石乐队15CD"/>
        <s v="蓝剧-我是僵尸第2季  4BD"/>
        <s v="星际迷航3：超越星辰"/>
        <s v="蓝影攀登梅鲁峰1BD"/>
        <s v="蓝剧传教士 第一季3BD"/>
        <s v="蓝卡愤怒的小鸟1BD+1DVD"/>
        <s v="猫王这是它的方式（旧版)2CD"/>
        <s v="贝茨旅馆第四季2BD"/>
        <s v="蓝影-X战警：金刚狼  6BD"/>
        <s v="课程指南"/>
        <s v="国际业务：全球化的挑战"/>
        <s v="蓝光-美女与野兽第2季贝儿的心愿1DVD+1BD"/>
        <s v="蓝光-八恶人1BD+1DVD"/>
        <m/>
      </sharedItems>
    </cacheField>
    <cacheField name="规格" numFmtId="0">
      <sharedItems containsBlank="1" count="8">
        <s v="4"/>
        <s v="2"/>
        <s v="3"/>
        <s v="1"/>
        <s v="6"/>
        <s v="\"/>
        <s v="1BD+1DVD"/>
        <m/>
      </sharedItems>
    </cacheField>
    <cacheField name="单位" numFmtId="0">
      <sharedItems containsBlank="1" count="3">
        <s v="套"/>
        <s v="本"/>
        <m/>
      </sharedItems>
    </cacheField>
    <cacheField name="存货大类" numFmtId="0">
      <sharedItems containsBlank="1" count="7">
        <s v="蓝光电视剧"/>
        <s v="蓝光电影"/>
        <s v="蓝光卡通"/>
        <s v="书本"/>
        <s v="CD成品"/>
        <s v="调用成品"/>
        <m/>
      </sharedItems>
    </cacheField>
    <cacheField name="收入数量" numFmtId="0">
      <sharedItems containsString="0" containsBlank="1" containsNumber="1" containsInteger="1" minValue="1" maxValue="2021" count="25">
        <m/>
        <n v="4"/>
        <n v="1"/>
        <n v="10"/>
        <n v="2021"/>
        <n v="95"/>
        <n v="97"/>
        <n v="98"/>
        <n v="27"/>
        <n v="31"/>
        <n v="2"/>
        <n v="1012"/>
        <n v="50"/>
        <n v="87"/>
        <n v="23"/>
        <n v="48"/>
        <n v="90"/>
        <n v="68"/>
        <n v="20"/>
        <n v="600"/>
        <n v="72"/>
        <n v="500"/>
        <n v="222"/>
        <n v="12"/>
        <n v="22"/>
      </sharedItems>
    </cacheField>
    <cacheField name="发出数量" numFmtId="0">
      <sharedItems containsString="0" containsBlank="1" containsNumber="1" containsInteger="1" minValue="1" maxValue="300" count="28">
        <m/>
        <n v="5"/>
        <n v="10"/>
        <n v="100"/>
        <n v="50"/>
        <n v="1"/>
        <n v="4"/>
        <n v="2"/>
        <n v="8"/>
        <n v="52"/>
        <n v="15"/>
        <n v="3"/>
        <n v="36"/>
        <n v="20"/>
        <n v="6"/>
        <n v="80"/>
        <n v="30"/>
        <n v="25"/>
        <n v="51"/>
        <n v="40"/>
        <n v="9"/>
        <n v="31"/>
        <n v="300"/>
        <n v="46"/>
        <n v="105"/>
        <n v="250"/>
        <n v="230"/>
        <n v="33"/>
      </sharedItems>
    </cacheField>
    <cacheField name="期初数量" numFmtId="0">
      <sharedItems containsString="0" containsBlank="1" containsNumber="1" containsInteger="1" minValue="0" maxValue="4620" count="76">
        <n v="21"/>
        <n v="99"/>
        <n v="85"/>
        <n v="72"/>
        <n v="61"/>
        <n v="86"/>
        <n v="95"/>
        <n v="83"/>
        <n v="74"/>
        <n v="73"/>
        <n v="87"/>
        <n v="15"/>
        <n v="89"/>
        <n v="75"/>
        <n v="77"/>
        <n v="98"/>
        <n v="4"/>
        <n v="97"/>
        <n v="82"/>
        <n v="90"/>
        <n v="79"/>
        <n v="43"/>
        <n v="88"/>
        <n v="65"/>
        <n v="84"/>
        <n v="19"/>
        <n v="78"/>
        <n v="979"/>
        <n v="45"/>
        <n v="586"/>
        <n v="258"/>
        <n v="527"/>
        <n v="2745"/>
        <n v="91"/>
        <n v="570"/>
        <n v="555"/>
        <n v="1461"/>
        <n v="619"/>
        <n v="382"/>
        <n v="94"/>
        <n v="4620"/>
        <n v="678"/>
        <n v="314"/>
        <n v="424"/>
        <n v="985"/>
        <n v="2002"/>
        <n v="768"/>
        <n v="966"/>
        <n v="575"/>
        <n v="251"/>
        <n v="934"/>
        <n v="454"/>
        <n v="1029"/>
        <n v="2144"/>
        <n v="615"/>
        <n v="594"/>
        <n v="1327"/>
        <n v="606"/>
        <n v="2358"/>
        <n v="1522"/>
        <n v="963"/>
        <n v="8"/>
        <n v="1"/>
        <n v="11"/>
        <n v="30"/>
        <n v="517"/>
        <n v="508"/>
        <n v="703"/>
        <n v="807"/>
        <n v="0"/>
        <n v="719"/>
        <n v="710"/>
        <n v="513"/>
        <n v="1422"/>
        <m/>
        <n v="22"/>
      </sharedItems>
    </cacheField>
    <cacheField name="结存(公式）" numFmtId="0">
      <sharedItems containsString="0" containsBlank="1" containsNumber="1" containsInteger="1" minValue="0" maxValue="4577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0">
  <r>
    <x v="0"/>
    <x v="0"/>
    <x v="0"/>
    <x v="0"/>
    <x v="0"/>
    <x v="0"/>
    <x v="0"/>
    <x v="0"/>
    <x v="0"/>
    <x v="0"/>
    <x v="0"/>
    <x v="0"/>
    <n v="19"/>
  </r>
  <r>
    <x v="0"/>
    <x v="0"/>
    <x v="0"/>
    <x v="1"/>
    <x v="1"/>
    <x v="1"/>
    <x v="1"/>
    <x v="0"/>
    <x v="0"/>
    <x v="0"/>
    <x v="0"/>
    <x v="1"/>
    <n v="99"/>
  </r>
  <r>
    <x v="0"/>
    <x v="0"/>
    <x v="0"/>
    <x v="2"/>
    <x v="2"/>
    <x v="2"/>
    <x v="1"/>
    <x v="0"/>
    <x v="0"/>
    <x v="0"/>
    <x v="0"/>
    <x v="1"/>
    <n v="99"/>
  </r>
  <r>
    <x v="0"/>
    <x v="0"/>
    <x v="0"/>
    <x v="3"/>
    <x v="3"/>
    <x v="3"/>
    <x v="1"/>
    <x v="0"/>
    <x v="0"/>
    <x v="0"/>
    <x v="0"/>
    <x v="2"/>
    <n v="85"/>
  </r>
  <r>
    <x v="0"/>
    <x v="0"/>
    <x v="0"/>
    <x v="4"/>
    <x v="4"/>
    <x v="4"/>
    <x v="2"/>
    <x v="0"/>
    <x v="0"/>
    <x v="0"/>
    <x v="0"/>
    <x v="3"/>
    <n v="70"/>
  </r>
  <r>
    <x v="0"/>
    <x v="0"/>
    <x v="0"/>
    <x v="5"/>
    <x v="5"/>
    <x v="5"/>
    <x v="0"/>
    <x v="0"/>
    <x v="0"/>
    <x v="0"/>
    <x v="0"/>
    <x v="4"/>
    <n v="61"/>
  </r>
  <r>
    <x v="0"/>
    <x v="0"/>
    <x v="0"/>
    <x v="6"/>
    <x v="6"/>
    <x v="6"/>
    <x v="1"/>
    <x v="0"/>
    <x v="0"/>
    <x v="0"/>
    <x v="0"/>
    <x v="5"/>
    <n v="85"/>
  </r>
  <r>
    <x v="0"/>
    <x v="0"/>
    <x v="0"/>
    <x v="7"/>
    <x v="7"/>
    <x v="7"/>
    <x v="1"/>
    <x v="0"/>
    <x v="0"/>
    <x v="0"/>
    <x v="0"/>
    <x v="2"/>
    <n v="79"/>
  </r>
  <r>
    <x v="0"/>
    <x v="0"/>
    <x v="0"/>
    <x v="8"/>
    <x v="8"/>
    <x v="8"/>
    <x v="2"/>
    <x v="0"/>
    <x v="0"/>
    <x v="0"/>
    <x v="0"/>
    <x v="6"/>
    <n v="95"/>
  </r>
  <r>
    <x v="0"/>
    <x v="0"/>
    <x v="0"/>
    <x v="9"/>
    <x v="9"/>
    <x v="9"/>
    <x v="1"/>
    <x v="0"/>
    <x v="0"/>
    <x v="0"/>
    <x v="0"/>
    <x v="7"/>
    <n v="86"/>
  </r>
  <r>
    <x v="0"/>
    <x v="0"/>
    <x v="0"/>
    <x v="10"/>
    <x v="10"/>
    <x v="10"/>
    <x v="1"/>
    <x v="0"/>
    <x v="0"/>
    <x v="0"/>
    <x v="0"/>
    <x v="8"/>
    <n v="63"/>
  </r>
  <r>
    <x v="0"/>
    <x v="0"/>
    <x v="0"/>
    <x v="11"/>
    <x v="11"/>
    <x v="11"/>
    <x v="1"/>
    <x v="0"/>
    <x v="1"/>
    <x v="0"/>
    <x v="0"/>
    <x v="9"/>
    <n v="73"/>
  </r>
  <r>
    <x v="0"/>
    <x v="0"/>
    <x v="0"/>
    <x v="12"/>
    <x v="12"/>
    <x v="12"/>
    <x v="3"/>
    <x v="0"/>
    <x v="1"/>
    <x v="0"/>
    <x v="0"/>
    <x v="10"/>
    <n v="87"/>
  </r>
  <r>
    <x v="0"/>
    <x v="0"/>
    <x v="0"/>
    <x v="13"/>
    <x v="13"/>
    <x v="13"/>
    <x v="1"/>
    <x v="0"/>
    <x v="1"/>
    <x v="0"/>
    <x v="0"/>
    <x v="2"/>
    <n v="69"/>
  </r>
  <r>
    <x v="0"/>
    <x v="0"/>
    <x v="0"/>
    <x v="14"/>
    <x v="14"/>
    <x v="14"/>
    <x v="1"/>
    <x v="0"/>
    <x v="1"/>
    <x v="0"/>
    <x v="0"/>
    <x v="11"/>
    <n v="15"/>
  </r>
  <r>
    <x v="0"/>
    <x v="0"/>
    <x v="0"/>
    <x v="15"/>
    <x v="15"/>
    <x v="15"/>
    <x v="3"/>
    <x v="0"/>
    <x v="1"/>
    <x v="0"/>
    <x v="0"/>
    <x v="3"/>
    <n v="72"/>
  </r>
  <r>
    <x v="0"/>
    <x v="0"/>
    <x v="0"/>
    <x v="16"/>
    <x v="16"/>
    <x v="16"/>
    <x v="3"/>
    <x v="0"/>
    <x v="1"/>
    <x v="0"/>
    <x v="0"/>
    <x v="9"/>
    <n v="73"/>
  </r>
  <r>
    <x v="0"/>
    <x v="0"/>
    <x v="0"/>
    <x v="17"/>
    <x v="17"/>
    <x v="17"/>
    <x v="2"/>
    <x v="0"/>
    <x v="1"/>
    <x v="0"/>
    <x v="0"/>
    <x v="12"/>
    <n v="81"/>
  </r>
  <r>
    <x v="0"/>
    <x v="0"/>
    <x v="0"/>
    <x v="18"/>
    <x v="18"/>
    <x v="18"/>
    <x v="1"/>
    <x v="0"/>
    <x v="1"/>
    <x v="0"/>
    <x v="0"/>
    <x v="13"/>
    <n v="67"/>
  </r>
  <r>
    <x v="0"/>
    <x v="0"/>
    <x v="0"/>
    <x v="19"/>
    <x v="19"/>
    <x v="19"/>
    <x v="3"/>
    <x v="0"/>
    <x v="1"/>
    <x v="0"/>
    <x v="0"/>
    <x v="14"/>
    <n v="77"/>
  </r>
  <r>
    <x v="0"/>
    <x v="0"/>
    <x v="0"/>
    <x v="20"/>
    <x v="20"/>
    <x v="20"/>
    <x v="0"/>
    <x v="0"/>
    <x v="1"/>
    <x v="0"/>
    <x v="0"/>
    <x v="15"/>
    <n v="94"/>
  </r>
  <r>
    <x v="0"/>
    <x v="0"/>
    <x v="0"/>
    <x v="21"/>
    <x v="21"/>
    <x v="21"/>
    <x v="1"/>
    <x v="0"/>
    <x v="1"/>
    <x v="0"/>
    <x v="0"/>
    <x v="16"/>
    <n v="4"/>
  </r>
  <r>
    <x v="0"/>
    <x v="0"/>
    <x v="0"/>
    <x v="22"/>
    <x v="22"/>
    <x v="22"/>
    <x v="3"/>
    <x v="0"/>
    <x v="1"/>
    <x v="0"/>
    <x v="0"/>
    <x v="17"/>
    <n v="96"/>
  </r>
  <r>
    <x v="0"/>
    <x v="0"/>
    <x v="0"/>
    <x v="23"/>
    <x v="23"/>
    <x v="23"/>
    <x v="3"/>
    <x v="0"/>
    <x v="1"/>
    <x v="0"/>
    <x v="0"/>
    <x v="12"/>
    <n v="88"/>
  </r>
  <r>
    <x v="0"/>
    <x v="0"/>
    <x v="0"/>
    <x v="24"/>
    <x v="24"/>
    <x v="24"/>
    <x v="3"/>
    <x v="0"/>
    <x v="1"/>
    <x v="0"/>
    <x v="0"/>
    <x v="18"/>
    <n v="82"/>
  </r>
  <r>
    <x v="0"/>
    <x v="0"/>
    <x v="0"/>
    <x v="25"/>
    <x v="25"/>
    <x v="25"/>
    <x v="1"/>
    <x v="0"/>
    <x v="1"/>
    <x v="0"/>
    <x v="0"/>
    <x v="1"/>
    <n v="99"/>
  </r>
  <r>
    <x v="0"/>
    <x v="0"/>
    <x v="0"/>
    <x v="26"/>
    <x v="26"/>
    <x v="26"/>
    <x v="3"/>
    <x v="0"/>
    <x v="1"/>
    <x v="0"/>
    <x v="0"/>
    <x v="19"/>
    <n v="90"/>
  </r>
  <r>
    <x v="0"/>
    <x v="0"/>
    <x v="0"/>
    <x v="27"/>
    <x v="27"/>
    <x v="27"/>
    <x v="3"/>
    <x v="0"/>
    <x v="1"/>
    <x v="0"/>
    <x v="0"/>
    <x v="20"/>
    <n v="78"/>
  </r>
  <r>
    <x v="0"/>
    <x v="0"/>
    <x v="0"/>
    <x v="28"/>
    <x v="28"/>
    <x v="28"/>
    <x v="3"/>
    <x v="0"/>
    <x v="1"/>
    <x v="0"/>
    <x v="0"/>
    <x v="5"/>
    <n v="86"/>
  </r>
  <r>
    <x v="0"/>
    <x v="0"/>
    <x v="0"/>
    <x v="29"/>
    <x v="29"/>
    <x v="29"/>
    <x v="3"/>
    <x v="0"/>
    <x v="1"/>
    <x v="0"/>
    <x v="0"/>
    <x v="2"/>
    <n v="85"/>
  </r>
  <r>
    <x v="0"/>
    <x v="0"/>
    <x v="0"/>
    <x v="30"/>
    <x v="30"/>
    <x v="30"/>
    <x v="4"/>
    <x v="0"/>
    <x v="1"/>
    <x v="0"/>
    <x v="0"/>
    <x v="21"/>
    <n v="43"/>
  </r>
  <r>
    <x v="0"/>
    <x v="0"/>
    <x v="0"/>
    <x v="31"/>
    <x v="31"/>
    <x v="31"/>
    <x v="0"/>
    <x v="0"/>
    <x v="1"/>
    <x v="0"/>
    <x v="0"/>
    <x v="22"/>
    <n v="72"/>
  </r>
  <r>
    <x v="0"/>
    <x v="0"/>
    <x v="0"/>
    <x v="32"/>
    <x v="32"/>
    <x v="32"/>
    <x v="0"/>
    <x v="0"/>
    <x v="1"/>
    <x v="0"/>
    <x v="0"/>
    <x v="5"/>
    <n v="77"/>
  </r>
  <r>
    <x v="0"/>
    <x v="0"/>
    <x v="0"/>
    <x v="33"/>
    <x v="33"/>
    <x v="33"/>
    <x v="1"/>
    <x v="0"/>
    <x v="1"/>
    <x v="0"/>
    <x v="0"/>
    <x v="12"/>
    <n v="89"/>
  </r>
  <r>
    <x v="0"/>
    <x v="0"/>
    <x v="0"/>
    <x v="34"/>
    <x v="34"/>
    <x v="34"/>
    <x v="3"/>
    <x v="0"/>
    <x v="1"/>
    <x v="0"/>
    <x v="0"/>
    <x v="10"/>
    <n v="87"/>
  </r>
  <r>
    <x v="0"/>
    <x v="0"/>
    <x v="0"/>
    <x v="35"/>
    <x v="35"/>
    <x v="35"/>
    <x v="2"/>
    <x v="0"/>
    <x v="1"/>
    <x v="0"/>
    <x v="0"/>
    <x v="13"/>
    <n v="74"/>
  </r>
  <r>
    <x v="0"/>
    <x v="0"/>
    <x v="0"/>
    <x v="36"/>
    <x v="36"/>
    <x v="36"/>
    <x v="0"/>
    <x v="0"/>
    <x v="1"/>
    <x v="0"/>
    <x v="0"/>
    <x v="23"/>
    <n v="65"/>
  </r>
  <r>
    <x v="0"/>
    <x v="0"/>
    <x v="0"/>
    <x v="37"/>
    <x v="37"/>
    <x v="37"/>
    <x v="3"/>
    <x v="0"/>
    <x v="1"/>
    <x v="0"/>
    <x v="0"/>
    <x v="24"/>
    <n v="84"/>
  </r>
  <r>
    <x v="0"/>
    <x v="0"/>
    <x v="0"/>
    <x v="38"/>
    <x v="38"/>
    <x v="38"/>
    <x v="5"/>
    <x v="0"/>
    <x v="1"/>
    <x v="0"/>
    <x v="0"/>
    <x v="24"/>
    <n v="84"/>
  </r>
  <r>
    <x v="0"/>
    <x v="0"/>
    <x v="0"/>
    <x v="39"/>
    <x v="39"/>
    <x v="39"/>
    <x v="1"/>
    <x v="0"/>
    <x v="2"/>
    <x v="0"/>
    <x v="0"/>
    <x v="5"/>
    <n v="86"/>
  </r>
  <r>
    <x v="0"/>
    <x v="0"/>
    <x v="0"/>
    <x v="40"/>
    <x v="40"/>
    <x v="40"/>
    <x v="2"/>
    <x v="0"/>
    <x v="2"/>
    <x v="0"/>
    <x v="0"/>
    <x v="24"/>
    <n v="84"/>
  </r>
  <r>
    <x v="0"/>
    <x v="0"/>
    <x v="0"/>
    <x v="41"/>
    <x v="41"/>
    <x v="41"/>
    <x v="1"/>
    <x v="0"/>
    <x v="2"/>
    <x v="0"/>
    <x v="0"/>
    <x v="2"/>
    <n v="85"/>
  </r>
  <r>
    <x v="0"/>
    <x v="0"/>
    <x v="0"/>
    <x v="42"/>
    <x v="42"/>
    <x v="42"/>
    <x v="1"/>
    <x v="0"/>
    <x v="2"/>
    <x v="0"/>
    <x v="0"/>
    <x v="15"/>
    <n v="98"/>
  </r>
  <r>
    <x v="0"/>
    <x v="0"/>
    <x v="0"/>
    <x v="43"/>
    <x v="43"/>
    <x v="43"/>
    <x v="1"/>
    <x v="0"/>
    <x v="2"/>
    <x v="0"/>
    <x v="0"/>
    <x v="5"/>
    <n v="86"/>
  </r>
  <r>
    <x v="0"/>
    <x v="0"/>
    <x v="0"/>
    <x v="44"/>
    <x v="44"/>
    <x v="44"/>
    <x v="2"/>
    <x v="0"/>
    <x v="2"/>
    <x v="0"/>
    <x v="0"/>
    <x v="22"/>
    <n v="88"/>
  </r>
  <r>
    <x v="0"/>
    <x v="0"/>
    <x v="0"/>
    <x v="45"/>
    <x v="45"/>
    <x v="45"/>
    <x v="0"/>
    <x v="0"/>
    <x v="2"/>
    <x v="0"/>
    <x v="0"/>
    <x v="25"/>
    <n v="9"/>
  </r>
  <r>
    <x v="0"/>
    <x v="0"/>
    <x v="0"/>
    <x v="46"/>
    <x v="46"/>
    <x v="46"/>
    <x v="3"/>
    <x v="0"/>
    <x v="2"/>
    <x v="0"/>
    <x v="0"/>
    <x v="26"/>
    <n v="78"/>
  </r>
  <r>
    <x v="0"/>
    <x v="0"/>
    <x v="0"/>
    <x v="47"/>
    <x v="47"/>
    <x v="47"/>
    <x v="5"/>
    <x v="1"/>
    <x v="3"/>
    <x v="0"/>
    <x v="0"/>
    <x v="27"/>
    <n v="656"/>
  </r>
  <r>
    <x v="0"/>
    <x v="0"/>
    <x v="0"/>
    <x v="48"/>
    <x v="48"/>
    <x v="48"/>
    <x v="5"/>
    <x v="1"/>
    <x v="3"/>
    <x v="0"/>
    <x v="0"/>
    <x v="28"/>
    <n v="1877"/>
  </r>
  <r>
    <x v="0"/>
    <x v="0"/>
    <x v="0"/>
    <x v="49"/>
    <x v="49"/>
    <x v="49"/>
    <x v="5"/>
    <x v="1"/>
    <x v="3"/>
    <x v="0"/>
    <x v="0"/>
    <x v="29"/>
    <n v="523"/>
  </r>
  <r>
    <x v="0"/>
    <x v="0"/>
    <x v="0"/>
    <x v="50"/>
    <x v="50"/>
    <x v="50"/>
    <x v="5"/>
    <x v="1"/>
    <x v="3"/>
    <x v="0"/>
    <x v="0"/>
    <x v="30"/>
    <n v="223"/>
  </r>
  <r>
    <x v="0"/>
    <x v="0"/>
    <x v="0"/>
    <x v="51"/>
    <x v="51"/>
    <x v="51"/>
    <x v="5"/>
    <x v="1"/>
    <x v="3"/>
    <x v="0"/>
    <x v="0"/>
    <x v="31"/>
    <n v="474"/>
  </r>
  <r>
    <x v="0"/>
    <x v="0"/>
    <x v="0"/>
    <x v="52"/>
    <x v="52"/>
    <x v="52"/>
    <x v="5"/>
    <x v="1"/>
    <x v="3"/>
    <x v="0"/>
    <x v="0"/>
    <x v="32"/>
    <n v="2685"/>
  </r>
  <r>
    <x v="0"/>
    <x v="0"/>
    <x v="0"/>
    <x v="53"/>
    <x v="53"/>
    <x v="53"/>
    <x v="5"/>
    <x v="0"/>
    <x v="3"/>
    <x v="0"/>
    <x v="0"/>
    <x v="33"/>
    <n v="35"/>
  </r>
  <r>
    <x v="0"/>
    <x v="0"/>
    <x v="0"/>
    <x v="54"/>
    <x v="54"/>
    <x v="54"/>
    <x v="5"/>
    <x v="1"/>
    <x v="3"/>
    <x v="0"/>
    <x v="0"/>
    <x v="34"/>
    <n v="570"/>
  </r>
  <r>
    <x v="0"/>
    <x v="0"/>
    <x v="0"/>
    <x v="55"/>
    <x v="55"/>
    <x v="55"/>
    <x v="5"/>
    <x v="1"/>
    <x v="3"/>
    <x v="0"/>
    <x v="0"/>
    <x v="35"/>
    <n v="419"/>
  </r>
  <r>
    <x v="0"/>
    <x v="0"/>
    <x v="0"/>
    <x v="56"/>
    <x v="56"/>
    <x v="56"/>
    <x v="5"/>
    <x v="1"/>
    <x v="3"/>
    <x v="0"/>
    <x v="0"/>
    <x v="36"/>
    <n v="1403"/>
  </r>
  <r>
    <x v="0"/>
    <x v="0"/>
    <x v="0"/>
    <x v="57"/>
    <x v="57"/>
    <x v="57"/>
    <x v="5"/>
    <x v="1"/>
    <x v="3"/>
    <x v="0"/>
    <x v="0"/>
    <x v="37"/>
    <n v="619"/>
  </r>
  <r>
    <x v="0"/>
    <x v="0"/>
    <x v="0"/>
    <x v="58"/>
    <x v="58"/>
    <x v="58"/>
    <x v="5"/>
    <x v="1"/>
    <x v="3"/>
    <x v="0"/>
    <x v="0"/>
    <x v="38"/>
    <n v="382"/>
  </r>
  <r>
    <x v="0"/>
    <x v="0"/>
    <x v="0"/>
    <x v="59"/>
    <x v="59"/>
    <x v="59"/>
    <x v="5"/>
    <x v="1"/>
    <x v="3"/>
    <x v="0"/>
    <x v="0"/>
    <x v="39"/>
    <n v="19"/>
  </r>
  <r>
    <x v="0"/>
    <x v="0"/>
    <x v="0"/>
    <x v="60"/>
    <x v="60"/>
    <x v="60"/>
    <x v="5"/>
    <x v="1"/>
    <x v="3"/>
    <x v="0"/>
    <x v="0"/>
    <x v="40"/>
    <n v="4577"/>
  </r>
  <r>
    <x v="0"/>
    <x v="0"/>
    <x v="0"/>
    <x v="61"/>
    <x v="61"/>
    <x v="61"/>
    <x v="5"/>
    <x v="1"/>
    <x v="3"/>
    <x v="0"/>
    <x v="0"/>
    <x v="41"/>
    <n v="538"/>
  </r>
  <r>
    <x v="0"/>
    <x v="0"/>
    <x v="0"/>
    <x v="62"/>
    <x v="62"/>
    <x v="62"/>
    <x v="5"/>
    <x v="1"/>
    <x v="3"/>
    <x v="0"/>
    <x v="0"/>
    <x v="42"/>
    <n v="311"/>
  </r>
  <r>
    <x v="0"/>
    <x v="0"/>
    <x v="0"/>
    <x v="63"/>
    <x v="63"/>
    <x v="63"/>
    <x v="5"/>
    <x v="1"/>
    <x v="3"/>
    <x v="0"/>
    <x v="0"/>
    <x v="43"/>
    <n v="292"/>
  </r>
  <r>
    <x v="0"/>
    <x v="0"/>
    <x v="0"/>
    <x v="64"/>
    <x v="64"/>
    <x v="64"/>
    <x v="5"/>
    <x v="1"/>
    <x v="3"/>
    <x v="0"/>
    <x v="0"/>
    <x v="44"/>
    <n v="985"/>
  </r>
  <r>
    <x v="0"/>
    <x v="0"/>
    <x v="0"/>
    <x v="65"/>
    <x v="65"/>
    <x v="65"/>
    <x v="5"/>
    <x v="1"/>
    <x v="3"/>
    <x v="0"/>
    <x v="0"/>
    <x v="45"/>
    <n v="1966"/>
  </r>
  <r>
    <x v="0"/>
    <x v="0"/>
    <x v="0"/>
    <x v="66"/>
    <x v="66"/>
    <x v="66"/>
    <x v="5"/>
    <x v="1"/>
    <x v="3"/>
    <x v="0"/>
    <x v="0"/>
    <x v="46"/>
    <n v="698"/>
  </r>
  <r>
    <x v="0"/>
    <x v="0"/>
    <x v="0"/>
    <x v="67"/>
    <x v="67"/>
    <x v="67"/>
    <x v="5"/>
    <x v="1"/>
    <x v="3"/>
    <x v="0"/>
    <x v="0"/>
    <x v="47"/>
    <n v="956"/>
  </r>
  <r>
    <x v="0"/>
    <x v="0"/>
    <x v="0"/>
    <x v="68"/>
    <x v="68"/>
    <x v="68"/>
    <x v="5"/>
    <x v="1"/>
    <x v="3"/>
    <x v="0"/>
    <x v="0"/>
    <x v="48"/>
    <n v="575"/>
  </r>
  <r>
    <x v="0"/>
    <x v="0"/>
    <x v="0"/>
    <x v="69"/>
    <x v="69"/>
    <x v="69"/>
    <x v="5"/>
    <x v="1"/>
    <x v="3"/>
    <x v="0"/>
    <x v="0"/>
    <x v="49"/>
    <n v="1"/>
  </r>
  <r>
    <x v="0"/>
    <x v="0"/>
    <x v="0"/>
    <x v="70"/>
    <x v="70"/>
    <x v="70"/>
    <x v="5"/>
    <x v="1"/>
    <x v="3"/>
    <x v="0"/>
    <x v="0"/>
    <x v="50"/>
    <n v="934"/>
  </r>
  <r>
    <x v="0"/>
    <x v="0"/>
    <x v="0"/>
    <x v="71"/>
    <x v="71"/>
    <x v="71"/>
    <x v="5"/>
    <x v="1"/>
    <x v="3"/>
    <x v="0"/>
    <x v="0"/>
    <x v="51"/>
    <n v="454"/>
  </r>
  <r>
    <x v="0"/>
    <x v="0"/>
    <x v="0"/>
    <x v="72"/>
    <x v="72"/>
    <x v="72"/>
    <x v="5"/>
    <x v="1"/>
    <x v="3"/>
    <x v="0"/>
    <x v="0"/>
    <x v="52"/>
    <n v="975"/>
  </r>
  <r>
    <x v="0"/>
    <x v="0"/>
    <x v="0"/>
    <x v="73"/>
    <x v="73"/>
    <x v="73"/>
    <x v="5"/>
    <x v="1"/>
    <x v="3"/>
    <x v="0"/>
    <x v="0"/>
    <x v="53"/>
    <n v="2104"/>
  </r>
  <r>
    <x v="0"/>
    <x v="0"/>
    <x v="0"/>
    <x v="74"/>
    <x v="74"/>
    <x v="74"/>
    <x v="5"/>
    <x v="1"/>
    <x v="3"/>
    <x v="0"/>
    <x v="0"/>
    <x v="54"/>
    <n v="595"/>
  </r>
  <r>
    <x v="0"/>
    <x v="0"/>
    <x v="0"/>
    <x v="75"/>
    <x v="75"/>
    <x v="75"/>
    <x v="5"/>
    <x v="1"/>
    <x v="3"/>
    <x v="0"/>
    <x v="0"/>
    <x v="55"/>
    <n v="594"/>
  </r>
  <r>
    <x v="0"/>
    <x v="0"/>
    <x v="0"/>
    <x v="76"/>
    <x v="76"/>
    <x v="76"/>
    <x v="5"/>
    <x v="1"/>
    <x v="3"/>
    <x v="0"/>
    <x v="0"/>
    <x v="56"/>
    <n v="1327"/>
  </r>
  <r>
    <x v="0"/>
    <x v="0"/>
    <x v="0"/>
    <x v="77"/>
    <x v="77"/>
    <x v="77"/>
    <x v="5"/>
    <x v="1"/>
    <x v="3"/>
    <x v="0"/>
    <x v="0"/>
    <x v="57"/>
    <n v="606"/>
  </r>
  <r>
    <x v="0"/>
    <x v="0"/>
    <x v="0"/>
    <x v="78"/>
    <x v="78"/>
    <x v="78"/>
    <x v="5"/>
    <x v="1"/>
    <x v="3"/>
    <x v="0"/>
    <x v="0"/>
    <x v="58"/>
    <n v="2338"/>
  </r>
  <r>
    <x v="0"/>
    <x v="0"/>
    <x v="0"/>
    <x v="79"/>
    <x v="79"/>
    <x v="79"/>
    <x v="5"/>
    <x v="1"/>
    <x v="3"/>
    <x v="0"/>
    <x v="0"/>
    <x v="59"/>
    <n v="1473"/>
  </r>
  <r>
    <x v="0"/>
    <x v="0"/>
    <x v="0"/>
    <x v="80"/>
    <x v="80"/>
    <x v="80"/>
    <x v="5"/>
    <x v="0"/>
    <x v="3"/>
    <x v="0"/>
    <x v="0"/>
    <x v="60"/>
    <n v="958"/>
  </r>
  <r>
    <x v="0"/>
    <x v="0"/>
    <x v="0"/>
    <x v="81"/>
    <x v="81"/>
    <x v="81"/>
    <x v="5"/>
    <x v="1"/>
    <x v="3"/>
    <x v="0"/>
    <x v="0"/>
    <x v="61"/>
    <n v="8"/>
  </r>
  <r>
    <x v="0"/>
    <x v="0"/>
    <x v="0"/>
    <x v="82"/>
    <x v="82"/>
    <x v="82"/>
    <x v="5"/>
    <x v="1"/>
    <x v="3"/>
    <x v="0"/>
    <x v="0"/>
    <x v="62"/>
    <n v="1"/>
  </r>
  <r>
    <x v="0"/>
    <x v="0"/>
    <x v="0"/>
    <x v="83"/>
    <x v="83"/>
    <x v="83"/>
    <x v="5"/>
    <x v="1"/>
    <x v="3"/>
    <x v="0"/>
    <x v="0"/>
    <x v="63"/>
    <n v="11"/>
  </r>
  <r>
    <x v="0"/>
    <x v="0"/>
    <x v="0"/>
    <x v="84"/>
    <x v="84"/>
    <x v="84"/>
    <x v="5"/>
    <x v="1"/>
    <x v="3"/>
    <x v="0"/>
    <x v="0"/>
    <x v="11"/>
    <n v="15"/>
  </r>
  <r>
    <x v="0"/>
    <x v="0"/>
    <x v="0"/>
    <x v="85"/>
    <x v="85"/>
    <x v="85"/>
    <x v="5"/>
    <x v="1"/>
    <x v="3"/>
    <x v="0"/>
    <x v="0"/>
    <x v="64"/>
    <n v="30"/>
  </r>
  <r>
    <x v="0"/>
    <x v="0"/>
    <x v="0"/>
    <x v="86"/>
    <x v="86"/>
    <x v="86"/>
    <x v="5"/>
    <x v="1"/>
    <x v="3"/>
    <x v="0"/>
    <x v="0"/>
    <x v="34"/>
    <n v="570"/>
  </r>
  <r>
    <x v="0"/>
    <x v="0"/>
    <x v="0"/>
    <x v="87"/>
    <x v="87"/>
    <x v="87"/>
    <x v="5"/>
    <x v="1"/>
    <x v="3"/>
    <x v="0"/>
    <x v="0"/>
    <x v="65"/>
    <n v="517"/>
  </r>
  <r>
    <x v="0"/>
    <x v="0"/>
    <x v="0"/>
    <x v="88"/>
    <x v="88"/>
    <x v="88"/>
    <x v="5"/>
    <x v="1"/>
    <x v="3"/>
    <x v="0"/>
    <x v="0"/>
    <x v="51"/>
    <n v="454"/>
  </r>
  <r>
    <x v="0"/>
    <x v="0"/>
    <x v="0"/>
    <x v="89"/>
    <x v="89"/>
    <x v="89"/>
    <x v="5"/>
    <x v="1"/>
    <x v="3"/>
    <x v="0"/>
    <x v="0"/>
    <x v="66"/>
    <n v="508"/>
  </r>
  <r>
    <x v="0"/>
    <x v="0"/>
    <x v="0"/>
    <x v="90"/>
    <x v="90"/>
    <x v="90"/>
    <x v="5"/>
    <x v="1"/>
    <x v="3"/>
    <x v="0"/>
    <x v="0"/>
    <x v="67"/>
    <n v="703"/>
  </r>
  <r>
    <x v="0"/>
    <x v="0"/>
    <x v="0"/>
    <x v="91"/>
    <x v="91"/>
    <x v="91"/>
    <x v="5"/>
    <x v="1"/>
    <x v="3"/>
    <x v="0"/>
    <x v="0"/>
    <x v="68"/>
    <n v="807"/>
  </r>
  <r>
    <x v="0"/>
    <x v="0"/>
    <x v="0"/>
    <x v="92"/>
    <x v="92"/>
    <x v="92"/>
    <x v="5"/>
    <x v="1"/>
    <x v="3"/>
    <x v="0"/>
    <x v="0"/>
    <x v="69"/>
    <n v="712"/>
  </r>
  <r>
    <x v="0"/>
    <x v="0"/>
    <x v="0"/>
    <x v="93"/>
    <x v="93"/>
    <x v="93"/>
    <x v="5"/>
    <x v="1"/>
    <x v="3"/>
    <x v="0"/>
    <x v="0"/>
    <x v="70"/>
    <n v="719"/>
  </r>
  <r>
    <x v="0"/>
    <x v="0"/>
    <x v="0"/>
    <x v="94"/>
    <x v="94"/>
    <x v="94"/>
    <x v="5"/>
    <x v="1"/>
    <x v="3"/>
    <x v="0"/>
    <x v="0"/>
    <x v="71"/>
    <n v="707"/>
  </r>
  <r>
    <x v="0"/>
    <x v="0"/>
    <x v="0"/>
    <x v="95"/>
    <x v="95"/>
    <x v="95"/>
    <x v="5"/>
    <x v="1"/>
    <x v="3"/>
    <x v="0"/>
    <x v="0"/>
    <x v="72"/>
    <n v="463"/>
  </r>
  <r>
    <x v="0"/>
    <x v="0"/>
    <x v="0"/>
    <x v="96"/>
    <x v="96"/>
    <x v="96"/>
    <x v="2"/>
    <x v="0"/>
    <x v="2"/>
    <x v="0"/>
    <x v="0"/>
    <x v="14"/>
    <n v="77"/>
  </r>
  <r>
    <x v="0"/>
    <x v="0"/>
    <x v="0"/>
    <x v="97"/>
    <x v="97"/>
    <x v="97"/>
    <x v="5"/>
    <x v="1"/>
    <x v="3"/>
    <x v="0"/>
    <x v="0"/>
    <x v="73"/>
    <n v="1412"/>
  </r>
  <r>
    <x v="1"/>
    <x v="1"/>
    <x v="0"/>
    <x v="31"/>
    <x v="31"/>
    <x v="31"/>
    <x v="0"/>
    <x v="0"/>
    <x v="1"/>
    <x v="0"/>
    <x v="1"/>
    <x v="74"/>
    <n v="72"/>
  </r>
  <r>
    <x v="1"/>
    <x v="1"/>
    <x v="0"/>
    <x v="32"/>
    <x v="32"/>
    <x v="32"/>
    <x v="0"/>
    <x v="0"/>
    <x v="1"/>
    <x v="0"/>
    <x v="1"/>
    <x v="74"/>
    <n v="77"/>
  </r>
  <r>
    <x v="1"/>
    <x v="2"/>
    <x v="0"/>
    <x v="51"/>
    <x v="51"/>
    <x v="51"/>
    <x v="5"/>
    <x v="1"/>
    <x v="3"/>
    <x v="0"/>
    <x v="2"/>
    <x v="74"/>
    <n v="474"/>
  </r>
  <r>
    <x v="1"/>
    <x v="3"/>
    <x v="0"/>
    <x v="55"/>
    <x v="55"/>
    <x v="55"/>
    <x v="5"/>
    <x v="1"/>
    <x v="3"/>
    <x v="0"/>
    <x v="3"/>
    <x v="74"/>
    <n v="419"/>
  </r>
  <r>
    <x v="1"/>
    <x v="2"/>
    <x v="0"/>
    <x v="59"/>
    <x v="59"/>
    <x v="59"/>
    <x v="5"/>
    <x v="1"/>
    <x v="3"/>
    <x v="0"/>
    <x v="4"/>
    <x v="74"/>
    <n v="19"/>
  </r>
  <r>
    <x v="2"/>
    <x v="4"/>
    <x v="0"/>
    <x v="9"/>
    <x v="9"/>
    <x v="9"/>
    <x v="1"/>
    <x v="0"/>
    <x v="0"/>
    <x v="1"/>
    <x v="0"/>
    <x v="74"/>
    <n v="86"/>
  </r>
  <r>
    <x v="2"/>
    <x v="5"/>
    <x v="0"/>
    <x v="98"/>
    <x v="98"/>
    <x v="98"/>
    <x v="3"/>
    <x v="0"/>
    <x v="1"/>
    <x v="2"/>
    <x v="0"/>
    <x v="74"/>
    <n v="95"/>
  </r>
  <r>
    <x v="2"/>
    <x v="6"/>
    <x v="0"/>
    <x v="98"/>
    <x v="98"/>
    <x v="98"/>
    <x v="3"/>
    <x v="0"/>
    <x v="1"/>
    <x v="0"/>
    <x v="5"/>
    <x v="74"/>
    <n v="95"/>
  </r>
  <r>
    <x v="2"/>
    <x v="6"/>
    <x v="0"/>
    <x v="23"/>
    <x v="23"/>
    <x v="23"/>
    <x v="3"/>
    <x v="0"/>
    <x v="1"/>
    <x v="0"/>
    <x v="5"/>
    <x v="74"/>
    <n v="88"/>
  </r>
  <r>
    <x v="2"/>
    <x v="0"/>
    <x v="0"/>
    <x v="99"/>
    <x v="99"/>
    <x v="99"/>
    <x v="1"/>
    <x v="0"/>
    <x v="1"/>
    <x v="2"/>
    <x v="0"/>
    <x v="74"/>
    <n v="95"/>
  </r>
  <r>
    <x v="2"/>
    <x v="6"/>
    <x v="0"/>
    <x v="99"/>
    <x v="99"/>
    <x v="99"/>
    <x v="1"/>
    <x v="0"/>
    <x v="1"/>
    <x v="0"/>
    <x v="5"/>
    <x v="74"/>
    <n v="95"/>
  </r>
  <r>
    <x v="2"/>
    <x v="6"/>
    <x v="0"/>
    <x v="27"/>
    <x v="27"/>
    <x v="27"/>
    <x v="3"/>
    <x v="0"/>
    <x v="1"/>
    <x v="0"/>
    <x v="5"/>
    <x v="74"/>
    <n v="78"/>
  </r>
  <r>
    <x v="2"/>
    <x v="7"/>
    <x v="0"/>
    <x v="31"/>
    <x v="31"/>
    <x v="31"/>
    <x v="0"/>
    <x v="0"/>
    <x v="1"/>
    <x v="0"/>
    <x v="6"/>
    <x v="74"/>
    <n v="72"/>
  </r>
  <r>
    <x v="2"/>
    <x v="8"/>
    <x v="0"/>
    <x v="45"/>
    <x v="45"/>
    <x v="45"/>
    <x v="0"/>
    <x v="0"/>
    <x v="2"/>
    <x v="0"/>
    <x v="7"/>
    <x v="74"/>
    <n v="9"/>
  </r>
  <r>
    <x v="2"/>
    <x v="9"/>
    <x v="0"/>
    <x v="100"/>
    <x v="100"/>
    <x v="100"/>
    <x v="5"/>
    <x v="0"/>
    <x v="1"/>
    <x v="2"/>
    <x v="0"/>
    <x v="74"/>
    <n v="0"/>
  </r>
  <r>
    <x v="2"/>
    <x v="10"/>
    <x v="0"/>
    <x v="100"/>
    <x v="100"/>
    <x v="100"/>
    <x v="5"/>
    <x v="0"/>
    <x v="1"/>
    <x v="0"/>
    <x v="5"/>
    <x v="74"/>
    <n v="0"/>
  </r>
  <r>
    <x v="2"/>
    <x v="0"/>
    <x v="0"/>
    <x v="17"/>
    <x v="17"/>
    <x v="17"/>
    <x v="2"/>
    <x v="0"/>
    <x v="1"/>
    <x v="0"/>
    <x v="8"/>
    <x v="74"/>
    <n v="81"/>
  </r>
  <r>
    <x v="2"/>
    <x v="0"/>
    <x v="0"/>
    <x v="18"/>
    <x v="18"/>
    <x v="18"/>
    <x v="1"/>
    <x v="0"/>
    <x v="1"/>
    <x v="0"/>
    <x v="8"/>
    <x v="74"/>
    <n v="67"/>
  </r>
  <r>
    <x v="3"/>
    <x v="11"/>
    <x v="0"/>
    <x v="47"/>
    <x v="47"/>
    <x v="47"/>
    <x v="5"/>
    <x v="1"/>
    <x v="3"/>
    <x v="0"/>
    <x v="9"/>
    <x v="74"/>
    <n v="656"/>
  </r>
  <r>
    <x v="3"/>
    <x v="11"/>
    <x v="0"/>
    <x v="48"/>
    <x v="48"/>
    <x v="48"/>
    <x v="5"/>
    <x v="1"/>
    <x v="3"/>
    <x v="0"/>
    <x v="6"/>
    <x v="74"/>
    <n v="1877"/>
  </r>
  <r>
    <x v="3"/>
    <x v="11"/>
    <x v="0"/>
    <x v="50"/>
    <x v="50"/>
    <x v="50"/>
    <x v="5"/>
    <x v="1"/>
    <x v="3"/>
    <x v="0"/>
    <x v="10"/>
    <x v="74"/>
    <n v="223"/>
  </r>
  <r>
    <x v="3"/>
    <x v="11"/>
    <x v="0"/>
    <x v="51"/>
    <x v="51"/>
    <x v="51"/>
    <x v="5"/>
    <x v="1"/>
    <x v="3"/>
    <x v="0"/>
    <x v="11"/>
    <x v="74"/>
    <n v="474"/>
  </r>
  <r>
    <x v="3"/>
    <x v="11"/>
    <x v="0"/>
    <x v="52"/>
    <x v="52"/>
    <x v="52"/>
    <x v="5"/>
    <x v="1"/>
    <x v="3"/>
    <x v="0"/>
    <x v="11"/>
    <x v="74"/>
    <n v="2685"/>
  </r>
  <r>
    <x v="3"/>
    <x v="12"/>
    <x v="0"/>
    <x v="55"/>
    <x v="55"/>
    <x v="55"/>
    <x v="5"/>
    <x v="1"/>
    <x v="3"/>
    <x v="0"/>
    <x v="0"/>
    <x v="74"/>
    <n v="419"/>
  </r>
  <r>
    <x v="3"/>
    <x v="12"/>
    <x v="0"/>
    <x v="55"/>
    <x v="55"/>
    <x v="55"/>
    <x v="5"/>
    <x v="1"/>
    <x v="3"/>
    <x v="0"/>
    <x v="12"/>
    <x v="74"/>
    <n v="419"/>
  </r>
  <r>
    <x v="3"/>
    <x v="11"/>
    <x v="0"/>
    <x v="60"/>
    <x v="60"/>
    <x v="60"/>
    <x v="5"/>
    <x v="1"/>
    <x v="3"/>
    <x v="0"/>
    <x v="11"/>
    <x v="74"/>
    <n v="4577"/>
  </r>
  <r>
    <x v="3"/>
    <x v="11"/>
    <x v="0"/>
    <x v="65"/>
    <x v="65"/>
    <x v="65"/>
    <x v="5"/>
    <x v="1"/>
    <x v="3"/>
    <x v="0"/>
    <x v="11"/>
    <x v="74"/>
    <n v="1966"/>
  </r>
  <r>
    <x v="3"/>
    <x v="11"/>
    <x v="0"/>
    <x v="72"/>
    <x v="72"/>
    <x v="72"/>
    <x v="5"/>
    <x v="1"/>
    <x v="3"/>
    <x v="0"/>
    <x v="11"/>
    <x v="74"/>
    <n v="975"/>
  </r>
  <r>
    <x v="4"/>
    <x v="13"/>
    <x v="0"/>
    <x v="56"/>
    <x v="56"/>
    <x v="56"/>
    <x v="5"/>
    <x v="1"/>
    <x v="3"/>
    <x v="0"/>
    <x v="2"/>
    <x v="74"/>
    <n v="1403"/>
  </r>
  <r>
    <x v="4"/>
    <x v="13"/>
    <x v="0"/>
    <x v="48"/>
    <x v="48"/>
    <x v="48"/>
    <x v="5"/>
    <x v="1"/>
    <x v="3"/>
    <x v="0"/>
    <x v="2"/>
    <x v="74"/>
    <n v="1877"/>
  </r>
  <r>
    <x v="4"/>
    <x v="13"/>
    <x v="0"/>
    <x v="47"/>
    <x v="47"/>
    <x v="47"/>
    <x v="5"/>
    <x v="1"/>
    <x v="3"/>
    <x v="0"/>
    <x v="2"/>
    <x v="74"/>
    <n v="656"/>
  </r>
  <r>
    <x v="4"/>
    <x v="13"/>
    <x v="0"/>
    <x v="63"/>
    <x v="63"/>
    <x v="63"/>
    <x v="5"/>
    <x v="1"/>
    <x v="3"/>
    <x v="0"/>
    <x v="2"/>
    <x v="74"/>
    <n v="292"/>
  </r>
  <r>
    <x v="4"/>
    <x v="13"/>
    <x v="0"/>
    <x v="51"/>
    <x v="51"/>
    <x v="51"/>
    <x v="5"/>
    <x v="1"/>
    <x v="3"/>
    <x v="0"/>
    <x v="2"/>
    <x v="74"/>
    <n v="474"/>
  </r>
  <r>
    <x v="4"/>
    <x v="13"/>
    <x v="0"/>
    <x v="61"/>
    <x v="61"/>
    <x v="61"/>
    <x v="5"/>
    <x v="1"/>
    <x v="3"/>
    <x v="0"/>
    <x v="2"/>
    <x v="74"/>
    <n v="538"/>
  </r>
  <r>
    <x v="4"/>
    <x v="13"/>
    <x v="0"/>
    <x v="52"/>
    <x v="52"/>
    <x v="52"/>
    <x v="5"/>
    <x v="1"/>
    <x v="3"/>
    <x v="0"/>
    <x v="10"/>
    <x v="74"/>
    <n v="2685"/>
  </r>
  <r>
    <x v="4"/>
    <x v="13"/>
    <x v="0"/>
    <x v="59"/>
    <x v="59"/>
    <x v="59"/>
    <x v="5"/>
    <x v="1"/>
    <x v="3"/>
    <x v="0"/>
    <x v="2"/>
    <x v="74"/>
    <n v="19"/>
  </r>
  <r>
    <x v="4"/>
    <x v="13"/>
    <x v="0"/>
    <x v="74"/>
    <x v="74"/>
    <x v="74"/>
    <x v="5"/>
    <x v="1"/>
    <x v="3"/>
    <x v="0"/>
    <x v="13"/>
    <x v="74"/>
    <n v="595"/>
  </r>
  <r>
    <x v="4"/>
    <x v="13"/>
    <x v="0"/>
    <x v="47"/>
    <x v="47"/>
    <x v="47"/>
    <x v="5"/>
    <x v="1"/>
    <x v="3"/>
    <x v="0"/>
    <x v="7"/>
    <x v="74"/>
    <n v="656"/>
  </r>
  <r>
    <x v="4"/>
    <x v="13"/>
    <x v="0"/>
    <x v="63"/>
    <x v="63"/>
    <x v="63"/>
    <x v="5"/>
    <x v="1"/>
    <x v="3"/>
    <x v="0"/>
    <x v="7"/>
    <x v="74"/>
    <n v="292"/>
  </r>
  <r>
    <x v="4"/>
    <x v="13"/>
    <x v="0"/>
    <x v="48"/>
    <x v="48"/>
    <x v="48"/>
    <x v="5"/>
    <x v="1"/>
    <x v="3"/>
    <x v="0"/>
    <x v="5"/>
    <x v="74"/>
    <n v="1877"/>
  </r>
  <r>
    <x v="4"/>
    <x v="14"/>
    <x v="0"/>
    <x v="6"/>
    <x v="6"/>
    <x v="6"/>
    <x v="1"/>
    <x v="0"/>
    <x v="0"/>
    <x v="0"/>
    <x v="5"/>
    <x v="74"/>
    <n v="85"/>
  </r>
  <r>
    <x v="4"/>
    <x v="14"/>
    <x v="0"/>
    <x v="7"/>
    <x v="7"/>
    <x v="7"/>
    <x v="1"/>
    <x v="0"/>
    <x v="0"/>
    <x v="0"/>
    <x v="5"/>
    <x v="74"/>
    <n v="79"/>
  </r>
  <r>
    <x v="4"/>
    <x v="14"/>
    <x v="0"/>
    <x v="9"/>
    <x v="9"/>
    <x v="9"/>
    <x v="1"/>
    <x v="0"/>
    <x v="0"/>
    <x v="0"/>
    <x v="5"/>
    <x v="74"/>
    <n v="86"/>
  </r>
  <r>
    <x v="4"/>
    <x v="14"/>
    <x v="0"/>
    <x v="10"/>
    <x v="10"/>
    <x v="10"/>
    <x v="1"/>
    <x v="0"/>
    <x v="0"/>
    <x v="0"/>
    <x v="5"/>
    <x v="74"/>
    <n v="63"/>
  </r>
  <r>
    <x v="4"/>
    <x v="15"/>
    <x v="0"/>
    <x v="13"/>
    <x v="13"/>
    <x v="13"/>
    <x v="1"/>
    <x v="0"/>
    <x v="1"/>
    <x v="0"/>
    <x v="5"/>
    <x v="74"/>
    <n v="69"/>
  </r>
  <r>
    <x v="4"/>
    <x v="15"/>
    <x v="0"/>
    <x v="22"/>
    <x v="22"/>
    <x v="22"/>
    <x v="3"/>
    <x v="0"/>
    <x v="1"/>
    <x v="0"/>
    <x v="5"/>
    <x v="74"/>
    <n v="96"/>
  </r>
  <r>
    <x v="4"/>
    <x v="0"/>
    <x v="0"/>
    <x v="20"/>
    <x v="20"/>
    <x v="20"/>
    <x v="0"/>
    <x v="0"/>
    <x v="1"/>
    <x v="0"/>
    <x v="6"/>
    <x v="74"/>
    <n v="94"/>
  </r>
  <r>
    <x v="4"/>
    <x v="0"/>
    <x v="0"/>
    <x v="45"/>
    <x v="45"/>
    <x v="45"/>
    <x v="0"/>
    <x v="0"/>
    <x v="2"/>
    <x v="0"/>
    <x v="14"/>
    <x v="74"/>
    <n v="9"/>
  </r>
  <r>
    <x v="4"/>
    <x v="0"/>
    <x v="0"/>
    <x v="31"/>
    <x v="31"/>
    <x v="31"/>
    <x v="0"/>
    <x v="0"/>
    <x v="1"/>
    <x v="0"/>
    <x v="6"/>
    <x v="74"/>
    <n v="72"/>
  </r>
  <r>
    <x v="4"/>
    <x v="0"/>
    <x v="0"/>
    <x v="32"/>
    <x v="32"/>
    <x v="32"/>
    <x v="0"/>
    <x v="0"/>
    <x v="1"/>
    <x v="0"/>
    <x v="6"/>
    <x v="74"/>
    <n v="77"/>
  </r>
  <r>
    <x v="4"/>
    <x v="0"/>
    <x v="0"/>
    <x v="99"/>
    <x v="99"/>
    <x v="99"/>
    <x v="1"/>
    <x v="0"/>
    <x v="1"/>
    <x v="3"/>
    <x v="0"/>
    <x v="74"/>
    <n v="95"/>
  </r>
  <r>
    <x v="4"/>
    <x v="0"/>
    <x v="0"/>
    <x v="99"/>
    <x v="99"/>
    <x v="99"/>
    <x v="1"/>
    <x v="0"/>
    <x v="1"/>
    <x v="0"/>
    <x v="7"/>
    <x v="74"/>
    <n v="95"/>
  </r>
  <r>
    <x v="4"/>
    <x v="0"/>
    <x v="0"/>
    <x v="101"/>
    <x v="101"/>
    <x v="101"/>
    <x v="5"/>
    <x v="0"/>
    <x v="2"/>
    <x v="2"/>
    <x v="0"/>
    <x v="74"/>
    <n v="96"/>
  </r>
  <r>
    <x v="4"/>
    <x v="16"/>
    <x v="0"/>
    <x v="101"/>
    <x v="101"/>
    <x v="101"/>
    <x v="5"/>
    <x v="0"/>
    <x v="2"/>
    <x v="0"/>
    <x v="5"/>
    <x v="74"/>
    <n v="96"/>
  </r>
  <r>
    <x v="4"/>
    <x v="0"/>
    <x v="0"/>
    <x v="102"/>
    <x v="102"/>
    <x v="102"/>
    <x v="5"/>
    <x v="0"/>
    <x v="2"/>
    <x v="1"/>
    <x v="0"/>
    <x v="74"/>
    <n v="95"/>
  </r>
  <r>
    <x v="4"/>
    <x v="0"/>
    <x v="0"/>
    <x v="102"/>
    <x v="102"/>
    <x v="102"/>
    <x v="5"/>
    <x v="0"/>
    <x v="2"/>
    <x v="0"/>
    <x v="6"/>
    <x v="74"/>
    <n v="95"/>
  </r>
  <r>
    <x v="4"/>
    <x v="17"/>
    <x v="0"/>
    <x v="0"/>
    <x v="0"/>
    <x v="0"/>
    <x v="0"/>
    <x v="0"/>
    <x v="0"/>
    <x v="0"/>
    <x v="5"/>
    <x v="74"/>
    <n v="19"/>
  </r>
  <r>
    <x v="4"/>
    <x v="17"/>
    <x v="0"/>
    <x v="4"/>
    <x v="4"/>
    <x v="4"/>
    <x v="2"/>
    <x v="0"/>
    <x v="0"/>
    <x v="0"/>
    <x v="7"/>
    <x v="74"/>
    <n v="70"/>
  </r>
  <r>
    <x v="5"/>
    <x v="18"/>
    <x v="0"/>
    <x v="35"/>
    <x v="35"/>
    <x v="35"/>
    <x v="2"/>
    <x v="0"/>
    <x v="1"/>
    <x v="0"/>
    <x v="5"/>
    <x v="74"/>
    <n v="74"/>
  </r>
  <r>
    <x v="5"/>
    <x v="19"/>
    <x v="0"/>
    <x v="7"/>
    <x v="7"/>
    <x v="7"/>
    <x v="1"/>
    <x v="0"/>
    <x v="0"/>
    <x v="0"/>
    <x v="1"/>
    <x v="74"/>
    <n v="79"/>
  </r>
  <r>
    <x v="5"/>
    <x v="19"/>
    <x v="0"/>
    <x v="10"/>
    <x v="10"/>
    <x v="10"/>
    <x v="1"/>
    <x v="0"/>
    <x v="0"/>
    <x v="0"/>
    <x v="1"/>
    <x v="74"/>
    <n v="63"/>
  </r>
  <r>
    <x v="5"/>
    <x v="20"/>
    <x v="0"/>
    <x v="48"/>
    <x v="48"/>
    <x v="48"/>
    <x v="5"/>
    <x v="1"/>
    <x v="3"/>
    <x v="0"/>
    <x v="15"/>
    <x v="74"/>
    <n v="1877"/>
  </r>
  <r>
    <x v="5"/>
    <x v="20"/>
    <x v="0"/>
    <x v="79"/>
    <x v="79"/>
    <x v="79"/>
    <x v="5"/>
    <x v="1"/>
    <x v="3"/>
    <x v="0"/>
    <x v="16"/>
    <x v="74"/>
    <n v="1473"/>
  </r>
  <r>
    <x v="5"/>
    <x v="20"/>
    <x v="0"/>
    <x v="49"/>
    <x v="49"/>
    <x v="49"/>
    <x v="5"/>
    <x v="1"/>
    <x v="3"/>
    <x v="0"/>
    <x v="2"/>
    <x v="74"/>
    <n v="523"/>
  </r>
  <r>
    <x v="5"/>
    <x v="20"/>
    <x v="0"/>
    <x v="51"/>
    <x v="51"/>
    <x v="51"/>
    <x v="5"/>
    <x v="1"/>
    <x v="3"/>
    <x v="0"/>
    <x v="17"/>
    <x v="74"/>
    <n v="474"/>
  </r>
  <r>
    <x v="5"/>
    <x v="20"/>
    <x v="0"/>
    <x v="63"/>
    <x v="63"/>
    <x v="63"/>
    <x v="5"/>
    <x v="1"/>
    <x v="3"/>
    <x v="0"/>
    <x v="13"/>
    <x v="74"/>
    <n v="292"/>
  </r>
  <r>
    <x v="5"/>
    <x v="20"/>
    <x v="0"/>
    <x v="47"/>
    <x v="47"/>
    <x v="47"/>
    <x v="5"/>
    <x v="1"/>
    <x v="3"/>
    <x v="0"/>
    <x v="18"/>
    <x v="74"/>
    <n v="656"/>
  </r>
  <r>
    <x v="5"/>
    <x v="20"/>
    <x v="0"/>
    <x v="65"/>
    <x v="65"/>
    <x v="65"/>
    <x v="5"/>
    <x v="1"/>
    <x v="3"/>
    <x v="0"/>
    <x v="16"/>
    <x v="74"/>
    <n v="1966"/>
  </r>
  <r>
    <x v="5"/>
    <x v="20"/>
    <x v="0"/>
    <x v="72"/>
    <x v="72"/>
    <x v="72"/>
    <x v="5"/>
    <x v="1"/>
    <x v="3"/>
    <x v="0"/>
    <x v="19"/>
    <x v="74"/>
    <n v="975"/>
  </r>
  <r>
    <x v="5"/>
    <x v="20"/>
    <x v="0"/>
    <x v="52"/>
    <x v="52"/>
    <x v="52"/>
    <x v="5"/>
    <x v="1"/>
    <x v="3"/>
    <x v="0"/>
    <x v="17"/>
    <x v="74"/>
    <n v="2685"/>
  </r>
  <r>
    <x v="5"/>
    <x v="20"/>
    <x v="0"/>
    <x v="60"/>
    <x v="60"/>
    <x v="60"/>
    <x v="5"/>
    <x v="1"/>
    <x v="3"/>
    <x v="0"/>
    <x v="13"/>
    <x v="74"/>
    <n v="4577"/>
  </r>
  <r>
    <x v="5"/>
    <x v="20"/>
    <x v="0"/>
    <x v="78"/>
    <x v="78"/>
    <x v="78"/>
    <x v="5"/>
    <x v="1"/>
    <x v="3"/>
    <x v="0"/>
    <x v="13"/>
    <x v="74"/>
    <n v="2338"/>
  </r>
  <r>
    <x v="5"/>
    <x v="20"/>
    <x v="0"/>
    <x v="56"/>
    <x v="56"/>
    <x v="56"/>
    <x v="5"/>
    <x v="1"/>
    <x v="3"/>
    <x v="0"/>
    <x v="2"/>
    <x v="74"/>
    <n v="1403"/>
  </r>
  <r>
    <x v="5"/>
    <x v="20"/>
    <x v="0"/>
    <x v="61"/>
    <x v="61"/>
    <x v="61"/>
    <x v="5"/>
    <x v="1"/>
    <x v="3"/>
    <x v="0"/>
    <x v="13"/>
    <x v="74"/>
    <n v="538"/>
  </r>
  <r>
    <x v="5"/>
    <x v="21"/>
    <x v="0"/>
    <x v="48"/>
    <x v="48"/>
    <x v="48"/>
    <x v="5"/>
    <x v="1"/>
    <x v="3"/>
    <x v="4"/>
    <x v="0"/>
    <x v="74"/>
    <n v="1877"/>
  </r>
  <r>
    <x v="5"/>
    <x v="22"/>
    <x v="0"/>
    <x v="49"/>
    <x v="49"/>
    <x v="49"/>
    <x v="5"/>
    <x v="1"/>
    <x v="3"/>
    <x v="0"/>
    <x v="4"/>
    <x v="74"/>
    <n v="523"/>
  </r>
  <r>
    <x v="5"/>
    <x v="22"/>
    <x v="0"/>
    <x v="63"/>
    <x v="63"/>
    <x v="63"/>
    <x v="5"/>
    <x v="1"/>
    <x v="3"/>
    <x v="0"/>
    <x v="4"/>
    <x v="74"/>
    <n v="292"/>
  </r>
  <r>
    <x v="6"/>
    <x v="0"/>
    <x v="0"/>
    <x v="102"/>
    <x v="102"/>
    <x v="102"/>
    <x v="5"/>
    <x v="0"/>
    <x v="2"/>
    <x v="5"/>
    <x v="0"/>
    <x v="74"/>
    <n v="95"/>
  </r>
  <r>
    <x v="6"/>
    <x v="0"/>
    <x v="0"/>
    <x v="101"/>
    <x v="101"/>
    <x v="101"/>
    <x v="5"/>
    <x v="0"/>
    <x v="2"/>
    <x v="6"/>
    <x v="0"/>
    <x v="74"/>
    <n v="96"/>
  </r>
  <r>
    <x v="6"/>
    <x v="0"/>
    <x v="0"/>
    <x v="98"/>
    <x v="98"/>
    <x v="98"/>
    <x v="3"/>
    <x v="0"/>
    <x v="1"/>
    <x v="7"/>
    <x v="0"/>
    <x v="74"/>
    <n v="95"/>
  </r>
  <r>
    <x v="6"/>
    <x v="0"/>
    <x v="0"/>
    <x v="103"/>
    <x v="103"/>
    <x v="103"/>
    <x v="5"/>
    <x v="0"/>
    <x v="0"/>
    <x v="7"/>
    <x v="0"/>
    <x v="74"/>
    <n v="96"/>
  </r>
  <r>
    <x v="6"/>
    <x v="0"/>
    <x v="0"/>
    <x v="104"/>
    <x v="104"/>
    <x v="104"/>
    <x v="3"/>
    <x v="0"/>
    <x v="1"/>
    <x v="7"/>
    <x v="0"/>
    <x v="74"/>
    <n v="98"/>
  </r>
  <r>
    <x v="7"/>
    <x v="23"/>
    <x v="0"/>
    <x v="105"/>
    <x v="105"/>
    <x v="105"/>
    <x v="5"/>
    <x v="0"/>
    <x v="4"/>
    <x v="8"/>
    <x v="0"/>
    <x v="74"/>
    <n v="28"/>
  </r>
  <r>
    <x v="7"/>
    <x v="24"/>
    <x v="0"/>
    <x v="105"/>
    <x v="105"/>
    <x v="105"/>
    <x v="5"/>
    <x v="0"/>
    <x v="4"/>
    <x v="0"/>
    <x v="2"/>
    <x v="74"/>
    <n v="28"/>
  </r>
  <r>
    <x v="7"/>
    <x v="25"/>
    <x v="0"/>
    <x v="105"/>
    <x v="105"/>
    <x v="105"/>
    <x v="5"/>
    <x v="0"/>
    <x v="4"/>
    <x v="0"/>
    <x v="7"/>
    <x v="74"/>
    <n v="28"/>
  </r>
  <r>
    <x v="7"/>
    <x v="26"/>
    <x v="0"/>
    <x v="105"/>
    <x v="105"/>
    <x v="105"/>
    <x v="5"/>
    <x v="0"/>
    <x v="4"/>
    <x v="0"/>
    <x v="10"/>
    <x v="74"/>
    <n v="28"/>
  </r>
  <r>
    <x v="7"/>
    <x v="27"/>
    <x v="0"/>
    <x v="72"/>
    <x v="72"/>
    <x v="72"/>
    <x v="5"/>
    <x v="1"/>
    <x v="3"/>
    <x v="0"/>
    <x v="2"/>
    <x v="74"/>
    <n v="975"/>
  </r>
  <r>
    <x v="7"/>
    <x v="27"/>
    <x v="0"/>
    <x v="60"/>
    <x v="60"/>
    <x v="60"/>
    <x v="5"/>
    <x v="1"/>
    <x v="3"/>
    <x v="0"/>
    <x v="13"/>
    <x v="74"/>
    <n v="4577"/>
  </r>
  <r>
    <x v="7"/>
    <x v="27"/>
    <x v="0"/>
    <x v="79"/>
    <x v="79"/>
    <x v="79"/>
    <x v="5"/>
    <x v="1"/>
    <x v="3"/>
    <x v="0"/>
    <x v="11"/>
    <x v="74"/>
    <n v="1473"/>
  </r>
  <r>
    <x v="7"/>
    <x v="27"/>
    <x v="0"/>
    <x v="48"/>
    <x v="48"/>
    <x v="48"/>
    <x v="5"/>
    <x v="1"/>
    <x v="3"/>
    <x v="0"/>
    <x v="20"/>
    <x v="74"/>
    <n v="1877"/>
  </r>
  <r>
    <x v="7"/>
    <x v="27"/>
    <x v="0"/>
    <x v="49"/>
    <x v="49"/>
    <x v="49"/>
    <x v="5"/>
    <x v="1"/>
    <x v="3"/>
    <x v="0"/>
    <x v="11"/>
    <x v="74"/>
    <n v="523"/>
  </r>
  <r>
    <x v="7"/>
    <x v="27"/>
    <x v="0"/>
    <x v="47"/>
    <x v="47"/>
    <x v="47"/>
    <x v="5"/>
    <x v="1"/>
    <x v="3"/>
    <x v="0"/>
    <x v="11"/>
    <x v="74"/>
    <n v="656"/>
  </r>
  <r>
    <x v="7"/>
    <x v="27"/>
    <x v="0"/>
    <x v="62"/>
    <x v="62"/>
    <x v="62"/>
    <x v="5"/>
    <x v="1"/>
    <x v="3"/>
    <x v="0"/>
    <x v="11"/>
    <x v="74"/>
    <n v="311"/>
  </r>
  <r>
    <x v="7"/>
    <x v="27"/>
    <x v="0"/>
    <x v="65"/>
    <x v="65"/>
    <x v="65"/>
    <x v="5"/>
    <x v="1"/>
    <x v="3"/>
    <x v="0"/>
    <x v="11"/>
    <x v="74"/>
    <n v="1966"/>
  </r>
  <r>
    <x v="7"/>
    <x v="27"/>
    <x v="0"/>
    <x v="66"/>
    <x v="66"/>
    <x v="66"/>
    <x v="5"/>
    <x v="1"/>
    <x v="3"/>
    <x v="0"/>
    <x v="13"/>
    <x v="74"/>
    <n v="698"/>
  </r>
  <r>
    <x v="8"/>
    <x v="28"/>
    <x v="0"/>
    <x v="56"/>
    <x v="56"/>
    <x v="56"/>
    <x v="5"/>
    <x v="1"/>
    <x v="3"/>
    <x v="0"/>
    <x v="8"/>
    <x v="74"/>
    <n v="1403"/>
  </r>
  <r>
    <x v="9"/>
    <x v="29"/>
    <x v="0"/>
    <x v="106"/>
    <x v="106"/>
    <x v="106"/>
    <x v="0"/>
    <x v="0"/>
    <x v="0"/>
    <x v="0"/>
    <x v="1"/>
    <x v="4"/>
    <n v="55"/>
  </r>
  <r>
    <x v="9"/>
    <x v="30"/>
    <x v="0"/>
    <x v="94"/>
    <x v="94"/>
    <x v="94"/>
    <x v="5"/>
    <x v="1"/>
    <x v="3"/>
    <x v="0"/>
    <x v="11"/>
    <x v="74"/>
    <n v="707"/>
  </r>
  <r>
    <x v="9"/>
    <x v="30"/>
    <x v="0"/>
    <x v="53"/>
    <x v="53"/>
    <x v="53"/>
    <x v="5"/>
    <x v="0"/>
    <x v="3"/>
    <x v="0"/>
    <x v="2"/>
    <x v="74"/>
    <n v="35"/>
  </r>
  <r>
    <x v="9"/>
    <x v="30"/>
    <x v="0"/>
    <x v="52"/>
    <x v="52"/>
    <x v="52"/>
    <x v="5"/>
    <x v="1"/>
    <x v="3"/>
    <x v="0"/>
    <x v="7"/>
    <x v="74"/>
    <n v="2685"/>
  </r>
  <r>
    <x v="9"/>
    <x v="30"/>
    <x v="0"/>
    <x v="79"/>
    <x v="79"/>
    <x v="79"/>
    <x v="5"/>
    <x v="1"/>
    <x v="3"/>
    <x v="0"/>
    <x v="7"/>
    <x v="74"/>
    <n v="1473"/>
  </r>
  <r>
    <x v="9"/>
    <x v="30"/>
    <x v="0"/>
    <x v="72"/>
    <x v="72"/>
    <x v="72"/>
    <x v="5"/>
    <x v="1"/>
    <x v="3"/>
    <x v="0"/>
    <x v="5"/>
    <x v="74"/>
    <n v="975"/>
  </r>
  <r>
    <x v="9"/>
    <x v="31"/>
    <x v="0"/>
    <x v="107"/>
    <x v="107"/>
    <x v="107"/>
    <x v="5"/>
    <x v="0"/>
    <x v="1"/>
    <x v="9"/>
    <x v="0"/>
    <x v="74"/>
    <n v="17"/>
  </r>
  <r>
    <x v="9"/>
    <x v="32"/>
    <x v="0"/>
    <x v="108"/>
    <x v="108"/>
    <x v="108"/>
    <x v="3"/>
    <x v="0"/>
    <x v="1"/>
    <x v="10"/>
    <x v="0"/>
    <x v="74"/>
    <n v="0"/>
  </r>
  <r>
    <x v="9"/>
    <x v="33"/>
    <x v="0"/>
    <x v="92"/>
    <x v="92"/>
    <x v="92"/>
    <x v="5"/>
    <x v="1"/>
    <x v="3"/>
    <x v="11"/>
    <x v="0"/>
    <x v="74"/>
    <n v="712"/>
  </r>
  <r>
    <x v="9"/>
    <x v="34"/>
    <x v="0"/>
    <x v="107"/>
    <x v="107"/>
    <x v="107"/>
    <x v="5"/>
    <x v="0"/>
    <x v="1"/>
    <x v="0"/>
    <x v="21"/>
    <x v="74"/>
    <n v="17"/>
  </r>
  <r>
    <x v="9"/>
    <x v="35"/>
    <x v="0"/>
    <x v="92"/>
    <x v="92"/>
    <x v="92"/>
    <x v="5"/>
    <x v="1"/>
    <x v="3"/>
    <x v="0"/>
    <x v="22"/>
    <x v="74"/>
    <n v="712"/>
  </r>
  <r>
    <x v="9"/>
    <x v="36"/>
    <x v="0"/>
    <x v="109"/>
    <x v="109"/>
    <x v="109"/>
    <x v="2"/>
    <x v="0"/>
    <x v="0"/>
    <x v="1"/>
    <x v="0"/>
    <x v="74"/>
    <n v="90"/>
  </r>
  <r>
    <x v="9"/>
    <x v="37"/>
    <x v="0"/>
    <x v="109"/>
    <x v="109"/>
    <x v="109"/>
    <x v="2"/>
    <x v="0"/>
    <x v="0"/>
    <x v="0"/>
    <x v="6"/>
    <x v="74"/>
    <n v="90"/>
  </r>
  <r>
    <x v="9"/>
    <x v="37"/>
    <x v="0"/>
    <x v="108"/>
    <x v="108"/>
    <x v="108"/>
    <x v="3"/>
    <x v="0"/>
    <x v="1"/>
    <x v="0"/>
    <x v="7"/>
    <x v="74"/>
    <n v="0"/>
  </r>
  <r>
    <x v="9"/>
    <x v="37"/>
    <x v="0"/>
    <x v="103"/>
    <x v="103"/>
    <x v="103"/>
    <x v="5"/>
    <x v="0"/>
    <x v="0"/>
    <x v="0"/>
    <x v="7"/>
    <x v="74"/>
    <n v="96"/>
  </r>
  <r>
    <x v="9"/>
    <x v="38"/>
    <x v="0"/>
    <x v="98"/>
    <x v="98"/>
    <x v="98"/>
    <x v="3"/>
    <x v="0"/>
    <x v="1"/>
    <x v="0"/>
    <x v="7"/>
    <x v="74"/>
    <n v="95"/>
  </r>
  <r>
    <x v="7"/>
    <x v="39"/>
    <x v="0"/>
    <x v="95"/>
    <x v="95"/>
    <x v="95"/>
    <x v="5"/>
    <x v="1"/>
    <x v="3"/>
    <x v="0"/>
    <x v="4"/>
    <x v="74"/>
    <n v="463"/>
  </r>
  <r>
    <x v="7"/>
    <x v="40"/>
    <x v="0"/>
    <x v="109"/>
    <x v="109"/>
    <x v="109"/>
    <x v="2"/>
    <x v="0"/>
    <x v="0"/>
    <x v="10"/>
    <x v="0"/>
    <x v="74"/>
    <n v="90"/>
  </r>
  <r>
    <x v="7"/>
    <x v="41"/>
    <x v="0"/>
    <x v="109"/>
    <x v="109"/>
    <x v="109"/>
    <x v="2"/>
    <x v="0"/>
    <x v="0"/>
    <x v="0"/>
    <x v="7"/>
    <x v="74"/>
    <n v="90"/>
  </r>
  <r>
    <x v="7"/>
    <x v="42"/>
    <x v="0"/>
    <x v="10"/>
    <x v="10"/>
    <x v="10"/>
    <x v="1"/>
    <x v="0"/>
    <x v="0"/>
    <x v="0"/>
    <x v="1"/>
    <x v="74"/>
    <n v="63"/>
  </r>
  <r>
    <x v="7"/>
    <x v="43"/>
    <x v="0"/>
    <x v="97"/>
    <x v="97"/>
    <x v="97"/>
    <x v="5"/>
    <x v="1"/>
    <x v="3"/>
    <x v="0"/>
    <x v="2"/>
    <x v="74"/>
    <n v="1412"/>
  </r>
  <r>
    <x v="7"/>
    <x v="43"/>
    <x v="0"/>
    <x v="56"/>
    <x v="56"/>
    <x v="56"/>
    <x v="5"/>
    <x v="1"/>
    <x v="3"/>
    <x v="0"/>
    <x v="2"/>
    <x v="74"/>
    <n v="1403"/>
  </r>
  <r>
    <x v="7"/>
    <x v="43"/>
    <x v="0"/>
    <x v="67"/>
    <x v="67"/>
    <x v="67"/>
    <x v="5"/>
    <x v="1"/>
    <x v="3"/>
    <x v="0"/>
    <x v="2"/>
    <x v="74"/>
    <n v="956"/>
  </r>
  <r>
    <x v="7"/>
    <x v="43"/>
    <x v="0"/>
    <x v="73"/>
    <x v="73"/>
    <x v="73"/>
    <x v="5"/>
    <x v="1"/>
    <x v="3"/>
    <x v="0"/>
    <x v="2"/>
    <x v="74"/>
    <n v="2104"/>
  </r>
  <r>
    <x v="7"/>
    <x v="43"/>
    <x v="0"/>
    <x v="66"/>
    <x v="66"/>
    <x v="66"/>
    <x v="5"/>
    <x v="1"/>
    <x v="3"/>
    <x v="0"/>
    <x v="19"/>
    <x v="74"/>
    <n v="698"/>
  </r>
  <r>
    <x v="7"/>
    <x v="43"/>
    <x v="0"/>
    <x v="53"/>
    <x v="53"/>
    <x v="53"/>
    <x v="5"/>
    <x v="0"/>
    <x v="3"/>
    <x v="0"/>
    <x v="23"/>
    <x v="74"/>
    <n v="35"/>
  </r>
  <r>
    <x v="7"/>
    <x v="43"/>
    <x v="0"/>
    <x v="61"/>
    <x v="61"/>
    <x v="61"/>
    <x v="5"/>
    <x v="1"/>
    <x v="3"/>
    <x v="0"/>
    <x v="2"/>
    <x v="74"/>
    <n v="538"/>
  </r>
  <r>
    <x v="7"/>
    <x v="43"/>
    <x v="0"/>
    <x v="80"/>
    <x v="80"/>
    <x v="80"/>
    <x v="5"/>
    <x v="0"/>
    <x v="3"/>
    <x v="0"/>
    <x v="1"/>
    <x v="74"/>
    <n v="958"/>
  </r>
  <r>
    <x v="8"/>
    <x v="28"/>
    <x v="0"/>
    <x v="50"/>
    <x v="50"/>
    <x v="50"/>
    <x v="5"/>
    <x v="1"/>
    <x v="3"/>
    <x v="0"/>
    <x v="4"/>
    <x v="74"/>
    <n v="223"/>
  </r>
  <r>
    <x v="10"/>
    <x v="44"/>
    <x v="0"/>
    <x v="105"/>
    <x v="105"/>
    <x v="105"/>
    <x v="5"/>
    <x v="0"/>
    <x v="4"/>
    <x v="0"/>
    <x v="10"/>
    <x v="74"/>
    <n v="28"/>
  </r>
  <r>
    <x v="10"/>
    <x v="45"/>
    <x v="0"/>
    <x v="107"/>
    <x v="107"/>
    <x v="107"/>
    <x v="5"/>
    <x v="0"/>
    <x v="1"/>
    <x v="0"/>
    <x v="4"/>
    <x v="74"/>
    <n v="17"/>
  </r>
  <r>
    <x v="10"/>
    <x v="46"/>
    <x v="0"/>
    <x v="31"/>
    <x v="31"/>
    <x v="31"/>
    <x v="0"/>
    <x v="0"/>
    <x v="1"/>
    <x v="0"/>
    <x v="11"/>
    <x v="74"/>
    <n v="72"/>
  </r>
  <r>
    <x v="10"/>
    <x v="46"/>
    <x v="0"/>
    <x v="45"/>
    <x v="45"/>
    <x v="45"/>
    <x v="0"/>
    <x v="0"/>
    <x v="2"/>
    <x v="0"/>
    <x v="5"/>
    <x v="74"/>
    <n v="9"/>
  </r>
  <r>
    <x v="10"/>
    <x v="47"/>
    <x v="0"/>
    <x v="105"/>
    <x v="105"/>
    <x v="105"/>
    <x v="5"/>
    <x v="0"/>
    <x v="4"/>
    <x v="0"/>
    <x v="11"/>
    <x v="74"/>
    <n v="28"/>
  </r>
  <r>
    <x v="10"/>
    <x v="48"/>
    <x v="0"/>
    <x v="63"/>
    <x v="63"/>
    <x v="63"/>
    <x v="5"/>
    <x v="1"/>
    <x v="3"/>
    <x v="0"/>
    <x v="4"/>
    <x v="74"/>
    <n v="292"/>
  </r>
  <r>
    <x v="10"/>
    <x v="49"/>
    <x v="0"/>
    <x v="50"/>
    <x v="50"/>
    <x v="50"/>
    <x v="5"/>
    <x v="1"/>
    <x v="3"/>
    <x v="12"/>
    <x v="0"/>
    <x v="74"/>
    <n v="223"/>
  </r>
  <r>
    <x v="10"/>
    <x v="49"/>
    <x v="0"/>
    <x v="79"/>
    <x v="79"/>
    <x v="79"/>
    <x v="5"/>
    <x v="1"/>
    <x v="3"/>
    <x v="2"/>
    <x v="0"/>
    <x v="74"/>
    <n v="1473"/>
  </r>
  <r>
    <x v="10"/>
    <x v="50"/>
    <x v="0"/>
    <x v="99"/>
    <x v="99"/>
    <x v="99"/>
    <x v="1"/>
    <x v="0"/>
    <x v="1"/>
    <x v="13"/>
    <x v="0"/>
    <x v="74"/>
    <n v="95"/>
  </r>
  <r>
    <x v="10"/>
    <x v="51"/>
    <x v="0"/>
    <x v="105"/>
    <x v="105"/>
    <x v="105"/>
    <x v="5"/>
    <x v="0"/>
    <x v="4"/>
    <x v="14"/>
    <x v="0"/>
    <x v="74"/>
    <n v="28"/>
  </r>
  <r>
    <x v="11"/>
    <x v="52"/>
    <x v="0"/>
    <x v="105"/>
    <x v="105"/>
    <x v="105"/>
    <x v="5"/>
    <x v="0"/>
    <x v="4"/>
    <x v="0"/>
    <x v="2"/>
    <x v="74"/>
    <n v="28"/>
  </r>
  <r>
    <x v="11"/>
    <x v="53"/>
    <x v="0"/>
    <x v="50"/>
    <x v="50"/>
    <x v="50"/>
    <x v="5"/>
    <x v="1"/>
    <x v="3"/>
    <x v="0"/>
    <x v="13"/>
    <x v="74"/>
    <n v="223"/>
  </r>
  <r>
    <x v="11"/>
    <x v="53"/>
    <x v="0"/>
    <x v="47"/>
    <x v="47"/>
    <x v="47"/>
    <x v="5"/>
    <x v="1"/>
    <x v="3"/>
    <x v="0"/>
    <x v="24"/>
    <x v="74"/>
    <n v="656"/>
  </r>
  <r>
    <x v="11"/>
    <x v="53"/>
    <x v="0"/>
    <x v="48"/>
    <x v="48"/>
    <x v="48"/>
    <x v="5"/>
    <x v="1"/>
    <x v="3"/>
    <x v="0"/>
    <x v="17"/>
    <x v="74"/>
    <n v="1877"/>
  </r>
  <r>
    <x v="11"/>
    <x v="53"/>
    <x v="0"/>
    <x v="79"/>
    <x v="79"/>
    <x v="79"/>
    <x v="5"/>
    <x v="1"/>
    <x v="3"/>
    <x v="0"/>
    <x v="1"/>
    <x v="74"/>
    <n v="1473"/>
  </r>
  <r>
    <x v="11"/>
    <x v="53"/>
    <x v="0"/>
    <x v="52"/>
    <x v="52"/>
    <x v="52"/>
    <x v="5"/>
    <x v="1"/>
    <x v="3"/>
    <x v="0"/>
    <x v="1"/>
    <x v="74"/>
    <n v="2685"/>
  </r>
  <r>
    <x v="11"/>
    <x v="53"/>
    <x v="0"/>
    <x v="59"/>
    <x v="59"/>
    <x v="59"/>
    <x v="5"/>
    <x v="1"/>
    <x v="3"/>
    <x v="0"/>
    <x v="10"/>
    <x v="74"/>
    <n v="19"/>
  </r>
  <r>
    <x v="11"/>
    <x v="53"/>
    <x v="0"/>
    <x v="61"/>
    <x v="61"/>
    <x v="61"/>
    <x v="5"/>
    <x v="1"/>
    <x v="3"/>
    <x v="0"/>
    <x v="3"/>
    <x v="74"/>
    <n v="538"/>
  </r>
  <r>
    <x v="11"/>
    <x v="54"/>
    <x v="0"/>
    <x v="105"/>
    <x v="105"/>
    <x v="105"/>
    <x v="5"/>
    <x v="0"/>
    <x v="4"/>
    <x v="15"/>
    <x v="0"/>
    <x v="74"/>
    <n v="28"/>
  </r>
  <r>
    <x v="11"/>
    <x v="55"/>
    <x v="0"/>
    <x v="105"/>
    <x v="105"/>
    <x v="105"/>
    <x v="5"/>
    <x v="0"/>
    <x v="4"/>
    <x v="0"/>
    <x v="14"/>
    <x v="74"/>
    <n v="28"/>
  </r>
  <r>
    <x v="11"/>
    <x v="55"/>
    <x v="0"/>
    <x v="13"/>
    <x v="13"/>
    <x v="13"/>
    <x v="1"/>
    <x v="0"/>
    <x v="1"/>
    <x v="0"/>
    <x v="10"/>
    <x v="74"/>
    <n v="69"/>
  </r>
  <r>
    <x v="11"/>
    <x v="56"/>
    <x v="0"/>
    <x v="106"/>
    <x v="106"/>
    <x v="106"/>
    <x v="0"/>
    <x v="0"/>
    <x v="0"/>
    <x v="0"/>
    <x v="5"/>
    <x v="74"/>
    <n v="55"/>
  </r>
  <r>
    <x v="11"/>
    <x v="56"/>
    <x v="0"/>
    <x v="0"/>
    <x v="0"/>
    <x v="0"/>
    <x v="0"/>
    <x v="0"/>
    <x v="0"/>
    <x v="0"/>
    <x v="5"/>
    <x v="74"/>
    <n v="19"/>
  </r>
  <r>
    <x v="11"/>
    <x v="56"/>
    <x v="0"/>
    <x v="107"/>
    <x v="107"/>
    <x v="107"/>
    <x v="5"/>
    <x v="0"/>
    <x v="1"/>
    <x v="0"/>
    <x v="5"/>
    <x v="74"/>
    <n v="17"/>
  </r>
  <r>
    <x v="11"/>
    <x v="56"/>
    <x v="0"/>
    <x v="98"/>
    <x v="98"/>
    <x v="98"/>
    <x v="3"/>
    <x v="0"/>
    <x v="1"/>
    <x v="0"/>
    <x v="5"/>
    <x v="74"/>
    <n v="95"/>
  </r>
  <r>
    <x v="11"/>
    <x v="56"/>
    <x v="0"/>
    <x v="101"/>
    <x v="101"/>
    <x v="101"/>
    <x v="5"/>
    <x v="0"/>
    <x v="2"/>
    <x v="0"/>
    <x v="5"/>
    <x v="74"/>
    <n v="96"/>
  </r>
  <r>
    <x v="11"/>
    <x v="56"/>
    <x v="0"/>
    <x v="45"/>
    <x v="45"/>
    <x v="45"/>
    <x v="0"/>
    <x v="0"/>
    <x v="2"/>
    <x v="0"/>
    <x v="5"/>
    <x v="74"/>
    <n v="9"/>
  </r>
  <r>
    <x v="11"/>
    <x v="57"/>
    <x v="0"/>
    <x v="69"/>
    <x v="69"/>
    <x v="69"/>
    <x v="5"/>
    <x v="1"/>
    <x v="3"/>
    <x v="0"/>
    <x v="25"/>
    <x v="74"/>
    <n v="1"/>
  </r>
  <r>
    <x v="11"/>
    <x v="58"/>
    <x v="0"/>
    <x v="109"/>
    <x v="109"/>
    <x v="109"/>
    <x v="2"/>
    <x v="0"/>
    <x v="0"/>
    <x v="16"/>
    <x v="0"/>
    <x v="74"/>
    <n v="90"/>
  </r>
  <r>
    <x v="11"/>
    <x v="59"/>
    <x v="0"/>
    <x v="107"/>
    <x v="107"/>
    <x v="107"/>
    <x v="5"/>
    <x v="0"/>
    <x v="1"/>
    <x v="17"/>
    <x v="0"/>
    <x v="74"/>
    <n v="17"/>
  </r>
  <r>
    <x v="11"/>
    <x v="59"/>
    <x v="0"/>
    <x v="110"/>
    <x v="110"/>
    <x v="110"/>
    <x v="6"/>
    <x v="0"/>
    <x v="2"/>
    <x v="3"/>
    <x v="0"/>
    <x v="74"/>
    <n v="485"/>
  </r>
  <r>
    <x v="11"/>
    <x v="60"/>
    <x v="0"/>
    <x v="105"/>
    <x v="105"/>
    <x v="105"/>
    <x v="5"/>
    <x v="0"/>
    <x v="4"/>
    <x v="0"/>
    <x v="6"/>
    <x v="74"/>
    <n v="28"/>
  </r>
  <r>
    <x v="12"/>
    <x v="61"/>
    <x v="0"/>
    <x v="105"/>
    <x v="105"/>
    <x v="105"/>
    <x v="5"/>
    <x v="0"/>
    <x v="4"/>
    <x v="0"/>
    <x v="1"/>
    <x v="74"/>
    <n v="28"/>
  </r>
  <r>
    <x v="12"/>
    <x v="62"/>
    <x v="0"/>
    <x v="111"/>
    <x v="111"/>
    <x v="111"/>
    <x v="5"/>
    <x v="0"/>
    <x v="4"/>
    <x v="0"/>
    <x v="6"/>
    <x v="74"/>
    <n v="11"/>
  </r>
  <r>
    <x v="12"/>
    <x v="62"/>
    <x v="0"/>
    <x v="112"/>
    <x v="112"/>
    <x v="112"/>
    <x v="5"/>
    <x v="1"/>
    <x v="1"/>
    <x v="0"/>
    <x v="2"/>
    <x v="74"/>
    <n v="0"/>
  </r>
  <r>
    <x v="12"/>
    <x v="62"/>
    <x v="0"/>
    <x v="113"/>
    <x v="113"/>
    <x v="113"/>
    <x v="4"/>
    <x v="0"/>
    <x v="1"/>
    <x v="0"/>
    <x v="2"/>
    <x v="74"/>
    <n v="0"/>
  </r>
  <r>
    <x v="12"/>
    <x v="63"/>
    <x v="0"/>
    <x v="111"/>
    <x v="111"/>
    <x v="111"/>
    <x v="5"/>
    <x v="0"/>
    <x v="4"/>
    <x v="18"/>
    <x v="0"/>
    <x v="74"/>
    <n v="11"/>
  </r>
  <r>
    <x v="12"/>
    <x v="63"/>
    <x v="0"/>
    <x v="112"/>
    <x v="112"/>
    <x v="112"/>
    <x v="5"/>
    <x v="1"/>
    <x v="1"/>
    <x v="18"/>
    <x v="0"/>
    <x v="74"/>
    <n v="0"/>
  </r>
  <r>
    <x v="12"/>
    <x v="63"/>
    <x v="0"/>
    <x v="113"/>
    <x v="113"/>
    <x v="113"/>
    <x v="4"/>
    <x v="0"/>
    <x v="1"/>
    <x v="3"/>
    <x v="0"/>
    <x v="74"/>
    <n v="0"/>
  </r>
  <r>
    <x v="12"/>
    <x v="64"/>
    <x v="0"/>
    <x v="114"/>
    <x v="114"/>
    <x v="114"/>
    <x v="5"/>
    <x v="1"/>
    <x v="3"/>
    <x v="19"/>
    <x v="0"/>
    <x v="74"/>
    <n v="560"/>
  </r>
  <r>
    <x v="12"/>
    <x v="65"/>
    <x v="0"/>
    <x v="110"/>
    <x v="110"/>
    <x v="110"/>
    <x v="6"/>
    <x v="0"/>
    <x v="2"/>
    <x v="0"/>
    <x v="14"/>
    <x v="74"/>
    <n v="485"/>
  </r>
  <r>
    <x v="12"/>
    <x v="65"/>
    <x v="0"/>
    <x v="112"/>
    <x v="112"/>
    <x v="112"/>
    <x v="5"/>
    <x v="1"/>
    <x v="1"/>
    <x v="0"/>
    <x v="2"/>
    <x v="74"/>
    <n v="0"/>
  </r>
  <r>
    <x v="13"/>
    <x v="66"/>
    <x v="0"/>
    <x v="73"/>
    <x v="73"/>
    <x v="73"/>
    <x v="5"/>
    <x v="1"/>
    <x v="3"/>
    <x v="0"/>
    <x v="16"/>
    <x v="74"/>
    <n v="2104"/>
  </r>
  <r>
    <x v="14"/>
    <x v="67"/>
    <x v="0"/>
    <x v="114"/>
    <x v="114"/>
    <x v="114"/>
    <x v="5"/>
    <x v="1"/>
    <x v="3"/>
    <x v="0"/>
    <x v="13"/>
    <x v="74"/>
    <n v="560"/>
  </r>
  <r>
    <x v="14"/>
    <x v="67"/>
    <x v="0"/>
    <x v="115"/>
    <x v="115"/>
    <x v="115"/>
    <x v="5"/>
    <x v="1"/>
    <x v="3"/>
    <x v="0"/>
    <x v="13"/>
    <x v="74"/>
    <n v="32"/>
  </r>
  <r>
    <x v="14"/>
    <x v="67"/>
    <x v="0"/>
    <x v="114"/>
    <x v="114"/>
    <x v="114"/>
    <x v="5"/>
    <x v="1"/>
    <x v="3"/>
    <x v="0"/>
    <x v="13"/>
    <x v="74"/>
    <n v="560"/>
  </r>
  <r>
    <x v="14"/>
    <x v="67"/>
    <x v="0"/>
    <x v="115"/>
    <x v="115"/>
    <x v="115"/>
    <x v="5"/>
    <x v="1"/>
    <x v="3"/>
    <x v="0"/>
    <x v="13"/>
    <x v="74"/>
    <n v="32"/>
  </r>
  <r>
    <x v="14"/>
    <x v="67"/>
    <x v="0"/>
    <x v="47"/>
    <x v="47"/>
    <x v="47"/>
    <x v="5"/>
    <x v="1"/>
    <x v="3"/>
    <x v="0"/>
    <x v="3"/>
    <x v="74"/>
    <n v="656"/>
  </r>
  <r>
    <x v="14"/>
    <x v="67"/>
    <x v="0"/>
    <x v="51"/>
    <x v="51"/>
    <x v="51"/>
    <x v="5"/>
    <x v="1"/>
    <x v="3"/>
    <x v="0"/>
    <x v="1"/>
    <x v="74"/>
    <n v="474"/>
  </r>
  <r>
    <x v="14"/>
    <x v="68"/>
    <x v="0"/>
    <x v="56"/>
    <x v="56"/>
    <x v="56"/>
    <x v="5"/>
    <x v="1"/>
    <x v="3"/>
    <x v="0"/>
    <x v="13"/>
    <x v="74"/>
    <n v="1403"/>
  </r>
  <r>
    <x v="14"/>
    <x v="68"/>
    <x v="0"/>
    <x v="48"/>
    <x v="48"/>
    <x v="48"/>
    <x v="5"/>
    <x v="1"/>
    <x v="3"/>
    <x v="0"/>
    <x v="2"/>
    <x v="74"/>
    <n v="1877"/>
  </r>
  <r>
    <x v="14"/>
    <x v="68"/>
    <x v="0"/>
    <x v="79"/>
    <x v="79"/>
    <x v="79"/>
    <x v="5"/>
    <x v="1"/>
    <x v="3"/>
    <x v="0"/>
    <x v="2"/>
    <x v="74"/>
    <n v="1473"/>
  </r>
  <r>
    <x v="14"/>
    <x v="68"/>
    <x v="0"/>
    <x v="52"/>
    <x v="52"/>
    <x v="52"/>
    <x v="5"/>
    <x v="1"/>
    <x v="3"/>
    <x v="0"/>
    <x v="2"/>
    <x v="74"/>
    <n v="2685"/>
  </r>
  <r>
    <x v="14"/>
    <x v="68"/>
    <x v="0"/>
    <x v="66"/>
    <x v="66"/>
    <x v="66"/>
    <x v="5"/>
    <x v="1"/>
    <x v="3"/>
    <x v="0"/>
    <x v="2"/>
    <x v="74"/>
    <n v="698"/>
  </r>
  <r>
    <x v="14"/>
    <x v="68"/>
    <x v="0"/>
    <x v="48"/>
    <x v="48"/>
    <x v="48"/>
    <x v="5"/>
    <x v="1"/>
    <x v="3"/>
    <x v="0"/>
    <x v="4"/>
    <x v="74"/>
    <n v="1877"/>
  </r>
  <r>
    <x v="14"/>
    <x v="69"/>
    <x v="0"/>
    <x v="115"/>
    <x v="115"/>
    <x v="115"/>
    <x v="5"/>
    <x v="1"/>
    <x v="3"/>
    <x v="20"/>
    <x v="0"/>
    <x v="74"/>
    <n v="32"/>
  </r>
  <r>
    <x v="14"/>
    <x v="68"/>
    <x v="0"/>
    <x v="110"/>
    <x v="110"/>
    <x v="110"/>
    <x v="6"/>
    <x v="0"/>
    <x v="2"/>
    <x v="21"/>
    <x v="0"/>
    <x v="74"/>
    <n v="485"/>
  </r>
  <r>
    <x v="14"/>
    <x v="68"/>
    <x v="0"/>
    <x v="110"/>
    <x v="110"/>
    <x v="110"/>
    <x v="6"/>
    <x v="0"/>
    <x v="2"/>
    <x v="0"/>
    <x v="26"/>
    <x v="74"/>
    <n v="485"/>
  </r>
  <r>
    <x v="15"/>
    <x v="0"/>
    <x v="0"/>
    <x v="110"/>
    <x v="110"/>
    <x v="110"/>
    <x v="6"/>
    <x v="0"/>
    <x v="2"/>
    <x v="0"/>
    <x v="0"/>
    <x v="74"/>
    <n v="485"/>
  </r>
  <r>
    <x v="15"/>
    <x v="0"/>
    <x v="0"/>
    <x v="110"/>
    <x v="110"/>
    <x v="110"/>
    <x v="6"/>
    <x v="0"/>
    <x v="2"/>
    <x v="0"/>
    <x v="0"/>
    <x v="75"/>
    <n v="485"/>
  </r>
  <r>
    <x v="15"/>
    <x v="0"/>
    <x v="0"/>
    <x v="110"/>
    <x v="110"/>
    <x v="110"/>
    <x v="6"/>
    <x v="0"/>
    <x v="2"/>
    <x v="22"/>
    <x v="0"/>
    <x v="74"/>
    <n v="485"/>
  </r>
  <r>
    <x v="15"/>
    <x v="0"/>
    <x v="0"/>
    <x v="110"/>
    <x v="110"/>
    <x v="110"/>
    <x v="6"/>
    <x v="0"/>
    <x v="2"/>
    <x v="0"/>
    <x v="27"/>
    <x v="74"/>
    <n v="485"/>
  </r>
  <r>
    <x v="15"/>
    <x v="0"/>
    <x v="0"/>
    <x v="116"/>
    <x v="116"/>
    <x v="116"/>
    <x v="1"/>
    <x v="0"/>
    <x v="5"/>
    <x v="23"/>
    <x v="0"/>
    <x v="74"/>
    <n v="12"/>
  </r>
  <r>
    <x v="15"/>
    <x v="0"/>
    <x v="0"/>
    <x v="117"/>
    <x v="117"/>
    <x v="117"/>
    <x v="1"/>
    <x v="0"/>
    <x v="5"/>
    <x v="24"/>
    <x v="0"/>
    <x v="74"/>
    <n v="22"/>
  </r>
  <r>
    <x v="15"/>
    <x v="0"/>
    <x v="0"/>
    <x v="111"/>
    <x v="111"/>
    <x v="111"/>
    <x v="5"/>
    <x v="0"/>
    <x v="4"/>
    <x v="0"/>
    <x v="1"/>
    <x v="74"/>
    <n v="11"/>
  </r>
  <r>
    <x v="15"/>
    <x v="0"/>
    <x v="0"/>
    <x v="77"/>
    <x v="77"/>
    <x v="77"/>
    <x v="5"/>
    <x v="1"/>
    <x v="3"/>
    <x v="0"/>
    <x v="0"/>
    <x v="74"/>
    <n v="606"/>
  </r>
  <r>
    <x v="0"/>
    <x v="0"/>
    <x v="0"/>
    <x v="118"/>
    <x v="118"/>
    <x v="118"/>
    <x v="7"/>
    <x v="2"/>
    <x v="6"/>
    <x v="0"/>
    <x v="0"/>
    <x v="7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3" minRefreshableVersion="3" showCalcMbrs="0" showDrill="0" itemPrintTitles="1" createdVersion="3" indent="0" compact="0" compactData="0" multipleFieldFilters="0">
  <location ref="A1:I122" firstHeaderRow="1" firstDataRow="2" firstDataCol="6"/>
  <pivotFields count="13">
    <pivotField compact="0" outline="0" showAll="0" defaultSubtotal="0">
      <items count="16">
        <item x="8"/>
        <item x="13"/>
        <item x="1"/>
        <item x="2"/>
        <item x="3"/>
        <item x="4"/>
        <item x="5"/>
        <item x="6"/>
        <item x="9"/>
        <item x="7"/>
        <item x="10"/>
        <item x="11"/>
        <item x="12"/>
        <item x="14"/>
        <item x="15"/>
        <item x="0"/>
      </items>
    </pivotField>
    <pivotField compact="0" outline="0" showAll="0" defaultSubtotal="0">
      <items count="70">
        <item x="9"/>
        <item x="54"/>
        <item x="49"/>
        <item x="21"/>
        <item x="33"/>
        <item x="64"/>
        <item x="69"/>
        <item x="4"/>
        <item x="5"/>
        <item x="32"/>
        <item x="36"/>
        <item x="31"/>
        <item x="40"/>
        <item x="23"/>
        <item x="51"/>
        <item x="50"/>
        <item x="59"/>
        <item x="58"/>
        <item x="63"/>
        <item x="1"/>
        <item x="7"/>
        <item x="8"/>
        <item x="10"/>
        <item x="6"/>
        <item x="15"/>
        <item x="14"/>
        <item x="17"/>
        <item x="19"/>
        <item x="18"/>
        <item x="16"/>
        <item x="29"/>
        <item x="37"/>
        <item x="38"/>
        <item x="34"/>
        <item x="3"/>
        <item x="2"/>
        <item x="12"/>
        <item x="11"/>
        <item x="13"/>
        <item x="22"/>
        <item x="20"/>
        <item x="30"/>
        <item x="35"/>
        <item x="42"/>
        <item x="41"/>
        <item x="24"/>
        <item x="26"/>
        <item x="47"/>
        <item x="44"/>
        <item x="45"/>
        <item x="46"/>
        <item x="56"/>
        <item x="52"/>
        <item x="55"/>
        <item x="60"/>
        <item x="61"/>
        <item x="65"/>
        <item x="62"/>
        <item x="28"/>
        <item x="43"/>
        <item x="39"/>
        <item x="27"/>
        <item x="25"/>
        <item x="48"/>
        <item x="57"/>
        <item x="53"/>
        <item x="66"/>
        <item x="68"/>
        <item x="67"/>
        <item x="0"/>
      </items>
    </pivotField>
    <pivotField compact="0" outline="0" showAll="0" defaultSubtotal="0">
      <items count="1">
        <item x="0"/>
      </items>
    </pivotField>
    <pivotField axis="axisRow" compact="0" outline="0" showAll="0" defaultSubtotal="0">
      <items count="119">
        <item x="116"/>
        <item x="117"/>
        <item x="111"/>
        <item x="0"/>
        <item x="1"/>
        <item x="109"/>
        <item x="2"/>
        <item x="3"/>
        <item x="106"/>
        <item x="4"/>
        <item x="5"/>
        <item x="6"/>
        <item x="7"/>
        <item x="8"/>
        <item x="9"/>
        <item x="10"/>
        <item x="104"/>
        <item x="108"/>
        <item x="98"/>
        <item x="11"/>
        <item x="12"/>
        <item x="13"/>
        <item x="14"/>
        <item x="15"/>
        <item x="16"/>
        <item x="17"/>
        <item x="18"/>
        <item x="19"/>
        <item x="20"/>
        <item x="113"/>
        <item x="21"/>
        <item x="22"/>
        <item x="23"/>
        <item x="24"/>
        <item x="99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110"/>
        <item x="39"/>
        <item x="40"/>
        <item x="41"/>
        <item x="42"/>
        <item x="96"/>
        <item x="43"/>
        <item x="44"/>
        <item x="45"/>
        <item x="46"/>
        <item x="102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90"/>
        <item x="91"/>
        <item x="92"/>
        <item x="93"/>
        <item x="94"/>
        <item x="95"/>
        <item x="97"/>
        <item x="81"/>
        <item x="82"/>
        <item x="83"/>
        <item x="84"/>
        <item x="85"/>
        <item x="86"/>
        <item x="87"/>
        <item x="88"/>
        <item x="89"/>
        <item x="100"/>
        <item x="103"/>
        <item x="101"/>
        <item x="105"/>
        <item x="107"/>
        <item x="112"/>
        <item x="114"/>
        <item x="115"/>
        <item x="118"/>
      </items>
    </pivotField>
    <pivotField axis="axisRow" compact="0" outline="0" showAll="0" defaultSubtotal="0">
      <items count="119">
        <item x="100"/>
        <item x="116"/>
        <item x="117"/>
        <item x="111"/>
        <item x="105"/>
        <item x="0"/>
        <item x="1"/>
        <item x="109"/>
        <item x="2"/>
        <item x="103"/>
        <item x="112"/>
        <item x="3"/>
        <item x="106"/>
        <item x="4"/>
        <item x="5"/>
        <item x="6"/>
        <item x="7"/>
        <item x="8"/>
        <item x="9"/>
        <item x="10"/>
        <item x="104"/>
        <item x="108"/>
        <item x="98"/>
        <item x="11"/>
        <item x="107"/>
        <item x="12"/>
        <item x="13"/>
        <item x="14"/>
        <item x="15"/>
        <item x="16"/>
        <item x="17"/>
        <item x="18"/>
        <item x="19"/>
        <item x="20"/>
        <item x="113"/>
        <item x="21"/>
        <item x="22"/>
        <item x="23"/>
        <item x="24"/>
        <item x="99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110"/>
        <item x="39"/>
        <item x="40"/>
        <item x="41"/>
        <item x="101"/>
        <item x="42"/>
        <item x="96"/>
        <item x="43"/>
        <item x="44"/>
        <item x="45"/>
        <item x="46"/>
        <item x="102"/>
        <item x="47"/>
        <item x="48"/>
        <item x="49"/>
        <item x="50"/>
        <item x="51"/>
        <item x="52"/>
        <item x="53"/>
        <item x="54"/>
        <item x="55"/>
        <item x="56"/>
        <item x="114"/>
        <item x="115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7"/>
        <item x="118"/>
      </items>
    </pivotField>
    <pivotField axis="axisRow" compact="0" outline="0" showAll="0" defaultSubtotal="0">
      <items count="119">
        <item x="97"/>
        <item x="59"/>
        <item x="50"/>
        <item x="93"/>
        <item x="54"/>
        <item x="92"/>
        <item x="91"/>
        <item x="56"/>
        <item x="63"/>
        <item x="60"/>
        <item x="62"/>
        <item x="55"/>
        <item x="95"/>
        <item x="53"/>
        <item x="78"/>
        <item x="67"/>
        <item x="75"/>
        <item x="57"/>
        <item x="72"/>
        <item x="74"/>
        <item x="94"/>
        <item x="71"/>
        <item x="47"/>
        <item x="49"/>
        <item x="51"/>
        <item x="90"/>
        <item x="77"/>
        <item x="65"/>
        <item x="70"/>
        <item x="64"/>
        <item x="73"/>
        <item x="69"/>
        <item x="61"/>
        <item x="79"/>
        <item x="52"/>
        <item x="48"/>
        <item x="81"/>
        <item x="82"/>
        <item x="83"/>
        <item x="84"/>
        <item x="85"/>
        <item x="86"/>
        <item x="87"/>
        <item x="88"/>
        <item x="89"/>
        <item x="80"/>
        <item x="66"/>
        <item x="68"/>
        <item x="76"/>
        <item x="58"/>
        <item x="103"/>
        <item x="112"/>
        <item x="105"/>
        <item x="115"/>
        <item x="114"/>
        <item x="117"/>
        <item x="116"/>
        <item x="100"/>
        <item x="4"/>
        <item x="109"/>
        <item x="8"/>
        <item x="0"/>
        <item x="6"/>
        <item x="7"/>
        <item x="9"/>
        <item x="10"/>
        <item x="1"/>
        <item x="2"/>
        <item x="3"/>
        <item x="106"/>
        <item x="5"/>
        <item x="96"/>
        <item x="43"/>
        <item x="110"/>
        <item x="42"/>
        <item x="41"/>
        <item x="40"/>
        <item x="102"/>
        <item x="44"/>
        <item x="45"/>
        <item x="46"/>
        <item x="39"/>
        <item x="28"/>
        <item x="12"/>
        <item x="19"/>
        <item x="113"/>
        <item x="16"/>
        <item x="31"/>
        <item x="32"/>
        <item x="30"/>
        <item x="17"/>
        <item x="18"/>
        <item x="33"/>
        <item x="26"/>
        <item x="37"/>
        <item x="34"/>
        <item x="35"/>
        <item x="36"/>
        <item x="29"/>
        <item x="24"/>
        <item x="13"/>
        <item x="22"/>
        <item x="23"/>
        <item x="25"/>
        <item x="99"/>
        <item x="98"/>
        <item x="108"/>
        <item x="15"/>
        <item x="27"/>
        <item x="104"/>
        <item x="38"/>
        <item x="14"/>
        <item x="21"/>
        <item x="11"/>
        <item x="20"/>
        <item x="111"/>
        <item x="101"/>
        <item x="107"/>
        <item x="118"/>
      </items>
    </pivotField>
    <pivotField axis="axisRow" compact="0" outline="0" showAll="0" defaultSubtotal="0">
      <items count="8">
        <item x="5"/>
        <item x="3"/>
        <item x="6"/>
        <item x="1"/>
        <item x="2"/>
        <item x="0"/>
        <item x="4"/>
        <item x="7"/>
      </items>
    </pivotField>
    <pivotField axis="axisRow" compact="0" outline="0" showAll="0" defaultSubtotal="0">
      <items count="3">
        <item x="1"/>
        <item x="0"/>
        <item x="2"/>
      </items>
    </pivotField>
    <pivotField axis="axisRow" compact="0" outline="0" showAll="0" defaultSubtotal="0">
      <items count="7">
        <item x="4"/>
        <item x="0"/>
        <item x="1"/>
        <item x="2"/>
        <item x="3"/>
        <item x="5"/>
        <item x="6"/>
      </items>
    </pivotField>
    <pivotField dataField="1" compact="0" outline="0" showAll="0" defaultSubtotal="0">
      <items count="25">
        <item x="2"/>
        <item x="10"/>
        <item x="1"/>
        <item x="3"/>
        <item x="23"/>
        <item x="18"/>
        <item x="24"/>
        <item x="14"/>
        <item x="8"/>
        <item x="9"/>
        <item x="15"/>
        <item x="12"/>
        <item x="17"/>
        <item x="20"/>
        <item x="13"/>
        <item x="16"/>
        <item x="5"/>
        <item x="6"/>
        <item x="7"/>
        <item x="22"/>
        <item x="21"/>
        <item x="19"/>
        <item x="11"/>
        <item x="4"/>
        <item x="0"/>
      </items>
    </pivotField>
    <pivotField dataField="1" compact="0" outline="0" showAll="0" defaultSubtotal="0">
      <items count="28">
        <item x="5"/>
        <item x="7"/>
        <item x="11"/>
        <item x="6"/>
        <item x="1"/>
        <item x="14"/>
        <item x="8"/>
        <item x="20"/>
        <item x="2"/>
        <item x="10"/>
        <item x="13"/>
        <item x="17"/>
        <item x="16"/>
        <item x="21"/>
        <item x="27"/>
        <item x="12"/>
        <item x="19"/>
        <item x="23"/>
        <item x="4"/>
        <item x="18"/>
        <item x="9"/>
        <item x="15"/>
        <item x="3"/>
        <item x="24"/>
        <item x="26"/>
        <item x="25"/>
        <item x="22"/>
        <item x="0"/>
      </items>
    </pivotField>
    <pivotField dataField="1" compact="0" outline="0" showAll="0" defaultSubtotal="0">
      <items count="76">
        <item x="69"/>
        <item x="62"/>
        <item x="16"/>
        <item x="61"/>
        <item x="63"/>
        <item x="11"/>
        <item x="25"/>
        <item x="0"/>
        <item x="75"/>
        <item x="64"/>
        <item x="21"/>
        <item x="28"/>
        <item x="4"/>
        <item x="23"/>
        <item x="3"/>
        <item x="9"/>
        <item x="8"/>
        <item x="13"/>
        <item x="14"/>
        <item x="26"/>
        <item x="20"/>
        <item x="18"/>
        <item x="7"/>
        <item x="24"/>
        <item x="2"/>
        <item x="5"/>
        <item x="10"/>
        <item x="22"/>
        <item x="12"/>
        <item x="19"/>
        <item x="33"/>
        <item x="39"/>
        <item x="6"/>
        <item x="17"/>
        <item x="15"/>
        <item x="1"/>
        <item x="49"/>
        <item x="30"/>
        <item x="42"/>
        <item x="38"/>
        <item x="43"/>
        <item x="51"/>
        <item x="66"/>
        <item x="72"/>
        <item x="65"/>
        <item x="31"/>
        <item x="35"/>
        <item x="34"/>
        <item x="48"/>
        <item x="29"/>
        <item x="55"/>
        <item x="57"/>
        <item x="54"/>
        <item x="37"/>
        <item x="41"/>
        <item x="67"/>
        <item x="71"/>
        <item x="70"/>
        <item x="46"/>
        <item x="68"/>
        <item x="50"/>
        <item x="60"/>
        <item x="47"/>
        <item x="27"/>
        <item x="44"/>
        <item x="52"/>
        <item x="56"/>
        <item x="73"/>
        <item x="36"/>
        <item x="59"/>
        <item x="45"/>
        <item x="53"/>
        <item x="58"/>
        <item x="32"/>
        <item x="40"/>
        <item x="74"/>
      </items>
    </pivotField>
    <pivotField compact="0" outline="0" showAll="0"/>
  </pivotFields>
  <rowFields count="6">
    <field x="3"/>
    <field x="4"/>
    <field x="5"/>
    <field x="6"/>
    <field x="7"/>
    <field x="8"/>
  </rowFields>
  <rowItems count="120">
    <i>
      <x/>
      <x v="1"/>
      <x v="56"/>
      <x v="3"/>
      <x v="1"/>
      <x v="5"/>
    </i>
    <i>
      <x v="1"/>
      <x v="2"/>
      <x v="55"/>
      <x v="3"/>
      <x v="1"/>
      <x v="5"/>
    </i>
    <i>
      <x v="2"/>
      <x v="3"/>
      <x v="115"/>
      <x/>
      <x v="1"/>
      <x/>
    </i>
    <i>
      <x v="3"/>
      <x v="5"/>
      <x v="61"/>
      <x v="5"/>
      <x v="1"/>
      <x v="1"/>
    </i>
    <i>
      <x v="4"/>
      <x v="6"/>
      <x v="66"/>
      <x v="3"/>
      <x v="1"/>
      <x v="1"/>
    </i>
    <i>
      <x v="5"/>
      <x v="7"/>
      <x v="59"/>
      <x v="4"/>
      <x v="1"/>
      <x v="1"/>
    </i>
    <i>
      <x v="6"/>
      <x v="8"/>
      <x v="67"/>
      <x v="3"/>
      <x v="1"/>
      <x v="1"/>
    </i>
    <i>
      <x v="7"/>
      <x v="11"/>
      <x v="68"/>
      <x v="3"/>
      <x v="1"/>
      <x v="1"/>
    </i>
    <i>
      <x v="8"/>
      <x v="12"/>
      <x v="69"/>
      <x v="5"/>
      <x v="1"/>
      <x v="1"/>
    </i>
    <i>
      <x v="9"/>
      <x v="13"/>
      <x v="58"/>
      <x v="4"/>
      <x v="1"/>
      <x v="1"/>
    </i>
    <i>
      <x v="10"/>
      <x v="14"/>
      <x v="70"/>
      <x v="5"/>
      <x v="1"/>
      <x v="1"/>
    </i>
    <i>
      <x v="11"/>
      <x v="15"/>
      <x v="62"/>
      <x v="3"/>
      <x v="1"/>
      <x v="1"/>
    </i>
    <i>
      <x v="12"/>
      <x v="16"/>
      <x v="63"/>
      <x v="3"/>
      <x v="1"/>
      <x v="1"/>
    </i>
    <i>
      <x v="13"/>
      <x v="17"/>
      <x v="60"/>
      <x v="4"/>
      <x v="1"/>
      <x v="1"/>
    </i>
    <i>
      <x v="14"/>
      <x v="18"/>
      <x v="64"/>
      <x v="3"/>
      <x v="1"/>
      <x v="1"/>
    </i>
    <i>
      <x v="15"/>
      <x v="19"/>
      <x v="65"/>
      <x v="3"/>
      <x v="1"/>
      <x v="1"/>
    </i>
    <i>
      <x v="16"/>
      <x v="20"/>
      <x v="109"/>
      <x v="1"/>
      <x v="1"/>
      <x v="2"/>
    </i>
    <i>
      <x v="17"/>
      <x v="21"/>
      <x v="106"/>
      <x v="1"/>
      <x v="1"/>
      <x v="2"/>
    </i>
    <i>
      <x v="18"/>
      <x v="22"/>
      <x v="105"/>
      <x v="1"/>
      <x v="1"/>
      <x v="2"/>
    </i>
    <i>
      <x v="19"/>
      <x v="23"/>
      <x v="113"/>
      <x v="3"/>
      <x v="1"/>
      <x v="2"/>
    </i>
    <i>
      <x v="20"/>
      <x v="25"/>
      <x v="83"/>
      <x v="1"/>
      <x v="1"/>
      <x v="2"/>
    </i>
    <i>
      <x v="21"/>
      <x v="26"/>
      <x v="100"/>
      <x v="3"/>
      <x v="1"/>
      <x v="2"/>
    </i>
    <i>
      <x v="22"/>
      <x v="27"/>
      <x v="111"/>
      <x v="3"/>
      <x v="1"/>
      <x v="2"/>
    </i>
    <i>
      <x v="23"/>
      <x v="28"/>
      <x v="107"/>
      <x v="1"/>
      <x v="1"/>
      <x v="2"/>
    </i>
    <i>
      <x v="24"/>
      <x v="29"/>
      <x v="86"/>
      <x v="1"/>
      <x v="1"/>
      <x v="2"/>
    </i>
    <i>
      <x v="25"/>
      <x v="30"/>
      <x v="90"/>
      <x v="4"/>
      <x v="1"/>
      <x v="2"/>
    </i>
    <i>
      <x v="26"/>
      <x v="31"/>
      <x v="91"/>
      <x v="3"/>
      <x v="1"/>
      <x v="2"/>
    </i>
    <i>
      <x v="27"/>
      <x v="32"/>
      <x v="84"/>
      <x v="1"/>
      <x v="1"/>
      <x v="2"/>
    </i>
    <i>
      <x v="28"/>
      <x v="33"/>
      <x v="114"/>
      <x v="5"/>
      <x v="1"/>
      <x v="2"/>
    </i>
    <i>
      <x v="29"/>
      <x v="34"/>
      <x v="85"/>
      <x v="6"/>
      <x v="1"/>
      <x v="2"/>
    </i>
    <i>
      <x v="30"/>
      <x v="35"/>
      <x v="112"/>
      <x v="3"/>
      <x v="1"/>
      <x v="2"/>
    </i>
    <i>
      <x v="31"/>
      <x v="36"/>
      <x v="101"/>
      <x v="1"/>
      <x v="1"/>
      <x v="2"/>
    </i>
    <i>
      <x v="32"/>
      <x v="37"/>
      <x v="102"/>
      <x v="1"/>
      <x v="1"/>
      <x v="2"/>
    </i>
    <i>
      <x v="33"/>
      <x v="38"/>
      <x v="99"/>
      <x v="1"/>
      <x v="1"/>
      <x v="2"/>
    </i>
    <i>
      <x v="34"/>
      <x v="39"/>
      <x v="104"/>
      <x v="3"/>
      <x v="1"/>
      <x v="2"/>
    </i>
    <i>
      <x v="35"/>
      <x v="40"/>
      <x v="103"/>
      <x v="3"/>
      <x v="1"/>
      <x v="2"/>
    </i>
    <i>
      <x v="36"/>
      <x v="41"/>
      <x v="93"/>
      <x v="1"/>
      <x v="1"/>
      <x v="2"/>
    </i>
    <i>
      <x v="37"/>
      <x v="42"/>
      <x v="108"/>
      <x v="1"/>
      <x v="1"/>
      <x v="2"/>
    </i>
    <i>
      <x v="38"/>
      <x v="43"/>
      <x v="82"/>
      <x v="1"/>
      <x v="1"/>
      <x v="2"/>
    </i>
    <i>
      <x v="39"/>
      <x v="44"/>
      <x v="98"/>
      <x v="1"/>
      <x v="1"/>
      <x v="2"/>
    </i>
    <i>
      <x v="40"/>
      <x v="45"/>
      <x v="89"/>
      <x v="6"/>
      <x v="1"/>
      <x v="2"/>
    </i>
    <i>
      <x v="41"/>
      <x v="46"/>
      <x v="87"/>
      <x v="5"/>
      <x v="1"/>
      <x v="2"/>
    </i>
    <i>
      <x v="42"/>
      <x v="47"/>
      <x v="88"/>
      <x v="5"/>
      <x v="1"/>
      <x v="2"/>
    </i>
    <i>
      <x v="43"/>
      <x v="48"/>
      <x v="92"/>
      <x v="3"/>
      <x v="1"/>
      <x v="2"/>
    </i>
    <i>
      <x v="44"/>
      <x v="49"/>
      <x v="95"/>
      <x v="1"/>
      <x v="1"/>
      <x v="2"/>
    </i>
    <i>
      <x v="45"/>
      <x v="50"/>
      <x v="96"/>
      <x v="4"/>
      <x v="1"/>
      <x v="2"/>
    </i>
    <i>
      <x v="46"/>
      <x v="51"/>
      <x v="97"/>
      <x v="5"/>
      <x v="1"/>
      <x v="2"/>
    </i>
    <i>
      <x v="47"/>
      <x v="52"/>
      <x v="94"/>
      <x v="1"/>
      <x v="1"/>
      <x v="2"/>
    </i>
    <i>
      <x v="48"/>
      <x v="53"/>
      <x v="110"/>
      <x/>
      <x v="1"/>
      <x v="2"/>
    </i>
    <i>
      <x v="49"/>
      <x v="54"/>
      <x v="73"/>
      <x v="2"/>
      <x v="1"/>
      <x v="3"/>
    </i>
    <i>
      <x v="50"/>
      <x v="55"/>
      <x v="81"/>
      <x v="3"/>
      <x v="1"/>
      <x v="3"/>
    </i>
    <i>
      <x v="51"/>
      <x v="56"/>
      <x v="76"/>
      <x v="4"/>
      <x v="1"/>
      <x v="3"/>
    </i>
    <i>
      <x v="52"/>
      <x v="57"/>
      <x v="75"/>
      <x v="3"/>
      <x v="1"/>
      <x v="3"/>
    </i>
    <i>
      <x v="53"/>
      <x v="59"/>
      <x v="74"/>
      <x v="3"/>
      <x v="1"/>
      <x v="3"/>
    </i>
    <i>
      <x v="54"/>
      <x v="60"/>
      <x v="71"/>
      <x v="4"/>
      <x v="1"/>
      <x v="3"/>
    </i>
    <i>
      <x v="55"/>
      <x v="61"/>
      <x v="72"/>
      <x v="3"/>
      <x v="1"/>
      <x v="3"/>
    </i>
    <i>
      <x v="56"/>
      <x v="62"/>
      <x v="78"/>
      <x v="4"/>
      <x v="1"/>
      <x v="3"/>
    </i>
    <i>
      <x v="57"/>
      <x v="63"/>
      <x v="79"/>
      <x v="5"/>
      <x v="1"/>
      <x v="3"/>
    </i>
    <i>
      <x v="58"/>
      <x v="64"/>
      <x v="80"/>
      <x v="1"/>
      <x v="1"/>
      <x v="3"/>
    </i>
    <i>
      <x v="59"/>
      <x v="65"/>
      <x v="77"/>
      <x/>
      <x v="1"/>
      <x v="3"/>
    </i>
    <i>
      <x v="60"/>
      <x v="66"/>
      <x v="22"/>
      <x/>
      <x/>
      <x v="4"/>
    </i>
    <i>
      <x v="61"/>
      <x v="67"/>
      <x v="35"/>
      <x/>
      <x/>
      <x v="4"/>
    </i>
    <i>
      <x v="62"/>
      <x v="68"/>
      <x v="23"/>
      <x/>
      <x/>
      <x v="4"/>
    </i>
    <i>
      <x v="63"/>
      <x v="69"/>
      <x v="2"/>
      <x/>
      <x/>
      <x v="4"/>
    </i>
    <i>
      <x v="64"/>
      <x v="70"/>
      <x v="24"/>
      <x/>
      <x/>
      <x v="4"/>
    </i>
    <i>
      <x v="65"/>
      <x v="71"/>
      <x v="34"/>
      <x/>
      <x/>
      <x v="4"/>
    </i>
    <i>
      <x v="66"/>
      <x v="72"/>
      <x v="13"/>
      <x/>
      <x v="1"/>
      <x v="4"/>
    </i>
    <i>
      <x v="67"/>
      <x v="73"/>
      <x v="4"/>
      <x/>
      <x/>
      <x v="4"/>
    </i>
    <i>
      <x v="68"/>
      <x v="74"/>
      <x v="11"/>
      <x/>
      <x/>
      <x v="4"/>
    </i>
    <i>
      <x v="69"/>
      <x v="75"/>
      <x v="7"/>
      <x/>
      <x/>
      <x v="4"/>
    </i>
    <i>
      <x v="70"/>
      <x v="78"/>
      <x v="17"/>
      <x/>
      <x/>
      <x v="4"/>
    </i>
    <i>
      <x v="71"/>
      <x v="79"/>
      <x v="49"/>
      <x/>
      <x/>
      <x v="4"/>
    </i>
    <i>
      <x v="72"/>
      <x v="80"/>
      <x v="1"/>
      <x/>
      <x/>
      <x v="4"/>
    </i>
    <i>
      <x v="73"/>
      <x v="81"/>
      <x v="9"/>
      <x/>
      <x/>
      <x v="4"/>
    </i>
    <i>
      <x v="74"/>
      <x v="82"/>
      <x v="32"/>
      <x/>
      <x/>
      <x v="4"/>
    </i>
    <i>
      <x v="75"/>
      <x v="83"/>
      <x v="10"/>
      <x/>
      <x/>
      <x v="4"/>
    </i>
    <i>
      <x v="76"/>
      <x v="84"/>
      <x v="8"/>
      <x/>
      <x/>
      <x v="4"/>
    </i>
    <i>
      <x v="77"/>
      <x v="85"/>
      <x v="29"/>
      <x/>
      <x/>
      <x v="4"/>
    </i>
    <i>
      <x v="78"/>
      <x v="86"/>
      <x v="27"/>
      <x/>
      <x/>
      <x v="4"/>
    </i>
    <i>
      <x v="79"/>
      <x v="87"/>
      <x v="46"/>
      <x/>
      <x/>
      <x v="4"/>
    </i>
    <i>
      <x v="80"/>
      <x v="88"/>
      <x v="15"/>
      <x/>
      <x/>
      <x v="4"/>
    </i>
    <i>
      <x v="81"/>
      <x v="89"/>
      <x v="47"/>
      <x/>
      <x/>
      <x v="4"/>
    </i>
    <i>
      <x v="82"/>
      <x v="90"/>
      <x v="31"/>
      <x/>
      <x/>
      <x v="4"/>
    </i>
    <i>
      <x v="83"/>
      <x v="91"/>
      <x v="28"/>
      <x/>
      <x/>
      <x v="4"/>
    </i>
    <i>
      <x v="84"/>
      <x v="92"/>
      <x v="21"/>
      <x/>
      <x/>
      <x v="4"/>
    </i>
    <i>
      <x v="85"/>
      <x v="93"/>
      <x v="18"/>
      <x/>
      <x/>
      <x v="4"/>
    </i>
    <i>
      <x v="86"/>
      <x v="94"/>
      <x v="30"/>
      <x/>
      <x/>
      <x v="4"/>
    </i>
    <i>
      <x v="87"/>
      <x v="95"/>
      <x v="19"/>
      <x/>
      <x/>
      <x v="4"/>
    </i>
    <i>
      <x v="88"/>
      <x v="96"/>
      <x v="16"/>
      <x/>
      <x/>
      <x v="4"/>
    </i>
    <i>
      <x v="89"/>
      <x v="97"/>
      <x v="48"/>
      <x/>
      <x/>
      <x v="4"/>
    </i>
    <i>
      <x v="90"/>
      <x v="98"/>
      <x v="26"/>
      <x/>
      <x/>
      <x v="4"/>
    </i>
    <i>
      <x v="91"/>
      <x v="99"/>
      <x v="14"/>
      <x/>
      <x/>
      <x v="4"/>
    </i>
    <i>
      <x v="92"/>
      <x v="100"/>
      <x v="33"/>
      <x/>
      <x/>
      <x v="4"/>
    </i>
    <i>
      <x v="93"/>
      <x v="101"/>
      <x v="45"/>
      <x/>
      <x v="1"/>
      <x v="4"/>
    </i>
    <i>
      <x v="94"/>
      <x v="111"/>
      <x v="25"/>
      <x/>
      <x/>
      <x v="4"/>
    </i>
    <i>
      <x v="95"/>
      <x v="112"/>
      <x v="6"/>
      <x/>
      <x/>
      <x v="4"/>
    </i>
    <i>
      <x v="96"/>
      <x v="113"/>
      <x v="5"/>
      <x/>
      <x/>
      <x v="4"/>
    </i>
    <i>
      <x v="97"/>
      <x v="114"/>
      <x v="3"/>
      <x/>
      <x/>
      <x v="4"/>
    </i>
    <i>
      <x v="98"/>
      <x v="115"/>
      <x v="20"/>
      <x/>
      <x/>
      <x v="4"/>
    </i>
    <i>
      <x v="99"/>
      <x v="116"/>
      <x v="12"/>
      <x/>
      <x/>
      <x v="4"/>
    </i>
    <i>
      <x v="100"/>
      <x v="117"/>
      <x/>
      <x/>
      <x/>
      <x v="4"/>
    </i>
    <i>
      <x v="101"/>
      <x v="102"/>
      <x v="36"/>
      <x/>
      <x/>
      <x v="4"/>
    </i>
    <i>
      <x v="102"/>
      <x v="103"/>
      <x v="37"/>
      <x/>
      <x/>
      <x v="4"/>
    </i>
    <i>
      <x v="103"/>
      <x v="104"/>
      <x v="38"/>
      <x/>
      <x/>
      <x v="4"/>
    </i>
    <i>
      <x v="104"/>
      <x v="105"/>
      <x v="39"/>
      <x/>
      <x/>
      <x v="4"/>
    </i>
    <i>
      <x v="105"/>
      <x v="106"/>
      <x v="40"/>
      <x/>
      <x/>
      <x v="4"/>
    </i>
    <i>
      <x v="106"/>
      <x v="107"/>
      <x v="41"/>
      <x/>
      <x/>
      <x v="4"/>
    </i>
    <i>
      <x v="107"/>
      <x v="108"/>
      <x v="42"/>
      <x/>
      <x/>
      <x v="4"/>
    </i>
    <i>
      <x v="108"/>
      <x v="109"/>
      <x v="43"/>
      <x/>
      <x/>
      <x v="4"/>
    </i>
    <i>
      <x v="109"/>
      <x v="110"/>
      <x v="44"/>
      <x/>
      <x/>
      <x v="4"/>
    </i>
    <i>
      <x v="110"/>
      <x/>
      <x v="57"/>
      <x/>
      <x v="1"/>
      <x v="2"/>
    </i>
    <i>
      <x v="111"/>
      <x v="9"/>
      <x v="50"/>
      <x/>
      <x v="1"/>
      <x v="1"/>
    </i>
    <i>
      <x v="112"/>
      <x v="58"/>
      <x v="116"/>
      <x/>
      <x v="1"/>
      <x v="3"/>
    </i>
    <i>
      <x v="113"/>
      <x v="4"/>
      <x v="52"/>
      <x/>
      <x v="1"/>
      <x/>
    </i>
    <i>
      <x v="114"/>
      <x v="24"/>
      <x v="117"/>
      <x/>
      <x v="1"/>
      <x v="2"/>
    </i>
    <i>
      <x v="115"/>
      <x v="10"/>
      <x v="51"/>
      <x/>
      <x/>
      <x v="2"/>
    </i>
    <i>
      <x v="116"/>
      <x v="76"/>
      <x v="54"/>
      <x/>
      <x/>
      <x v="4"/>
    </i>
    <i>
      <x v="117"/>
      <x v="77"/>
      <x v="53"/>
      <x/>
      <x/>
      <x v="4"/>
    </i>
    <i>
      <x v="118"/>
      <x v="118"/>
      <x v="118"/>
      <x v="7"/>
      <x v="2"/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期初数量 " fld="11" baseField="0" baseItem="0"/>
    <dataField name="收入数量 " fld="9" baseField="0" baseItem="0"/>
    <dataField name="发出数量 " fld="10" baseField="0" baseItem="0"/>
  </dataFields>
  <formats count="5004">
    <format dxfId="5003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5002">
      <pivotArea field="3" type="button" dataOnly="0" labelOnly="1" outline="0" axis="axisRow" fieldPosition="0"/>
    </format>
    <format dxfId="5001">
      <pivotArea field="4" type="button" dataOnly="0" labelOnly="1" outline="0" axis="axisRow" fieldPosition="1"/>
    </format>
    <format dxfId="5000">
      <pivotArea field="5" type="button" dataOnly="0" labelOnly="1" outline="0" axis="axisRow" fieldPosition="2"/>
    </format>
    <format dxfId="4999">
      <pivotArea field="6" type="button" dataOnly="0" labelOnly="1" outline="0" axis="axisRow" fieldPosition="3"/>
    </format>
    <format dxfId="4998">
      <pivotArea field="7" type="button" dataOnly="0" labelOnly="1" outline="0" axis="axisRow" fieldPosition="4"/>
    </format>
    <format dxfId="4997">
      <pivotArea field="8" type="button" dataOnly="0" labelOnly="1" outline="0" axis="axisRow" fieldPosition="5"/>
    </format>
    <format dxfId="4996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995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994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4993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4992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4991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4990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4989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4988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4987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4986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4985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4984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4983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4982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4981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4980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4979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4978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4977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4976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4975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4974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4973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4972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4971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4970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4969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4968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4967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4966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4965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4964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4963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4962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4961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4960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4959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4958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4957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4956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4955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4954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4953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4952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4951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4950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4949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4948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4947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4946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4945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4944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4943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4942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4941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4940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4939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4938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4937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4936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4935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4934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4933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4932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4931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4930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4929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4928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4927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4926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4925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4924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4923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4922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4921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4920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4919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4918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4917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4916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4915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4914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4913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4912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4911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4910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4909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4908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4907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4906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4905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4904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4903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4902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4901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4900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4899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4898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4897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4896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4895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4894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4893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4892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4891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4890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4889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4888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4887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4886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4885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4884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4883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4882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4881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4880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4879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4878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4877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4876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4875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4874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4873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4872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4871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4870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4869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4868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4867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4866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4865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4864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4863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4862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4861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4860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4859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4858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4857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4856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4855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4854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4853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4852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4851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4850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4849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4848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4847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4846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4845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4844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4843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4842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4841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4840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4839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4838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4837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4836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4835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4834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4833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4832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4831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4830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4829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4828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4827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4826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4825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4824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4823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4822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4821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4820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4819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4818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4817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4816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4815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4814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4813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4812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4811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4810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4809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4808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4807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4806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4805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4804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4803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4802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4801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4800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4799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4798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4797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4796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4795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4794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4793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4792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4791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4790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4789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4788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4787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4786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4785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4784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4783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4782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4781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4780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4779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4778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4777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4776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4775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4774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4773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4772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4771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4770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4769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4768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4767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4766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4765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4764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4763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4762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4761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4760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4759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4758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4757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4756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4755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4754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4753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4752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4751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4750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4749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4748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4747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4746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4745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4744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4743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4742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4741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4740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4739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4738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4737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4736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4735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4734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4733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4732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4731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4730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4729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4728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4727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4726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4725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4724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4723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4722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4721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4720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4719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4718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4717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4716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4715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4714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4713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4712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4711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4710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4709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4708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4707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4706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4705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4704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4703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4702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701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700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699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698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697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696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695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694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693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692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691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690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689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88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87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86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85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84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83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82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81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80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79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78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77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76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75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74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73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72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71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70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69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68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67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66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65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64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63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62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61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60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59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58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57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56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655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654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653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652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651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650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649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648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647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646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645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44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43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42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41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40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39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4638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37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36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35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34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33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32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31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30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29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28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27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26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25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24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23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22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21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20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19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18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17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16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15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14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13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12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4611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10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09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08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07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06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05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04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03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02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01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00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99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98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97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96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95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594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593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592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4591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590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4589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88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86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4585">
      <pivotArea field="3" type="button" dataOnly="0" labelOnly="1" outline="0" axis="axisRow" fieldPosition="0"/>
    </format>
    <format dxfId="4584">
      <pivotArea field="4" type="button" dataOnly="0" labelOnly="1" outline="0" axis="axisRow" fieldPosition="1"/>
    </format>
    <format dxfId="4583">
      <pivotArea field="5" type="button" dataOnly="0" labelOnly="1" outline="0" axis="axisRow" fieldPosition="2"/>
    </format>
    <format dxfId="4582">
      <pivotArea field="6" type="button" dataOnly="0" labelOnly="1" outline="0" axis="axisRow" fieldPosition="3"/>
    </format>
    <format dxfId="4581">
      <pivotArea field="7" type="button" dataOnly="0" labelOnly="1" outline="0" axis="axisRow" fieldPosition="4"/>
    </format>
    <format dxfId="4580">
      <pivotArea field="8" type="button" dataOnly="0" labelOnly="1" outline="0" axis="axisRow" fieldPosition="5"/>
    </format>
    <format dxfId="4579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578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577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4576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4575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4574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4573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4572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4571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4570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4569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4568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4567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4566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4565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4564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4563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4562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4561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4560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4559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4558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4557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4556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4555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4554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4553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4552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4551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4550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4549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4548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4547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4546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4545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4544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4543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4542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4541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4540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4539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4538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4537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4536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4535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4534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4533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4532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4531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4530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4529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4528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4527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4526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4525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4524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4523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4522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4521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4520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4519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4518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4517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4516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4515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4514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4513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4512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4511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4510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4509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4508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4507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4506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4505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4504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4503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4502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4501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4500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4499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4498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4497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4496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4495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4494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4493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4492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4491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4490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4489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4488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4487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4486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4485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4484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4483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4482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4481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4480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4479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4478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4477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4476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4475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4474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4473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4472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4471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4470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4469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4468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4467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4466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4465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4464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4463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4462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4461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4460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4459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4458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4457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4456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4455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4454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4453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4452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4451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4450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4449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4448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4447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4446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4445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4444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4443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4442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4441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4440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4439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4438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4437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4436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4435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4434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4433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4432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4431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4430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4429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4428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4427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4426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4425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4424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4423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4422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4421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4420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4419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4418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4417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4416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4415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4414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4413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4412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4411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4410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4409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4408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4407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4406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4405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4404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4403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4402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4401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4400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4399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4398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4397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4396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4395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4394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4393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4392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4391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4390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4389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4388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4387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4386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4385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4384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4383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4382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4381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4380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4379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4378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4377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4376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4375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4374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4373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4372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4371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4370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4369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4368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4367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4366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4365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4364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4363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4362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4361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4360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4359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4358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4357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4356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4355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4354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4353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4352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4351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4350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4349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4348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4347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4346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4345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4344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4343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4342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4341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4340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4339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4338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4337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4336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4335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4334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4333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4332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4331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4330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4329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4328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4327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4326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4325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4324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4323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4322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4321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4320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4319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4318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4317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4316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4315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4314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4313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4312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4311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4310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4309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4308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4307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4306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4305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4304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4303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4302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4301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4300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4299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4298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4297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4296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4295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4294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4293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4292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4291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4290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4289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4288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4287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4286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4285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284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283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282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281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280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279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278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277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276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275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274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273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272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71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70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69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68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67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66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65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64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63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62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61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60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59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58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57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56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55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54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53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52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51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50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49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48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47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46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45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44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43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42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41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40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39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238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237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236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235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234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233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232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231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230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229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228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27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26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25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24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23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22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4221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20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19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18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17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16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15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14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13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12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11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10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09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08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07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06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05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04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03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02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01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00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99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98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97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96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95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4194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93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92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91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90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89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88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87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86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85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84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83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82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81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80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79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78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177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176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175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4174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173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4172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71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9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4168">
      <pivotArea field="3" type="button" dataOnly="0" labelOnly="1" outline="0" axis="axisRow" fieldPosition="0"/>
    </format>
    <format dxfId="4167">
      <pivotArea field="4" type="button" dataOnly="0" labelOnly="1" outline="0" axis="axisRow" fieldPosition="1"/>
    </format>
    <format dxfId="4166">
      <pivotArea field="5" type="button" dataOnly="0" labelOnly="1" outline="0" axis="axisRow" fieldPosition="2"/>
    </format>
    <format dxfId="4165">
      <pivotArea field="6" type="button" dataOnly="0" labelOnly="1" outline="0" axis="axisRow" fieldPosition="3"/>
    </format>
    <format dxfId="4164">
      <pivotArea field="7" type="button" dataOnly="0" labelOnly="1" outline="0" axis="axisRow" fieldPosition="4"/>
    </format>
    <format dxfId="4163">
      <pivotArea field="8" type="button" dataOnly="0" labelOnly="1" outline="0" axis="axisRow" fieldPosition="5"/>
    </format>
    <format dxfId="4162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161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160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4159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4158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4157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4156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4155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4154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4153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4152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4151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4150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4149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4148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4147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4146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4145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4144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4143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4142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4141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4140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4139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4138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4137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4136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4135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4134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4133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4132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4131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4130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4129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4128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4127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4126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4125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4124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4123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4122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4121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4120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4119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4118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4117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4116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4115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4114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4113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4112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4111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4110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4109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4108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4107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4106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4105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4104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4103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4102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4101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4100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4099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4098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4097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4096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4095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4094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4093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4092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4091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4090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4089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4088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4087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4086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4085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4084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4083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4082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4081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4080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4079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4078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4077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4076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4075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4074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4073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4072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4071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4070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4069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4068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4067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4066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4065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4064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4063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4062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4061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4060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4059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4058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4057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4056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4055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4054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4053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4052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4051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4050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4049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4048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4047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4046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4045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4044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4043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4042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4041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4040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4039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4038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4037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4036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4035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4034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4033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4032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4031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4030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4029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4028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4027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4026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4025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4024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4023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4022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4021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4020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4019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4018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4017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4016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4015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4014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4013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4012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4011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4010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4009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4008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4007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4006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4005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4004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4003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4002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4001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4000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3999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3998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3997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3996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3995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3994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3993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3992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3991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3990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3989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3988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3987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3986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3985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3984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3983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3982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3981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3980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3979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3978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3977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3976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3975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3974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3973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3972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3971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3970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3969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3968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3967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3966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3965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3964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3963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3962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3961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3960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3959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3958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3957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3956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3955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3954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3953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3952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3951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3950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3949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3948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3947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3946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3945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3944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3943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3942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3941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3940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3939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3938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3937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3936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3935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3934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3933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3932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3931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3930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3929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3928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3927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3926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3925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3924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3923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3922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3921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3920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3919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3918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3917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3916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3915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3914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3913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3912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3911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3910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3909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3908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3907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3906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3905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3904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3903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3902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3901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3900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3899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3898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3897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3896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3895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3894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3893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3892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3891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3890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3889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3888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3887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3886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3885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3884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3883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3882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3881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3880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3879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3878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877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3876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875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3874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873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3872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871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3870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3869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3868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867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866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865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864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863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862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861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860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859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858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857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856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855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54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53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52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51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50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49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48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47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46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45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44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43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42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41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40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39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38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37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36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35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34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33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32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31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30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29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28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27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26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25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24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23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22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821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820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819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818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817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816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815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814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813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812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811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10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09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08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07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06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05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3804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03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02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01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00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99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98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97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96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95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94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93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92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91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90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89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88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87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86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85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84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83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82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81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80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79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78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3777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76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75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74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73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72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71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70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69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68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67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66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65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64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63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62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61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760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759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758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3757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756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3755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54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52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3751">
      <pivotArea field="3" type="button" dataOnly="0" labelOnly="1" outline="0" axis="axisRow" fieldPosition="0"/>
    </format>
    <format dxfId="3750">
      <pivotArea field="4" type="button" dataOnly="0" labelOnly="1" outline="0" axis="axisRow" fieldPosition="1"/>
    </format>
    <format dxfId="3749">
      <pivotArea field="5" type="button" dataOnly="0" labelOnly="1" outline="0" axis="axisRow" fieldPosition="2"/>
    </format>
    <format dxfId="3748">
      <pivotArea field="6" type="button" dataOnly="0" labelOnly="1" outline="0" axis="axisRow" fieldPosition="3"/>
    </format>
    <format dxfId="3747">
      <pivotArea field="7" type="button" dataOnly="0" labelOnly="1" outline="0" axis="axisRow" fieldPosition="4"/>
    </format>
    <format dxfId="3746">
      <pivotArea field="8" type="button" dataOnly="0" labelOnly="1" outline="0" axis="axisRow" fieldPosition="5"/>
    </format>
    <format dxfId="3745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744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3743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3742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3741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3740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3739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3738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3737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3736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3735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3734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3733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3732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3731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3730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3729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3728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3727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3726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3725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3724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3723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3722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3721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3720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3719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3718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3717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3716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3715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3714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3713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3712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3711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3710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3709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3708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3707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3706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3705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3704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3703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3702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3701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3700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3699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3698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3697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3696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3695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3694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3693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3692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3691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3690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3689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3688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3687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3686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3685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3684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3683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3682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3681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3680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3679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3678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3677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3676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3675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3674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3673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3672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3671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3670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3669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3668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3667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3666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3665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3664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3663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3662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3661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3660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3659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3658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3657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3656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3655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3654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3653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3652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3651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3650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3649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3648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3647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3646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3645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3644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3643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3642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3641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3640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3639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3638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3637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3636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3635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3634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3633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3632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3631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3630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3629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3628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3627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3626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3625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3624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3623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3622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3621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3620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3619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3618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3617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3616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3615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3614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3613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3612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3611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3610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3609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3608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3607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3606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3605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3604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3603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3602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3601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3600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3599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3598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3597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3596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3595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3594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3593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3592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3591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3590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3589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3588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3587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3586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3585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3584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3583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3582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3581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3580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3579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3578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3577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3576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3575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3574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3573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3572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3571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3570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3569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3568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3567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3566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3565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3564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3563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3562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3561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3560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3559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3558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3557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3556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3555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3554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3553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3552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3551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3550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3549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3548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3547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3546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3545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3544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3543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3542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3541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3540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3539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3538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3537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3536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3535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3534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3533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3532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3531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3530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3529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3528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3527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3526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3525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3524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3523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3522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3521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3520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3519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3518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3517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3516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3515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3514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3513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3512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3511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3510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3509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3508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3507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3506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3505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3504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3503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3502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3501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3500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3499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3498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3497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3496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3495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3494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3493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3492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3491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3490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3489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3488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3487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3486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3485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3484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3483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3482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3481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3480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3479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3478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3477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3476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3475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3474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3473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3472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3471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3470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3469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3468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3467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3466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3465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3464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3463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3462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3461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460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3459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458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3457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456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3455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454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3453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3452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3451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450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449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448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447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446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445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444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443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442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441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440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439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438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37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36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35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34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33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32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31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30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29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28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27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26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25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24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23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22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21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20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19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18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17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16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15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14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13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12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11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10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09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08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07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06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05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404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403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402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401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400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399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398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397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396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395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394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93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92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91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90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89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88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3387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86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85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84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83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82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81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80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79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78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77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76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75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74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73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72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71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70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69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68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67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66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65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64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63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62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61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3360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59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58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57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56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55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54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53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52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51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50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49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48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47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46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45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44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343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342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341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3340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339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3338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37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35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3334">
      <pivotArea field="3" type="button" dataOnly="0" labelOnly="1" outline="0" axis="axisRow" fieldPosition="0"/>
    </format>
    <format dxfId="3333">
      <pivotArea field="4" type="button" dataOnly="0" labelOnly="1" outline="0" axis="axisRow" fieldPosition="1"/>
    </format>
    <format dxfId="3332">
      <pivotArea field="5" type="button" dataOnly="0" labelOnly="1" outline="0" axis="axisRow" fieldPosition="2"/>
    </format>
    <format dxfId="3331">
      <pivotArea field="6" type="button" dataOnly="0" labelOnly="1" outline="0" axis="axisRow" fieldPosition="3"/>
    </format>
    <format dxfId="3330">
      <pivotArea field="7" type="button" dataOnly="0" labelOnly="1" outline="0" axis="axisRow" fieldPosition="4"/>
    </format>
    <format dxfId="3329">
      <pivotArea field="8" type="button" dataOnly="0" labelOnly="1" outline="0" axis="axisRow" fieldPosition="5"/>
    </format>
    <format dxfId="3328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327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3326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3325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3324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3323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3322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3321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3320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3319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3318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3317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3316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3315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3314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3313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3312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3311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3310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3309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3308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3307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3306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3305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3304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3303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3302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3301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3300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3299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3298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3297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3296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3295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3294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3293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3292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3291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3290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3289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3288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3287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3286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3285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3284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3283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3282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3281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3280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3279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3278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3277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3276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3275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3274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3273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3272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3271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3270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3269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3268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3267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3266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3265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3264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3263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3262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3261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3260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3259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3258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3257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3256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3255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3254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3253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3252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3251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3250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3249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3248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3247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3246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3245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3244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3243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3242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3241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3240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3239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3238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3237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3236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3235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3234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3233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3232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3231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3230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3229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3228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3227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3226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3225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3224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3223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3222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3221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3220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3219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3218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3217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3216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3215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3214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3213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3212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3211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3210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3209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3208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3207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3206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3205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3204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3203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3202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3201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3200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3199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3198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3197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3196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3195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3194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3193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3192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3191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3190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3189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3188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3187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3186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3185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3184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3183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3182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3181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3180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3179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3178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3177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3176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3175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3174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3173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3172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3171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3170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3169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3168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3167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3166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3165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3164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3163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3162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3161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3160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3159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3158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3157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3156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3155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3154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3153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3152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3151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3150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3149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3148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3147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3146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3145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3144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3143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3142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3141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3140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3139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3138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3137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3136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3135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3134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3133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3132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3131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3130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3129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3128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3127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3126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3125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3124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3123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3122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3121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3120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3119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3118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3117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3116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3115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3114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3113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3112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3111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3110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3109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3108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3107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3106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3105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3104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3103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3102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3101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3100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3099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3098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3097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3096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3095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3094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3093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3092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3091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3090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3089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3088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3087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3086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3085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3084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3083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3082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3081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3080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3079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3078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3077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3076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3075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3074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3073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3072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3071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3070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3069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3068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3067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3066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3065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3064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3063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3062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3061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3060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3059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3058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3057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3056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3055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3054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3053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3052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3051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3050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3049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3048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3047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3046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3045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3044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043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3042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041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3040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039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3038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037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3036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3035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3034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33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32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31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30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29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28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27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26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25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24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23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22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21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20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19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18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17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16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15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14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13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12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11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10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09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08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07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06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05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04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03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02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01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00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999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998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997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996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995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994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993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992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991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990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989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988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987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986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985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984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983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982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981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980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979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978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977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76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75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74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73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72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71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2970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69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68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67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66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65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64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63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62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61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60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59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58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57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56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55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54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53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52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51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50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49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48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47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46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45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44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2943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42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41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40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39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38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37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36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35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34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33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32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31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30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29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28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27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926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925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924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2923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922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2921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20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18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2917">
      <pivotArea field="3" type="button" dataOnly="0" labelOnly="1" outline="0" axis="axisRow" fieldPosition="0"/>
    </format>
    <format dxfId="2916">
      <pivotArea field="4" type="button" dataOnly="0" labelOnly="1" outline="0" axis="axisRow" fieldPosition="1"/>
    </format>
    <format dxfId="2915">
      <pivotArea field="5" type="button" dataOnly="0" labelOnly="1" outline="0" axis="axisRow" fieldPosition="2"/>
    </format>
    <format dxfId="2914">
      <pivotArea field="6" type="button" dataOnly="0" labelOnly="1" outline="0" axis="axisRow" fieldPosition="3"/>
    </format>
    <format dxfId="2913">
      <pivotArea field="7" type="button" dataOnly="0" labelOnly="1" outline="0" axis="axisRow" fieldPosition="4"/>
    </format>
    <format dxfId="2912">
      <pivotArea field="8" type="button" dataOnly="0" labelOnly="1" outline="0" axis="axisRow" fieldPosition="5"/>
    </format>
    <format dxfId="2911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910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909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2908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2907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2906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2905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2904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2903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2902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2901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2900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2899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2898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2897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2896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2895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2894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2893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2892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2891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2890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2889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2888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2887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2886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2885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2884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2883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2882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2881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2880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2879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2878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2877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2876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2875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2874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2873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2872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2871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2870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2869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2868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2867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2866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2865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2864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2863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2862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2861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2860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2859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2858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2857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2856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2855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2854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2853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2852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2851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2850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2849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2848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2847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2846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2845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2844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2843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2842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2841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2840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2839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2838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2837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2836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2835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2834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2833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2832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2831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2830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2829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2828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2827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2826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2825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2824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2823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2822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2821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2820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2819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2818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2817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2816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2815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2814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2813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2812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2811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2810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2809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2808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2807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2806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2805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2804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2803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2802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2801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2800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2799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2798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2797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2796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2795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2794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2793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2792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2791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2790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2789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2788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2787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2786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2785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2784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2783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2782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2781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2780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2779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2778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2777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2776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2775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2774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2773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2772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2771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2770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2769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2768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2767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2766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2765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2764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2763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2762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2761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2760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2759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2758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2757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2756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2755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2754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2753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2752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2751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2750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2749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2748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2747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2746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2745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2744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2743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2742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2741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2740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2739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2738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2737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2736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2735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2734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2733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2732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2731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2730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2729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2728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2727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2726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2725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2724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2723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2722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2721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2720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2719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2718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2717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2716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2715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2714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2713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2712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2711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2710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2709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2708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2707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2706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2705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2704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2703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2702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2701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2700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2699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2698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2697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2696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2695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2694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2693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2692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2691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2690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2689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2688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2687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2686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2685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2684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2683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2682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2681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2680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2679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2678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2677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2676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2675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2674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2673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2672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2671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2670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2669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2668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2667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2666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2665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2664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2663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2662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2661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2660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2659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2658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2657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2656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2655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2654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2653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2652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2651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2650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2649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2648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2647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2646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2645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2644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2643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2642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2641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2640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2639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2638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2637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2636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2635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2634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2633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2632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2631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2630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2629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2628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2627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2626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2625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2624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2623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2622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2621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2620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2619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2618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2617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16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15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14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13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12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11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10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09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08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07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06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05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04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03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02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01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00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99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98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97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96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95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94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93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92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91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90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89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88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87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86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85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84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83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82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81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80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79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78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77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76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75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74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73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72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71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570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569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568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567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566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565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564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563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562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561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560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59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58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57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56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55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54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2553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52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51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50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49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48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47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46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45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44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43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42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41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40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39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38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37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36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35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34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33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32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31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30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29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28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27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2526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25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24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23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22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21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20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19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18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17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16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15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14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13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12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11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10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09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508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507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2506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05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2504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03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01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2500">
      <pivotArea field="3" type="button" dataOnly="0" labelOnly="1" outline="0" axis="axisRow" fieldPosition="0"/>
    </format>
    <format dxfId="2499">
      <pivotArea field="4" type="button" dataOnly="0" labelOnly="1" outline="0" axis="axisRow" fieldPosition="1"/>
    </format>
    <format dxfId="2498">
      <pivotArea field="5" type="button" dataOnly="0" labelOnly="1" outline="0" axis="axisRow" fieldPosition="2"/>
    </format>
    <format dxfId="2497">
      <pivotArea field="6" type="button" dataOnly="0" labelOnly="1" outline="0" axis="axisRow" fieldPosition="3"/>
    </format>
    <format dxfId="2496">
      <pivotArea field="7" type="button" dataOnly="0" labelOnly="1" outline="0" axis="axisRow" fieldPosition="4"/>
    </format>
    <format dxfId="2495">
      <pivotArea field="8" type="button" dataOnly="0" labelOnly="1" outline="0" axis="axisRow" fieldPosition="5"/>
    </format>
    <format dxfId="2494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493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492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2491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2490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2489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2488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2487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2486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2485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2484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2483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2482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2481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2480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2479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2478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2477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2476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2475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2474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2473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2472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2471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2470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2469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2468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2467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2466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2465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2464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2463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2462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2461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2460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2459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2458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2457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2456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2455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2454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2453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2452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2451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2450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2449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2448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2447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2446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2445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2444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2443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2442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2441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2440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2439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2438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2437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2436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2435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2434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2433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2432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2431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2430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2429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2428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2427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2426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2425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2424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2423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2422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2421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2420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2419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2418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2417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2416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2415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2414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2413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2412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2411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2410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2409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2408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2407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2406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2405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2404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2403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2402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2401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2400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2399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2398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2397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2396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2395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2394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2393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2392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2391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2390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2389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2388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2387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2386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2385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2384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2383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2382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2381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2380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2379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2378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2377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2376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2375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2374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2373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2372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2371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2370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2369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2368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2367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2366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2365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2364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2363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2362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2361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2360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2359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2358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2357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2356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2355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2354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2353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2352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2351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2350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2349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2348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2347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2346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2345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2344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2343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2342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2341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2340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2339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2338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2337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2336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2335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2334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2333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2332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2331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2330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2329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2328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2327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2326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2325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2324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2323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2322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2321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2320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2319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2318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2317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2316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2315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2314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2313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2312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2311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2310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2309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2308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2307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2306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2305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2304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2303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2302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2301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2300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2299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2298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2297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2296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2295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2294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2293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2292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2291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2290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2289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2288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2287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2286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2285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2284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2283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2282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2281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2280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2279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2278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2277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2276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2275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2274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2273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2272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2271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2270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2269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2268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2267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2266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2265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2264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2263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2262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2261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2260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2259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2258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2257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2256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2255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2254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2253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2252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2251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2250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2249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2248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2247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2246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2245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2244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2243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2242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2241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2240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2239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2238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2237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2236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2235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2234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2233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2232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2231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2230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2229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2228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2227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2226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2225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2224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2223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2222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2221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2220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2219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2218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2217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2216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2215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2214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2213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2212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2211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2210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2209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2208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2207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2206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2205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2204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2203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2202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2201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2200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199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198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197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196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195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194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193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192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191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190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189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188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187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86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85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84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83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82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81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80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79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78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77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76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75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74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73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72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71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70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69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68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67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66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65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64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63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62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61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60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59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58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57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56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55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54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153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152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151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150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149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148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147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146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145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144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143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42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41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40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39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38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37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2136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35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34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33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32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31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30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29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28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27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26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25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24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23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22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21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20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19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18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17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16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15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14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13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12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11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10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2109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08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07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06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05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04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03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02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01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00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099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098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097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096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095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094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093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092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091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090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2089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088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2087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086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0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4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2083">
      <pivotArea field="3" type="button" dataOnly="0" labelOnly="1" outline="0" axis="axisRow" fieldPosition="0"/>
    </format>
    <format dxfId="2082">
      <pivotArea field="4" type="button" dataOnly="0" labelOnly="1" outline="0" axis="axisRow" fieldPosition="1"/>
    </format>
    <format dxfId="2081">
      <pivotArea field="5" type="button" dataOnly="0" labelOnly="1" outline="0" axis="axisRow" fieldPosition="2"/>
    </format>
    <format dxfId="2080">
      <pivotArea field="6" type="button" dataOnly="0" labelOnly="1" outline="0" axis="axisRow" fieldPosition="3"/>
    </format>
    <format dxfId="2079">
      <pivotArea field="7" type="button" dataOnly="0" labelOnly="1" outline="0" axis="axisRow" fieldPosition="4"/>
    </format>
    <format dxfId="2078">
      <pivotArea field="8" type="button" dataOnly="0" labelOnly="1" outline="0" axis="axisRow" fieldPosition="5"/>
    </format>
    <format dxfId="2077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076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075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2074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2073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2072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2071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2070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2069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2068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2067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2066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2065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2064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2063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2062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2061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2060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2059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2058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2057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2056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2055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2054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2053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2052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2051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2050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2049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2048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2047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2046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2045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2044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2043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2042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2041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2040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2039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2038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2037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2036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2035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2034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2033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2032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2031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2030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2029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2028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2027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2026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2025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2024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2023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2022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2021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2020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2019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2018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2017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2016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2015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2014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2013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2012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2011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2010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2009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2008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2007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2006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2005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2004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2003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2002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2001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2000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1999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1998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1997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1996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1995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1994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1993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1992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1991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1990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1989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1988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1987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1986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1985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1984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1983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1982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1981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1980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1979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1978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1977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1976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1975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1974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1973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1972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1971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1970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1969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1968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1967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1966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1965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1964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1963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1962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1961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1960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1959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1958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1957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1956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1955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1954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1953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1952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1951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1950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1949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1948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1947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1946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1945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1944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1943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1942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1941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1940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1939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1938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1937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1936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1935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1934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1933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1932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1931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1930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1929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1928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1927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1926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1925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1924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1923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1922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1921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1920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1919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1918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1917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1916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1915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1914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1913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1912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1911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1910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1909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1908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1907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1906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1905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1904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1903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1902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1901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1900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1899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1898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1897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1896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1895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1894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1893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1892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1891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1890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1889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1888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1887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1886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1885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1884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1883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1882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1881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1880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1879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1878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1877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1876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1875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1874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1873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1872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1871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1870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1869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1868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1867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1866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1865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1864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1863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1862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1861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1860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1859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1858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1857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1856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1855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1854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1853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1852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1851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1850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1849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1848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1847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1846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1845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1844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1843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1842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1841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1840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1839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1838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1837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1836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1835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1834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1833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1832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1831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1830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1829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1828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1827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1826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1825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1824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1823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1822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1821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1820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1819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1818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1817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1816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1815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1814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1813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1812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1811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1810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1809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1808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1807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1806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1805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1804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1803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1802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1801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1800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1799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1798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1797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1796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1795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1794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1793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792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1791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790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1789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788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1787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786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1785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1784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1783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782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781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780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779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778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777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776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775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774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773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772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771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770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69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68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67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66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65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64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63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62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61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60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59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58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57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56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55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54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53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52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51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50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49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48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47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46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45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44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43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42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41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40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39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38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37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736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735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734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733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732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731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730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729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728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727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726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25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24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23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22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21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20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1719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18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17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16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15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14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13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12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11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10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09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08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07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06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05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04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03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02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01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00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99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98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97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96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95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94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93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1692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91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90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89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88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87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86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85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84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83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82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81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80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79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78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77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76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675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674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673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1672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671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1670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69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67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1666">
      <pivotArea field="3" type="button" dataOnly="0" labelOnly="1" outline="0" axis="axisRow" fieldPosition="0"/>
    </format>
    <format dxfId="1665">
      <pivotArea field="4" type="button" dataOnly="0" labelOnly="1" outline="0" axis="axisRow" fieldPosition="1"/>
    </format>
    <format dxfId="1664">
      <pivotArea field="5" type="button" dataOnly="0" labelOnly="1" outline="0" axis="axisRow" fieldPosition="2"/>
    </format>
    <format dxfId="1663">
      <pivotArea field="6" type="button" dataOnly="0" labelOnly="1" outline="0" axis="axisRow" fieldPosition="3"/>
    </format>
    <format dxfId="1662">
      <pivotArea field="7" type="button" dataOnly="0" labelOnly="1" outline="0" axis="axisRow" fieldPosition="4"/>
    </format>
    <format dxfId="1661">
      <pivotArea field="8" type="button" dataOnly="0" labelOnly="1" outline="0" axis="axisRow" fieldPosition="5"/>
    </format>
    <format dxfId="1660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659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658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1657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1656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1655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1654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1653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1652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1651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1650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1649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1648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1647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1646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1645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1644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1643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1642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1641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1640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1639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1638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1637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1636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1635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1634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1633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1632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1631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1630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1629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1628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1627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1626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1625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1624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1623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1622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1621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1620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1619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1618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1617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1616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1615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1614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1613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1612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1611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1610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1609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1608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1607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1606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1605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1604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1603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1602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1601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1600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1599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1598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1597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1596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1595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1594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1593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1592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1591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1590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1589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1588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1587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1586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1585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1584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1583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1582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1581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1580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1579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1578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1577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1576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1575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1574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1573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1572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1571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1570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1569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1568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1567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1566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1565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1564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1563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1562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1561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1560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1559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1558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1557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1556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1555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1554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1553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1552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1551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1550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1549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1548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1547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1546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1545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1544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1543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1542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1541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1540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1539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1538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1537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1536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1535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1534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1533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1532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1531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1530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1529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1528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1527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1526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1525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1524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1523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1522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1521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1520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1519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1518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1517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1516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1515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1514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1513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1512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1511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1510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1509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1508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1507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1506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1505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1504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1503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1502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1501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1500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1499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1498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1497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1496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1495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1494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1493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1492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1491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1490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1489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1488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1487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1486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1485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1484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1483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1482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1481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1480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1479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1478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1477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1476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1475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1474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1473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1472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1471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1470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1469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1468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1467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1466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1465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1464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1463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1462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1461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1460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1459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1458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1457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1456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1455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1454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1453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1452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1451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1450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1449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1448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1447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1446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1445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1444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1443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1442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1441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1440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1439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1438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1437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1436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1435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1434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1433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1432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1431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1430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1429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1428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1427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1426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1425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1424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1423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1422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1421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1420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1419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1418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1417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1416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1415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1414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1413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1412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1411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1410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1409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1408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1407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1406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1405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1404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1403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1402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1401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1400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1399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1398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1397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1396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1395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1394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1393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1392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1391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1390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1389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1388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1387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1386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1385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1384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1383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1382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1381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1380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1379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1378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1377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1376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375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1374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373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1372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371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1370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369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1368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1367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1366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65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64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63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62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61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60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59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58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57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56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55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54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53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52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51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50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49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48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47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46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45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44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43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42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41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40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39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38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37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36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35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34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33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32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31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30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29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28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27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26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25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24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23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22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21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20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319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318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317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316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315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314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313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312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311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310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309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08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07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06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05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04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03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1302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01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00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99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98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97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96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95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94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93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92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91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90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89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88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87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86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85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84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83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82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81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80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79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78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77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76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1275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74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73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72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71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70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69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68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67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66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65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64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63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62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61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60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59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258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257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256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1255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254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1253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52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50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1249">
      <pivotArea field="3" type="button" dataOnly="0" labelOnly="1" outline="0" axis="axisRow" fieldPosition="0"/>
    </format>
    <format dxfId="1248">
      <pivotArea field="4" type="button" dataOnly="0" labelOnly="1" outline="0" axis="axisRow" fieldPosition="1"/>
    </format>
    <format dxfId="1247">
      <pivotArea field="5" type="button" dataOnly="0" labelOnly="1" outline="0" axis="axisRow" fieldPosition="2"/>
    </format>
    <format dxfId="1246">
      <pivotArea field="6" type="button" dataOnly="0" labelOnly="1" outline="0" axis="axisRow" fieldPosition="3"/>
    </format>
    <format dxfId="1245">
      <pivotArea field="7" type="button" dataOnly="0" labelOnly="1" outline="0" axis="axisRow" fieldPosition="4"/>
    </format>
    <format dxfId="1244">
      <pivotArea field="8" type="button" dataOnly="0" labelOnly="1" outline="0" axis="axisRow" fieldPosition="5"/>
    </format>
    <format dxfId="1243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242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241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1240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1239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1238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1237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1236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1235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1234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1233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1232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1231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1230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1229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1228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1227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1226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1225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1224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1223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1222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1221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1220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1219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1218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1217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1216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1215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1214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1213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1212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1211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1210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1209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1208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1207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1206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1205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1204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1203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1202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1201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1200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1199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1198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1197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1196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1195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1194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1193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1192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1191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1190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1189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1188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1187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1186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1185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1184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1183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1182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1181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1180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1179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1178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1177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1176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1175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1174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1173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1172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1171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1170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1169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1168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1167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1166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1165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1164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1163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1162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1161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1160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1159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1158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1157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1156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1155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1154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1153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1152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1151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1150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1149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1148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1147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1146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1145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1144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1143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1142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1141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1140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1139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1138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1137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1136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1135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1134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1133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1132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1131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1130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1129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1128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1127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1126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1125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1124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1123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1122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1121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1120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1119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1118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1117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1116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1115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1114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1113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1112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1111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1110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1109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1108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1107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1106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1105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1104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1103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1102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1101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1100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1099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1098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1097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1096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1095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1094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1093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1092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1091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1090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1089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1088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1087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1086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1085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1084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1083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1082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1081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1080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1079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1078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1077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1076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1075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1074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1073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1072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1071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1070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1069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1068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1067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1066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1065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1064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1063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1062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1061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1060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1059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1058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1057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1056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1055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1054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1053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1052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1051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1050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1049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1048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1047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1046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1045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1044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1043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1042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1041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1040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1039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1038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1037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1036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1035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1034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1033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1032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1031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1030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1029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1028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1027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1026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1025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1024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1023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1022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1021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1020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1019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1018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1017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1016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1015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1014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1013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1012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1011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1010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1009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1008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1007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1006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1005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1004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1003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1002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1001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1000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999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998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997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996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995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994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993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992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991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990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989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988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987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986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985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984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983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982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981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980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979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978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977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976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975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974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973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972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971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970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969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968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967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966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965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964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963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962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961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960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959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958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957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956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955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954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953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952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951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950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949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48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47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46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45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44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43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42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41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40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39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38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37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36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35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34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33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32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31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30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29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28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27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26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25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24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23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22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21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20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19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18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17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16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15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14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13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12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11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10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09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08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07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06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05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04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03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902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901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900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899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898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897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896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895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894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893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892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91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90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89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88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87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86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885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84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83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82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81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80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79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78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77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76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75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74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73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72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71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70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69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68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67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66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65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64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63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62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61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60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59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858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57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56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55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54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53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52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51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50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49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48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47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46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45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44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43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42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41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840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839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838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37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836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35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3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832">
      <pivotArea field="3" type="button" dataOnly="0" labelOnly="1" outline="0" axis="axisRow" fieldPosition="0"/>
    </format>
    <format dxfId="831">
      <pivotArea field="4" type="button" dataOnly="0" labelOnly="1" outline="0" axis="axisRow" fieldPosition="1"/>
    </format>
    <format dxfId="830">
      <pivotArea field="5" type="button" dataOnly="0" labelOnly="1" outline="0" axis="axisRow" fieldPosition="2"/>
    </format>
    <format dxfId="829">
      <pivotArea field="6" type="button" dataOnly="0" labelOnly="1" outline="0" axis="axisRow" fieldPosition="3"/>
    </format>
    <format dxfId="828">
      <pivotArea field="7" type="button" dataOnly="0" labelOnly="1" outline="0" axis="axisRow" fieldPosition="4"/>
    </format>
    <format dxfId="827">
      <pivotArea field="8" type="button" dataOnly="0" labelOnly="1" outline="0" axis="axisRow" fieldPosition="5"/>
    </format>
    <format dxfId="826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825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824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823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822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821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820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819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818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817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816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815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814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813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812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811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810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809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808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807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806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805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804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803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802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801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800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799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798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797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796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795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794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793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792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791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790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789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788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787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786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785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784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783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782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781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780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779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778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777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776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775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774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773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772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771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770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769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768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767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766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765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764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763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762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761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760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759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758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757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756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755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754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753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752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751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750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749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748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747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746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745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744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743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742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741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740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739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738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737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736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735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734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733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732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731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730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729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728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727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726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725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724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723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722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721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720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719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718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717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716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715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714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713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712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711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710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709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708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707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706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705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704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703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702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701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700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699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698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697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696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695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694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693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692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691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690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689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688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687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686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685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684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683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682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681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680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679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678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677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676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675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674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673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672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671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670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669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668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667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666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665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664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663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662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661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660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659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658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657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656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655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654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653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652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651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650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649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648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647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646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645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644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643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642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641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640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639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638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637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636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635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634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633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632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631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630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629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628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627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626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625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624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623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622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621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620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619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618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617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616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615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614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613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612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611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610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609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608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607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606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605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604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603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602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601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600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599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598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597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596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595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594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593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592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591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590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589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588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587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586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585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584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583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582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581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580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579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578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577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576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575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574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573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572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571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570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569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568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567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566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565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564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563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562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561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560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559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558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557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556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555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554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553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552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551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550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549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548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547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546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545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544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543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542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541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540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539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538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537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536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535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534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533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532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31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30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29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28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27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26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25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24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23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22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21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20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19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18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17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16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15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14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13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12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11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10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09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08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07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06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05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04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03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02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01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00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99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98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97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96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95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94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93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92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91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90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89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88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87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86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85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84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83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82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81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80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79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78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77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76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75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4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3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2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1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0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9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468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7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6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5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4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3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2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1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0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9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8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7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6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5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4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3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2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1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0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49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48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47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46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45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44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43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42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441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40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39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38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37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36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35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34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33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32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31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30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9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8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7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6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5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4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23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22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421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0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419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8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415">
      <pivotArea field="3" type="button" dataOnly="0" labelOnly="1" outline="0" axis="axisRow" fieldPosition="0"/>
    </format>
    <format dxfId="414">
      <pivotArea field="4" type="button" dataOnly="0" labelOnly="1" outline="0" axis="axisRow" fieldPosition="1"/>
    </format>
    <format dxfId="413">
      <pivotArea field="5" type="button" dataOnly="0" labelOnly="1" outline="0" axis="axisRow" fieldPosition="2"/>
    </format>
    <format dxfId="412">
      <pivotArea field="6" type="button" dataOnly="0" labelOnly="1" outline="0" axis="axisRow" fieldPosition="3"/>
    </format>
    <format dxfId="411">
      <pivotArea field="7" type="button" dataOnly="0" labelOnly="1" outline="0" axis="axisRow" fieldPosition="4"/>
    </format>
    <format dxfId="410">
      <pivotArea field="8" type="button" dataOnly="0" labelOnly="1" outline="0" axis="axisRow" fieldPosition="5"/>
    </format>
    <format dxfId="409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08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07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406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405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404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403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402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401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400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399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398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397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396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395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394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393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392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391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390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389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388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387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386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385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384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383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382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381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380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379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378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377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376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375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374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373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372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371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370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369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368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367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366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365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364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363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362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361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360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359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358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357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356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355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354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353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352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351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350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349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348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347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346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345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344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343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342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341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340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339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338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337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336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335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334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333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332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331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330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329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328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327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326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325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324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323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322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321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320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319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318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317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316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315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314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313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312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311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310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309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308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307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306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305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304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303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302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301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300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299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298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297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296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295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294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293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292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291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290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289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288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287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286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285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284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283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282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281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280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279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278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277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276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275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274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273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272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271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270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269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268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267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266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265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264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263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262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261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260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259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258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257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256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255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254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253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252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251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250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249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248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247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246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245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244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243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242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241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240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239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238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237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236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235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234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233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232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231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230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229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228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227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226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225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224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223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222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221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220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219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218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217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216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215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214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213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212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211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210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209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208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207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206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205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204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203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202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201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200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199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198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197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196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195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194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193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192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191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190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189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188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187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186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185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184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183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182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181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180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179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178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177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176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175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174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173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172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171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170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169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168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167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166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165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164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163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162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161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160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159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158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157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156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155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154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153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152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151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150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149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148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147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146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145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144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143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142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141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140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139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138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137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136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135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134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133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132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131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130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129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128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127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126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125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24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123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22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121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20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119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18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117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116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115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14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13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12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11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10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09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08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07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06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05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04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03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02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01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00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9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8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7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6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5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4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3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2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1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0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9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8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7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6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5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4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3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2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1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0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79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78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77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76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75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74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73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72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71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70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69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68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67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66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65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64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63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62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61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60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59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58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57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56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55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54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53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52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51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50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9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8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4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3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0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9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6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5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2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1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8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7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6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24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3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2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0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9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8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5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4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1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0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9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7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6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5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4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2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4"/>
  <dimension ref="A1:L12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1" sqref="C11"/>
    </sheetView>
  </sheetViews>
  <sheetFormatPr defaultRowHeight="14.4"/>
  <cols>
    <col min="1" max="1" width="5.77734375" customWidth="1"/>
    <col min="2" max="2" width="12" customWidth="1"/>
    <col min="3" max="3" width="35" customWidth="1"/>
    <col min="4" max="4" width="6.21875" customWidth="1"/>
    <col min="5" max="5" width="5.88671875" customWidth="1"/>
    <col min="6" max="6" width="10.5546875" customWidth="1"/>
    <col min="7" max="7" width="8.77734375" customWidth="1"/>
    <col min="8" max="8" width="7.5546875" customWidth="1"/>
    <col min="9" max="9" width="8.44140625" customWidth="1"/>
  </cols>
  <sheetData>
    <row r="1" spans="1:12" hidden="1">
      <c r="G1" s="22" t="s">
        <v>931</v>
      </c>
    </row>
    <row r="2" spans="1:12">
      <c r="A2" s="42" t="s">
        <v>932</v>
      </c>
      <c r="B2" s="42" t="s">
        <v>933</v>
      </c>
      <c r="C2" s="42" t="s">
        <v>1</v>
      </c>
      <c r="D2" s="42" t="s">
        <v>3</v>
      </c>
      <c r="E2" s="42" t="s">
        <v>0</v>
      </c>
      <c r="F2" s="42" t="s">
        <v>4</v>
      </c>
      <c r="G2" s="25" t="s">
        <v>968</v>
      </c>
      <c r="H2" s="25" t="s">
        <v>971</v>
      </c>
      <c r="I2" s="25" t="s">
        <v>972</v>
      </c>
      <c r="J2" s="24" t="s">
        <v>938</v>
      </c>
      <c r="K2" s="24" t="s">
        <v>939</v>
      </c>
      <c r="L2" s="24" t="s">
        <v>940</v>
      </c>
    </row>
    <row r="3" spans="1:12">
      <c r="A3" s="25">
        <v>1</v>
      </c>
      <c r="B3" s="25" t="s">
        <v>7</v>
      </c>
      <c r="C3" s="25" t="s">
        <v>8</v>
      </c>
      <c r="D3" s="25" t="s">
        <v>9</v>
      </c>
      <c r="E3" s="25" t="s">
        <v>11</v>
      </c>
      <c r="F3" s="25" t="s">
        <v>10</v>
      </c>
      <c r="G3" s="24"/>
      <c r="H3" s="24">
        <v>12</v>
      </c>
      <c r="I3" s="24"/>
      <c r="J3" s="24">
        <f t="shared" ref="J3:J34" si="0">G3+H3-I3</f>
        <v>12</v>
      </c>
      <c r="K3" s="24">
        <f>VLOOKUP(A:A,明细!D:M,10,0)</f>
        <v>12</v>
      </c>
      <c r="L3" s="24">
        <f t="shared" ref="L3:L34" si="1">J3 - K3</f>
        <v>0</v>
      </c>
    </row>
    <row r="4" spans="1:12">
      <c r="A4" s="25">
        <v>2</v>
      </c>
      <c r="B4" s="25" t="s">
        <v>12</v>
      </c>
      <c r="C4" s="25" t="s">
        <v>13</v>
      </c>
      <c r="D4" t="s">
        <v>9</v>
      </c>
      <c r="E4" t="s">
        <v>11</v>
      </c>
      <c r="F4" s="25" t="s">
        <v>10</v>
      </c>
      <c r="G4" s="24"/>
      <c r="H4" s="24">
        <v>22</v>
      </c>
      <c r="I4" s="24"/>
      <c r="J4" s="24">
        <f t="shared" si="0"/>
        <v>22</v>
      </c>
      <c r="K4" s="24">
        <f>VLOOKUP(A:A,明细!D:M,10,0)</f>
        <v>22</v>
      </c>
      <c r="L4" s="24">
        <f t="shared" si="1"/>
        <v>0</v>
      </c>
    </row>
    <row r="5" spans="1:12">
      <c r="A5" s="25">
        <v>22</v>
      </c>
      <c r="B5" s="25" t="s">
        <v>62</v>
      </c>
      <c r="C5" s="25" t="s">
        <v>63</v>
      </c>
      <c r="D5" s="25" t="s">
        <v>953</v>
      </c>
      <c r="E5" t="s">
        <v>11</v>
      </c>
      <c r="F5" s="25" t="s">
        <v>55</v>
      </c>
      <c r="G5" s="24"/>
      <c r="H5" s="24">
        <v>20</v>
      </c>
      <c r="I5" s="24">
        <v>9</v>
      </c>
      <c r="J5" s="24">
        <f t="shared" si="0"/>
        <v>11</v>
      </c>
      <c r="K5" s="24">
        <f>VLOOKUP(A:A,明细!D:M,10,0)</f>
        <v>11</v>
      </c>
      <c r="L5" s="24">
        <f t="shared" si="1"/>
        <v>0</v>
      </c>
    </row>
    <row r="6" spans="1:12">
      <c r="A6" s="25">
        <v>526</v>
      </c>
      <c r="B6" s="25" t="s">
        <v>373</v>
      </c>
      <c r="C6" s="25" t="s">
        <v>374</v>
      </c>
      <c r="D6" s="25" t="s">
        <v>28</v>
      </c>
      <c r="E6" t="s">
        <v>11</v>
      </c>
      <c r="F6" s="25" t="s">
        <v>376</v>
      </c>
      <c r="G6" s="24">
        <v>21</v>
      </c>
      <c r="H6" s="24"/>
      <c r="I6" s="24">
        <v>2</v>
      </c>
      <c r="J6" s="24">
        <f t="shared" si="0"/>
        <v>19</v>
      </c>
      <c r="K6" s="24">
        <f>VLOOKUP(A:A,明细!D:M,10,0)</f>
        <v>19</v>
      </c>
      <c r="L6" s="24">
        <f t="shared" si="1"/>
        <v>0</v>
      </c>
    </row>
    <row r="7" spans="1:12">
      <c r="A7" s="25">
        <v>527</v>
      </c>
      <c r="B7" s="25" t="s">
        <v>377</v>
      </c>
      <c r="C7" s="25" t="s">
        <v>378</v>
      </c>
      <c r="D7" s="25" t="s">
        <v>9</v>
      </c>
      <c r="E7" t="s">
        <v>11</v>
      </c>
      <c r="F7" s="25" t="s">
        <v>376</v>
      </c>
      <c r="G7" s="24">
        <v>99</v>
      </c>
      <c r="H7" s="24"/>
      <c r="I7" s="24"/>
      <c r="J7" s="24">
        <f t="shared" si="0"/>
        <v>99</v>
      </c>
      <c r="K7" s="24">
        <f>VLOOKUP(A:A,明细!D:M,10,0)</f>
        <v>118</v>
      </c>
      <c r="L7" s="24">
        <f t="shared" si="1"/>
        <v>-19</v>
      </c>
    </row>
    <row r="8" spans="1:12">
      <c r="A8" s="25">
        <v>529</v>
      </c>
      <c r="B8" s="25" t="s">
        <v>383</v>
      </c>
      <c r="C8" s="25" t="s">
        <v>384</v>
      </c>
      <c r="D8" s="25" t="s">
        <v>37</v>
      </c>
      <c r="E8" t="s">
        <v>11</v>
      </c>
      <c r="F8" s="25" t="s">
        <v>376</v>
      </c>
      <c r="G8" s="24"/>
      <c r="H8" s="24">
        <v>96</v>
      </c>
      <c r="I8" s="24">
        <v>6</v>
      </c>
      <c r="J8" s="24">
        <f t="shared" si="0"/>
        <v>90</v>
      </c>
      <c r="K8" s="24">
        <f>VLOOKUP(A:A,明细!D:M,10,0)</f>
        <v>90</v>
      </c>
      <c r="L8" s="24">
        <f t="shared" si="1"/>
        <v>0</v>
      </c>
    </row>
    <row r="9" spans="1:12">
      <c r="A9" s="25">
        <v>530</v>
      </c>
      <c r="B9" s="25" t="s">
        <v>386</v>
      </c>
      <c r="C9" s="25" t="s">
        <v>387</v>
      </c>
      <c r="D9" s="25" t="s">
        <v>9</v>
      </c>
      <c r="E9" t="s">
        <v>11</v>
      </c>
      <c r="F9" s="25" t="s">
        <v>376</v>
      </c>
      <c r="G9" s="24">
        <v>99</v>
      </c>
      <c r="H9" s="24"/>
      <c r="I9" s="24"/>
      <c r="J9" s="24">
        <f t="shared" si="0"/>
        <v>99</v>
      </c>
      <c r="K9" s="24">
        <f>VLOOKUP(A:A,明细!D:M,10,0)</f>
        <v>118</v>
      </c>
      <c r="L9" s="24">
        <f t="shared" si="1"/>
        <v>-19</v>
      </c>
    </row>
    <row r="10" spans="1:12">
      <c r="A10" s="25">
        <v>531</v>
      </c>
      <c r="B10" s="25" t="s">
        <v>389</v>
      </c>
      <c r="C10" s="25" t="s">
        <v>390</v>
      </c>
      <c r="D10" t="s">
        <v>9</v>
      </c>
      <c r="E10" t="s">
        <v>11</v>
      </c>
      <c r="F10" s="25" t="s">
        <v>376</v>
      </c>
      <c r="G10" s="24">
        <v>85</v>
      </c>
      <c r="H10" s="24"/>
      <c r="I10" s="24"/>
      <c r="J10" s="24">
        <f t="shared" si="0"/>
        <v>85</v>
      </c>
      <c r="K10" s="24">
        <f>VLOOKUP(A:A,明细!D:M,10,0)</f>
        <v>104</v>
      </c>
      <c r="L10" s="24">
        <f t="shared" si="1"/>
        <v>-19</v>
      </c>
    </row>
    <row r="11" spans="1:12">
      <c r="A11" s="25">
        <v>532</v>
      </c>
      <c r="B11" s="25" t="s">
        <v>392</v>
      </c>
      <c r="C11" s="25" t="s">
        <v>393</v>
      </c>
      <c r="D11" s="25" t="s">
        <v>28</v>
      </c>
      <c r="E11" t="s">
        <v>11</v>
      </c>
      <c r="F11" s="25" t="s">
        <v>376</v>
      </c>
      <c r="G11" s="24">
        <v>61</v>
      </c>
      <c r="H11" s="24"/>
      <c r="I11" s="24">
        <v>6</v>
      </c>
      <c r="J11" s="24">
        <f t="shared" si="0"/>
        <v>55</v>
      </c>
      <c r="K11" s="24">
        <f>VLOOKUP(A:A,明细!D:M,10,0)</f>
        <v>55</v>
      </c>
      <c r="L11" s="24">
        <f t="shared" si="1"/>
        <v>0</v>
      </c>
    </row>
    <row r="12" spans="1:12">
      <c r="A12" s="25">
        <v>533</v>
      </c>
      <c r="B12" s="25" t="s">
        <v>394</v>
      </c>
      <c r="C12" s="25" t="s">
        <v>395</v>
      </c>
      <c r="D12" s="25" t="s">
        <v>37</v>
      </c>
      <c r="E12" t="s">
        <v>11</v>
      </c>
      <c r="F12" s="25" t="s">
        <v>376</v>
      </c>
      <c r="G12" s="24">
        <v>72</v>
      </c>
      <c r="H12" s="24"/>
      <c r="I12" s="24">
        <v>2</v>
      </c>
      <c r="J12" s="24">
        <f t="shared" si="0"/>
        <v>70</v>
      </c>
      <c r="K12" s="24">
        <f>VLOOKUP(A:A,明细!D:M,10,0)</f>
        <v>89</v>
      </c>
      <c r="L12" s="24">
        <f t="shared" si="1"/>
        <v>-19</v>
      </c>
    </row>
    <row r="13" spans="1:12">
      <c r="A13" s="25">
        <v>534</v>
      </c>
      <c r="B13" s="25" t="s">
        <v>396</v>
      </c>
      <c r="C13" s="25" t="s">
        <v>397</v>
      </c>
      <c r="D13" s="25" t="s">
        <v>28</v>
      </c>
      <c r="E13" t="s">
        <v>11</v>
      </c>
      <c r="F13" s="25" t="s">
        <v>376</v>
      </c>
      <c r="G13" s="24">
        <v>61</v>
      </c>
      <c r="H13" s="24"/>
      <c r="I13" s="24"/>
      <c r="J13" s="24">
        <f t="shared" si="0"/>
        <v>61</v>
      </c>
      <c r="K13" s="24">
        <f>VLOOKUP(A:A,明细!D:M,10,0)</f>
        <v>80</v>
      </c>
      <c r="L13" s="24">
        <f t="shared" si="1"/>
        <v>-19</v>
      </c>
    </row>
    <row r="14" spans="1:12">
      <c r="A14" s="25">
        <v>536</v>
      </c>
      <c r="B14" s="25" t="s">
        <v>400</v>
      </c>
      <c r="C14" s="25" t="s">
        <v>401</v>
      </c>
      <c r="D14" s="25" t="s">
        <v>9</v>
      </c>
      <c r="E14" t="s">
        <v>11</v>
      </c>
      <c r="F14" s="25" t="s">
        <v>376</v>
      </c>
      <c r="G14" s="24">
        <v>86</v>
      </c>
      <c r="H14" s="24"/>
      <c r="I14" s="24">
        <v>1</v>
      </c>
      <c r="J14" s="24">
        <f t="shared" si="0"/>
        <v>85</v>
      </c>
      <c r="K14" s="24">
        <f>VLOOKUP(A:A,明细!D:M,10,0)</f>
        <v>104</v>
      </c>
      <c r="L14" s="24">
        <f t="shared" si="1"/>
        <v>-19</v>
      </c>
    </row>
    <row r="15" spans="1:12">
      <c r="A15" s="25">
        <v>537</v>
      </c>
      <c r="B15" s="25" t="s">
        <v>402</v>
      </c>
      <c r="C15" s="25" t="s">
        <v>403</v>
      </c>
      <c r="D15" t="s">
        <v>9</v>
      </c>
      <c r="E15" t="s">
        <v>11</v>
      </c>
      <c r="F15" s="25" t="s">
        <v>376</v>
      </c>
      <c r="G15" s="24">
        <v>85</v>
      </c>
      <c r="H15" s="24"/>
      <c r="I15" s="24">
        <v>6</v>
      </c>
      <c r="J15" s="24">
        <f t="shared" si="0"/>
        <v>79</v>
      </c>
      <c r="K15" s="24">
        <f>VLOOKUP(A:A,明细!D:M,10,0)</f>
        <v>98</v>
      </c>
      <c r="L15" s="24">
        <f t="shared" si="1"/>
        <v>-19</v>
      </c>
    </row>
    <row r="16" spans="1:12">
      <c r="A16" s="25">
        <v>538</v>
      </c>
      <c r="B16" s="25" t="s">
        <v>405</v>
      </c>
      <c r="C16" s="25" t="s">
        <v>406</v>
      </c>
      <c r="D16" s="25" t="s">
        <v>37</v>
      </c>
      <c r="E16" t="s">
        <v>11</v>
      </c>
      <c r="F16" s="25" t="s">
        <v>376</v>
      </c>
      <c r="G16" s="24">
        <v>95</v>
      </c>
      <c r="H16" s="24"/>
      <c r="I16" s="24"/>
      <c r="J16" s="24">
        <f t="shared" si="0"/>
        <v>95</v>
      </c>
      <c r="K16" s="24">
        <f>VLOOKUP(A:A,明细!D:M,10,0)</f>
        <v>95</v>
      </c>
      <c r="L16" s="24">
        <f t="shared" si="1"/>
        <v>0</v>
      </c>
    </row>
    <row r="17" spans="1:12">
      <c r="A17" s="25">
        <v>539</v>
      </c>
      <c r="B17" s="25" t="s">
        <v>407</v>
      </c>
      <c r="C17" s="25" t="s">
        <v>408</v>
      </c>
      <c r="D17" s="25" t="s">
        <v>9</v>
      </c>
      <c r="E17" t="s">
        <v>11</v>
      </c>
      <c r="F17" s="25" t="s">
        <v>376</v>
      </c>
      <c r="G17" s="24">
        <v>83</v>
      </c>
      <c r="H17" s="24">
        <v>4</v>
      </c>
      <c r="I17" s="24">
        <v>1</v>
      </c>
      <c r="J17" s="24">
        <f t="shared" si="0"/>
        <v>86</v>
      </c>
      <c r="K17" s="24">
        <f>VLOOKUP(A:A,明细!D:M,10,0)</f>
        <v>86</v>
      </c>
      <c r="L17" s="24">
        <f t="shared" si="1"/>
        <v>0</v>
      </c>
    </row>
    <row r="18" spans="1:12">
      <c r="A18" s="25">
        <v>541</v>
      </c>
      <c r="B18" s="25" t="s">
        <v>411</v>
      </c>
      <c r="C18" s="25" t="s">
        <v>412</v>
      </c>
      <c r="D18" t="s">
        <v>9</v>
      </c>
      <c r="E18" t="s">
        <v>11</v>
      </c>
      <c r="F18" s="25" t="s">
        <v>376</v>
      </c>
      <c r="G18" s="24">
        <v>74</v>
      </c>
      <c r="H18" s="24"/>
      <c r="I18" s="24">
        <v>11</v>
      </c>
      <c r="J18" s="24">
        <f t="shared" si="0"/>
        <v>63</v>
      </c>
      <c r="K18" s="24">
        <f>VLOOKUP(A:A,明细!D:M,10,0)</f>
        <v>63</v>
      </c>
      <c r="L18" s="24">
        <f t="shared" si="1"/>
        <v>0</v>
      </c>
    </row>
    <row r="19" spans="1:12">
      <c r="A19" s="25">
        <v>562</v>
      </c>
      <c r="B19" s="25" t="s">
        <v>471</v>
      </c>
      <c r="C19" s="25" t="s">
        <v>472</v>
      </c>
      <c r="D19" s="25" t="s">
        <v>449</v>
      </c>
      <c r="E19" t="s">
        <v>11</v>
      </c>
      <c r="F19" s="25" t="s">
        <v>424</v>
      </c>
      <c r="G19" s="24"/>
      <c r="H19" s="24">
        <v>98</v>
      </c>
      <c r="I19" s="24"/>
      <c r="J19" s="24">
        <f t="shared" si="0"/>
        <v>98</v>
      </c>
      <c r="K19" s="24">
        <f>VLOOKUP(A:A,明细!D:M,10,0)</f>
        <v>98</v>
      </c>
      <c r="L19" s="24">
        <f t="shared" si="1"/>
        <v>0</v>
      </c>
    </row>
    <row r="20" spans="1:12">
      <c r="A20" s="25">
        <v>563</v>
      </c>
      <c r="B20" s="25" t="s">
        <v>474</v>
      </c>
      <c r="C20" s="25" t="s">
        <v>475</v>
      </c>
      <c r="D20" t="s">
        <v>449</v>
      </c>
      <c r="E20" t="s">
        <v>11</v>
      </c>
      <c r="F20" s="25" t="s">
        <v>424</v>
      </c>
      <c r="G20" s="24"/>
      <c r="H20" s="24">
        <v>2</v>
      </c>
      <c r="I20" s="24">
        <v>2</v>
      </c>
      <c r="J20" s="24">
        <f t="shared" si="0"/>
        <v>0</v>
      </c>
      <c r="K20" s="24">
        <f>VLOOKUP(A:A,明细!D:M,10,0)</f>
        <v>0</v>
      </c>
      <c r="L20" s="24">
        <f t="shared" si="1"/>
        <v>0</v>
      </c>
    </row>
    <row r="21" spans="1:12">
      <c r="A21" s="25">
        <v>568</v>
      </c>
      <c r="B21" s="25" t="s">
        <v>489</v>
      </c>
      <c r="C21" s="25" t="s">
        <v>490</v>
      </c>
      <c r="D21" t="s">
        <v>449</v>
      </c>
      <c r="E21" t="s">
        <v>11</v>
      </c>
      <c r="F21" s="25" t="s">
        <v>424</v>
      </c>
      <c r="G21" s="24"/>
      <c r="H21" s="24">
        <v>99</v>
      </c>
      <c r="I21" s="24">
        <v>4</v>
      </c>
      <c r="J21" s="24">
        <f t="shared" si="0"/>
        <v>95</v>
      </c>
      <c r="K21" s="24">
        <f>VLOOKUP(A:A,明细!D:M,10,0)</f>
        <v>95</v>
      </c>
      <c r="L21" s="24">
        <f t="shared" si="1"/>
        <v>0</v>
      </c>
    </row>
    <row r="22" spans="1:12">
      <c r="A22" s="25">
        <v>571</v>
      </c>
      <c r="B22" s="25" t="s">
        <v>498</v>
      </c>
      <c r="C22" s="25" t="s">
        <v>499</v>
      </c>
      <c r="D22" s="25" t="s">
        <v>9</v>
      </c>
      <c r="E22" t="s">
        <v>11</v>
      </c>
      <c r="F22" s="25" t="s">
        <v>424</v>
      </c>
      <c r="G22" s="24">
        <v>73</v>
      </c>
      <c r="H22" s="24"/>
      <c r="I22" s="24"/>
      <c r="J22" s="24">
        <f t="shared" si="0"/>
        <v>73</v>
      </c>
      <c r="K22" s="24">
        <f>VLOOKUP(A:A,明细!D:M,10,0)</f>
        <v>73</v>
      </c>
      <c r="L22" s="24">
        <f t="shared" si="1"/>
        <v>0</v>
      </c>
    </row>
    <row r="23" spans="1:12">
      <c r="A23" s="25">
        <v>572</v>
      </c>
      <c r="B23" s="25" t="s">
        <v>501</v>
      </c>
      <c r="C23" s="25" t="s">
        <v>502</v>
      </c>
      <c r="D23" s="25" t="s">
        <v>449</v>
      </c>
      <c r="E23" t="s">
        <v>11</v>
      </c>
      <c r="F23" s="25" t="s">
        <v>424</v>
      </c>
      <c r="G23" s="24">
        <v>87</v>
      </c>
      <c r="H23" s="24"/>
      <c r="I23" s="24"/>
      <c r="J23" s="24">
        <f t="shared" si="0"/>
        <v>87</v>
      </c>
      <c r="K23" s="24">
        <f>VLOOKUP(A:A,明细!D:M,10,0)</f>
        <v>87</v>
      </c>
      <c r="L23" s="24">
        <f t="shared" si="1"/>
        <v>0</v>
      </c>
    </row>
    <row r="24" spans="1:12">
      <c r="A24" s="25">
        <v>573</v>
      </c>
      <c r="B24" s="25" t="s">
        <v>504</v>
      </c>
      <c r="C24" s="25" t="s">
        <v>505</v>
      </c>
      <c r="D24" s="25" t="s">
        <v>9</v>
      </c>
      <c r="E24" t="s">
        <v>11</v>
      </c>
      <c r="F24" s="25" t="s">
        <v>424</v>
      </c>
      <c r="G24" s="24">
        <v>85</v>
      </c>
      <c r="H24" s="24"/>
      <c r="I24" s="24">
        <v>16</v>
      </c>
      <c r="J24" s="24">
        <f t="shared" si="0"/>
        <v>69</v>
      </c>
      <c r="K24" s="24">
        <f>VLOOKUP(A:A,明细!D:M,10,0)</f>
        <v>69</v>
      </c>
      <c r="L24" s="24">
        <f t="shared" si="1"/>
        <v>0</v>
      </c>
    </row>
    <row r="25" spans="1:12">
      <c r="A25" s="25">
        <v>574</v>
      </c>
      <c r="B25" s="25" t="s">
        <v>506</v>
      </c>
      <c r="C25" s="25" t="s">
        <v>507</v>
      </c>
      <c r="D25" t="s">
        <v>9</v>
      </c>
      <c r="E25" t="s">
        <v>11</v>
      </c>
      <c r="F25" s="25" t="s">
        <v>424</v>
      </c>
      <c r="G25" s="24">
        <v>15</v>
      </c>
      <c r="H25" s="24"/>
      <c r="I25" s="24"/>
      <c r="J25" s="24">
        <f t="shared" si="0"/>
        <v>15</v>
      </c>
      <c r="K25" s="24">
        <f>VLOOKUP(A:A,明细!D:M,10,0)</f>
        <v>15</v>
      </c>
      <c r="L25" s="24">
        <f t="shared" si="1"/>
        <v>0</v>
      </c>
    </row>
    <row r="26" spans="1:12">
      <c r="A26" s="25">
        <v>576</v>
      </c>
      <c r="B26" s="25" t="s">
        <v>511</v>
      </c>
      <c r="C26" s="25" t="s">
        <v>512</v>
      </c>
      <c r="D26" s="25" t="s">
        <v>449</v>
      </c>
      <c r="E26" t="s">
        <v>11</v>
      </c>
      <c r="F26" s="25" t="s">
        <v>424</v>
      </c>
      <c r="G26" s="24">
        <v>72</v>
      </c>
      <c r="H26" s="24"/>
      <c r="I26" s="24"/>
      <c r="J26" s="24">
        <f t="shared" si="0"/>
        <v>72</v>
      </c>
      <c r="K26" s="24">
        <f>VLOOKUP(A:A,明细!D:M,10,0)</f>
        <v>72</v>
      </c>
      <c r="L26" s="24">
        <f t="shared" si="1"/>
        <v>0</v>
      </c>
    </row>
    <row r="27" spans="1:12">
      <c r="A27" s="25">
        <v>577</v>
      </c>
      <c r="B27" s="25" t="s">
        <v>514</v>
      </c>
      <c r="C27" s="25" t="s">
        <v>515</v>
      </c>
      <c r="D27" t="s">
        <v>449</v>
      </c>
      <c r="E27" t="s">
        <v>11</v>
      </c>
      <c r="F27" s="25" t="s">
        <v>424</v>
      </c>
      <c r="G27" s="24">
        <v>73</v>
      </c>
      <c r="H27" s="24"/>
      <c r="I27" s="24"/>
      <c r="J27" s="24">
        <f t="shared" si="0"/>
        <v>73</v>
      </c>
      <c r="K27" s="24">
        <f>VLOOKUP(A:A,明细!D:M,10,0)</f>
        <v>73</v>
      </c>
      <c r="L27" s="24">
        <f t="shared" si="1"/>
        <v>0</v>
      </c>
    </row>
    <row r="28" spans="1:12">
      <c r="A28" s="25">
        <v>578</v>
      </c>
      <c r="B28" s="25" t="s">
        <v>517</v>
      </c>
      <c r="C28" s="25" t="s">
        <v>518</v>
      </c>
      <c r="D28" s="25" t="s">
        <v>37</v>
      </c>
      <c r="E28" t="s">
        <v>11</v>
      </c>
      <c r="F28" s="25" t="s">
        <v>424</v>
      </c>
      <c r="G28" s="24">
        <v>89</v>
      </c>
      <c r="H28" s="24"/>
      <c r="I28" s="24">
        <v>8</v>
      </c>
      <c r="J28" s="24">
        <f t="shared" si="0"/>
        <v>81</v>
      </c>
      <c r="K28" s="24">
        <f>VLOOKUP(A:A,明细!D:M,10,0)</f>
        <v>81</v>
      </c>
      <c r="L28" s="24">
        <f t="shared" si="1"/>
        <v>0</v>
      </c>
    </row>
    <row r="29" spans="1:12">
      <c r="A29" s="25">
        <v>579</v>
      </c>
      <c r="B29" s="25" t="s">
        <v>520</v>
      </c>
      <c r="C29" s="25" t="s">
        <v>521</v>
      </c>
      <c r="D29" s="25" t="s">
        <v>9</v>
      </c>
      <c r="E29" t="s">
        <v>11</v>
      </c>
      <c r="F29" s="25" t="s">
        <v>424</v>
      </c>
      <c r="G29" s="24">
        <v>75</v>
      </c>
      <c r="H29" s="24"/>
      <c r="I29" s="24">
        <v>8</v>
      </c>
      <c r="J29" s="24">
        <f t="shared" si="0"/>
        <v>67</v>
      </c>
      <c r="K29" s="24">
        <f>VLOOKUP(A:A,明细!D:M,10,0)</f>
        <v>67</v>
      </c>
      <c r="L29" s="24">
        <f t="shared" si="1"/>
        <v>0</v>
      </c>
    </row>
    <row r="30" spans="1:12">
      <c r="A30" s="25">
        <v>582</v>
      </c>
      <c r="B30" s="25" t="s">
        <v>527</v>
      </c>
      <c r="C30" s="25" t="s">
        <v>528</v>
      </c>
      <c r="D30" s="25" t="s">
        <v>449</v>
      </c>
      <c r="E30" t="s">
        <v>11</v>
      </c>
      <c r="F30" s="25" t="s">
        <v>424</v>
      </c>
      <c r="G30" s="24">
        <v>77</v>
      </c>
      <c r="H30" s="24"/>
      <c r="I30" s="24"/>
      <c r="J30" s="24">
        <f t="shared" si="0"/>
        <v>77</v>
      </c>
      <c r="K30" s="24">
        <f>VLOOKUP(A:A,明细!D:M,10,0)</f>
        <v>77</v>
      </c>
      <c r="L30" s="24">
        <f t="shared" si="1"/>
        <v>0</v>
      </c>
    </row>
    <row r="31" spans="1:12">
      <c r="A31" s="25">
        <v>583</v>
      </c>
      <c r="B31" s="25" t="s">
        <v>529</v>
      </c>
      <c r="C31" s="25" t="s">
        <v>530</v>
      </c>
      <c r="D31" s="25" t="s">
        <v>28</v>
      </c>
      <c r="E31" t="s">
        <v>11</v>
      </c>
      <c r="F31" s="25" t="s">
        <v>424</v>
      </c>
      <c r="G31" s="24">
        <v>98</v>
      </c>
      <c r="H31" s="24"/>
      <c r="I31" s="24">
        <v>4</v>
      </c>
      <c r="J31" s="24">
        <f t="shared" si="0"/>
        <v>94</v>
      </c>
      <c r="K31" s="24">
        <f>VLOOKUP(A:A,明细!D:M,10,0)</f>
        <v>94</v>
      </c>
      <c r="L31" s="24">
        <f t="shared" si="1"/>
        <v>0</v>
      </c>
    </row>
    <row r="32" spans="1:12">
      <c r="A32" s="25">
        <v>584</v>
      </c>
      <c r="B32" s="25" t="s">
        <v>531</v>
      </c>
      <c r="C32" s="25" t="s">
        <v>532</v>
      </c>
      <c r="D32" s="25" t="s">
        <v>42</v>
      </c>
      <c r="E32" t="s">
        <v>11</v>
      </c>
      <c r="F32" s="25" t="s">
        <v>424</v>
      </c>
      <c r="G32" s="24"/>
      <c r="H32" s="24">
        <v>10</v>
      </c>
      <c r="I32" s="24">
        <v>10</v>
      </c>
      <c r="J32" s="24">
        <f t="shared" si="0"/>
        <v>0</v>
      </c>
      <c r="K32" s="24">
        <f>VLOOKUP(A:A,明细!D:M,10,0)</f>
        <v>0</v>
      </c>
      <c r="L32" s="24">
        <f t="shared" si="1"/>
        <v>0</v>
      </c>
    </row>
    <row r="33" spans="1:12">
      <c r="A33" s="25">
        <v>585</v>
      </c>
      <c r="B33" s="25" t="s">
        <v>533</v>
      </c>
      <c r="C33" s="25" t="s">
        <v>534</v>
      </c>
      <c r="D33" s="25" t="s">
        <v>9</v>
      </c>
      <c r="E33" t="s">
        <v>11</v>
      </c>
      <c r="F33" s="25" t="s">
        <v>424</v>
      </c>
      <c r="G33" s="24">
        <v>4</v>
      </c>
      <c r="H33" s="24"/>
      <c r="I33" s="24"/>
      <c r="J33" s="24">
        <f t="shared" si="0"/>
        <v>4</v>
      </c>
      <c r="K33" s="24">
        <f>VLOOKUP(A:A,明细!D:M,10,0)</f>
        <v>4</v>
      </c>
      <c r="L33" s="24">
        <f t="shared" si="1"/>
        <v>0</v>
      </c>
    </row>
    <row r="34" spans="1:12">
      <c r="A34" s="25">
        <v>588</v>
      </c>
      <c r="B34" s="25" t="s">
        <v>540</v>
      </c>
      <c r="C34" s="25" t="s">
        <v>541</v>
      </c>
      <c r="D34" s="25" t="s">
        <v>449</v>
      </c>
      <c r="E34" t="s">
        <v>11</v>
      </c>
      <c r="F34" s="25" t="s">
        <v>424</v>
      </c>
      <c r="G34" s="24">
        <v>97</v>
      </c>
      <c r="H34" s="24"/>
      <c r="I34" s="24">
        <v>1</v>
      </c>
      <c r="J34" s="24">
        <f t="shared" si="0"/>
        <v>96</v>
      </c>
      <c r="K34" s="24">
        <f>VLOOKUP(A:A,明细!D:M,10,0)</f>
        <v>96</v>
      </c>
      <c r="L34" s="24">
        <f t="shared" si="1"/>
        <v>0</v>
      </c>
    </row>
    <row r="35" spans="1:12">
      <c r="A35" s="25">
        <v>590</v>
      </c>
      <c r="B35" s="25" t="s">
        <v>544</v>
      </c>
      <c r="C35" s="25" t="s">
        <v>545</v>
      </c>
      <c r="D35" t="s">
        <v>449</v>
      </c>
      <c r="E35" t="s">
        <v>11</v>
      </c>
      <c r="F35" s="25" t="s">
        <v>424</v>
      </c>
      <c r="G35" s="24">
        <v>89</v>
      </c>
      <c r="H35" s="24"/>
      <c r="I35" s="24">
        <v>1</v>
      </c>
      <c r="J35" s="24">
        <f t="shared" ref="J35:J66" si="2">G35+H35-I35</f>
        <v>88</v>
      </c>
      <c r="K35" s="24">
        <f>VLOOKUP(A:A,明细!D:M,10,0)</f>
        <v>88</v>
      </c>
      <c r="L35" s="24">
        <f t="shared" ref="L35:L66" si="3">J35 - K35</f>
        <v>0</v>
      </c>
    </row>
    <row r="36" spans="1:12">
      <c r="A36" s="25">
        <v>591</v>
      </c>
      <c r="B36" s="25" t="s">
        <v>546</v>
      </c>
      <c r="C36" s="25" t="s">
        <v>547</v>
      </c>
      <c r="D36" t="s">
        <v>449</v>
      </c>
      <c r="E36" t="s">
        <v>11</v>
      </c>
      <c r="F36" s="25" t="s">
        <v>424</v>
      </c>
      <c r="G36" s="24">
        <v>82</v>
      </c>
      <c r="H36" s="24"/>
      <c r="I36" s="24"/>
      <c r="J36" s="24">
        <f t="shared" si="2"/>
        <v>82</v>
      </c>
      <c r="K36" s="24">
        <f>VLOOKUP(A:A,明细!D:M,10,0)</f>
        <v>82</v>
      </c>
      <c r="L36" s="24">
        <f t="shared" si="3"/>
        <v>0</v>
      </c>
    </row>
    <row r="37" spans="1:12">
      <c r="A37" s="25">
        <v>594</v>
      </c>
      <c r="B37" s="25" t="s">
        <v>553</v>
      </c>
      <c r="C37" s="25" t="s">
        <v>554</v>
      </c>
      <c r="D37" s="25" t="s">
        <v>9</v>
      </c>
      <c r="E37" t="s">
        <v>11</v>
      </c>
      <c r="F37" s="25" t="s">
        <v>424</v>
      </c>
      <c r="G37" s="24"/>
      <c r="H37" s="24">
        <v>98</v>
      </c>
      <c r="I37" s="24">
        <v>3</v>
      </c>
      <c r="J37" s="24">
        <f t="shared" si="2"/>
        <v>95</v>
      </c>
      <c r="K37" s="24">
        <f>VLOOKUP(A:A,明细!D:M,10,0)</f>
        <v>95</v>
      </c>
      <c r="L37" s="24">
        <f t="shared" si="3"/>
        <v>0</v>
      </c>
    </row>
    <row r="38" spans="1:12">
      <c r="A38" s="25">
        <v>596</v>
      </c>
      <c r="B38" s="25" t="s">
        <v>558</v>
      </c>
      <c r="C38" s="25" t="s">
        <v>559</v>
      </c>
      <c r="D38" t="s">
        <v>9</v>
      </c>
      <c r="E38" t="s">
        <v>11</v>
      </c>
      <c r="F38" s="25" t="s">
        <v>424</v>
      </c>
      <c r="G38" s="24">
        <v>99</v>
      </c>
      <c r="H38" s="24"/>
      <c r="I38" s="24"/>
      <c r="J38" s="24">
        <f t="shared" si="2"/>
        <v>99</v>
      </c>
      <c r="K38" s="24">
        <f>VLOOKUP(A:A,明细!D:M,10,0)</f>
        <v>99</v>
      </c>
      <c r="L38" s="24">
        <f t="shared" si="3"/>
        <v>0</v>
      </c>
    </row>
    <row r="39" spans="1:12">
      <c r="A39" s="25">
        <v>598</v>
      </c>
      <c r="B39" s="25" t="s">
        <v>563</v>
      </c>
      <c r="C39" s="25" t="s">
        <v>564</v>
      </c>
      <c r="D39" s="25" t="s">
        <v>449</v>
      </c>
      <c r="E39" t="s">
        <v>11</v>
      </c>
      <c r="F39" s="25" t="s">
        <v>424</v>
      </c>
      <c r="G39" s="24">
        <v>90</v>
      </c>
      <c r="H39" s="24"/>
      <c r="I39" s="24"/>
      <c r="J39" s="24">
        <f t="shared" si="2"/>
        <v>90</v>
      </c>
      <c r="K39" s="24">
        <f>VLOOKUP(A:A,明细!D:M,10,0)</f>
        <v>90</v>
      </c>
      <c r="L39" s="24">
        <f t="shared" si="3"/>
        <v>0</v>
      </c>
    </row>
    <row r="40" spans="1:12">
      <c r="A40" s="25">
        <v>599</v>
      </c>
      <c r="B40" s="25" t="s">
        <v>566</v>
      </c>
      <c r="C40" s="25" t="s">
        <v>567</v>
      </c>
      <c r="D40" t="s">
        <v>449</v>
      </c>
      <c r="E40" t="s">
        <v>11</v>
      </c>
      <c r="F40" s="25" t="s">
        <v>424</v>
      </c>
      <c r="G40" s="24">
        <v>79</v>
      </c>
      <c r="H40" s="24"/>
      <c r="I40" s="24">
        <v>1</v>
      </c>
      <c r="J40" s="24">
        <f t="shared" si="2"/>
        <v>78</v>
      </c>
      <c r="K40" s="24">
        <f>VLOOKUP(A:A,明细!D:M,10,0)</f>
        <v>78</v>
      </c>
      <c r="L40" s="24">
        <f t="shared" si="3"/>
        <v>0</v>
      </c>
    </row>
    <row r="41" spans="1:12">
      <c r="A41" s="25">
        <v>604</v>
      </c>
      <c r="B41" s="25" t="s">
        <v>577</v>
      </c>
      <c r="C41" s="25" t="s">
        <v>578</v>
      </c>
      <c r="D41" t="s">
        <v>449</v>
      </c>
      <c r="E41" t="s">
        <v>11</v>
      </c>
      <c r="F41" s="25" t="s">
        <v>424</v>
      </c>
      <c r="G41" s="24">
        <v>86</v>
      </c>
      <c r="H41" s="24"/>
      <c r="I41" s="24"/>
      <c r="J41" s="24">
        <f t="shared" si="2"/>
        <v>86</v>
      </c>
      <c r="K41" s="24">
        <f>VLOOKUP(A:A,明细!D:M,10,0)</f>
        <v>86</v>
      </c>
      <c r="L41" s="24">
        <f t="shared" si="3"/>
        <v>0</v>
      </c>
    </row>
    <row r="42" spans="1:12">
      <c r="A42" s="25">
        <v>605</v>
      </c>
      <c r="B42" s="25" t="s">
        <v>580</v>
      </c>
      <c r="C42" s="25" t="s">
        <v>581</v>
      </c>
      <c r="D42" t="s">
        <v>449</v>
      </c>
      <c r="E42" t="s">
        <v>11</v>
      </c>
      <c r="F42" s="25" t="s">
        <v>424</v>
      </c>
      <c r="G42" s="24">
        <v>85</v>
      </c>
      <c r="H42" s="24"/>
      <c r="I42" s="24"/>
      <c r="J42" s="24">
        <f t="shared" si="2"/>
        <v>85</v>
      </c>
      <c r="K42" s="24">
        <f>VLOOKUP(A:A,明细!D:M,10,0)</f>
        <v>85</v>
      </c>
      <c r="L42" s="24">
        <f t="shared" si="3"/>
        <v>0</v>
      </c>
    </row>
    <row r="43" spans="1:12">
      <c r="A43" s="25">
        <v>606</v>
      </c>
      <c r="B43" s="25" t="s">
        <v>582</v>
      </c>
      <c r="C43" s="25" t="s">
        <v>583</v>
      </c>
      <c r="D43" s="25" t="s">
        <v>42</v>
      </c>
      <c r="E43" t="s">
        <v>11</v>
      </c>
      <c r="F43" s="25" t="s">
        <v>424</v>
      </c>
      <c r="G43" s="24">
        <v>43</v>
      </c>
      <c r="H43" s="24"/>
      <c r="I43" s="24"/>
      <c r="J43" s="24">
        <f t="shared" si="2"/>
        <v>43</v>
      </c>
      <c r="K43" s="24">
        <f>VLOOKUP(A:A,明细!D:M,10,0)</f>
        <v>43</v>
      </c>
      <c r="L43" s="24">
        <f t="shared" si="3"/>
        <v>0</v>
      </c>
    </row>
    <row r="44" spans="1:12">
      <c r="A44" s="25">
        <v>607</v>
      </c>
      <c r="B44" s="25" t="s">
        <v>584</v>
      </c>
      <c r="C44" s="25" t="s">
        <v>585</v>
      </c>
      <c r="D44" s="25" t="s">
        <v>28</v>
      </c>
      <c r="E44" t="s">
        <v>11</v>
      </c>
      <c r="F44" s="25" t="s">
        <v>424</v>
      </c>
      <c r="G44" s="24">
        <v>88</v>
      </c>
      <c r="H44" s="24"/>
      <c r="I44" s="24">
        <v>16</v>
      </c>
      <c r="J44" s="24">
        <f t="shared" si="2"/>
        <v>72</v>
      </c>
      <c r="K44" s="24">
        <f>VLOOKUP(A:A,明细!D:M,10,0)</f>
        <v>72</v>
      </c>
      <c r="L44" s="24">
        <f t="shared" si="3"/>
        <v>0</v>
      </c>
    </row>
    <row r="45" spans="1:12">
      <c r="A45" s="25">
        <v>608</v>
      </c>
      <c r="B45" s="25" t="s">
        <v>586</v>
      </c>
      <c r="C45" s="25" t="s">
        <v>587</v>
      </c>
      <c r="D45" t="s">
        <v>28</v>
      </c>
      <c r="E45" t="s">
        <v>11</v>
      </c>
      <c r="F45" s="25" t="s">
        <v>424</v>
      </c>
      <c r="G45" s="24">
        <v>86</v>
      </c>
      <c r="H45" s="24"/>
      <c r="I45" s="24">
        <v>9</v>
      </c>
      <c r="J45" s="24">
        <f t="shared" si="2"/>
        <v>77</v>
      </c>
      <c r="K45" s="24">
        <f>VLOOKUP(A:A,明细!D:M,10,0)</f>
        <v>77</v>
      </c>
      <c r="L45" s="24">
        <f t="shared" si="3"/>
        <v>0</v>
      </c>
    </row>
    <row r="46" spans="1:12">
      <c r="A46" s="25">
        <v>609</v>
      </c>
      <c r="B46" s="25" t="s">
        <v>588</v>
      </c>
      <c r="C46" s="25" t="s">
        <v>589</v>
      </c>
      <c r="D46" s="25" t="s">
        <v>9</v>
      </c>
      <c r="E46" t="s">
        <v>11</v>
      </c>
      <c r="F46" s="25" t="s">
        <v>424</v>
      </c>
      <c r="G46" s="24">
        <v>89</v>
      </c>
      <c r="H46" s="24"/>
      <c r="I46" s="24"/>
      <c r="J46" s="24">
        <f t="shared" si="2"/>
        <v>89</v>
      </c>
      <c r="K46" s="24">
        <f>VLOOKUP(A:A,明细!D:M,10,0)</f>
        <v>89</v>
      </c>
      <c r="L46" s="24">
        <f t="shared" si="3"/>
        <v>0</v>
      </c>
    </row>
    <row r="47" spans="1:12">
      <c r="A47" s="25">
        <v>610</v>
      </c>
      <c r="B47" s="25" t="s">
        <v>590</v>
      </c>
      <c r="C47" s="25" t="s">
        <v>591</v>
      </c>
      <c r="D47" s="25" t="s">
        <v>449</v>
      </c>
      <c r="E47" t="s">
        <v>11</v>
      </c>
      <c r="F47" s="25" t="s">
        <v>424</v>
      </c>
      <c r="G47" s="24">
        <v>87</v>
      </c>
      <c r="H47" s="24"/>
      <c r="I47" s="24"/>
      <c r="J47" s="24">
        <f t="shared" si="2"/>
        <v>87</v>
      </c>
      <c r="K47" s="24">
        <f>VLOOKUP(A:A,明细!D:M,10,0)</f>
        <v>87</v>
      </c>
      <c r="L47" s="24">
        <f t="shared" si="3"/>
        <v>0</v>
      </c>
    </row>
    <row r="48" spans="1:12">
      <c r="A48" s="25">
        <v>611</v>
      </c>
      <c r="B48" s="25" t="s">
        <v>592</v>
      </c>
      <c r="C48" s="25" t="s">
        <v>593</v>
      </c>
      <c r="D48" s="25" t="s">
        <v>37</v>
      </c>
      <c r="E48" t="s">
        <v>11</v>
      </c>
      <c r="F48" s="25" t="s">
        <v>424</v>
      </c>
      <c r="G48" s="24">
        <v>75</v>
      </c>
      <c r="H48" s="24"/>
      <c r="I48" s="24">
        <v>1</v>
      </c>
      <c r="J48" s="24">
        <f t="shared" si="2"/>
        <v>74</v>
      </c>
      <c r="K48" s="24">
        <f>VLOOKUP(A:A,明细!D:M,10,0)</f>
        <v>74</v>
      </c>
      <c r="L48" s="24">
        <f t="shared" si="3"/>
        <v>0</v>
      </c>
    </row>
    <row r="49" spans="1:12">
      <c r="A49" s="25">
        <v>613</v>
      </c>
      <c r="B49" s="25" t="s">
        <v>596</v>
      </c>
      <c r="C49" s="25" t="s">
        <v>597</v>
      </c>
      <c r="D49" s="25" t="s">
        <v>28</v>
      </c>
      <c r="E49" t="s">
        <v>11</v>
      </c>
      <c r="F49" s="25" t="s">
        <v>424</v>
      </c>
      <c r="G49" s="24">
        <v>65</v>
      </c>
      <c r="H49" s="24"/>
      <c r="I49" s="24"/>
      <c r="J49" s="24">
        <f t="shared" si="2"/>
        <v>65</v>
      </c>
      <c r="K49" s="24">
        <f>VLOOKUP(A:A,明细!D:M,10,0)</f>
        <v>65</v>
      </c>
      <c r="L49" s="24">
        <f t="shared" si="3"/>
        <v>0</v>
      </c>
    </row>
    <row r="50" spans="1:12">
      <c r="A50" s="25">
        <v>614</v>
      </c>
      <c r="B50" s="25" t="s">
        <v>598</v>
      </c>
      <c r="C50" s="25" t="s">
        <v>599</v>
      </c>
      <c r="D50" s="25" t="s">
        <v>449</v>
      </c>
      <c r="E50" t="s">
        <v>11</v>
      </c>
      <c r="F50" s="25" t="s">
        <v>424</v>
      </c>
      <c r="G50" s="24">
        <v>84</v>
      </c>
      <c r="H50" s="24"/>
      <c r="I50" s="24"/>
      <c r="J50" s="24">
        <f t="shared" si="2"/>
        <v>84</v>
      </c>
      <c r="K50" s="24">
        <f>VLOOKUP(A:A,明细!D:M,10,0)</f>
        <v>84</v>
      </c>
      <c r="L50" s="24">
        <f t="shared" si="3"/>
        <v>0</v>
      </c>
    </row>
    <row r="51" spans="1:12">
      <c r="A51" s="25">
        <v>615</v>
      </c>
      <c r="B51" s="25" t="s">
        <v>601</v>
      </c>
      <c r="C51" s="25" t="s">
        <v>602</v>
      </c>
      <c r="D51" s="25" t="s">
        <v>953</v>
      </c>
      <c r="E51" t="s">
        <v>11</v>
      </c>
      <c r="F51" s="25" t="s">
        <v>424</v>
      </c>
      <c r="G51" s="24">
        <v>84</v>
      </c>
      <c r="H51" s="24"/>
      <c r="I51" s="24"/>
      <c r="J51" s="24">
        <f t="shared" si="2"/>
        <v>84</v>
      </c>
      <c r="K51" s="24">
        <f>VLOOKUP(A:A,明细!D:M,10,0)</f>
        <v>84</v>
      </c>
      <c r="L51" s="24">
        <f t="shared" si="3"/>
        <v>0</v>
      </c>
    </row>
    <row r="52" spans="1:12">
      <c r="A52" s="25">
        <v>621</v>
      </c>
      <c r="B52" s="25" t="s">
        <v>620</v>
      </c>
      <c r="C52" s="25" t="s">
        <v>621</v>
      </c>
      <c r="D52" s="25" t="s">
        <v>609</v>
      </c>
      <c r="E52" t="s">
        <v>11</v>
      </c>
      <c r="F52" s="25" t="s">
        <v>610</v>
      </c>
      <c r="G52" s="24">
        <v>22</v>
      </c>
      <c r="H52" s="24">
        <v>732</v>
      </c>
      <c r="I52" s="24">
        <v>269</v>
      </c>
      <c r="J52" s="24">
        <f t="shared" si="2"/>
        <v>485</v>
      </c>
      <c r="K52" s="24">
        <f>VLOOKUP(A:A,明细!D:M,10,0)</f>
        <v>485</v>
      </c>
      <c r="L52" s="24">
        <f t="shared" si="3"/>
        <v>0</v>
      </c>
    </row>
    <row r="53" spans="1:12">
      <c r="A53" s="25">
        <v>624</v>
      </c>
      <c r="B53" s="25" t="s">
        <v>629</v>
      </c>
      <c r="C53" s="25" t="s">
        <v>630</v>
      </c>
      <c r="D53" s="25" t="s">
        <v>9</v>
      </c>
      <c r="E53" t="s">
        <v>11</v>
      </c>
      <c r="F53" s="25" t="s">
        <v>610</v>
      </c>
      <c r="G53" s="24">
        <v>86</v>
      </c>
      <c r="H53" s="24"/>
      <c r="I53" s="24"/>
      <c r="J53" s="24">
        <f t="shared" si="2"/>
        <v>86</v>
      </c>
      <c r="K53" s="24">
        <f>VLOOKUP(A:A,明细!D:M,10,0)</f>
        <v>86</v>
      </c>
      <c r="L53" s="24">
        <f t="shared" si="3"/>
        <v>0</v>
      </c>
    </row>
    <row r="54" spans="1:12">
      <c r="A54" s="25">
        <v>625</v>
      </c>
      <c r="B54" s="25" t="s">
        <v>631</v>
      </c>
      <c r="C54" s="25" t="s">
        <v>632</v>
      </c>
      <c r="D54" s="25" t="s">
        <v>37</v>
      </c>
      <c r="E54" t="s">
        <v>11</v>
      </c>
      <c r="F54" s="25" t="s">
        <v>610</v>
      </c>
      <c r="G54" s="24">
        <v>84</v>
      </c>
      <c r="H54" s="24"/>
      <c r="I54" s="24"/>
      <c r="J54" s="24">
        <f t="shared" si="2"/>
        <v>84</v>
      </c>
      <c r="K54" s="24">
        <f>VLOOKUP(A:A,明细!D:M,10,0)</f>
        <v>84</v>
      </c>
      <c r="L54" s="24">
        <f t="shared" si="3"/>
        <v>0</v>
      </c>
    </row>
    <row r="55" spans="1:12">
      <c r="A55" s="25">
        <v>627</v>
      </c>
      <c r="B55" s="25" t="s">
        <v>636</v>
      </c>
      <c r="C55" s="25" t="s">
        <v>637</v>
      </c>
      <c r="D55" s="25" t="s">
        <v>9</v>
      </c>
      <c r="E55" t="s">
        <v>11</v>
      </c>
      <c r="F55" s="25" t="s">
        <v>610</v>
      </c>
      <c r="G55" s="24">
        <v>85</v>
      </c>
      <c r="H55" s="24"/>
      <c r="I55" s="24"/>
      <c r="J55" s="24">
        <f t="shared" si="2"/>
        <v>85</v>
      </c>
      <c r="K55" s="24">
        <f>VLOOKUP(A:A,明细!D:M,10,0)</f>
        <v>85</v>
      </c>
      <c r="L55" s="24">
        <f t="shared" si="3"/>
        <v>0</v>
      </c>
    </row>
    <row r="56" spans="1:12">
      <c r="A56" s="25">
        <v>628</v>
      </c>
      <c r="B56" s="25" t="s">
        <v>639</v>
      </c>
      <c r="C56" s="25" t="s">
        <v>640</v>
      </c>
      <c r="D56" t="s">
        <v>9</v>
      </c>
      <c r="E56" t="s">
        <v>11</v>
      </c>
      <c r="F56" s="25" t="s">
        <v>610</v>
      </c>
      <c r="G56" s="24">
        <v>98</v>
      </c>
      <c r="H56" s="24"/>
      <c r="I56" s="24"/>
      <c r="J56" s="24">
        <f t="shared" si="2"/>
        <v>98</v>
      </c>
      <c r="K56" s="24">
        <f>VLOOKUP(A:A,明细!D:M,10,0)</f>
        <v>98</v>
      </c>
      <c r="L56" s="24">
        <f t="shared" si="3"/>
        <v>0</v>
      </c>
    </row>
    <row r="57" spans="1:12">
      <c r="A57" s="25">
        <v>629</v>
      </c>
      <c r="B57" s="25" t="s">
        <v>641</v>
      </c>
      <c r="C57" s="25" t="s">
        <v>642</v>
      </c>
      <c r="D57" s="25" t="s">
        <v>37</v>
      </c>
      <c r="E57" t="s">
        <v>11</v>
      </c>
      <c r="F57" s="25" t="s">
        <v>610</v>
      </c>
      <c r="G57" s="24">
        <v>77</v>
      </c>
      <c r="H57" s="24"/>
      <c r="I57" s="24"/>
      <c r="J57" s="24">
        <f t="shared" si="2"/>
        <v>77</v>
      </c>
      <c r="K57" s="24">
        <f>VLOOKUP(A:A,明细!D:M,10,0)</f>
        <v>77</v>
      </c>
      <c r="L57" s="24">
        <f t="shared" si="3"/>
        <v>0</v>
      </c>
    </row>
    <row r="58" spans="1:12">
      <c r="A58" s="25">
        <v>630</v>
      </c>
      <c r="B58" s="25" t="s">
        <v>643</v>
      </c>
      <c r="C58" s="25" t="s">
        <v>644</v>
      </c>
      <c r="D58" s="25" t="s">
        <v>9</v>
      </c>
      <c r="E58" t="s">
        <v>11</v>
      </c>
      <c r="F58" s="25" t="s">
        <v>610</v>
      </c>
      <c r="G58" s="24">
        <v>86</v>
      </c>
      <c r="H58" s="24"/>
      <c r="I58" s="24"/>
      <c r="J58" s="24">
        <f t="shared" si="2"/>
        <v>86</v>
      </c>
      <c r="K58" s="24">
        <f>VLOOKUP(A:A,明细!D:M,10,0)</f>
        <v>86</v>
      </c>
      <c r="L58" s="24">
        <f t="shared" si="3"/>
        <v>0</v>
      </c>
    </row>
    <row r="59" spans="1:12">
      <c r="A59" s="25">
        <v>632</v>
      </c>
      <c r="B59" s="25" t="s">
        <v>647</v>
      </c>
      <c r="C59" s="25" t="s">
        <v>648</v>
      </c>
      <c r="D59" s="25" t="s">
        <v>37</v>
      </c>
      <c r="E59" t="s">
        <v>11</v>
      </c>
      <c r="F59" s="25" t="s">
        <v>610</v>
      </c>
      <c r="G59" s="24">
        <v>88</v>
      </c>
      <c r="H59" s="24"/>
      <c r="I59" s="24"/>
      <c r="J59" s="24">
        <f t="shared" si="2"/>
        <v>88</v>
      </c>
      <c r="K59" s="24">
        <f>VLOOKUP(A:A,明细!D:M,10,0)</f>
        <v>88</v>
      </c>
      <c r="L59" s="24">
        <f t="shared" si="3"/>
        <v>0</v>
      </c>
    </row>
    <row r="60" spans="1:12">
      <c r="A60" s="25">
        <v>633</v>
      </c>
      <c r="B60" s="25" t="s">
        <v>650</v>
      </c>
      <c r="C60" s="25" t="s">
        <v>651</v>
      </c>
      <c r="D60" s="25" t="s">
        <v>28</v>
      </c>
      <c r="E60" t="s">
        <v>11</v>
      </c>
      <c r="F60" s="25" t="s">
        <v>610</v>
      </c>
      <c r="G60" s="24">
        <v>19</v>
      </c>
      <c r="H60" s="24"/>
      <c r="I60" s="24">
        <v>10</v>
      </c>
      <c r="J60" s="24">
        <f t="shared" si="2"/>
        <v>9</v>
      </c>
      <c r="K60" s="24">
        <f>VLOOKUP(A:A,明细!D:M,10,0)</f>
        <v>9</v>
      </c>
      <c r="L60" s="24">
        <f t="shared" si="3"/>
        <v>0</v>
      </c>
    </row>
    <row r="61" spans="1:12">
      <c r="A61" s="25">
        <v>634</v>
      </c>
      <c r="B61" s="25" t="s">
        <v>652</v>
      </c>
      <c r="C61" s="25" t="s">
        <v>653</v>
      </c>
      <c r="D61" s="25" t="s">
        <v>449</v>
      </c>
      <c r="E61" t="s">
        <v>11</v>
      </c>
      <c r="F61" s="25" t="s">
        <v>610</v>
      </c>
      <c r="G61" s="24">
        <v>78</v>
      </c>
      <c r="H61" s="24"/>
      <c r="I61" s="24"/>
      <c r="J61" s="24">
        <f t="shared" si="2"/>
        <v>78</v>
      </c>
      <c r="K61" s="24">
        <f>VLOOKUP(A:A,明细!D:M,10,0)</f>
        <v>78</v>
      </c>
      <c r="L61" s="24">
        <f t="shared" si="3"/>
        <v>0</v>
      </c>
    </row>
    <row r="62" spans="1:12">
      <c r="A62" s="25">
        <v>635</v>
      </c>
      <c r="B62" s="25" t="s">
        <v>654</v>
      </c>
      <c r="C62" s="25" t="s">
        <v>655</v>
      </c>
      <c r="D62" s="25" t="s">
        <v>953</v>
      </c>
      <c r="E62" t="s">
        <v>11</v>
      </c>
      <c r="F62" s="25" t="s">
        <v>610</v>
      </c>
      <c r="G62" s="24"/>
      <c r="H62" s="24">
        <v>99</v>
      </c>
      <c r="I62" s="24">
        <v>4</v>
      </c>
      <c r="J62" s="24">
        <f t="shared" si="2"/>
        <v>95</v>
      </c>
      <c r="K62" s="24">
        <f>VLOOKUP(A:A,明细!D:M,10,0)</f>
        <v>95</v>
      </c>
      <c r="L62" s="24">
        <f t="shared" si="3"/>
        <v>0</v>
      </c>
    </row>
    <row r="63" spans="1:12">
      <c r="A63" s="25">
        <v>636</v>
      </c>
      <c r="B63" s="25" t="s">
        <v>657</v>
      </c>
      <c r="C63" s="25" t="s">
        <v>658</v>
      </c>
      <c r="D63" t="s">
        <v>953</v>
      </c>
      <c r="E63" s="25" t="s">
        <v>661</v>
      </c>
      <c r="F63" s="25" t="s">
        <v>660</v>
      </c>
      <c r="G63" s="24">
        <v>979</v>
      </c>
      <c r="H63" s="24"/>
      <c r="I63" s="24">
        <v>323</v>
      </c>
      <c r="J63" s="24">
        <f t="shared" si="2"/>
        <v>656</v>
      </c>
      <c r="K63" s="24">
        <f>VLOOKUP(A:A,明细!D:M,10,0)</f>
        <v>656</v>
      </c>
      <c r="L63" s="24">
        <f t="shared" si="3"/>
        <v>0</v>
      </c>
    </row>
    <row r="64" spans="1:12">
      <c r="A64" s="25">
        <v>637</v>
      </c>
      <c r="B64" s="25" t="s">
        <v>662</v>
      </c>
      <c r="C64" s="25" t="s">
        <v>663</v>
      </c>
      <c r="D64" t="s">
        <v>953</v>
      </c>
      <c r="E64" t="s">
        <v>661</v>
      </c>
      <c r="F64" s="25" t="s">
        <v>660</v>
      </c>
      <c r="G64" s="24">
        <v>45</v>
      </c>
      <c r="H64" s="24">
        <v>2021</v>
      </c>
      <c r="I64" s="24">
        <v>189</v>
      </c>
      <c r="J64" s="24">
        <f t="shared" si="2"/>
        <v>1877</v>
      </c>
      <c r="K64" s="24">
        <f>VLOOKUP(A:A,明细!D:M,10,0)</f>
        <v>1877</v>
      </c>
      <c r="L64" s="24">
        <f t="shared" si="3"/>
        <v>0</v>
      </c>
    </row>
    <row r="65" spans="1:12">
      <c r="A65" s="25">
        <v>638</v>
      </c>
      <c r="B65" s="25" t="s">
        <v>665</v>
      </c>
      <c r="C65" s="25" t="s">
        <v>666</v>
      </c>
      <c r="D65" t="s">
        <v>953</v>
      </c>
      <c r="E65" t="s">
        <v>661</v>
      </c>
      <c r="F65" s="25" t="s">
        <v>660</v>
      </c>
      <c r="G65" s="24">
        <v>586</v>
      </c>
      <c r="H65" s="24"/>
      <c r="I65" s="24">
        <v>63</v>
      </c>
      <c r="J65" s="24">
        <f t="shared" si="2"/>
        <v>523</v>
      </c>
      <c r="K65" s="24">
        <f>VLOOKUP(A:A,明细!D:M,10,0)</f>
        <v>523</v>
      </c>
      <c r="L65" s="24">
        <f t="shared" si="3"/>
        <v>0</v>
      </c>
    </row>
    <row r="66" spans="1:12">
      <c r="A66" s="25">
        <v>639</v>
      </c>
      <c r="B66" s="25" t="s">
        <v>668</v>
      </c>
      <c r="C66" s="25" t="s">
        <v>669</v>
      </c>
      <c r="D66" t="s">
        <v>953</v>
      </c>
      <c r="E66" t="s">
        <v>661</v>
      </c>
      <c r="F66" s="25" t="s">
        <v>660</v>
      </c>
      <c r="G66" s="24">
        <v>258</v>
      </c>
      <c r="H66" s="24">
        <v>50</v>
      </c>
      <c r="I66" s="24">
        <v>85</v>
      </c>
      <c r="J66" s="24">
        <f t="shared" si="2"/>
        <v>223</v>
      </c>
      <c r="K66" s="24">
        <f>VLOOKUP(A:A,明细!D:M,10,0)</f>
        <v>223</v>
      </c>
      <c r="L66" s="24">
        <f t="shared" si="3"/>
        <v>0</v>
      </c>
    </row>
    <row r="67" spans="1:12">
      <c r="A67" s="25">
        <v>640</v>
      </c>
      <c r="B67" s="25" t="s">
        <v>671</v>
      </c>
      <c r="C67" s="25" t="s">
        <v>672</v>
      </c>
      <c r="D67" t="s">
        <v>953</v>
      </c>
      <c r="E67" t="s">
        <v>661</v>
      </c>
      <c r="F67" s="25" t="s">
        <v>660</v>
      </c>
      <c r="G67" s="24">
        <v>527</v>
      </c>
      <c r="H67" s="24"/>
      <c r="I67" s="24">
        <v>53</v>
      </c>
      <c r="J67" s="24">
        <f t="shared" ref="J67:J98" si="4">G67+H67-I67</f>
        <v>474</v>
      </c>
      <c r="K67" s="24">
        <f>VLOOKUP(A:A,明细!D:M,10,0)</f>
        <v>474</v>
      </c>
      <c r="L67" s="24">
        <f t="shared" ref="L67:L98" si="5">J67 - K67</f>
        <v>0</v>
      </c>
    </row>
    <row r="68" spans="1:12">
      <c r="A68" s="25">
        <v>641</v>
      </c>
      <c r="B68" s="25" t="s">
        <v>674</v>
      </c>
      <c r="C68" s="25" t="s">
        <v>675</v>
      </c>
      <c r="D68" t="s">
        <v>953</v>
      </c>
      <c r="E68" t="s">
        <v>661</v>
      </c>
      <c r="F68" s="25" t="s">
        <v>660</v>
      </c>
      <c r="G68" s="24">
        <v>2745</v>
      </c>
      <c r="H68" s="24"/>
      <c r="I68" s="24">
        <v>60</v>
      </c>
      <c r="J68" s="24">
        <f t="shared" si="4"/>
        <v>2685</v>
      </c>
      <c r="K68" s="24">
        <f>VLOOKUP(A:A,明细!D:M,10,0)</f>
        <v>2685</v>
      </c>
      <c r="L68" s="24">
        <f t="shared" si="5"/>
        <v>0</v>
      </c>
    </row>
    <row r="69" spans="1:12">
      <c r="A69" s="25">
        <v>642</v>
      </c>
      <c r="B69" s="25" t="s">
        <v>677</v>
      </c>
      <c r="C69" s="25" t="s">
        <v>678</v>
      </c>
      <c r="D69" t="s">
        <v>953</v>
      </c>
      <c r="E69" s="25" t="s">
        <v>11</v>
      </c>
      <c r="F69" s="25" t="s">
        <v>660</v>
      </c>
      <c r="G69" s="24">
        <v>91</v>
      </c>
      <c r="H69" s="24"/>
      <c r="I69" s="24">
        <v>56</v>
      </c>
      <c r="J69" s="24">
        <f t="shared" si="4"/>
        <v>35</v>
      </c>
      <c r="K69" s="24">
        <f>VLOOKUP(A:A,明细!D:M,10,0)</f>
        <v>35</v>
      </c>
      <c r="L69" s="24">
        <f t="shared" si="5"/>
        <v>0</v>
      </c>
    </row>
    <row r="70" spans="1:12">
      <c r="A70" s="25">
        <v>643</v>
      </c>
      <c r="B70" s="25" t="s">
        <v>680</v>
      </c>
      <c r="C70" s="25" t="s">
        <v>681</v>
      </c>
      <c r="D70" t="s">
        <v>953</v>
      </c>
      <c r="E70" s="25" t="s">
        <v>661</v>
      </c>
      <c r="F70" s="25" t="s">
        <v>660</v>
      </c>
      <c r="G70" s="24">
        <v>570</v>
      </c>
      <c r="H70" s="24"/>
      <c r="I70" s="24"/>
      <c r="J70" s="24">
        <f t="shared" si="4"/>
        <v>570</v>
      </c>
      <c r="K70" s="24">
        <f>VLOOKUP(A:A,明细!D:M,10,0)</f>
        <v>570</v>
      </c>
      <c r="L70" s="24">
        <f t="shared" si="5"/>
        <v>0</v>
      </c>
    </row>
    <row r="71" spans="1:12">
      <c r="A71" s="25">
        <v>644</v>
      </c>
      <c r="B71" s="25" t="s">
        <v>683</v>
      </c>
      <c r="C71" s="25" t="s">
        <v>684</v>
      </c>
      <c r="D71" t="s">
        <v>953</v>
      </c>
      <c r="E71" t="s">
        <v>661</v>
      </c>
      <c r="F71" s="25" t="s">
        <v>660</v>
      </c>
      <c r="G71" s="24">
        <v>555</v>
      </c>
      <c r="H71" s="24"/>
      <c r="I71" s="24">
        <v>136</v>
      </c>
      <c r="J71" s="24">
        <f t="shared" si="4"/>
        <v>419</v>
      </c>
      <c r="K71" s="24">
        <f>VLOOKUP(A:A,明细!D:M,10,0)</f>
        <v>419</v>
      </c>
      <c r="L71" s="24">
        <f t="shared" si="5"/>
        <v>0</v>
      </c>
    </row>
    <row r="72" spans="1:12">
      <c r="A72" s="25">
        <v>645</v>
      </c>
      <c r="B72" s="25" t="s">
        <v>686</v>
      </c>
      <c r="C72" s="25" t="s">
        <v>687</v>
      </c>
      <c r="D72" t="s">
        <v>953</v>
      </c>
      <c r="E72" t="s">
        <v>661</v>
      </c>
      <c r="F72" s="25" t="s">
        <v>660</v>
      </c>
      <c r="G72" s="24">
        <v>1461</v>
      </c>
      <c r="H72" s="24"/>
      <c r="I72" s="24">
        <v>58</v>
      </c>
      <c r="J72" s="24">
        <f t="shared" si="4"/>
        <v>1403</v>
      </c>
      <c r="K72" s="24">
        <f>VLOOKUP(A:A,明细!D:M,10,0)</f>
        <v>1403</v>
      </c>
      <c r="L72" s="24">
        <f t="shared" si="5"/>
        <v>0</v>
      </c>
    </row>
    <row r="73" spans="1:12">
      <c r="A73" s="25">
        <v>646</v>
      </c>
      <c r="B73" s="25" t="s">
        <v>689</v>
      </c>
      <c r="C73" s="25" t="s">
        <v>690</v>
      </c>
      <c r="D73" t="s">
        <v>953</v>
      </c>
      <c r="E73" t="s">
        <v>661</v>
      </c>
      <c r="F73" s="25" t="s">
        <v>660</v>
      </c>
      <c r="G73" s="24">
        <v>619</v>
      </c>
      <c r="H73" s="24"/>
      <c r="I73" s="24"/>
      <c r="J73" s="24">
        <f t="shared" si="4"/>
        <v>619</v>
      </c>
      <c r="K73" s="24">
        <f>VLOOKUP(A:A,明细!D:M,10,0)</f>
        <v>619</v>
      </c>
      <c r="L73" s="24">
        <f t="shared" si="5"/>
        <v>0</v>
      </c>
    </row>
    <row r="74" spans="1:12">
      <c r="A74" s="25">
        <v>647</v>
      </c>
      <c r="B74" s="25" t="s">
        <v>692</v>
      </c>
      <c r="C74" s="25" t="s">
        <v>693</v>
      </c>
      <c r="D74" t="s">
        <v>953</v>
      </c>
      <c r="E74" t="s">
        <v>661</v>
      </c>
      <c r="F74" s="25" t="s">
        <v>660</v>
      </c>
      <c r="G74" s="24">
        <v>382</v>
      </c>
      <c r="H74" s="24"/>
      <c r="I74" s="24"/>
      <c r="J74" s="24">
        <f t="shared" si="4"/>
        <v>382</v>
      </c>
      <c r="K74" s="24">
        <f>VLOOKUP(A:A,明细!D:M,10,0)</f>
        <v>382</v>
      </c>
      <c r="L74" s="24">
        <f t="shared" si="5"/>
        <v>0</v>
      </c>
    </row>
    <row r="75" spans="1:12">
      <c r="A75" s="25">
        <v>648</v>
      </c>
      <c r="B75" s="25" t="s">
        <v>695</v>
      </c>
      <c r="C75" s="25" t="s">
        <v>696</v>
      </c>
      <c r="D75" t="s">
        <v>953</v>
      </c>
      <c r="E75" t="s">
        <v>661</v>
      </c>
      <c r="F75" s="25" t="s">
        <v>660</v>
      </c>
      <c r="G75" s="24">
        <v>94</v>
      </c>
      <c r="H75" s="24"/>
      <c r="I75" s="24">
        <v>75</v>
      </c>
      <c r="J75" s="24">
        <f t="shared" si="4"/>
        <v>19</v>
      </c>
      <c r="K75" s="24">
        <f>VLOOKUP(A:A,明细!D:M,10,0)</f>
        <v>19</v>
      </c>
      <c r="L75" s="24">
        <f t="shared" si="5"/>
        <v>0</v>
      </c>
    </row>
    <row r="76" spans="1:12">
      <c r="A76" s="25">
        <v>649</v>
      </c>
      <c r="B76" s="25" t="s">
        <v>698</v>
      </c>
      <c r="C76" s="25" t="s">
        <v>699</v>
      </c>
      <c r="D76" t="s">
        <v>953</v>
      </c>
      <c r="E76" t="s">
        <v>661</v>
      </c>
      <c r="F76" s="25" t="s">
        <v>660</v>
      </c>
      <c r="G76" s="24">
        <v>4620</v>
      </c>
      <c r="H76" s="24"/>
      <c r="I76" s="24">
        <v>43</v>
      </c>
      <c r="J76" s="24">
        <f t="shared" si="4"/>
        <v>4577</v>
      </c>
      <c r="K76" s="24">
        <f>VLOOKUP(A:A,明细!D:M,10,0)</f>
        <v>4577</v>
      </c>
      <c r="L76" s="24">
        <f t="shared" si="5"/>
        <v>0</v>
      </c>
    </row>
    <row r="77" spans="1:12">
      <c r="A77" s="25">
        <v>650</v>
      </c>
      <c r="B77" s="25" t="s">
        <v>701</v>
      </c>
      <c r="C77" s="25" t="s">
        <v>702</v>
      </c>
      <c r="D77" t="s">
        <v>953</v>
      </c>
      <c r="E77" t="s">
        <v>661</v>
      </c>
      <c r="F77" s="25" t="s">
        <v>660</v>
      </c>
      <c r="G77" s="24">
        <v>678</v>
      </c>
      <c r="H77" s="24"/>
      <c r="I77" s="24">
        <v>140</v>
      </c>
      <c r="J77" s="24">
        <f t="shared" si="4"/>
        <v>538</v>
      </c>
      <c r="K77" s="24">
        <f>VLOOKUP(A:A,明细!D:M,10,0)</f>
        <v>538</v>
      </c>
      <c r="L77" s="24">
        <f t="shared" si="5"/>
        <v>0</v>
      </c>
    </row>
    <row r="78" spans="1:12">
      <c r="A78" s="25">
        <v>651</v>
      </c>
      <c r="B78" s="25" t="s">
        <v>704</v>
      </c>
      <c r="C78" s="25" t="s">
        <v>705</v>
      </c>
      <c r="D78" t="s">
        <v>953</v>
      </c>
      <c r="E78" t="s">
        <v>661</v>
      </c>
      <c r="F78" s="25" t="s">
        <v>660</v>
      </c>
      <c r="G78" s="24">
        <v>314</v>
      </c>
      <c r="H78" s="24"/>
      <c r="I78" s="24">
        <v>3</v>
      </c>
      <c r="J78" s="24">
        <f t="shared" si="4"/>
        <v>311</v>
      </c>
      <c r="K78" s="24">
        <f>VLOOKUP(A:A,明细!D:M,10,0)</f>
        <v>311</v>
      </c>
      <c r="L78" s="24">
        <f t="shared" si="5"/>
        <v>0</v>
      </c>
    </row>
    <row r="79" spans="1:12">
      <c r="A79" s="25">
        <v>652</v>
      </c>
      <c r="B79" s="25" t="s">
        <v>707</v>
      </c>
      <c r="C79" s="25" t="s">
        <v>708</v>
      </c>
      <c r="D79" t="s">
        <v>953</v>
      </c>
      <c r="E79" t="s">
        <v>661</v>
      </c>
      <c r="F79" s="25" t="s">
        <v>660</v>
      </c>
      <c r="G79" s="24">
        <v>424</v>
      </c>
      <c r="H79" s="24"/>
      <c r="I79" s="24">
        <v>132</v>
      </c>
      <c r="J79" s="24">
        <f t="shared" si="4"/>
        <v>292</v>
      </c>
      <c r="K79" s="24">
        <f>VLOOKUP(A:A,明细!D:M,10,0)</f>
        <v>292</v>
      </c>
      <c r="L79" s="24">
        <f t="shared" si="5"/>
        <v>0</v>
      </c>
    </row>
    <row r="80" spans="1:12">
      <c r="A80" s="25">
        <v>653</v>
      </c>
      <c r="B80" s="25" t="s">
        <v>710</v>
      </c>
      <c r="C80" s="25" t="s">
        <v>711</v>
      </c>
      <c r="D80" t="s">
        <v>953</v>
      </c>
      <c r="E80" t="s">
        <v>661</v>
      </c>
      <c r="F80" s="25" t="s">
        <v>660</v>
      </c>
      <c r="G80" s="24">
        <v>985</v>
      </c>
      <c r="H80" s="24"/>
      <c r="I80" s="24"/>
      <c r="J80" s="24">
        <f t="shared" si="4"/>
        <v>985</v>
      </c>
      <c r="K80" s="24">
        <f>VLOOKUP(A:A,明细!D:M,10,0)</f>
        <v>985</v>
      </c>
      <c r="L80" s="24">
        <f t="shared" si="5"/>
        <v>0</v>
      </c>
    </row>
    <row r="81" spans="1:12">
      <c r="A81" s="25">
        <v>654</v>
      </c>
      <c r="B81" s="25" t="s">
        <v>713</v>
      </c>
      <c r="C81" s="25" t="s">
        <v>714</v>
      </c>
      <c r="D81" t="s">
        <v>953</v>
      </c>
      <c r="E81" t="s">
        <v>661</v>
      </c>
      <c r="F81" s="25" t="s">
        <v>660</v>
      </c>
      <c r="G81" s="24">
        <v>2002</v>
      </c>
      <c r="H81" s="24"/>
      <c r="I81" s="24">
        <v>36</v>
      </c>
      <c r="J81" s="24">
        <f t="shared" si="4"/>
        <v>1966</v>
      </c>
      <c r="K81" s="24">
        <f>VLOOKUP(A:A,明细!D:M,10,0)</f>
        <v>1966</v>
      </c>
      <c r="L81" s="24">
        <f t="shared" si="5"/>
        <v>0</v>
      </c>
    </row>
    <row r="82" spans="1:12">
      <c r="A82" s="25">
        <v>655</v>
      </c>
      <c r="B82" s="25" t="s">
        <v>716</v>
      </c>
      <c r="C82" s="25" t="s">
        <v>717</v>
      </c>
      <c r="D82" t="s">
        <v>953</v>
      </c>
      <c r="E82" t="s">
        <v>661</v>
      </c>
      <c r="F82" s="25" t="s">
        <v>660</v>
      </c>
      <c r="G82" s="24">
        <v>768</v>
      </c>
      <c r="H82" s="24"/>
      <c r="I82" s="24">
        <v>70</v>
      </c>
      <c r="J82" s="24">
        <f t="shared" si="4"/>
        <v>698</v>
      </c>
      <c r="K82" s="24">
        <f>VLOOKUP(A:A,明细!D:M,10,0)</f>
        <v>698</v>
      </c>
      <c r="L82" s="24">
        <f t="shared" si="5"/>
        <v>0</v>
      </c>
    </row>
    <row r="83" spans="1:12">
      <c r="A83" s="25">
        <v>656</v>
      </c>
      <c r="B83" s="25" t="s">
        <v>719</v>
      </c>
      <c r="C83" s="25" t="s">
        <v>720</v>
      </c>
      <c r="D83" t="s">
        <v>953</v>
      </c>
      <c r="E83" t="s">
        <v>661</v>
      </c>
      <c r="F83" s="25" t="s">
        <v>660</v>
      </c>
      <c r="G83" s="24">
        <v>966</v>
      </c>
      <c r="H83" s="24"/>
      <c r="I83" s="24">
        <v>10</v>
      </c>
      <c r="J83" s="24">
        <f t="shared" si="4"/>
        <v>956</v>
      </c>
      <c r="K83" s="24">
        <f>VLOOKUP(A:A,明细!D:M,10,0)</f>
        <v>956</v>
      </c>
      <c r="L83" s="24">
        <f t="shared" si="5"/>
        <v>0</v>
      </c>
    </row>
    <row r="84" spans="1:12">
      <c r="A84" s="25">
        <v>657</v>
      </c>
      <c r="B84" s="25" t="s">
        <v>722</v>
      </c>
      <c r="C84" s="25" t="s">
        <v>723</v>
      </c>
      <c r="D84" t="s">
        <v>953</v>
      </c>
      <c r="E84" t="s">
        <v>661</v>
      </c>
      <c r="F84" s="25" t="s">
        <v>660</v>
      </c>
      <c r="G84" s="24">
        <v>575</v>
      </c>
      <c r="H84" s="24"/>
      <c r="I84" s="24"/>
      <c r="J84" s="24">
        <f t="shared" si="4"/>
        <v>575</v>
      </c>
      <c r="K84" s="24">
        <f>VLOOKUP(A:A,明细!D:M,10,0)</f>
        <v>575</v>
      </c>
      <c r="L84" s="24">
        <f t="shared" si="5"/>
        <v>0</v>
      </c>
    </row>
    <row r="85" spans="1:12">
      <c r="A85" s="25">
        <v>658</v>
      </c>
      <c r="B85" s="25" t="s">
        <v>725</v>
      </c>
      <c r="C85" s="25" t="s">
        <v>726</v>
      </c>
      <c r="D85" t="s">
        <v>953</v>
      </c>
      <c r="E85" t="s">
        <v>661</v>
      </c>
      <c r="F85" s="25" t="s">
        <v>660</v>
      </c>
      <c r="G85" s="24">
        <v>251</v>
      </c>
      <c r="H85" s="24"/>
      <c r="I85" s="24">
        <v>250</v>
      </c>
      <c r="J85" s="24">
        <f t="shared" si="4"/>
        <v>1</v>
      </c>
      <c r="K85" s="24">
        <f>VLOOKUP(A:A,明细!D:M,10,0)</f>
        <v>1</v>
      </c>
      <c r="L85" s="24">
        <f t="shared" si="5"/>
        <v>0</v>
      </c>
    </row>
    <row r="86" spans="1:12">
      <c r="A86" s="25">
        <v>659</v>
      </c>
      <c r="B86" s="25" t="s">
        <v>728</v>
      </c>
      <c r="C86" s="25" t="s">
        <v>729</v>
      </c>
      <c r="D86" t="s">
        <v>953</v>
      </c>
      <c r="E86" t="s">
        <v>661</v>
      </c>
      <c r="F86" s="25" t="s">
        <v>660</v>
      </c>
      <c r="G86" s="24">
        <v>934</v>
      </c>
      <c r="H86" s="24"/>
      <c r="I86" s="24"/>
      <c r="J86" s="24">
        <f t="shared" si="4"/>
        <v>934</v>
      </c>
      <c r="K86" s="24">
        <f>VLOOKUP(A:A,明细!D:M,10,0)</f>
        <v>934</v>
      </c>
      <c r="L86" s="24">
        <f t="shared" si="5"/>
        <v>0</v>
      </c>
    </row>
    <row r="87" spans="1:12">
      <c r="A87" s="25">
        <v>660</v>
      </c>
      <c r="B87" s="25" t="s">
        <v>731</v>
      </c>
      <c r="C87" s="25" t="s">
        <v>732</v>
      </c>
      <c r="D87" t="s">
        <v>953</v>
      </c>
      <c r="E87" t="s">
        <v>661</v>
      </c>
      <c r="F87" s="25" t="s">
        <v>660</v>
      </c>
      <c r="G87" s="24">
        <v>454</v>
      </c>
      <c r="H87" s="24"/>
      <c r="I87" s="24"/>
      <c r="J87" s="24">
        <f t="shared" si="4"/>
        <v>454</v>
      </c>
      <c r="K87" s="24">
        <f>VLOOKUP(A:A,明细!D:M,10,0)</f>
        <v>454</v>
      </c>
      <c r="L87" s="24">
        <f t="shared" si="5"/>
        <v>0</v>
      </c>
    </row>
    <row r="88" spans="1:12">
      <c r="A88" s="25">
        <v>661</v>
      </c>
      <c r="B88" s="25" t="s">
        <v>734</v>
      </c>
      <c r="C88" s="25" t="s">
        <v>735</v>
      </c>
      <c r="D88" t="s">
        <v>953</v>
      </c>
      <c r="E88" t="s">
        <v>661</v>
      </c>
      <c r="F88" s="25" t="s">
        <v>660</v>
      </c>
      <c r="G88" s="24">
        <v>1029</v>
      </c>
      <c r="H88" s="24"/>
      <c r="I88" s="24">
        <v>54</v>
      </c>
      <c r="J88" s="24">
        <f t="shared" si="4"/>
        <v>975</v>
      </c>
      <c r="K88" s="24">
        <f>VLOOKUP(A:A,明细!D:M,10,0)</f>
        <v>975</v>
      </c>
      <c r="L88" s="24">
        <f t="shared" si="5"/>
        <v>0</v>
      </c>
    </row>
    <row r="89" spans="1:12">
      <c r="A89" s="25">
        <v>662</v>
      </c>
      <c r="B89" s="25" t="s">
        <v>737</v>
      </c>
      <c r="C89" s="25" t="s">
        <v>738</v>
      </c>
      <c r="D89" t="s">
        <v>953</v>
      </c>
      <c r="E89" t="s">
        <v>661</v>
      </c>
      <c r="F89" s="25" t="s">
        <v>660</v>
      </c>
      <c r="G89" s="24">
        <v>2144</v>
      </c>
      <c r="H89" s="24"/>
      <c r="I89" s="24">
        <v>40</v>
      </c>
      <c r="J89" s="24">
        <f t="shared" si="4"/>
        <v>2104</v>
      </c>
      <c r="K89" s="24">
        <f>VLOOKUP(A:A,明细!D:M,10,0)</f>
        <v>2104</v>
      </c>
      <c r="L89" s="24">
        <f t="shared" si="5"/>
        <v>0</v>
      </c>
    </row>
    <row r="90" spans="1:12">
      <c r="A90" s="25">
        <v>663</v>
      </c>
      <c r="B90" s="25" t="s">
        <v>740</v>
      </c>
      <c r="C90" s="25" t="s">
        <v>741</v>
      </c>
      <c r="D90" t="s">
        <v>953</v>
      </c>
      <c r="E90" t="s">
        <v>661</v>
      </c>
      <c r="F90" s="25" t="s">
        <v>660</v>
      </c>
      <c r="G90" s="24">
        <v>615</v>
      </c>
      <c r="H90" s="24"/>
      <c r="I90" s="24">
        <v>20</v>
      </c>
      <c r="J90" s="24">
        <f t="shared" si="4"/>
        <v>595</v>
      </c>
      <c r="K90" s="24">
        <f>VLOOKUP(A:A,明细!D:M,10,0)</f>
        <v>595</v>
      </c>
      <c r="L90" s="24">
        <f t="shared" si="5"/>
        <v>0</v>
      </c>
    </row>
    <row r="91" spans="1:12">
      <c r="A91" s="25">
        <v>664</v>
      </c>
      <c r="B91" s="25" t="s">
        <v>743</v>
      </c>
      <c r="C91" s="25" t="s">
        <v>744</v>
      </c>
      <c r="D91" t="s">
        <v>953</v>
      </c>
      <c r="E91" t="s">
        <v>661</v>
      </c>
      <c r="F91" s="25" t="s">
        <v>660</v>
      </c>
      <c r="G91" s="24">
        <v>594</v>
      </c>
      <c r="H91" s="24"/>
      <c r="I91" s="24"/>
      <c r="J91" s="24">
        <f t="shared" si="4"/>
        <v>594</v>
      </c>
      <c r="K91" s="24">
        <f>VLOOKUP(A:A,明细!D:M,10,0)</f>
        <v>594</v>
      </c>
      <c r="L91" s="24">
        <f t="shared" si="5"/>
        <v>0</v>
      </c>
    </row>
    <row r="92" spans="1:12">
      <c r="A92" s="25">
        <v>665</v>
      </c>
      <c r="B92" s="25" t="s">
        <v>746</v>
      </c>
      <c r="C92" s="25" t="s">
        <v>747</v>
      </c>
      <c r="D92" t="s">
        <v>953</v>
      </c>
      <c r="E92" t="s">
        <v>661</v>
      </c>
      <c r="F92" s="25" t="s">
        <v>660</v>
      </c>
      <c r="G92" s="24">
        <v>1327</v>
      </c>
      <c r="H92" s="24"/>
      <c r="I92" s="24"/>
      <c r="J92" s="24">
        <f t="shared" si="4"/>
        <v>1327</v>
      </c>
      <c r="K92" s="24">
        <f>VLOOKUP(A:A,明细!D:M,10,0)</f>
        <v>1327</v>
      </c>
      <c r="L92" s="24">
        <f t="shared" si="5"/>
        <v>0</v>
      </c>
    </row>
    <row r="93" spans="1:12">
      <c r="A93" s="25">
        <v>666</v>
      </c>
      <c r="B93" s="25" t="s">
        <v>749</v>
      </c>
      <c r="C93" s="25" t="s">
        <v>750</v>
      </c>
      <c r="D93" t="s">
        <v>953</v>
      </c>
      <c r="E93" t="s">
        <v>661</v>
      </c>
      <c r="F93" s="25" t="s">
        <v>660</v>
      </c>
      <c r="G93" s="24">
        <v>606</v>
      </c>
      <c r="H93" s="24"/>
      <c r="I93" s="24"/>
      <c r="J93" s="24">
        <f t="shared" si="4"/>
        <v>606</v>
      </c>
      <c r="K93" s="24">
        <f>VLOOKUP(A:A,明细!D:M,10,0)</f>
        <v>606</v>
      </c>
      <c r="L93" s="24">
        <f t="shared" si="5"/>
        <v>0</v>
      </c>
    </row>
    <row r="94" spans="1:12">
      <c r="A94" s="25">
        <v>667</v>
      </c>
      <c r="B94" s="25" t="s">
        <v>752</v>
      </c>
      <c r="C94" s="25" t="s">
        <v>753</v>
      </c>
      <c r="D94" t="s">
        <v>953</v>
      </c>
      <c r="E94" t="s">
        <v>661</v>
      </c>
      <c r="F94" s="25" t="s">
        <v>660</v>
      </c>
      <c r="G94" s="24">
        <v>2358</v>
      </c>
      <c r="H94" s="24"/>
      <c r="I94" s="24">
        <v>20</v>
      </c>
      <c r="J94" s="24">
        <f t="shared" si="4"/>
        <v>2338</v>
      </c>
      <c r="K94" s="24">
        <f>VLOOKUP(A:A,明细!D:M,10,0)</f>
        <v>2338</v>
      </c>
      <c r="L94" s="24">
        <f t="shared" si="5"/>
        <v>0</v>
      </c>
    </row>
    <row r="95" spans="1:12">
      <c r="A95" s="25">
        <v>668</v>
      </c>
      <c r="B95" s="25" t="s">
        <v>755</v>
      </c>
      <c r="C95" s="25" t="s">
        <v>756</v>
      </c>
      <c r="D95" t="s">
        <v>953</v>
      </c>
      <c r="E95" t="s">
        <v>661</v>
      </c>
      <c r="F95" s="25" t="s">
        <v>660</v>
      </c>
      <c r="G95" s="24">
        <v>1522</v>
      </c>
      <c r="H95" s="24">
        <v>1</v>
      </c>
      <c r="I95" s="24">
        <v>50</v>
      </c>
      <c r="J95" s="24">
        <f t="shared" si="4"/>
        <v>1473</v>
      </c>
      <c r="K95" s="24">
        <f>VLOOKUP(A:A,明细!D:M,10,0)</f>
        <v>1473</v>
      </c>
      <c r="L95" s="24">
        <f t="shared" si="5"/>
        <v>0</v>
      </c>
    </row>
    <row r="96" spans="1:12">
      <c r="A96" s="25">
        <v>669</v>
      </c>
      <c r="B96" s="25" t="s">
        <v>758</v>
      </c>
      <c r="C96" s="25" t="s">
        <v>759</v>
      </c>
      <c r="D96" t="s">
        <v>953</v>
      </c>
      <c r="E96" s="25" t="s">
        <v>11</v>
      </c>
      <c r="F96" s="25" t="s">
        <v>660</v>
      </c>
      <c r="G96" s="24">
        <v>963</v>
      </c>
      <c r="H96" s="24"/>
      <c r="I96" s="24">
        <v>5</v>
      </c>
      <c r="J96" s="24">
        <f t="shared" si="4"/>
        <v>958</v>
      </c>
      <c r="K96" s="24">
        <f>VLOOKUP(A:A,明细!D:M,10,0)</f>
        <v>958</v>
      </c>
      <c r="L96" s="24">
        <f t="shared" si="5"/>
        <v>0</v>
      </c>
    </row>
    <row r="97" spans="1:12">
      <c r="A97" s="25">
        <v>670</v>
      </c>
      <c r="B97" s="25" t="s">
        <v>761</v>
      </c>
      <c r="C97" s="25" t="s">
        <v>762</v>
      </c>
      <c r="D97" t="s">
        <v>953</v>
      </c>
      <c r="E97" s="25" t="s">
        <v>661</v>
      </c>
      <c r="F97" s="25" t="s">
        <v>660</v>
      </c>
      <c r="G97" s="24">
        <v>703</v>
      </c>
      <c r="H97" s="24"/>
      <c r="I97" s="24"/>
      <c r="J97" s="24">
        <f t="shared" si="4"/>
        <v>703</v>
      </c>
      <c r="K97" s="24">
        <f>VLOOKUP(A:A,明细!D:M,10,0)</f>
        <v>703</v>
      </c>
      <c r="L97" s="24">
        <f t="shared" si="5"/>
        <v>0</v>
      </c>
    </row>
    <row r="98" spans="1:12">
      <c r="A98" s="25">
        <v>671</v>
      </c>
      <c r="B98" s="25" t="s">
        <v>764</v>
      </c>
      <c r="C98" s="25" t="s">
        <v>765</v>
      </c>
      <c r="D98" t="s">
        <v>953</v>
      </c>
      <c r="E98" t="s">
        <v>661</v>
      </c>
      <c r="F98" s="25" t="s">
        <v>660</v>
      </c>
      <c r="G98" s="24">
        <v>807</v>
      </c>
      <c r="H98" s="24"/>
      <c r="I98" s="24"/>
      <c r="J98" s="24">
        <f t="shared" si="4"/>
        <v>807</v>
      </c>
      <c r="K98" s="24">
        <f>VLOOKUP(A:A,明细!D:M,10,0)</f>
        <v>807</v>
      </c>
      <c r="L98" s="24">
        <f t="shared" si="5"/>
        <v>0</v>
      </c>
    </row>
    <row r="99" spans="1:12">
      <c r="A99" s="25">
        <v>672</v>
      </c>
      <c r="B99" s="25" t="s">
        <v>767</v>
      </c>
      <c r="C99" s="25" t="s">
        <v>768</v>
      </c>
      <c r="D99" t="s">
        <v>953</v>
      </c>
      <c r="E99" t="s">
        <v>661</v>
      </c>
      <c r="F99" s="25" t="s">
        <v>660</v>
      </c>
      <c r="G99" s="24">
        <v>0</v>
      </c>
      <c r="H99" s="24">
        <v>1012</v>
      </c>
      <c r="I99" s="24">
        <v>300</v>
      </c>
      <c r="J99" s="24">
        <f t="shared" ref="J99:J120" si="6">G99+H99-I99</f>
        <v>712</v>
      </c>
      <c r="K99" s="24">
        <f>VLOOKUP(A:A,明细!D:M,10,0)</f>
        <v>712</v>
      </c>
      <c r="L99" s="24">
        <f t="shared" ref="L99:L120" si="7">J99 - K99</f>
        <v>0</v>
      </c>
    </row>
    <row r="100" spans="1:12">
      <c r="A100" s="25">
        <v>673</v>
      </c>
      <c r="B100" s="25" t="s">
        <v>770</v>
      </c>
      <c r="C100" s="25" t="s">
        <v>771</v>
      </c>
      <c r="D100" t="s">
        <v>953</v>
      </c>
      <c r="E100" t="s">
        <v>661</v>
      </c>
      <c r="F100" s="25" t="s">
        <v>660</v>
      </c>
      <c r="G100" s="24">
        <v>719</v>
      </c>
      <c r="H100" s="24"/>
      <c r="I100" s="24"/>
      <c r="J100" s="24">
        <f t="shared" si="6"/>
        <v>719</v>
      </c>
      <c r="K100" s="24">
        <f>VLOOKUP(A:A,明细!D:M,10,0)</f>
        <v>719</v>
      </c>
      <c r="L100" s="24">
        <f t="shared" si="7"/>
        <v>0</v>
      </c>
    </row>
    <row r="101" spans="1:12">
      <c r="A101" s="25">
        <v>674</v>
      </c>
      <c r="B101" s="25" t="s">
        <v>773</v>
      </c>
      <c r="C101" s="25" t="s">
        <v>774</v>
      </c>
      <c r="D101" t="s">
        <v>953</v>
      </c>
      <c r="E101" t="s">
        <v>661</v>
      </c>
      <c r="F101" s="25" t="s">
        <v>660</v>
      </c>
      <c r="G101" s="24">
        <v>710</v>
      </c>
      <c r="H101" s="24"/>
      <c r="I101" s="24">
        <v>3</v>
      </c>
      <c r="J101" s="24">
        <f t="shared" si="6"/>
        <v>707</v>
      </c>
      <c r="K101" s="24">
        <f>VLOOKUP(A:A,明细!D:M,10,0)</f>
        <v>707</v>
      </c>
      <c r="L101" s="24">
        <f t="shared" si="7"/>
        <v>0</v>
      </c>
    </row>
    <row r="102" spans="1:12">
      <c r="A102" s="25">
        <v>675</v>
      </c>
      <c r="B102" s="25" t="s">
        <v>776</v>
      </c>
      <c r="C102" s="25" t="s">
        <v>777</v>
      </c>
      <c r="D102" t="s">
        <v>953</v>
      </c>
      <c r="E102" t="s">
        <v>661</v>
      </c>
      <c r="F102" s="25" t="s">
        <v>660</v>
      </c>
      <c r="G102" s="24">
        <v>513</v>
      </c>
      <c r="H102" s="24"/>
      <c r="I102" s="24">
        <v>50</v>
      </c>
      <c r="J102" s="24">
        <f t="shared" si="6"/>
        <v>463</v>
      </c>
      <c r="K102" s="24">
        <f>VLOOKUP(A:A,明细!D:M,10,0)</f>
        <v>463</v>
      </c>
      <c r="L102" s="24">
        <f t="shared" si="7"/>
        <v>0</v>
      </c>
    </row>
    <row r="103" spans="1:12">
      <c r="A103" s="25">
        <v>676</v>
      </c>
      <c r="B103" s="25" t="s">
        <v>779</v>
      </c>
      <c r="C103" s="25" t="s">
        <v>780</v>
      </c>
      <c r="D103" t="s">
        <v>953</v>
      </c>
      <c r="E103" t="s">
        <v>661</v>
      </c>
      <c r="F103" s="25" t="s">
        <v>660</v>
      </c>
      <c r="G103" s="24">
        <v>1422</v>
      </c>
      <c r="H103" s="24"/>
      <c r="I103" s="24">
        <v>10</v>
      </c>
      <c r="J103" s="24">
        <f t="shared" si="6"/>
        <v>1412</v>
      </c>
      <c r="K103" s="24">
        <f>VLOOKUP(A:A,明细!D:M,10,0)</f>
        <v>1412</v>
      </c>
      <c r="L103" s="24">
        <f t="shared" si="7"/>
        <v>0</v>
      </c>
    </row>
    <row r="104" spans="1:12">
      <c r="A104" s="25">
        <v>677</v>
      </c>
      <c r="B104" s="25" t="s">
        <v>782</v>
      </c>
      <c r="C104" s="25" t="s">
        <v>838</v>
      </c>
      <c r="D104" t="s">
        <v>953</v>
      </c>
      <c r="E104" t="s">
        <v>661</v>
      </c>
      <c r="F104" s="25" t="s">
        <v>660</v>
      </c>
      <c r="G104" s="24">
        <v>8</v>
      </c>
      <c r="H104" s="24"/>
      <c r="I104" s="24"/>
      <c r="J104" s="24">
        <f t="shared" si="6"/>
        <v>8</v>
      </c>
      <c r="K104" s="24">
        <f>VLOOKUP(A:A,明细!D:M,10,0)</f>
        <v>8</v>
      </c>
      <c r="L104" s="24">
        <f t="shared" si="7"/>
        <v>0</v>
      </c>
    </row>
    <row r="105" spans="1:12">
      <c r="A105" s="25">
        <v>678</v>
      </c>
      <c r="B105" s="25" t="s">
        <v>785</v>
      </c>
      <c r="C105" s="25" t="s">
        <v>839</v>
      </c>
      <c r="D105" t="s">
        <v>953</v>
      </c>
      <c r="E105" t="s">
        <v>661</v>
      </c>
      <c r="F105" s="25" t="s">
        <v>660</v>
      </c>
      <c r="G105" s="24">
        <v>1</v>
      </c>
      <c r="H105" s="24"/>
      <c r="I105" s="24"/>
      <c r="J105" s="24">
        <f t="shared" si="6"/>
        <v>1</v>
      </c>
      <c r="K105" s="24">
        <f>VLOOKUP(A:A,明细!D:M,10,0)</f>
        <v>1</v>
      </c>
      <c r="L105" s="24">
        <f t="shared" si="7"/>
        <v>0</v>
      </c>
    </row>
    <row r="106" spans="1:12">
      <c r="A106" s="25">
        <v>679</v>
      </c>
      <c r="B106" s="25" t="s">
        <v>788</v>
      </c>
      <c r="C106" s="25" t="s">
        <v>840</v>
      </c>
      <c r="D106" t="s">
        <v>953</v>
      </c>
      <c r="E106" t="s">
        <v>661</v>
      </c>
      <c r="F106" s="25" t="s">
        <v>660</v>
      </c>
      <c r="G106" s="24">
        <v>11</v>
      </c>
      <c r="H106" s="24"/>
      <c r="I106" s="24"/>
      <c r="J106" s="24">
        <f t="shared" si="6"/>
        <v>11</v>
      </c>
      <c r="K106" s="24">
        <f>VLOOKUP(A:A,明细!D:M,10,0)</f>
        <v>11</v>
      </c>
      <c r="L106" s="24">
        <f t="shared" si="7"/>
        <v>0</v>
      </c>
    </row>
    <row r="107" spans="1:12">
      <c r="A107" s="25">
        <v>680</v>
      </c>
      <c r="B107" s="25" t="s">
        <v>791</v>
      </c>
      <c r="C107" s="25" t="s">
        <v>841</v>
      </c>
      <c r="D107" t="s">
        <v>953</v>
      </c>
      <c r="E107" t="s">
        <v>661</v>
      </c>
      <c r="F107" s="25" t="s">
        <v>660</v>
      </c>
      <c r="G107" s="24">
        <v>15</v>
      </c>
      <c r="H107" s="24"/>
      <c r="I107" s="24"/>
      <c r="J107" s="24">
        <f t="shared" si="6"/>
        <v>15</v>
      </c>
      <c r="K107" s="24">
        <f>VLOOKUP(A:A,明细!D:M,10,0)</f>
        <v>15</v>
      </c>
      <c r="L107" s="24">
        <f t="shared" si="7"/>
        <v>0</v>
      </c>
    </row>
    <row r="108" spans="1:12">
      <c r="A108" s="25">
        <v>681</v>
      </c>
      <c r="B108" s="25" t="s">
        <v>794</v>
      </c>
      <c r="C108" s="25" t="s">
        <v>842</v>
      </c>
      <c r="D108" t="s">
        <v>953</v>
      </c>
      <c r="E108" t="s">
        <v>661</v>
      </c>
      <c r="F108" s="25" t="s">
        <v>660</v>
      </c>
      <c r="G108" s="24">
        <v>30</v>
      </c>
      <c r="H108" s="24"/>
      <c r="I108" s="24"/>
      <c r="J108" s="24">
        <f t="shared" si="6"/>
        <v>30</v>
      </c>
      <c r="K108" s="24">
        <f>VLOOKUP(A:A,明细!D:M,10,0)</f>
        <v>30</v>
      </c>
      <c r="L108" s="24">
        <f t="shared" si="7"/>
        <v>0</v>
      </c>
    </row>
    <row r="109" spans="1:12">
      <c r="A109" s="25">
        <v>682</v>
      </c>
      <c r="B109" s="25" t="s">
        <v>797</v>
      </c>
      <c r="C109" s="25" t="s">
        <v>843</v>
      </c>
      <c r="D109" t="s">
        <v>953</v>
      </c>
      <c r="E109" t="s">
        <v>661</v>
      </c>
      <c r="F109" s="25" t="s">
        <v>660</v>
      </c>
      <c r="G109" s="24">
        <v>570</v>
      </c>
      <c r="H109" s="24"/>
      <c r="I109" s="24"/>
      <c r="J109" s="24">
        <f t="shared" si="6"/>
        <v>570</v>
      </c>
      <c r="K109" s="24">
        <f>VLOOKUP(A:A,明细!D:M,10,0)</f>
        <v>570</v>
      </c>
      <c r="L109" s="24">
        <f t="shared" si="7"/>
        <v>0</v>
      </c>
    </row>
    <row r="110" spans="1:12">
      <c r="A110" s="25">
        <v>683</v>
      </c>
      <c r="B110" s="25" t="s">
        <v>800</v>
      </c>
      <c r="C110" s="25" t="s">
        <v>844</v>
      </c>
      <c r="D110" t="s">
        <v>953</v>
      </c>
      <c r="E110" t="s">
        <v>661</v>
      </c>
      <c r="F110" s="25" t="s">
        <v>660</v>
      </c>
      <c r="G110" s="24">
        <v>517</v>
      </c>
      <c r="H110" s="24"/>
      <c r="I110" s="24"/>
      <c r="J110" s="24">
        <f t="shared" si="6"/>
        <v>517</v>
      </c>
      <c r="K110" s="24">
        <f>VLOOKUP(A:A,明细!D:M,10,0)</f>
        <v>517</v>
      </c>
      <c r="L110" s="24">
        <f t="shared" si="7"/>
        <v>0</v>
      </c>
    </row>
    <row r="111" spans="1:12">
      <c r="A111" s="25">
        <v>684</v>
      </c>
      <c r="B111" s="25" t="s">
        <v>803</v>
      </c>
      <c r="C111" s="25" t="s">
        <v>845</v>
      </c>
      <c r="D111" t="s">
        <v>953</v>
      </c>
      <c r="E111" t="s">
        <v>661</v>
      </c>
      <c r="F111" s="25" t="s">
        <v>660</v>
      </c>
      <c r="G111" s="24">
        <v>454</v>
      </c>
      <c r="H111" s="24"/>
      <c r="I111" s="24"/>
      <c r="J111" s="24">
        <f t="shared" si="6"/>
        <v>454</v>
      </c>
      <c r="K111" s="24">
        <f>VLOOKUP(A:A,明细!D:M,10,0)</f>
        <v>454</v>
      </c>
      <c r="L111" s="24">
        <f t="shared" si="7"/>
        <v>0</v>
      </c>
    </row>
    <row r="112" spans="1:12">
      <c r="A112" s="25">
        <v>685</v>
      </c>
      <c r="B112" s="25" t="s">
        <v>806</v>
      </c>
      <c r="C112" s="25" t="s">
        <v>846</v>
      </c>
      <c r="D112" t="s">
        <v>953</v>
      </c>
      <c r="E112" t="s">
        <v>661</v>
      </c>
      <c r="F112" s="25" t="s">
        <v>660</v>
      </c>
      <c r="G112" s="24">
        <v>508</v>
      </c>
      <c r="H112" s="24"/>
      <c r="I112" s="24"/>
      <c r="J112" s="24">
        <f t="shared" si="6"/>
        <v>508</v>
      </c>
      <c r="K112" s="24">
        <f>VLOOKUP(A:A,明细!D:M,10,0)</f>
        <v>508</v>
      </c>
      <c r="L112" s="24">
        <f t="shared" si="7"/>
        <v>0</v>
      </c>
    </row>
    <row r="113" spans="1:12">
      <c r="A113" s="25">
        <v>688</v>
      </c>
      <c r="B113" s="25">
        <v>9090003</v>
      </c>
      <c r="C113" s="25" t="s">
        <v>856</v>
      </c>
      <c r="D113" t="s">
        <v>953</v>
      </c>
      <c r="E113" s="25" t="s">
        <v>11</v>
      </c>
      <c r="F113" s="25" t="s">
        <v>424</v>
      </c>
      <c r="G113" s="24"/>
      <c r="H113" s="24">
        <v>1</v>
      </c>
      <c r="I113" s="24">
        <v>1</v>
      </c>
      <c r="J113" s="24">
        <f t="shared" si="6"/>
        <v>0</v>
      </c>
      <c r="K113" s="24">
        <f>VLOOKUP(A:A,明细!D:M,10,0)</f>
        <v>0</v>
      </c>
      <c r="L113" s="24">
        <f t="shared" si="7"/>
        <v>0</v>
      </c>
    </row>
    <row r="114" spans="1:12">
      <c r="A114" s="25">
        <v>689</v>
      </c>
      <c r="B114" s="25" t="s">
        <v>871</v>
      </c>
      <c r="C114" s="25" t="s">
        <v>814</v>
      </c>
      <c r="D114" t="s">
        <v>953</v>
      </c>
      <c r="E114" t="s">
        <v>11</v>
      </c>
      <c r="F114" s="25" t="s">
        <v>376</v>
      </c>
      <c r="G114" s="24"/>
      <c r="H114" s="24">
        <v>98</v>
      </c>
      <c r="I114" s="24">
        <v>2</v>
      </c>
      <c r="J114" s="24">
        <f t="shared" si="6"/>
        <v>96</v>
      </c>
      <c r="K114" s="24">
        <f>VLOOKUP(A:A,明细!D:M,10,0)</f>
        <v>96</v>
      </c>
      <c r="L114" s="24">
        <f t="shared" si="7"/>
        <v>0</v>
      </c>
    </row>
    <row r="115" spans="1:12">
      <c r="A115" s="25">
        <v>690</v>
      </c>
      <c r="B115" s="25" t="s">
        <v>863</v>
      </c>
      <c r="C115" s="25" t="s">
        <v>817</v>
      </c>
      <c r="D115" t="s">
        <v>953</v>
      </c>
      <c r="E115" t="s">
        <v>11</v>
      </c>
      <c r="F115" s="25" t="s">
        <v>610</v>
      </c>
      <c r="G115" s="24"/>
      <c r="H115" s="24">
        <v>98</v>
      </c>
      <c r="I115" s="24">
        <v>2</v>
      </c>
      <c r="J115" s="24">
        <f t="shared" si="6"/>
        <v>96</v>
      </c>
      <c r="K115" s="24">
        <f>VLOOKUP(A:A,明细!D:M,10,0)</f>
        <v>96</v>
      </c>
      <c r="L115" s="24">
        <f t="shared" si="7"/>
        <v>0</v>
      </c>
    </row>
    <row r="116" spans="1:12">
      <c r="A116" s="25">
        <v>692</v>
      </c>
      <c r="B116" s="25" t="s">
        <v>821</v>
      </c>
      <c r="C116" s="25" t="s">
        <v>822</v>
      </c>
      <c r="D116" t="s">
        <v>953</v>
      </c>
      <c r="E116" t="s">
        <v>11</v>
      </c>
      <c r="F116" s="25" t="s">
        <v>55</v>
      </c>
      <c r="G116" s="24"/>
      <c r="H116" s="24">
        <v>98</v>
      </c>
      <c r="I116" s="24">
        <v>70</v>
      </c>
      <c r="J116" s="24">
        <f t="shared" si="6"/>
        <v>28</v>
      </c>
      <c r="K116" s="24">
        <f>VLOOKUP(A:A,明细!D:M,10,0)</f>
        <v>28</v>
      </c>
      <c r="L116" s="24">
        <f t="shared" si="7"/>
        <v>0</v>
      </c>
    </row>
    <row r="117" spans="1:12">
      <c r="A117" s="25">
        <v>693</v>
      </c>
      <c r="B117" s="25" t="s">
        <v>823</v>
      </c>
      <c r="C117" s="25" t="s">
        <v>824</v>
      </c>
      <c r="D117" t="s">
        <v>953</v>
      </c>
      <c r="E117" t="s">
        <v>11</v>
      </c>
      <c r="F117" s="25" t="s">
        <v>424</v>
      </c>
      <c r="G117" s="24"/>
      <c r="H117" s="24">
        <v>99</v>
      </c>
      <c r="I117" s="24">
        <v>82</v>
      </c>
      <c r="J117" s="24">
        <f t="shared" si="6"/>
        <v>17</v>
      </c>
      <c r="K117" s="24">
        <f>VLOOKUP(A:A,明细!D:M,10,0)</f>
        <v>17</v>
      </c>
      <c r="L117" s="24">
        <f t="shared" si="7"/>
        <v>0</v>
      </c>
    </row>
    <row r="118" spans="1:12">
      <c r="A118" s="25">
        <v>694</v>
      </c>
      <c r="B118" s="25" t="s">
        <v>825</v>
      </c>
      <c r="C118" s="25" t="s">
        <v>913</v>
      </c>
      <c r="D118" t="s">
        <v>953</v>
      </c>
      <c r="E118" s="25" t="s">
        <v>661</v>
      </c>
      <c r="F118" s="25" t="s">
        <v>424</v>
      </c>
      <c r="G118" s="24"/>
      <c r="H118" s="24">
        <v>20</v>
      </c>
      <c r="I118" s="24">
        <v>20</v>
      </c>
      <c r="J118" s="24">
        <f t="shared" si="6"/>
        <v>0</v>
      </c>
      <c r="K118" s="24">
        <f>VLOOKUP(A:A,明细!D:M,10,0)</f>
        <v>0</v>
      </c>
      <c r="L118" s="24">
        <f t="shared" si="7"/>
        <v>0</v>
      </c>
    </row>
    <row r="119" spans="1:12">
      <c r="A119" s="25">
        <v>695</v>
      </c>
      <c r="B119" s="25" t="s">
        <v>827</v>
      </c>
      <c r="C119" s="25" t="s">
        <v>828</v>
      </c>
      <c r="D119" t="s">
        <v>953</v>
      </c>
      <c r="E119" t="s">
        <v>661</v>
      </c>
      <c r="F119" s="25" t="s">
        <v>660</v>
      </c>
      <c r="G119" s="24"/>
      <c r="H119" s="24">
        <v>600</v>
      </c>
      <c r="I119" s="24">
        <v>40</v>
      </c>
      <c r="J119" s="24">
        <f t="shared" si="6"/>
        <v>560</v>
      </c>
      <c r="K119" s="24">
        <f>VLOOKUP(A:A,明细!D:M,10,0)</f>
        <v>560</v>
      </c>
      <c r="L119" s="24">
        <f t="shared" si="7"/>
        <v>0</v>
      </c>
    </row>
    <row r="120" spans="1:12">
      <c r="A120" s="25">
        <v>696</v>
      </c>
      <c r="B120" s="25" t="s">
        <v>829</v>
      </c>
      <c r="C120" s="25" t="s">
        <v>830</v>
      </c>
      <c r="D120" t="s">
        <v>953</v>
      </c>
      <c r="E120" t="s">
        <v>661</v>
      </c>
      <c r="F120" s="25" t="s">
        <v>660</v>
      </c>
      <c r="G120" s="24"/>
      <c r="H120" s="24">
        <v>72</v>
      </c>
      <c r="I120" s="24">
        <v>40</v>
      </c>
      <c r="J120" s="24">
        <f t="shared" si="6"/>
        <v>32</v>
      </c>
      <c r="K120" s="24">
        <f>VLOOKUP(A:A,明细!D:M,10,0)</f>
        <v>32</v>
      </c>
      <c r="L120" s="24">
        <f t="shared" si="7"/>
        <v>0</v>
      </c>
    </row>
    <row r="121" spans="1:12">
      <c r="A121" t="s">
        <v>929</v>
      </c>
      <c r="B121" t="s">
        <v>929</v>
      </c>
      <c r="C121" t="s">
        <v>929</v>
      </c>
      <c r="D121" t="s">
        <v>929</v>
      </c>
      <c r="E121" t="s">
        <v>929</v>
      </c>
      <c r="F121" t="s">
        <v>929</v>
      </c>
      <c r="G121" s="23"/>
      <c r="H121" s="23"/>
      <c r="I121" s="23"/>
    </row>
    <row r="122" spans="1:12">
      <c r="A122" t="s">
        <v>930</v>
      </c>
      <c r="G122" s="23">
        <v>43829</v>
      </c>
      <c r="H122" s="23">
        <v>5462</v>
      </c>
      <c r="I122" s="23">
        <v>3002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B7"/>
  <sheetViews>
    <sheetView workbookViewId="0">
      <pane ySplit="1" topLeftCell="A2" activePane="bottomLeft" state="frozen"/>
      <selection pane="bottomLeft" activeCell="B6" sqref="B6"/>
    </sheetView>
  </sheetViews>
  <sheetFormatPr defaultRowHeight="14.4"/>
  <cols>
    <col min="1" max="1" width="5.44140625" style="40" bestFit="1" customWidth="1"/>
    <col min="2" max="2" width="16.109375" bestFit="1" customWidth="1"/>
  </cols>
  <sheetData>
    <row r="1" spans="1:2">
      <c r="A1" s="40" t="s">
        <v>956</v>
      </c>
      <c r="B1" t="s">
        <v>957</v>
      </c>
    </row>
    <row r="2" spans="1:2">
      <c r="A2" s="40">
        <v>1</v>
      </c>
      <c r="B2" s="39" t="s">
        <v>958</v>
      </c>
    </row>
    <row r="3" spans="1:2">
      <c r="A3" s="40">
        <v>2</v>
      </c>
      <c r="B3" s="39" t="s">
        <v>959</v>
      </c>
    </row>
    <row r="4" spans="1:2">
      <c r="A4" s="40">
        <v>3</v>
      </c>
      <c r="B4" s="39" t="s">
        <v>960</v>
      </c>
    </row>
    <row r="5" spans="1:2">
      <c r="A5" s="40">
        <v>4</v>
      </c>
      <c r="B5" s="39" t="s">
        <v>961</v>
      </c>
    </row>
    <row r="6" spans="1:2">
      <c r="A6" s="40">
        <v>5</v>
      </c>
      <c r="B6" s="39" t="s">
        <v>962</v>
      </c>
    </row>
    <row r="7" spans="1:2">
      <c r="A7" s="40">
        <v>6</v>
      </c>
      <c r="B7" s="39" t="s">
        <v>963</v>
      </c>
    </row>
  </sheetData>
  <phoneticPr fontId="3" type="noConversion"/>
  <hyperlinks>
    <hyperlink ref="B2" location="结存!A1" tooltip="单击打开结存" display="结存"/>
    <hyperlink ref="B3" location="明细!A1" tooltip="单击打开明细" display="明细"/>
    <hyperlink ref="B4" location="基础资料!A1" tooltip="单击打开基础资料" display="基础资料"/>
    <hyperlink ref="B5" location="说明!A1" tooltip="单击打开说明" display="说明"/>
    <hyperlink ref="B6" location="使用公式和函数!A1" tooltip="单击打开使用公式和函数" display="使用公式和函数"/>
    <hyperlink ref="B7" location="打印结存!A1" tooltip="单击打开打印结存" display="打印结存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P290"/>
  <sheetViews>
    <sheetView tabSelected="1" workbookViewId="0">
      <pane xSplit="5" ySplit="1" topLeftCell="F65" activePane="bottomRight" state="frozen"/>
      <selection pane="topRight" activeCell="D1" sqref="D1"/>
      <selection pane="bottomLeft" activeCell="A2" sqref="A2"/>
      <selection pane="bottomRight" activeCell="F86" sqref="F86"/>
    </sheetView>
  </sheetViews>
  <sheetFormatPr defaultRowHeight="14.4"/>
  <cols>
    <col min="1" max="1" width="12.88671875" bestFit="1" customWidth="1"/>
    <col min="3" max="3" width="6" bestFit="1" customWidth="1"/>
    <col min="4" max="4" width="8.21875" customWidth="1"/>
    <col min="5" max="5" width="12.88671875" bestFit="1" customWidth="1"/>
    <col min="6" max="6" width="14.88671875" customWidth="1"/>
    <col min="9" max="9" width="6.88671875" customWidth="1"/>
    <col min="10" max="10" width="5.33203125" customWidth="1"/>
    <col min="11" max="11" width="5.44140625" customWidth="1"/>
    <col min="12" max="12" width="6.33203125" customWidth="1"/>
    <col min="15" max="15" width="6.44140625" customWidth="1"/>
    <col min="16" max="16" width="6" customWidth="1"/>
  </cols>
  <sheetData>
    <row r="1" spans="1:16" ht="15.6">
      <c r="A1" s="15" t="s">
        <v>833</v>
      </c>
      <c r="B1" s="16" t="s">
        <v>834</v>
      </c>
      <c r="C1" s="16" t="s">
        <v>922</v>
      </c>
      <c r="D1" s="12" t="s">
        <v>831</v>
      </c>
      <c r="E1" s="12" t="s">
        <v>832</v>
      </c>
      <c r="F1" s="18" t="s">
        <v>1</v>
      </c>
      <c r="G1" s="18" t="s">
        <v>3</v>
      </c>
      <c r="H1" s="18" t="s">
        <v>0</v>
      </c>
      <c r="I1" s="18" t="s">
        <v>4</v>
      </c>
      <c r="J1" s="13" t="s">
        <v>835</v>
      </c>
      <c r="K1" s="13" t="s">
        <v>836</v>
      </c>
      <c r="L1" s="13" t="s">
        <v>837</v>
      </c>
      <c r="M1" s="19" t="s">
        <v>935</v>
      </c>
      <c r="N1" s="19" t="s">
        <v>936</v>
      </c>
      <c r="O1" s="19" t="s">
        <v>937</v>
      </c>
      <c r="P1" s="30" t="s">
        <v>941</v>
      </c>
    </row>
    <row r="2" spans="1:16" ht="15.6">
      <c r="A2" s="15"/>
      <c r="B2" s="17"/>
      <c r="C2" s="17"/>
      <c r="D2" s="20">
        <v>526</v>
      </c>
      <c r="E2" s="26" t="str">
        <f>VLOOKUP($D:$D,基础资料!$A:B,2,0)</f>
        <v>07010001</v>
      </c>
      <c r="F2" s="26" t="str">
        <f>VLOOKUP($D:$D,基础资料!$A:C,3,0)</f>
        <v>蓝剧-地球百子第3季 4BD</v>
      </c>
      <c r="G2" s="26" t="str">
        <f>VLOOKUP($D:$D,基础资料!$A:D,4,0)</f>
        <v>4</v>
      </c>
      <c r="H2" s="26" t="str">
        <f>VLOOKUP($D:$D,基础资料!$A:E,5,0)</f>
        <v>套</v>
      </c>
      <c r="I2" s="26" t="str">
        <f>VLOOKUP($D:$D,基础资料!$A:F,6,0)</f>
        <v>蓝光电视剧</v>
      </c>
      <c r="J2" s="26">
        <f>VLOOKUP(H:H,基础资料!E:G,3,0)</f>
        <v>0</v>
      </c>
      <c r="K2" s="14"/>
      <c r="L2" s="14">
        <v>21</v>
      </c>
      <c r="M2" s="26">
        <f>SUMIF($D:$D,D2,$L:$L)+SUMIF($D:$D,D2,$J:$J)-SUMIF($D:$D,D2,$K:$K)</f>
        <v>19</v>
      </c>
      <c r="N2" s="26">
        <f>VLOOKUP(D:D,结存!A:J,10,0)</f>
        <v>19</v>
      </c>
      <c r="O2" s="26">
        <f>M2 - N2</f>
        <v>0</v>
      </c>
    </row>
    <row r="3" spans="1:16" ht="15.6">
      <c r="A3" s="15"/>
      <c r="B3" s="17"/>
      <c r="C3" s="17"/>
      <c r="D3" s="20">
        <v>527</v>
      </c>
      <c r="E3" s="26" t="str">
        <f>VLOOKUP($D:$D,基础资料!$A:B,2,0)</f>
        <v>07010002</v>
      </c>
      <c r="F3" s="26" t="str">
        <f>VLOOKUP($D:$D,基础资料!$A:C,3,0)</f>
        <v>蓝剧-降世神通：科拉传奇 第2季 神灵2BD</v>
      </c>
      <c r="G3" s="26" t="str">
        <f>VLOOKUP($D:$D,基础资料!$A:D,4,0)</f>
        <v>2</v>
      </c>
      <c r="H3" s="26" t="str">
        <f>VLOOKUP($D:$D,基础资料!$A:E,5,0)</f>
        <v>套</v>
      </c>
      <c r="I3" s="26" t="str">
        <f>VLOOKUP($D:$D,基础资料!$A:F,6,0)</f>
        <v>蓝光电视剧</v>
      </c>
      <c r="J3" s="26">
        <f>VLOOKUP(I:I,基础资料!F:G,2,0)</f>
        <v>19</v>
      </c>
      <c r="K3" s="14"/>
      <c r="L3" s="14">
        <v>99</v>
      </c>
      <c r="M3" s="26">
        <f>SUMIF($D:$D,D3,$L:$L)+SUMIF($D:$D,D3,$J:$J)-SUMIF($D:$D,D3,$K:$K)</f>
        <v>118</v>
      </c>
      <c r="N3" s="26">
        <f>VLOOKUP(D:D,结存!A:J,10,0)</f>
        <v>99</v>
      </c>
      <c r="O3" s="26">
        <f>M3 - N3</f>
        <v>19</v>
      </c>
    </row>
    <row r="4" spans="1:16" ht="15.6">
      <c r="A4" s="15"/>
      <c r="B4" s="17"/>
      <c r="C4" s="17"/>
      <c r="D4" s="20">
        <v>530</v>
      </c>
      <c r="E4" s="26" t="str">
        <f>VLOOKUP($D:$D,基础资料!$A:B,2,0)</f>
        <v>07010003</v>
      </c>
      <c r="F4" s="26" t="str">
        <f>VLOOKUP($D:$D,基础资料!$A:C,3,0)</f>
        <v>蓝剧-降世神通：科拉传奇 第3季2BD</v>
      </c>
      <c r="G4" s="26" t="str">
        <f>VLOOKUP($D:$D,基础资料!$A:D,4,0)</f>
        <v>2</v>
      </c>
      <c r="H4" s="26" t="str">
        <f>VLOOKUP($D:$D,基础资料!$A:E,5,0)</f>
        <v>套</v>
      </c>
      <c r="I4" s="26" t="str">
        <f>VLOOKUP($D:$D,基础资料!$A:F,6,0)</f>
        <v>蓝光电视剧</v>
      </c>
      <c r="J4" s="26">
        <f>VLOOKUP(I:I,基础资料!F:G,2,0)</f>
        <v>19</v>
      </c>
      <c r="K4" s="14"/>
      <c r="L4" s="14">
        <v>99</v>
      </c>
      <c r="M4" s="26">
        <f>SUMIF($D:$D,D4,$L:$L)+SUMIF($D:$D,D4,$J:$J)-SUMIF($D:$D,D4,$K:$K)</f>
        <v>118</v>
      </c>
      <c r="N4" s="26">
        <f>VLOOKUP(D:D,结存!A:J,10,0)</f>
        <v>99</v>
      </c>
      <c r="O4" s="26">
        <f>M4 - N4</f>
        <v>19</v>
      </c>
    </row>
    <row r="5" spans="1:16" ht="15.6">
      <c r="A5" s="15"/>
      <c r="B5" s="17"/>
      <c r="C5" s="17"/>
      <c r="D5" s="20">
        <v>531</v>
      </c>
      <c r="E5" s="26" t="str">
        <f>VLOOKUP($D:$D,基础资料!$A:B,2,0)</f>
        <v>07010004</v>
      </c>
      <c r="F5" s="26" t="str">
        <f>VLOOKUP($D:$D,基础资料!$A:C,3,0)</f>
        <v>蓝剧-降世神通：科拉传奇 第4季2BD</v>
      </c>
      <c r="G5" s="26" t="str">
        <f>VLOOKUP($D:$D,基础资料!$A:D,4,0)</f>
        <v>2</v>
      </c>
      <c r="H5" s="26" t="str">
        <f>VLOOKUP($D:$D,基础资料!$A:E,5,0)</f>
        <v>套</v>
      </c>
      <c r="I5" s="26" t="str">
        <f>VLOOKUP($D:$D,基础资料!$A:F,6,0)</f>
        <v>蓝光电视剧</v>
      </c>
      <c r="J5" s="26">
        <f>VLOOKUP(I:I,基础资料!F:G,2,0)</f>
        <v>19</v>
      </c>
      <c r="K5" s="14"/>
      <c r="L5" s="14">
        <v>85</v>
      </c>
      <c r="M5" s="26">
        <f>SUMIF($D:$D,D5,$L:$L)+SUMIF($D:$D,D5,$J:$J)-SUMIF($D:$D,D5,$K:$K)</f>
        <v>104</v>
      </c>
      <c r="N5" s="26">
        <f>VLOOKUP(D:D,结存!A:J,10,0)</f>
        <v>85</v>
      </c>
      <c r="O5" s="26">
        <f>M5 - N5</f>
        <v>19</v>
      </c>
    </row>
    <row r="6" spans="1:16" ht="15.6">
      <c r="A6" s="15"/>
      <c r="B6" s="17"/>
      <c r="C6" s="17"/>
      <c r="D6" s="20">
        <v>533</v>
      </c>
      <c r="E6" s="26" t="str">
        <f>VLOOKUP($D:$D,基础资料!$A:B,2,0)</f>
        <v>07010006</v>
      </c>
      <c r="F6" s="26" t="str">
        <f>VLOOKUP($D:$D,基础资料!$A:C,3,0)</f>
        <v>蓝剧-冰血暴第2季  3BD</v>
      </c>
      <c r="G6" s="26" t="str">
        <f>VLOOKUP($D:$D,基础资料!$A:D,4,0)</f>
        <v>3</v>
      </c>
      <c r="H6" s="26" t="str">
        <f>VLOOKUP($D:$D,基础资料!$A:E,5,0)</f>
        <v>套</v>
      </c>
      <c r="I6" s="26" t="str">
        <f>VLOOKUP($D:$D,基础资料!$A:F,6,0)</f>
        <v>蓝光电视剧</v>
      </c>
      <c r="J6" s="26">
        <f>VLOOKUP(I:I,基础资料!F:G,2,0)</f>
        <v>19</v>
      </c>
      <c r="K6" s="14"/>
      <c r="L6" s="14">
        <v>72</v>
      </c>
      <c r="M6" s="26">
        <f>SUMIF($D:$D,D6,$L:$L)+SUMIF($D:$D,D6,$J:$J)-SUMIF($D:$D,D6,$K:$K)</f>
        <v>89</v>
      </c>
      <c r="N6" s="26">
        <f>VLOOKUP(D:D,结存!A:J,10,0)</f>
        <v>70</v>
      </c>
      <c r="O6" s="26">
        <f>M6 - N6</f>
        <v>19</v>
      </c>
    </row>
    <row r="7" spans="1:16" ht="15.6">
      <c r="A7" s="15"/>
      <c r="B7" s="17"/>
      <c r="C7" s="17"/>
      <c r="D7" s="20">
        <v>534</v>
      </c>
      <c r="E7" s="26" t="str">
        <f>VLOOKUP($D:$D,基础资料!$A:B,2,0)</f>
        <v>07010008</v>
      </c>
      <c r="F7" s="26" t="str">
        <f>VLOOKUP($D:$D,基础资料!$A:C,3,0)</f>
        <v>蓝剧-我是僵尸第2季 4BD</v>
      </c>
      <c r="G7" s="26" t="str">
        <f>VLOOKUP($D:$D,基础资料!$A:D,4,0)</f>
        <v>4</v>
      </c>
      <c r="H7" s="26" t="str">
        <f>VLOOKUP($D:$D,基础资料!$A:E,5,0)</f>
        <v>套</v>
      </c>
      <c r="I7" s="26" t="str">
        <f>VLOOKUP($D:$D,基础资料!$A:F,6,0)</f>
        <v>蓝光电视剧</v>
      </c>
      <c r="J7" s="26">
        <f>VLOOKUP(I:I,基础资料!F:G,2,0)</f>
        <v>19</v>
      </c>
      <c r="K7" s="14"/>
      <c r="L7" s="14">
        <v>61</v>
      </c>
      <c r="M7" s="26">
        <f>SUMIF($D:$D,D7,$L:$L)+SUMIF($D:$D,D7,$J:$J)-SUMIF($D:$D,D7,$K:$K)</f>
        <v>80</v>
      </c>
      <c r="N7" s="26">
        <f>VLOOKUP(D:D,结存!A:J,10,0)</f>
        <v>61</v>
      </c>
      <c r="O7" s="26">
        <f>M7 - N7</f>
        <v>19</v>
      </c>
    </row>
    <row r="8" spans="1:16" ht="15.6">
      <c r="A8" s="15"/>
      <c r="B8" s="17"/>
      <c r="C8" s="17"/>
      <c r="D8" s="20">
        <v>536</v>
      </c>
      <c r="E8" s="26" t="str">
        <f>VLOOKUP($D:$D,基础资料!$A:B,2,0)</f>
        <v>07010010</v>
      </c>
      <c r="F8" s="26" t="str">
        <f>VLOOKUP($D:$D,基础资料!$A:C,3,0)</f>
        <v>蓝剧-黑色孤儿第1季  2BD</v>
      </c>
      <c r="G8" s="26" t="str">
        <f>VLOOKUP($D:$D,基础资料!$A:D,4,0)</f>
        <v>2</v>
      </c>
      <c r="H8" s="26" t="str">
        <f>VLOOKUP($D:$D,基础资料!$A:E,5,0)</f>
        <v>套</v>
      </c>
      <c r="I8" s="26" t="str">
        <f>VLOOKUP($D:$D,基础资料!$A:F,6,0)</f>
        <v>蓝光电视剧</v>
      </c>
      <c r="J8" s="26">
        <f>VLOOKUP(I:I,基础资料!F:G,2,0)</f>
        <v>19</v>
      </c>
      <c r="K8" s="14"/>
      <c r="L8" s="14">
        <v>86</v>
      </c>
      <c r="M8" s="26">
        <f>SUMIF($D:$D,D8,$L:$L)+SUMIF($D:$D,D8,$J:$J)-SUMIF($D:$D,D8,$K:$K)</f>
        <v>104</v>
      </c>
      <c r="N8" s="26">
        <f>VLOOKUP(D:D,结存!A:J,10,0)</f>
        <v>85</v>
      </c>
      <c r="O8" s="26">
        <f>M8 - N8</f>
        <v>19</v>
      </c>
    </row>
    <row r="9" spans="1:16" ht="15.6">
      <c r="A9" s="15"/>
      <c r="B9" s="17"/>
      <c r="C9" s="17"/>
      <c r="D9" s="20">
        <v>537</v>
      </c>
      <c r="E9" s="26" t="str">
        <f>VLOOKUP($D:$D,基础资料!$A:B,2,0)</f>
        <v>07010011</v>
      </c>
      <c r="F9" s="26" t="str">
        <f>VLOOKUP($D:$D,基础资料!$A:C,3,0)</f>
        <v>蓝剧-黑色孤儿第2季  2BD</v>
      </c>
      <c r="G9" s="26" t="str">
        <f>VLOOKUP($D:$D,基础资料!$A:D,4,0)</f>
        <v>2</v>
      </c>
      <c r="H9" s="26" t="str">
        <f>VLOOKUP($D:$D,基础资料!$A:E,5,0)</f>
        <v>套</v>
      </c>
      <c r="I9" s="26" t="str">
        <f>VLOOKUP($D:$D,基础资料!$A:F,6,0)</f>
        <v>蓝光电视剧</v>
      </c>
      <c r="J9" s="26">
        <f>VLOOKUP(I:I,基础资料!F:G,2,0)</f>
        <v>19</v>
      </c>
      <c r="K9" s="14"/>
      <c r="L9" s="14">
        <v>85</v>
      </c>
      <c r="M9" s="26">
        <f>SUMIF($D:$D,D9,$L:$L)+SUMIF($D:$D,D9,$J:$J)-SUMIF($D:$D,D9,$K:$K)</f>
        <v>98</v>
      </c>
      <c r="N9" s="26">
        <f>VLOOKUP(D:D,结存!A:J,10,0)</f>
        <v>79</v>
      </c>
      <c r="O9" s="26">
        <f>M9 - N9</f>
        <v>19</v>
      </c>
    </row>
    <row r="10" spans="1:16" ht="15.6">
      <c r="A10" s="15"/>
      <c r="B10" s="17"/>
      <c r="C10" s="17"/>
      <c r="D10" s="20">
        <v>538</v>
      </c>
      <c r="E10" s="26" t="str">
        <f>VLOOKUP($D:$D,基础资料!$A:B,2,0)</f>
        <v>07010012</v>
      </c>
      <c r="F10" s="26" t="str">
        <f>VLOOKUP($D:$D,基础资料!$A:C,3,0)</f>
        <v>蓝剧-地球百子第1季 3BD</v>
      </c>
      <c r="G10" s="26" t="str">
        <f>VLOOKUP($D:$D,基础资料!$A:D,4,0)</f>
        <v>3</v>
      </c>
      <c r="H10" s="26" t="str">
        <f>VLOOKUP($D:$D,基础资料!$A:E,5,0)</f>
        <v>套</v>
      </c>
      <c r="I10" s="26" t="str">
        <f>VLOOKUP($D:$D,基础资料!$A:F,6,0)</f>
        <v>蓝光电视剧</v>
      </c>
      <c r="J10" s="14"/>
      <c r="K10" s="14"/>
      <c r="L10" s="14">
        <v>95</v>
      </c>
      <c r="M10" s="26">
        <f>SUMIF($D:$D,D10,$L:$L)+SUMIF($D:$D,D10,$J:$J)-SUMIF($D:$D,D10,$K:$K)</f>
        <v>95</v>
      </c>
      <c r="N10" s="26">
        <f>VLOOKUP(D:D,结存!A:J,10,0)</f>
        <v>95</v>
      </c>
      <c r="O10" s="26">
        <f>M10 - N10</f>
        <v>0</v>
      </c>
    </row>
    <row r="11" spans="1:16" ht="15.6">
      <c r="A11" s="15"/>
      <c r="B11" s="17"/>
      <c r="C11" s="17"/>
      <c r="D11" s="20">
        <v>539</v>
      </c>
      <c r="E11" s="26" t="str">
        <f>VLOOKUP($D:$D,基础资料!$A:B,2,0)</f>
        <v>07010013</v>
      </c>
      <c r="F11" s="26" t="str">
        <f>VLOOKUP($D:$D,基础资料!$A:C,3,0)</f>
        <v>蓝剧-黑色孤儿第3季  2BD</v>
      </c>
      <c r="G11" s="26" t="str">
        <f>VLOOKUP($D:$D,基础资料!$A:D,4,0)</f>
        <v>2</v>
      </c>
      <c r="H11" s="26" t="str">
        <f>VLOOKUP($D:$D,基础资料!$A:E,5,0)</f>
        <v>套</v>
      </c>
      <c r="I11" s="26" t="str">
        <f>VLOOKUP($D:$D,基础资料!$A:F,6,0)</f>
        <v>蓝光电视剧</v>
      </c>
      <c r="J11" s="14"/>
      <c r="K11" s="14"/>
      <c r="L11" s="14">
        <v>83</v>
      </c>
      <c r="M11" s="26">
        <f>SUMIF($D:$D,D11,$L:$L)+SUMIF($D:$D,D11,$J:$J)-SUMIF($D:$D,D11,$K:$K)</f>
        <v>86</v>
      </c>
      <c r="N11" s="26">
        <f>VLOOKUP(D:D,结存!A:J,10,0)</f>
        <v>86</v>
      </c>
      <c r="O11" s="26">
        <f>M11 - N11</f>
        <v>0</v>
      </c>
    </row>
    <row r="12" spans="1:16" ht="15.6">
      <c r="A12" s="15"/>
      <c r="B12" s="17"/>
      <c r="C12" s="17"/>
      <c r="D12" s="20">
        <v>541</v>
      </c>
      <c r="E12" s="26" t="str">
        <f>VLOOKUP($D:$D,基础资料!$A:B,2,0)</f>
        <v>07010015</v>
      </c>
      <c r="F12" s="26" t="str">
        <f>VLOOKUP($D:$D,基础资料!$A:C,3,0)</f>
        <v>蓝剧-黑色孤儿第4季  2BD</v>
      </c>
      <c r="G12" s="26" t="str">
        <f>VLOOKUP($D:$D,基础资料!$A:D,4,0)</f>
        <v>2</v>
      </c>
      <c r="H12" s="26" t="str">
        <f>VLOOKUP($D:$D,基础资料!$A:E,5,0)</f>
        <v>套</v>
      </c>
      <c r="I12" s="26" t="str">
        <f>VLOOKUP($D:$D,基础资料!$A:F,6,0)</f>
        <v>蓝光电视剧</v>
      </c>
      <c r="J12" s="14"/>
      <c r="K12" s="14"/>
      <c r="L12" s="14">
        <v>74</v>
      </c>
      <c r="M12" s="26">
        <f>SUMIF($D:$D,D12,$L:$L)+SUMIF($D:$D,D12,$J:$J)-SUMIF($D:$D,D12,$K:$K)</f>
        <v>63</v>
      </c>
      <c r="N12" s="26">
        <f>VLOOKUP(D:D,结存!A:J,10,0)</f>
        <v>63</v>
      </c>
      <c r="O12" s="26">
        <f>M12 - N12</f>
        <v>0</v>
      </c>
    </row>
    <row r="13" spans="1:16" ht="15.6">
      <c r="A13" s="15"/>
      <c r="B13" s="17"/>
      <c r="C13" s="17"/>
      <c r="D13" s="20">
        <v>571</v>
      </c>
      <c r="E13" s="26" t="str">
        <f>VLOOKUP($D:$D,基础资料!$A:B,2,0)</f>
        <v>07020003</v>
      </c>
      <c r="F13" s="26" t="str">
        <f>VLOOKUP($D:$D,基础资料!$A:C,3,0)</f>
        <v>蓝影-遇见你之前1BD+1DVD</v>
      </c>
      <c r="G13" s="26" t="str">
        <f>VLOOKUP($D:$D,基础资料!$A:D,4,0)</f>
        <v>2</v>
      </c>
      <c r="H13" s="26" t="str">
        <f>VLOOKUP($D:$D,基础资料!$A:E,5,0)</f>
        <v>套</v>
      </c>
      <c r="I13" s="26" t="str">
        <f>VLOOKUP($D:$D,基础资料!$A:F,6,0)</f>
        <v>蓝光电影</v>
      </c>
      <c r="J13" s="14"/>
      <c r="K13" s="14"/>
      <c r="L13" s="14">
        <v>73</v>
      </c>
      <c r="M13" s="26">
        <f>SUMIF($D:$D,D13,$L:$L)+SUMIF($D:$D,D13,$J:$J)-SUMIF($D:$D,D13,$K:$K)</f>
        <v>73</v>
      </c>
      <c r="N13" s="26">
        <f>VLOOKUP(D:D,结存!A:J,10,0)</f>
        <v>73</v>
      </c>
      <c r="O13" s="26">
        <f>M13 - N13</f>
        <v>0</v>
      </c>
    </row>
    <row r="14" spans="1:16" ht="15.6">
      <c r="A14" s="15"/>
      <c r="B14" s="17"/>
      <c r="C14" s="17"/>
      <c r="D14" s="20">
        <v>572</v>
      </c>
      <c r="E14" s="26" t="str">
        <f>VLOOKUP($D:$D,基础资料!$A:B,2,0)</f>
        <v>07020004</v>
      </c>
      <c r="F14" s="26" t="str">
        <f>VLOOKUP($D:$D,基础资料!$A:C,3,0)</f>
        <v>蓝影 -一切都会过去：淘儿唱片的浮与沉  1BD</v>
      </c>
      <c r="G14" s="26" t="str">
        <f>VLOOKUP($D:$D,基础资料!$A:D,4,0)</f>
        <v>1</v>
      </c>
      <c r="H14" s="26" t="str">
        <f>VLOOKUP($D:$D,基础资料!$A:E,5,0)</f>
        <v>套</v>
      </c>
      <c r="I14" s="26" t="str">
        <f>VLOOKUP($D:$D,基础资料!$A:F,6,0)</f>
        <v>蓝光电影</v>
      </c>
      <c r="J14" s="26" t="str">
        <f>VLOOKUP($D:$D,基础资料!$A:G,3,0)</f>
        <v>蓝影 -一切都会过去：淘儿唱片的浮与沉  1BD</v>
      </c>
      <c r="K14" s="14"/>
      <c r="L14" s="14">
        <v>87</v>
      </c>
      <c r="M14" s="26">
        <f>SUMIF($D:$D,D14,$L:$L)+SUMIF($D:$D,D14,$J:$J)-SUMIF($D:$D,D14,$K:$K)</f>
        <v>87</v>
      </c>
      <c r="N14" s="26">
        <f>VLOOKUP(D:D,结存!A:J,10,0)</f>
        <v>87</v>
      </c>
      <c r="O14" s="26">
        <f>M14 - N14</f>
        <v>0</v>
      </c>
    </row>
    <row r="15" spans="1:16" ht="15.6">
      <c r="A15" s="15"/>
      <c r="B15" s="17"/>
      <c r="C15" s="17"/>
      <c r="D15" s="20">
        <v>573</v>
      </c>
      <c r="E15" s="26" t="str">
        <f>VLOOKUP($D:$D,基础资料!$A:B,2,0)</f>
        <v>07020005</v>
      </c>
      <c r="F15" s="26" t="str">
        <f>VLOOKUP($D:$D,基础资料!$A:C,3,0)</f>
        <v>蓝影-猫王:是这样的:特别版  1BD+1DVD</v>
      </c>
      <c r="G15" s="26" t="str">
        <f>VLOOKUP($D:$D,基础资料!$A:D,4,0)</f>
        <v>2</v>
      </c>
      <c r="H15" s="26" t="str">
        <f>VLOOKUP($D:$D,基础资料!$A:E,5,0)</f>
        <v>套</v>
      </c>
      <c r="I15" s="26" t="str">
        <f>VLOOKUP($D:$D,基础资料!$A:F,6,0)</f>
        <v>蓝光电影</v>
      </c>
      <c r="J15" s="14"/>
      <c r="K15" s="14"/>
      <c r="L15" s="14">
        <v>85</v>
      </c>
      <c r="M15" s="26">
        <f>SUMIF($D:$D,D15,$L:$L)+SUMIF($D:$D,D15,$J:$J)-SUMIF($D:$D,D15,$K:$K)</f>
        <v>69</v>
      </c>
      <c r="N15" s="26">
        <f>VLOOKUP(D:D,结存!A:J,10,0)</f>
        <v>69</v>
      </c>
      <c r="O15" s="26">
        <f>M15 - N15</f>
        <v>0</v>
      </c>
    </row>
    <row r="16" spans="1:16" ht="15.6">
      <c r="A16" s="15"/>
      <c r="B16" s="17"/>
      <c r="C16" s="17"/>
      <c r="D16" s="20">
        <v>574</v>
      </c>
      <c r="E16" s="26" t="str">
        <f>VLOOKUP($D:$D,基础资料!$A:B,2,0)</f>
        <v>07020006</v>
      </c>
      <c r="F16" s="26" t="str">
        <f>VLOOKUP($D:$D,基础资料!$A:C,3,0)</f>
        <v>蓝影-辛普森一家20周年特辑 2BD</v>
      </c>
      <c r="G16" s="26" t="str">
        <f>VLOOKUP($D:$D,基础资料!$A:D,4,0)</f>
        <v>2</v>
      </c>
      <c r="H16" s="26" t="str">
        <f>VLOOKUP($D:$D,基础资料!$A:E,5,0)</f>
        <v>套</v>
      </c>
      <c r="I16" s="26" t="str">
        <f>VLOOKUP($D:$D,基础资料!$A:F,6,0)</f>
        <v>蓝光电影</v>
      </c>
      <c r="J16" s="14"/>
      <c r="K16" s="14"/>
      <c r="L16" s="14">
        <v>15</v>
      </c>
      <c r="M16" s="26">
        <f>SUMIF($D:$D,D16,$L:$L)+SUMIF($D:$D,D16,$J:$J)-SUMIF($D:$D,D16,$K:$K)</f>
        <v>15</v>
      </c>
      <c r="N16" s="26">
        <f>VLOOKUP(D:D,结存!A:J,10,0)</f>
        <v>15</v>
      </c>
      <c r="O16" s="26">
        <f>M16 - N16</f>
        <v>0</v>
      </c>
    </row>
    <row r="17" spans="1:15" ht="15.6">
      <c r="A17" s="15"/>
      <c r="B17" s="17"/>
      <c r="C17" s="17"/>
      <c r="D17" s="20">
        <v>576</v>
      </c>
      <c r="E17" s="26" t="str">
        <f>VLOOKUP($D:$D,基础资料!$A:B,2,0)</f>
        <v>07020008</v>
      </c>
      <c r="F17" s="26" t="str">
        <f>VLOOKUP($D:$D,基础资料!$A:C,3,0)</f>
        <v>蓝影-三傻大闹宝莱坞1BD</v>
      </c>
      <c r="G17" s="26" t="str">
        <f>VLOOKUP($D:$D,基础资料!$A:D,4,0)</f>
        <v>1</v>
      </c>
      <c r="H17" s="26" t="str">
        <f>VLOOKUP($D:$D,基础资料!$A:E,5,0)</f>
        <v>套</v>
      </c>
      <c r="I17" s="26" t="str">
        <f>VLOOKUP($D:$D,基础资料!$A:F,6,0)</f>
        <v>蓝光电影</v>
      </c>
      <c r="J17" s="14"/>
      <c r="K17" s="14"/>
      <c r="L17" s="14">
        <v>72</v>
      </c>
      <c r="M17" s="26">
        <f>SUMIF($D:$D,D17,$L:$L)+SUMIF($D:$D,D17,$J:$J)-SUMIF($D:$D,D17,$K:$K)</f>
        <v>72</v>
      </c>
      <c r="N17" s="26">
        <f>VLOOKUP(D:D,结存!A:J,10,0)</f>
        <v>72</v>
      </c>
      <c r="O17" s="26">
        <f>M17 - N17</f>
        <v>0</v>
      </c>
    </row>
    <row r="18" spans="1:15" ht="15.6">
      <c r="A18" s="15"/>
      <c r="B18" s="17"/>
      <c r="C18" s="17"/>
      <c r="D18" s="20">
        <v>577</v>
      </c>
      <c r="E18" s="26" t="str">
        <f>VLOOKUP($D:$D,基础资料!$A:B,2,0)</f>
        <v>07020009</v>
      </c>
      <c r="F18" s="26" t="str">
        <f>VLOOKUP($D:$D,基础资料!$A:C,3,0)</f>
        <v>蓝影-盖世枭雄1BD</v>
      </c>
      <c r="G18" s="26" t="str">
        <f>VLOOKUP($D:$D,基础资料!$A:D,4,0)</f>
        <v>1</v>
      </c>
      <c r="H18" s="26" t="str">
        <f>VLOOKUP($D:$D,基础资料!$A:E,5,0)</f>
        <v>套</v>
      </c>
      <c r="I18" s="26" t="str">
        <f>VLOOKUP($D:$D,基础资料!$A:F,6,0)</f>
        <v>蓝光电影</v>
      </c>
      <c r="J18" s="14"/>
      <c r="K18" s="14"/>
      <c r="L18" s="14">
        <v>73</v>
      </c>
      <c r="M18" s="26">
        <f>SUMIF($D:$D,D18,$L:$L)+SUMIF($D:$D,D18,$J:$J)-SUMIF($D:$D,D18,$K:$K)</f>
        <v>73</v>
      </c>
      <c r="N18" s="26">
        <f>VLOOKUP(D:D,结存!A:J,10,0)</f>
        <v>73</v>
      </c>
      <c r="O18" s="26">
        <f>M18 - N18</f>
        <v>0</v>
      </c>
    </row>
    <row r="19" spans="1:15" ht="15.6">
      <c r="A19" s="15"/>
      <c r="B19" s="17"/>
      <c r="C19" s="17"/>
      <c r="D19" s="20">
        <v>578</v>
      </c>
      <c r="E19" s="26" t="str">
        <f>VLOOKUP($D:$D,基础资料!$A:B,2,0)</f>
        <v>07020010</v>
      </c>
      <c r="F19" s="26" t="str">
        <f>VLOOKUP($D:$D,基础资料!$A:C,3,0)</f>
        <v>蓝影-功夫熊猫21BD+2DVD</v>
      </c>
      <c r="G19" s="26" t="str">
        <f>VLOOKUP($D:$D,基础资料!$A:D,4,0)</f>
        <v>3</v>
      </c>
      <c r="H19" s="26" t="str">
        <f>VLOOKUP($D:$D,基础资料!$A:E,5,0)</f>
        <v>套</v>
      </c>
      <c r="I19" s="26" t="str">
        <f>VLOOKUP($D:$D,基础资料!$A:F,6,0)</f>
        <v>蓝光电影</v>
      </c>
      <c r="J19" s="14"/>
      <c r="K19" s="14"/>
      <c r="L19" s="14">
        <v>89</v>
      </c>
      <c r="M19" s="26">
        <f>SUMIF($D:$D,D19,$L:$L)+SUMIF($D:$D,D19,$J:$J)-SUMIF($D:$D,D19,$K:$K)</f>
        <v>81</v>
      </c>
      <c r="N19" s="26">
        <f>VLOOKUP(D:D,结存!A:J,10,0)</f>
        <v>81</v>
      </c>
      <c r="O19" s="26">
        <f>M19 - N19</f>
        <v>0</v>
      </c>
    </row>
    <row r="20" spans="1:15" ht="15.6">
      <c r="A20" s="15"/>
      <c r="B20" s="17"/>
      <c r="C20" s="17"/>
      <c r="D20" s="20">
        <v>579</v>
      </c>
      <c r="E20" s="26" t="str">
        <f>VLOOKUP($D:$D,基础资料!$A:B,2,0)</f>
        <v>07020011</v>
      </c>
      <c r="F20" s="26" t="str">
        <f>VLOOKUP($D:$D,基础资料!$A:C,3,0)</f>
        <v>蓝影-功夫熊猫3  1BD+1DVD</v>
      </c>
      <c r="G20" s="26" t="str">
        <f>VLOOKUP($D:$D,基础资料!$A:D,4,0)</f>
        <v>2</v>
      </c>
      <c r="H20" s="26" t="str">
        <f>VLOOKUP($D:$D,基础资料!$A:E,5,0)</f>
        <v>套</v>
      </c>
      <c r="I20" s="26" t="str">
        <f>VLOOKUP($D:$D,基础资料!$A:F,6,0)</f>
        <v>蓝光电影</v>
      </c>
      <c r="J20" s="14"/>
      <c r="K20" s="14"/>
      <c r="L20" s="14">
        <v>75</v>
      </c>
      <c r="M20" s="26">
        <f>SUMIF($D:$D,D20,$L:$L)+SUMIF($D:$D,D20,$J:$J)-SUMIF($D:$D,D20,$K:$K)</f>
        <v>67</v>
      </c>
      <c r="N20" s="26">
        <f>VLOOKUP(D:D,结存!A:J,10,0)</f>
        <v>67</v>
      </c>
      <c r="O20" s="26">
        <f>M20 - N20</f>
        <v>0</v>
      </c>
    </row>
    <row r="21" spans="1:15" ht="15.6">
      <c r="A21" s="15"/>
      <c r="B21" s="17"/>
      <c r="C21" s="17"/>
      <c r="D21" s="20">
        <v>582</v>
      </c>
      <c r="E21" s="26" t="str">
        <f>VLOOKUP($D:$D,基础资料!$A:B,2,0)</f>
        <v>07020014</v>
      </c>
      <c r="F21" s="26" t="str">
        <f>VLOOKUP($D:$D,基础资料!$A:C,3,0)</f>
        <v>蓝影 -银河护卫队  1BD</v>
      </c>
      <c r="G21" s="26" t="str">
        <f>VLOOKUP($D:$D,基础资料!$A:D,4,0)</f>
        <v>1</v>
      </c>
      <c r="H21" s="26" t="str">
        <f>VLOOKUP($D:$D,基础资料!$A:E,5,0)</f>
        <v>套</v>
      </c>
      <c r="I21" s="26" t="str">
        <f>VLOOKUP($D:$D,基础资料!$A:F,6,0)</f>
        <v>蓝光电影</v>
      </c>
      <c r="J21" s="14"/>
      <c r="K21" s="14"/>
      <c r="L21" s="14">
        <v>77</v>
      </c>
      <c r="M21" s="26">
        <f>SUMIF($D:$D,D21,$L:$L)+SUMIF($D:$D,D21,$J:$J)-SUMIF($D:$D,D21,$K:$K)</f>
        <v>77</v>
      </c>
      <c r="N21" s="26">
        <f>VLOOKUP(D:D,结存!A:J,10,0)</f>
        <v>77</v>
      </c>
      <c r="O21" s="26">
        <f>M21 - N21</f>
        <v>0</v>
      </c>
    </row>
    <row r="22" spans="1:15" ht="15.6">
      <c r="A22" s="15"/>
      <c r="B22" s="17"/>
      <c r="C22" s="17"/>
      <c r="D22" s="20">
        <v>583</v>
      </c>
      <c r="E22" s="26" t="str">
        <f>VLOOKUP($D:$D,基础资料!$A:B,2,0)</f>
        <v>07020015</v>
      </c>
      <c r="F22" s="26" t="str">
        <f>VLOOKUP($D:$D,基础资料!$A:C,3,0)</f>
        <v>蓝影-元气囝仔 2BD+2DVD</v>
      </c>
      <c r="G22" s="26" t="str">
        <f>VLOOKUP($D:$D,基础资料!$A:D,4,0)</f>
        <v>4</v>
      </c>
      <c r="H22" s="26" t="str">
        <f>VLOOKUP($D:$D,基础资料!$A:E,5,0)</f>
        <v>套</v>
      </c>
      <c r="I22" s="26" t="str">
        <f>VLOOKUP($D:$D,基础资料!$A:F,6,0)</f>
        <v>蓝光电影</v>
      </c>
      <c r="J22" s="14"/>
      <c r="K22" s="14"/>
      <c r="L22" s="14">
        <v>98</v>
      </c>
      <c r="M22" s="26">
        <f>SUMIF($D:$D,D22,$L:$L)+SUMIF($D:$D,D22,$J:$J)-SUMIF($D:$D,D22,$K:$K)</f>
        <v>94</v>
      </c>
      <c r="N22" s="26">
        <f>VLOOKUP(D:D,结存!A:J,10,0)</f>
        <v>94</v>
      </c>
      <c r="O22" s="26">
        <f>M22 - N22</f>
        <v>0</v>
      </c>
    </row>
    <row r="23" spans="1:15" ht="15.6">
      <c r="A23" s="15"/>
      <c r="B23" s="17"/>
      <c r="C23" s="17"/>
      <c r="D23" s="20">
        <v>585</v>
      </c>
      <c r="E23" s="26" t="str">
        <f>VLOOKUP($D:$D,基础资料!$A:B,2,0)</f>
        <v>07020017</v>
      </c>
      <c r="F23" s="26" t="str">
        <f>VLOOKUP($D:$D,基础资料!$A:C,3,0)</f>
        <v>蓝影-刑事  1BD+1DVD</v>
      </c>
      <c r="G23" s="26" t="str">
        <f>VLOOKUP($D:$D,基础资料!$A:D,4,0)</f>
        <v>2</v>
      </c>
      <c r="H23" s="26" t="str">
        <f>VLOOKUP($D:$D,基础资料!$A:E,5,0)</f>
        <v>套</v>
      </c>
      <c r="I23" s="26" t="str">
        <f>VLOOKUP($D:$D,基础资料!$A:F,6,0)</f>
        <v>蓝光电影</v>
      </c>
      <c r="J23" s="14"/>
      <c r="K23" s="14"/>
      <c r="L23" s="14">
        <v>4</v>
      </c>
      <c r="M23" s="26">
        <f>SUMIF($D:$D,D23,$L:$L)+SUMIF($D:$D,D23,$J:$J)-SUMIF($D:$D,D23,$K:$K)</f>
        <v>4</v>
      </c>
      <c r="N23" s="26">
        <f>VLOOKUP(D:D,结存!A:J,10,0)</f>
        <v>4</v>
      </c>
      <c r="O23" s="26">
        <f>M23 - N23</f>
        <v>0</v>
      </c>
    </row>
    <row r="24" spans="1:15" ht="15.6">
      <c r="A24" s="15"/>
      <c r="B24" s="17"/>
      <c r="C24" s="17"/>
      <c r="D24" s="20">
        <v>588</v>
      </c>
      <c r="E24" s="26" t="str">
        <f>VLOOKUP($D:$D,基础资料!$A:B,2,0)</f>
        <v>07020020</v>
      </c>
      <c r="F24" s="26" t="str">
        <f>VLOOKUP($D:$D,基础资料!$A:C,3,0)</f>
        <v>蓝影-猫王-埃尔维斯之旅 1BD</v>
      </c>
      <c r="G24" s="26" t="str">
        <f>VLOOKUP($D:$D,基础资料!$A:D,4,0)</f>
        <v>1</v>
      </c>
      <c r="H24" s="26" t="str">
        <f>VLOOKUP($D:$D,基础资料!$A:E,5,0)</f>
        <v>套</v>
      </c>
      <c r="I24" s="26" t="str">
        <f>VLOOKUP($D:$D,基础资料!$A:F,6,0)</f>
        <v>蓝光电影</v>
      </c>
      <c r="J24" s="14"/>
      <c r="K24" s="14"/>
      <c r="L24" s="14">
        <v>97</v>
      </c>
      <c r="M24" s="26">
        <f>SUMIF($D:$D,D24,$L:$L)+SUMIF($D:$D,D24,$J:$J)-SUMIF($D:$D,D24,$K:$K)</f>
        <v>96</v>
      </c>
      <c r="N24" s="26">
        <f>VLOOKUP(D:D,结存!A:J,10,0)</f>
        <v>96</v>
      </c>
      <c r="O24" s="26">
        <f>M24 - N24</f>
        <v>0</v>
      </c>
    </row>
    <row r="25" spans="1:15" ht="15.6">
      <c r="A25" s="15"/>
      <c r="B25" s="17"/>
      <c r="C25" s="17"/>
      <c r="D25" s="20">
        <v>590</v>
      </c>
      <c r="E25" s="26" t="str">
        <f>VLOOKUP($D:$D,基础资料!$A:B,2,0)</f>
        <v>07020022</v>
      </c>
      <c r="F25" s="26" t="str">
        <f>VLOOKUP($D:$D,基础资料!$A:C,3,0)</f>
        <v>蓝影-美国不为人知的历史 1BD</v>
      </c>
      <c r="G25" s="26" t="str">
        <f>VLOOKUP($D:$D,基础资料!$A:D,4,0)</f>
        <v>1</v>
      </c>
      <c r="H25" s="26" t="str">
        <f>VLOOKUP($D:$D,基础资料!$A:E,5,0)</f>
        <v>套</v>
      </c>
      <c r="I25" s="26" t="str">
        <f>VLOOKUP($D:$D,基础资料!$A:F,6,0)</f>
        <v>蓝光电影</v>
      </c>
      <c r="J25" s="14"/>
      <c r="K25" s="14"/>
      <c r="L25" s="14">
        <v>89</v>
      </c>
      <c r="M25" s="26">
        <f>SUMIF($D:$D,D25,$L:$L)+SUMIF($D:$D,D25,$J:$J)-SUMIF($D:$D,D25,$K:$K)</f>
        <v>88</v>
      </c>
      <c r="N25" s="26">
        <f>VLOOKUP(D:D,结存!A:J,10,0)</f>
        <v>88</v>
      </c>
      <c r="O25" s="26">
        <f>M25 - N25</f>
        <v>0</v>
      </c>
    </row>
    <row r="26" spans="1:15" ht="15.6">
      <c r="A26" s="15"/>
      <c r="B26" s="17"/>
      <c r="C26" s="17"/>
      <c r="D26" s="20">
        <v>591</v>
      </c>
      <c r="E26" s="26" t="str">
        <f>VLOOKUP($D:$D,基础资料!$A:B,2,0)</f>
        <v>07020023</v>
      </c>
      <c r="F26" s="26" t="str">
        <f>VLOOKUP($D:$D,基础资料!$A:C,3,0)</f>
        <v>蓝影-绿野仙踪1BD</v>
      </c>
      <c r="G26" s="26" t="str">
        <f>VLOOKUP($D:$D,基础资料!$A:D,4,0)</f>
        <v>1</v>
      </c>
      <c r="H26" s="26" t="str">
        <f>VLOOKUP($D:$D,基础资料!$A:E,5,0)</f>
        <v>套</v>
      </c>
      <c r="I26" s="26" t="str">
        <f>VLOOKUP($D:$D,基础资料!$A:F,6,0)</f>
        <v>蓝光电影</v>
      </c>
      <c r="J26" s="14"/>
      <c r="K26" s="14"/>
      <c r="L26" s="14">
        <v>82</v>
      </c>
      <c r="M26" s="26">
        <f>SUMIF($D:$D,D26,$L:$L)+SUMIF($D:$D,D26,$J:$J)-SUMIF($D:$D,D26,$K:$K)</f>
        <v>82</v>
      </c>
      <c r="N26" s="26">
        <f>VLOOKUP(D:D,结存!A:J,10,0)</f>
        <v>82</v>
      </c>
      <c r="O26" s="26">
        <f>M26 - N26</f>
        <v>0</v>
      </c>
    </row>
    <row r="27" spans="1:15" ht="15.6">
      <c r="A27" s="15"/>
      <c r="B27" s="17"/>
      <c r="C27" s="17"/>
      <c r="D27" s="20">
        <v>596</v>
      </c>
      <c r="E27" s="26" t="str">
        <f>VLOOKUP($D:$D,基础资料!$A:B,2,0)</f>
        <v>07020028</v>
      </c>
      <c r="F27" s="26" t="str">
        <f>VLOOKUP($D:$D,基础资料!$A:C,3,0)</f>
        <v>蓝影-模仿游戏1BD+1DVD</v>
      </c>
      <c r="G27" s="26" t="str">
        <f>VLOOKUP($D:$D,基础资料!$A:D,4,0)</f>
        <v>2</v>
      </c>
      <c r="H27" s="26" t="str">
        <f>VLOOKUP($D:$D,基础资料!$A:E,5,0)</f>
        <v>套</v>
      </c>
      <c r="I27" s="26" t="str">
        <f>VLOOKUP($D:$D,基础资料!$A:F,6,0)</f>
        <v>蓝光电影</v>
      </c>
      <c r="J27" s="14"/>
      <c r="K27" s="14"/>
      <c r="L27" s="14">
        <v>99</v>
      </c>
      <c r="M27" s="26">
        <f>SUMIF($D:$D,D27,$L:$L)+SUMIF($D:$D,D27,$J:$J)-SUMIF($D:$D,D27,$K:$K)</f>
        <v>99</v>
      </c>
      <c r="N27" s="26">
        <f>VLOOKUP(D:D,结存!A:J,10,0)</f>
        <v>99</v>
      </c>
      <c r="O27" s="26">
        <f>M27 - N27</f>
        <v>0</v>
      </c>
    </row>
    <row r="28" spans="1:15" ht="15.6">
      <c r="A28" s="15"/>
      <c r="B28" s="17"/>
      <c r="C28" s="17"/>
      <c r="D28" s="20">
        <v>598</v>
      </c>
      <c r="E28" s="26" t="str">
        <f>VLOOKUP($D:$D,基础资料!$A:B,2,0)</f>
        <v>07020030</v>
      </c>
      <c r="F28" s="26" t="str">
        <f>VLOOKUP($D:$D,基础资料!$A:C,3,0)</f>
        <v>蓝影-金钱怪兽1BD</v>
      </c>
      <c r="G28" s="26" t="str">
        <f>VLOOKUP($D:$D,基础资料!$A:D,4,0)</f>
        <v>1</v>
      </c>
      <c r="H28" s="26" t="str">
        <f>VLOOKUP($D:$D,基础资料!$A:E,5,0)</f>
        <v>套</v>
      </c>
      <c r="I28" s="26" t="str">
        <f>VLOOKUP($D:$D,基础资料!$A:F,6,0)</f>
        <v>蓝光电影</v>
      </c>
      <c r="J28" s="14"/>
      <c r="K28" s="14"/>
      <c r="L28" s="14">
        <v>90</v>
      </c>
      <c r="M28" s="26">
        <f>SUMIF($D:$D,D28,$L:$L)+SUMIF($D:$D,D28,$J:$J)-SUMIF($D:$D,D28,$K:$K)</f>
        <v>90</v>
      </c>
      <c r="N28" s="26">
        <f>VLOOKUP(D:D,结存!A:J,10,0)</f>
        <v>90</v>
      </c>
      <c r="O28" s="26">
        <f>M28 - N28</f>
        <v>0</v>
      </c>
    </row>
    <row r="29" spans="1:15" ht="15.6">
      <c r="A29" s="15"/>
      <c r="B29" s="17"/>
      <c r="C29" s="17"/>
      <c r="D29" s="20">
        <v>599</v>
      </c>
      <c r="E29" s="26" t="str">
        <f>VLOOKUP($D:$D,基础资料!$A:B,2,0)</f>
        <v>07020031</v>
      </c>
      <c r="F29" s="26" t="str">
        <f>VLOOKUP($D:$D,基础资料!$A:C,3,0)</f>
        <v>蓝影-杀死一只知更鸟1BD</v>
      </c>
      <c r="G29" s="26" t="str">
        <f>VLOOKUP($D:$D,基础资料!$A:D,4,0)</f>
        <v>1</v>
      </c>
      <c r="H29" s="26" t="str">
        <f>VLOOKUP($D:$D,基础资料!$A:E,5,0)</f>
        <v>套</v>
      </c>
      <c r="I29" s="26" t="str">
        <f>VLOOKUP($D:$D,基础资料!$A:F,6,0)</f>
        <v>蓝光电影</v>
      </c>
      <c r="J29" s="14"/>
      <c r="K29" s="14"/>
      <c r="L29" s="14">
        <v>79</v>
      </c>
      <c r="M29" s="26">
        <f>SUMIF($D:$D,D29,$L:$L)+SUMIF($D:$D,D29,$J:$J)-SUMIF($D:$D,D29,$K:$K)</f>
        <v>78</v>
      </c>
      <c r="N29" s="26">
        <f>VLOOKUP(D:D,结存!A:J,10,0)</f>
        <v>78</v>
      </c>
      <c r="O29" s="26">
        <f>M29 - N29</f>
        <v>0</v>
      </c>
    </row>
    <row r="30" spans="1:15" ht="15.6">
      <c r="A30" s="15"/>
      <c r="B30" s="17"/>
      <c r="C30" s="17"/>
      <c r="D30" s="20">
        <v>604</v>
      </c>
      <c r="E30" s="26" t="str">
        <f>VLOOKUP($D:$D,基础资料!$A:B,2,0)</f>
        <v>07020036</v>
      </c>
      <c r="F30" s="26" t="str">
        <f>VLOOKUP($D:$D,基础资料!$A:C,3,0)</f>
        <v>蓝影- 喷火战斗机住在温布利球场 1BD</v>
      </c>
      <c r="G30" s="26" t="str">
        <f>VLOOKUP($D:$D,基础资料!$A:D,4,0)</f>
        <v>1</v>
      </c>
      <c r="H30" s="26" t="str">
        <f>VLOOKUP($D:$D,基础资料!$A:E,5,0)</f>
        <v>套</v>
      </c>
      <c r="I30" s="26" t="str">
        <f>VLOOKUP($D:$D,基础资料!$A:F,6,0)</f>
        <v>蓝光电影</v>
      </c>
      <c r="J30" s="14"/>
      <c r="K30" s="14"/>
      <c r="L30" s="14">
        <v>86</v>
      </c>
      <c r="M30" s="26">
        <f>SUMIF($D:$D,D30,$L:$L)+SUMIF($D:$D,D30,$J:$J)-SUMIF($D:$D,D30,$K:$K)</f>
        <v>86</v>
      </c>
      <c r="N30" s="26">
        <f>VLOOKUP(D:D,结存!A:J,10,0)</f>
        <v>86</v>
      </c>
      <c r="O30" s="26">
        <f>M30 - N30</f>
        <v>0</v>
      </c>
    </row>
    <row r="31" spans="1:15" ht="15.6">
      <c r="A31" s="15"/>
      <c r="B31" s="17"/>
      <c r="C31" s="17"/>
      <c r="D31" s="20">
        <v>605</v>
      </c>
      <c r="E31" s="26" t="str">
        <f>VLOOKUP($D:$D,基础资料!$A:B,2,0)</f>
        <v>07020037</v>
      </c>
      <c r="F31" s="26" t="str">
        <f>VLOOKUP($D:$D,基础资料!$A:C,3,0)</f>
        <v>蓝影-鲁邦三世：卡里奥斯特罗城  1BD</v>
      </c>
      <c r="G31" s="26" t="str">
        <f>VLOOKUP($D:$D,基础资料!$A:D,4,0)</f>
        <v>1</v>
      </c>
      <c r="H31" s="26" t="str">
        <f>VLOOKUP($D:$D,基础资料!$A:E,5,0)</f>
        <v>套</v>
      </c>
      <c r="I31" s="26" t="str">
        <f>VLOOKUP($D:$D,基础资料!$A:F,6,0)</f>
        <v>蓝光电影</v>
      </c>
      <c r="J31" s="14"/>
      <c r="K31" s="14"/>
      <c r="L31" s="14">
        <v>85</v>
      </c>
      <c r="M31" s="26">
        <f>SUMIF($D:$D,D31,$L:$L)+SUMIF($D:$D,D31,$J:$J)-SUMIF($D:$D,D31,$K:$K)</f>
        <v>85</v>
      </c>
      <c r="N31" s="26">
        <f>VLOOKUP(D:D,结存!A:J,10,0)</f>
        <v>85</v>
      </c>
      <c r="O31" s="26">
        <f>M31 - N31</f>
        <v>0</v>
      </c>
    </row>
    <row r="32" spans="1:15" ht="15.6">
      <c r="A32" s="15"/>
      <c r="B32" s="17"/>
      <c r="C32" s="17"/>
      <c r="D32" s="20">
        <v>606</v>
      </c>
      <c r="E32" s="26" t="str">
        <f>VLOOKUP($D:$D,基础资料!$A:B,2,0)</f>
        <v>07020038</v>
      </c>
      <c r="F32" s="26" t="str">
        <f>VLOOKUP($D:$D,基础资料!$A:C,3,0)</f>
        <v>蓝影-钢之炼金术师完整版 6BD</v>
      </c>
      <c r="G32" s="26" t="str">
        <f>VLOOKUP($D:$D,基础资料!$A:D,4,0)</f>
        <v>6</v>
      </c>
      <c r="H32" s="26" t="str">
        <f>VLOOKUP($D:$D,基础资料!$A:E,5,0)</f>
        <v>套</v>
      </c>
      <c r="I32" s="26" t="str">
        <f>VLOOKUP($D:$D,基础资料!$A:F,6,0)</f>
        <v>蓝光电影</v>
      </c>
      <c r="J32" s="14"/>
      <c r="K32" s="14"/>
      <c r="L32" s="14">
        <v>43</v>
      </c>
      <c r="M32" s="26">
        <f>SUMIF($D:$D,D32,$L:$L)+SUMIF($D:$D,D32,$J:$J)-SUMIF($D:$D,D32,$K:$K)</f>
        <v>43</v>
      </c>
      <c r="N32" s="26">
        <f>VLOOKUP(D:D,结存!A:J,10,0)</f>
        <v>43</v>
      </c>
      <c r="O32" s="26">
        <f>M32 - N32</f>
        <v>0</v>
      </c>
    </row>
    <row r="33" spans="1:15" ht="15.6">
      <c r="A33" s="15"/>
      <c r="B33" s="17"/>
      <c r="C33" s="17"/>
      <c r="D33" s="20">
        <v>607</v>
      </c>
      <c r="E33" s="26" t="str">
        <f>VLOOKUP($D:$D,基础资料!$A:B,2,0)</f>
        <v>07020039</v>
      </c>
      <c r="F33" s="26" t="str">
        <f>VLOOKUP($D:$D,基础资料!$A:C,3,0)</f>
        <v>蓝影-钢之炼金术师：兄弟会（上）  4BD</v>
      </c>
      <c r="G33" s="26" t="str">
        <f>VLOOKUP($D:$D,基础资料!$A:D,4,0)</f>
        <v>4</v>
      </c>
      <c r="H33" s="26" t="str">
        <f>VLOOKUP($D:$D,基础资料!$A:E,5,0)</f>
        <v>套</v>
      </c>
      <c r="I33" s="26" t="str">
        <f>VLOOKUP($D:$D,基础资料!$A:F,6,0)</f>
        <v>蓝光电影</v>
      </c>
      <c r="J33" s="14"/>
      <c r="K33" s="14"/>
      <c r="L33" s="14">
        <v>88</v>
      </c>
      <c r="M33" s="26">
        <f>SUMIF($D:$D,D33,$L:$L)+SUMIF($D:$D,D33,$J:$J)-SUMIF($D:$D,D33,$K:$K)</f>
        <v>72</v>
      </c>
      <c r="N33" s="26">
        <f>VLOOKUP(D:D,结存!A:J,10,0)</f>
        <v>72</v>
      </c>
      <c r="O33" s="26">
        <f>M33 - N33</f>
        <v>0</v>
      </c>
    </row>
    <row r="34" spans="1:15" ht="15.6">
      <c r="A34" s="15"/>
      <c r="B34" s="17"/>
      <c r="C34" s="17"/>
      <c r="D34" s="20">
        <v>608</v>
      </c>
      <c r="E34" s="26" t="str">
        <f>VLOOKUP($D:$D,基础资料!$A:B,2,0)</f>
        <v>07020040</v>
      </c>
      <c r="F34" s="26" t="str">
        <f>VLOOKUP($D:$D,基础资料!$A:C,3,0)</f>
        <v>蓝影-钢之炼金术师：兄弟会（下）  4BD</v>
      </c>
      <c r="G34" s="26" t="str">
        <f>VLOOKUP($D:$D,基础资料!$A:D,4,0)</f>
        <v>4</v>
      </c>
      <c r="H34" s="26" t="str">
        <f>VLOOKUP($D:$D,基础资料!$A:E,5,0)</f>
        <v>套</v>
      </c>
      <c r="I34" s="26" t="str">
        <f>VLOOKUP($D:$D,基础资料!$A:F,6,0)</f>
        <v>蓝光电影</v>
      </c>
      <c r="J34" s="14"/>
      <c r="K34" s="14"/>
      <c r="L34" s="14">
        <v>86</v>
      </c>
      <c r="M34" s="26">
        <f>SUMIF($D:$D,D34,$L:$L)+SUMIF($D:$D,D34,$J:$J)-SUMIF($D:$D,D34,$K:$K)</f>
        <v>77</v>
      </c>
      <c r="N34" s="26">
        <f>VLOOKUP(D:D,结存!A:J,10,0)</f>
        <v>77</v>
      </c>
      <c r="O34" s="26">
        <f>M34 - N34</f>
        <v>0</v>
      </c>
    </row>
    <row r="35" spans="1:15" ht="15.6">
      <c r="A35" s="15"/>
      <c r="B35" s="17"/>
      <c r="C35" s="17"/>
      <c r="D35" s="20">
        <v>609</v>
      </c>
      <c r="E35" s="26" t="str">
        <f>VLOOKUP($D:$D,基础资料!$A:B,2,0)</f>
        <v>07020041</v>
      </c>
      <c r="F35" s="26" t="str">
        <f>VLOOKUP($D:$D,基础资料!$A:C,3,0)</f>
        <v>蓝影-海贼王剧场版10：强者天下  1BD+1DVD</v>
      </c>
      <c r="G35" s="26" t="str">
        <f>VLOOKUP($D:$D,基础资料!$A:D,4,0)</f>
        <v>2</v>
      </c>
      <c r="H35" s="26" t="str">
        <f>VLOOKUP($D:$D,基础资料!$A:E,5,0)</f>
        <v>套</v>
      </c>
      <c r="I35" s="26" t="str">
        <f>VLOOKUP($D:$D,基础资料!$A:F,6,0)</f>
        <v>蓝光电影</v>
      </c>
      <c r="J35" s="14"/>
      <c r="K35" s="14"/>
      <c r="L35" s="14">
        <v>89</v>
      </c>
      <c r="M35" s="26">
        <f>SUMIF($D:$D,D35,$L:$L)+SUMIF($D:$D,D35,$J:$J)-SUMIF($D:$D,D35,$K:$K)</f>
        <v>89</v>
      </c>
      <c r="N35" s="26">
        <f>VLOOKUP(D:D,结存!A:J,10,0)</f>
        <v>89</v>
      </c>
      <c r="O35" s="26">
        <f>M35 - N35</f>
        <v>0</v>
      </c>
    </row>
    <row r="36" spans="1:15" ht="15.6">
      <c r="A36" s="15"/>
      <c r="B36" s="17"/>
      <c r="C36" s="17"/>
      <c r="D36" s="20">
        <v>610</v>
      </c>
      <c r="E36" s="26" t="str">
        <f>VLOOKUP($D:$D,基础资料!$A:B,2,0)</f>
        <v>07020042</v>
      </c>
      <c r="F36" s="26" t="str">
        <f>VLOOKUP($D:$D,基础资料!$A:C,3,0)</f>
        <v>蓝影-控方证人 1BD</v>
      </c>
      <c r="G36" s="26" t="str">
        <f>VLOOKUP($D:$D,基础资料!$A:D,4,0)</f>
        <v>1</v>
      </c>
      <c r="H36" s="26" t="str">
        <f>VLOOKUP($D:$D,基础资料!$A:E,5,0)</f>
        <v>套</v>
      </c>
      <c r="I36" s="26" t="str">
        <f>VLOOKUP($D:$D,基础资料!$A:F,6,0)</f>
        <v>蓝光电影</v>
      </c>
      <c r="J36" s="14"/>
      <c r="K36" s="14"/>
      <c r="L36" s="14">
        <v>87</v>
      </c>
      <c r="M36" s="26">
        <f>SUMIF($D:$D,D36,$L:$L)+SUMIF($D:$D,D36,$J:$J)-SUMIF($D:$D,D36,$K:$K)</f>
        <v>87</v>
      </c>
      <c r="N36" s="26">
        <f>VLOOKUP(D:D,结存!A:J,10,0)</f>
        <v>87</v>
      </c>
      <c r="O36" s="26">
        <f>M36 - N36</f>
        <v>0</v>
      </c>
    </row>
    <row r="37" spans="1:15" ht="15.6">
      <c r="A37" s="15"/>
      <c r="B37" s="17"/>
      <c r="C37" s="17"/>
      <c r="D37" s="20">
        <v>611</v>
      </c>
      <c r="E37" s="26" t="str">
        <f>VLOOKUP($D:$D,基础资料!$A:B,2,0)</f>
        <v>07020043</v>
      </c>
      <c r="F37" s="26" t="str">
        <f>VLOOKUP($D:$D,基础资料!$A:C,3,0)</f>
        <v>蓝影-狼厅 3BD</v>
      </c>
      <c r="G37" s="26" t="str">
        <f>VLOOKUP($D:$D,基础资料!$A:D,4,0)</f>
        <v>3</v>
      </c>
      <c r="H37" s="26" t="str">
        <f>VLOOKUP($D:$D,基础资料!$A:E,5,0)</f>
        <v>套</v>
      </c>
      <c r="I37" s="26" t="str">
        <f>VLOOKUP($D:$D,基础资料!$A:F,6,0)</f>
        <v>蓝光电影</v>
      </c>
      <c r="J37" s="14"/>
      <c r="K37" s="14"/>
      <c r="L37" s="14">
        <v>75</v>
      </c>
      <c r="M37" s="26">
        <f>SUMIF($D:$D,D37,$L:$L)+SUMIF($D:$D,D37,$J:$J)-SUMIF($D:$D,D37,$K:$K)</f>
        <v>74</v>
      </c>
      <c r="N37" s="26">
        <f>VLOOKUP(D:D,结存!A:J,10,0)</f>
        <v>74</v>
      </c>
      <c r="O37" s="26">
        <f>M37 - N37</f>
        <v>0</v>
      </c>
    </row>
    <row r="38" spans="1:15" ht="15.6">
      <c r="A38" s="15"/>
      <c r="B38" s="17"/>
      <c r="C38" s="17"/>
      <c r="D38" s="20">
        <v>613</v>
      </c>
      <c r="E38" s="26" t="str">
        <f>VLOOKUP($D:$D,基础资料!$A:B,2,0)</f>
        <v>07020045</v>
      </c>
      <c r="F38" s="26" t="str">
        <f>VLOOKUP($D:$D,基础资料!$A:C,3,0)</f>
        <v>蓝影-李小龙首播集  4BD</v>
      </c>
      <c r="G38" s="26" t="str">
        <f>VLOOKUP($D:$D,基础资料!$A:D,4,0)</f>
        <v>4</v>
      </c>
      <c r="H38" s="26" t="str">
        <f>VLOOKUP($D:$D,基础资料!$A:E,5,0)</f>
        <v>套</v>
      </c>
      <c r="I38" s="26" t="str">
        <f>VLOOKUP($D:$D,基础资料!$A:F,6,0)</f>
        <v>蓝光电影</v>
      </c>
      <c r="J38" s="14"/>
      <c r="K38" s="14"/>
      <c r="L38" s="14">
        <v>65</v>
      </c>
      <c r="M38" s="26">
        <f>SUMIF($D:$D,D38,$L:$L)+SUMIF($D:$D,D38,$J:$J)-SUMIF($D:$D,D38,$K:$K)</f>
        <v>65</v>
      </c>
      <c r="N38" s="26">
        <f>VLOOKUP(D:D,结存!A:J,10,0)</f>
        <v>65</v>
      </c>
      <c r="O38" s="26">
        <f>M38 - N38</f>
        <v>0</v>
      </c>
    </row>
    <row r="39" spans="1:15" ht="15.6">
      <c r="A39" s="15"/>
      <c r="B39" s="17"/>
      <c r="C39" s="17"/>
      <c r="D39" s="20">
        <v>614</v>
      </c>
      <c r="E39" s="26" t="str">
        <f>VLOOKUP($D:$D,基础资料!$A:B,2,0)</f>
        <v>07020046</v>
      </c>
      <c r="F39" s="26" t="str">
        <f>VLOOKUP($D:$D,基础资料!$A:C,3,0)</f>
        <v>蓝影-卡罗尔1BD</v>
      </c>
      <c r="G39" s="26" t="str">
        <f>VLOOKUP($D:$D,基础资料!$A:D,4,0)</f>
        <v>1</v>
      </c>
      <c r="H39" s="26" t="str">
        <f>VLOOKUP($D:$D,基础资料!$A:E,5,0)</f>
        <v>套</v>
      </c>
      <c r="I39" s="26" t="str">
        <f>VLOOKUP($D:$D,基础资料!$A:F,6,0)</f>
        <v>蓝光电影</v>
      </c>
      <c r="J39" s="14"/>
      <c r="K39" s="14"/>
      <c r="L39" s="14">
        <v>84</v>
      </c>
      <c r="M39" s="26">
        <f>SUMIF($D:$D,D39,$L:$L)+SUMIF($D:$D,D39,$J:$J)-SUMIF($D:$D,D39,$K:$K)</f>
        <v>84</v>
      </c>
      <c r="N39" s="26">
        <f>VLOOKUP(D:D,结存!A:J,10,0)</f>
        <v>84</v>
      </c>
      <c r="O39" s="26">
        <f>M39 - N39</f>
        <v>0</v>
      </c>
    </row>
    <row r="40" spans="1:15" ht="15.6">
      <c r="A40" s="15"/>
      <c r="B40" s="17"/>
      <c r="C40" s="17"/>
      <c r="D40" s="20">
        <v>615</v>
      </c>
      <c r="E40" s="26" t="str">
        <f>VLOOKUP($D:$D,基础资料!$A:B,2,0)</f>
        <v>07020047</v>
      </c>
      <c r="F40" s="26" t="str">
        <f>VLOOKUP($D:$D,基础资料!$A:C,3,0)</f>
        <v>蓝影-无人生还 2BD</v>
      </c>
      <c r="G40" s="26" t="str">
        <f>VLOOKUP($D:$D,基础资料!$A:D,4,0)</f>
        <v>\</v>
      </c>
      <c r="H40" s="26" t="str">
        <f>VLOOKUP($D:$D,基础资料!$A:E,5,0)</f>
        <v>套</v>
      </c>
      <c r="I40" s="26" t="str">
        <f>VLOOKUP($D:$D,基础资料!$A:F,6,0)</f>
        <v>蓝光电影</v>
      </c>
      <c r="J40" s="14"/>
      <c r="K40" s="14"/>
      <c r="L40" s="14">
        <v>84</v>
      </c>
      <c r="M40" s="26">
        <f>SUMIF($D:$D,D40,$L:$L)+SUMIF($D:$D,D40,$J:$J)-SUMIF($D:$D,D40,$K:$K)</f>
        <v>84</v>
      </c>
      <c r="N40" s="26">
        <f>VLOOKUP(D:D,结存!A:J,10,0)</f>
        <v>84</v>
      </c>
      <c r="O40" s="26">
        <f>M40 - N40</f>
        <v>0</v>
      </c>
    </row>
    <row r="41" spans="1:15" ht="15.6">
      <c r="A41" s="15"/>
      <c r="B41" s="17"/>
      <c r="C41" s="17"/>
      <c r="D41" s="20">
        <v>624</v>
      </c>
      <c r="E41" s="26" t="str">
        <f>VLOOKUP($D:$D,基础资料!$A:B,2,0)</f>
        <v>07030001</v>
      </c>
      <c r="F41" s="26" t="str">
        <f>VLOOKUP($D:$D,基础资料!$A:C,3,0)</f>
        <v>蓝卡-虞美人盛开的山坡  1BD+1DVD</v>
      </c>
      <c r="G41" s="26" t="str">
        <f>VLOOKUP($D:$D,基础资料!$A:D,4,0)</f>
        <v>2</v>
      </c>
      <c r="H41" s="26" t="str">
        <f>VLOOKUP($D:$D,基础资料!$A:E,5,0)</f>
        <v>套</v>
      </c>
      <c r="I41" s="26" t="str">
        <f>VLOOKUP($D:$D,基础资料!$A:F,6,0)</f>
        <v>蓝光卡通</v>
      </c>
      <c r="J41" s="14"/>
      <c r="K41" s="14"/>
      <c r="L41" s="14">
        <v>86</v>
      </c>
      <c r="M41" s="26">
        <f>SUMIF($D:$D,D41,$L:$L)+SUMIF($D:$D,D41,$J:$J)-SUMIF($D:$D,D41,$K:$K)</f>
        <v>86</v>
      </c>
      <c r="N41" s="26">
        <f>VLOOKUP(D:D,结存!A:J,10,0)</f>
        <v>86</v>
      </c>
      <c r="O41" s="26">
        <f>M41 - N41</f>
        <v>0</v>
      </c>
    </row>
    <row r="42" spans="1:15" ht="15.6">
      <c r="A42" s="15"/>
      <c r="B42" s="17"/>
      <c r="C42" s="17"/>
      <c r="D42" s="20">
        <v>625</v>
      </c>
      <c r="E42" s="26" t="str">
        <f>VLOOKUP($D:$D,基础资料!$A:B,2,0)</f>
        <v>07030002</v>
      </c>
      <c r="F42" s="26" t="str">
        <f>VLOOKUP($D:$D,基础资料!$A:C,3,0)</f>
        <v>蓝卡-辉夜姬物语  1BD+2DVD</v>
      </c>
      <c r="G42" s="26" t="str">
        <f>VLOOKUP($D:$D,基础资料!$A:D,4,0)</f>
        <v>3</v>
      </c>
      <c r="H42" s="26" t="str">
        <f>VLOOKUP($D:$D,基础资料!$A:E,5,0)</f>
        <v>套</v>
      </c>
      <c r="I42" s="26" t="str">
        <f>VLOOKUP($D:$D,基础资料!$A:F,6,0)</f>
        <v>蓝光卡通</v>
      </c>
      <c r="J42" s="14"/>
      <c r="K42" s="14"/>
      <c r="L42" s="14">
        <v>84</v>
      </c>
      <c r="M42" s="26">
        <f>SUMIF($D:$D,D42,$L:$L)+SUMIF($D:$D,D42,$J:$J)-SUMIF($D:$D,D42,$K:$K)</f>
        <v>84</v>
      </c>
      <c r="N42" s="26">
        <f>VLOOKUP(D:D,结存!A:J,10,0)</f>
        <v>84</v>
      </c>
      <c r="O42" s="26">
        <f>M42 - N42</f>
        <v>0</v>
      </c>
    </row>
    <row r="43" spans="1:15" ht="15.6">
      <c r="A43" s="15"/>
      <c r="B43" s="17"/>
      <c r="C43" s="17"/>
      <c r="D43" s="20">
        <v>627</v>
      </c>
      <c r="E43" s="26" t="str">
        <f>VLOOKUP($D:$D,基础资料!$A:B,2,0)</f>
        <v>07030003</v>
      </c>
      <c r="F43" s="26" t="str">
        <f>VLOOKUP($D:$D,基础资料!$A:C,3,0)</f>
        <v>蓝卡-海洋之歌1BD+1DVD</v>
      </c>
      <c r="G43" s="26" t="str">
        <f>VLOOKUP($D:$D,基础资料!$A:D,4,0)</f>
        <v>2</v>
      </c>
      <c r="H43" s="26" t="str">
        <f>VLOOKUP($D:$D,基础资料!$A:E,5,0)</f>
        <v>套</v>
      </c>
      <c r="I43" s="26" t="str">
        <f>VLOOKUP($D:$D,基础资料!$A:F,6,0)</f>
        <v>蓝光卡通</v>
      </c>
      <c r="J43" s="14"/>
      <c r="K43" s="14"/>
      <c r="L43" s="14">
        <v>85</v>
      </c>
      <c r="M43" s="26">
        <f>SUMIF($D:$D,D43,$L:$L)+SUMIF($D:$D,D43,$J:$J)-SUMIF($D:$D,D43,$K:$K)</f>
        <v>85</v>
      </c>
      <c r="N43" s="26">
        <f>VLOOKUP(D:D,结存!A:J,10,0)</f>
        <v>85</v>
      </c>
      <c r="O43" s="26">
        <f>M43 - N43</f>
        <v>0</v>
      </c>
    </row>
    <row r="44" spans="1:15" ht="15.6">
      <c r="A44" s="15"/>
      <c r="B44" s="17"/>
      <c r="C44" s="17"/>
      <c r="D44" s="20">
        <v>628</v>
      </c>
      <c r="E44" s="26" t="str">
        <f>VLOOKUP($D:$D,基础资料!$A:B,2,0)</f>
        <v>07030004</v>
      </c>
      <c r="F44" s="26" t="str">
        <f>VLOOKUP($D:$D,基础资料!$A:C,3,0)</f>
        <v>蓝卡-怪物之子 1BD+1DVD</v>
      </c>
      <c r="G44" s="26" t="str">
        <f>VLOOKUP($D:$D,基础资料!$A:D,4,0)</f>
        <v>2</v>
      </c>
      <c r="H44" s="26" t="str">
        <f>VLOOKUP($D:$D,基础资料!$A:E,5,0)</f>
        <v>套</v>
      </c>
      <c r="I44" s="26" t="str">
        <f>VLOOKUP($D:$D,基础资料!$A:F,6,0)</f>
        <v>蓝光卡通</v>
      </c>
      <c r="J44" s="14"/>
      <c r="K44" s="14"/>
      <c r="L44" s="14">
        <v>98</v>
      </c>
      <c r="M44" s="26">
        <f>SUMIF($D:$D,D44,$L:$L)+SUMIF($D:$D,D44,$J:$J)-SUMIF($D:$D,D44,$K:$K)</f>
        <v>98</v>
      </c>
      <c r="N44" s="26">
        <f>VLOOKUP(D:D,结存!A:J,10,0)</f>
        <v>98</v>
      </c>
      <c r="O44" s="26">
        <f>M44 - N44</f>
        <v>0</v>
      </c>
    </row>
    <row r="45" spans="1:15" ht="15.6">
      <c r="A45" s="15"/>
      <c r="B45" s="17"/>
      <c r="C45" s="17"/>
      <c r="D45" s="20">
        <v>630</v>
      </c>
      <c r="E45" s="26" t="str">
        <f>VLOOKUP($D:$D,基础资料!$A:B,2,0)</f>
        <v>07030006</v>
      </c>
      <c r="F45" s="26" t="str">
        <f>VLOOKUP($D:$D,基础资料!$A:C,3,0)</f>
        <v>蓝卡-非凡的世界  1BD+1DVD</v>
      </c>
      <c r="G45" s="26" t="str">
        <f>VLOOKUP($D:$D,基础资料!$A:D,4,0)</f>
        <v>2</v>
      </c>
      <c r="H45" s="26" t="str">
        <f>VLOOKUP($D:$D,基础资料!$A:E,5,0)</f>
        <v>套</v>
      </c>
      <c r="I45" s="26" t="str">
        <f>VLOOKUP($D:$D,基础资料!$A:F,6,0)</f>
        <v>蓝光卡通</v>
      </c>
      <c r="J45" s="14"/>
      <c r="K45" s="14"/>
      <c r="L45" s="14">
        <v>86</v>
      </c>
      <c r="M45" s="26">
        <f>SUMIF($D:$D,D45,$L:$L)+SUMIF($D:$D,D45,$J:$J)-SUMIF($D:$D,D45,$K:$K)</f>
        <v>86</v>
      </c>
      <c r="N45" s="26">
        <f>VLOOKUP(D:D,结存!A:J,10,0)</f>
        <v>86</v>
      </c>
      <c r="O45" s="26">
        <f>M45 - N45</f>
        <v>0</v>
      </c>
    </row>
    <row r="46" spans="1:15" ht="15.6">
      <c r="A46" s="15"/>
      <c r="B46" s="17"/>
      <c r="C46" s="17"/>
      <c r="D46" s="20">
        <v>632</v>
      </c>
      <c r="E46" s="26" t="str">
        <f>VLOOKUP($D:$D,基础资料!$A:B,2,0)</f>
        <v>07030008</v>
      </c>
      <c r="F46" s="26" t="str">
        <f>VLOOKUP($D:$D,基础资料!$A:C,3,0)</f>
        <v>蓝卡-夏日大作战  1BD+2DVD</v>
      </c>
      <c r="G46" s="26" t="str">
        <f>VLOOKUP($D:$D,基础资料!$A:D,4,0)</f>
        <v>3</v>
      </c>
      <c r="H46" s="26" t="str">
        <f>VLOOKUP($D:$D,基础资料!$A:E,5,0)</f>
        <v>套</v>
      </c>
      <c r="I46" s="26" t="str">
        <f>VLOOKUP($D:$D,基础资料!$A:F,6,0)</f>
        <v>蓝光卡通</v>
      </c>
      <c r="J46" s="14"/>
      <c r="K46" s="14"/>
      <c r="L46" s="14">
        <v>88</v>
      </c>
      <c r="M46" s="26">
        <f>SUMIF($D:$D,D46,$L:$L)+SUMIF($D:$D,D46,$J:$J)-SUMIF($D:$D,D46,$K:$K)</f>
        <v>88</v>
      </c>
      <c r="N46" s="26">
        <f>VLOOKUP(D:D,结存!A:J,10,0)</f>
        <v>88</v>
      </c>
      <c r="O46" s="26">
        <f>M46 - N46</f>
        <v>0</v>
      </c>
    </row>
    <row r="47" spans="1:15" ht="15.6">
      <c r="A47" s="15"/>
      <c r="B47" s="17"/>
      <c r="C47" s="17"/>
      <c r="D47" s="20">
        <v>633</v>
      </c>
      <c r="E47" s="26" t="str">
        <f>VLOOKUP($D:$D,基础资料!$A:B,2,0)</f>
        <v>07030009</v>
      </c>
      <c r="F47" s="26" t="str">
        <f>VLOOKUP($D:$D,基础资料!$A:C,3,0)</f>
        <v>蓝卡-星际牛仔  4BD</v>
      </c>
      <c r="G47" s="26" t="str">
        <f>VLOOKUP($D:$D,基础资料!$A:D,4,0)</f>
        <v>4</v>
      </c>
      <c r="H47" s="26" t="str">
        <f>VLOOKUP($D:$D,基础资料!$A:E,5,0)</f>
        <v>套</v>
      </c>
      <c r="I47" s="26" t="str">
        <f>VLOOKUP($D:$D,基础资料!$A:F,6,0)</f>
        <v>蓝光卡通</v>
      </c>
      <c r="J47" s="14"/>
      <c r="K47" s="14"/>
      <c r="L47" s="14">
        <v>19</v>
      </c>
      <c r="M47" s="26">
        <f>SUMIF($D:$D,D47,$L:$L)+SUMIF($D:$D,D47,$J:$J)-SUMIF($D:$D,D47,$K:$K)</f>
        <v>9</v>
      </c>
      <c r="N47" s="26">
        <f>VLOOKUP(D:D,结存!A:J,10,0)</f>
        <v>9</v>
      </c>
      <c r="O47" s="26">
        <f>M47 - N47</f>
        <v>0</v>
      </c>
    </row>
    <row r="48" spans="1:15" ht="15.6">
      <c r="A48" s="15"/>
      <c r="B48" s="17"/>
      <c r="C48" s="17"/>
      <c r="D48" s="20">
        <v>634</v>
      </c>
      <c r="E48" s="26" t="str">
        <f>VLOOKUP($D:$D,基础资料!$A:B,2,0)</f>
        <v>07030010</v>
      </c>
      <c r="F48" s="26" t="str">
        <f>VLOOKUP($D:$D,基础资料!$A:C,3,0)</f>
        <v>蓝卡-言叶之庭 1BD</v>
      </c>
      <c r="G48" s="26" t="str">
        <f>VLOOKUP($D:$D,基础资料!$A:D,4,0)</f>
        <v>1</v>
      </c>
      <c r="H48" s="26" t="str">
        <f>VLOOKUP($D:$D,基础资料!$A:E,5,0)</f>
        <v>套</v>
      </c>
      <c r="I48" s="26" t="str">
        <f>VLOOKUP($D:$D,基础资料!$A:F,6,0)</f>
        <v>蓝光卡通</v>
      </c>
      <c r="J48" s="14"/>
      <c r="K48" s="14"/>
      <c r="L48" s="14">
        <v>78</v>
      </c>
      <c r="M48" s="26">
        <f>SUMIF($D:$D,D48,$L:$L)+SUMIF($D:$D,D48,$J:$J)-SUMIF($D:$D,D48,$K:$K)</f>
        <v>78</v>
      </c>
      <c r="N48" s="26">
        <f>VLOOKUP(D:D,结存!A:J,10,0)</f>
        <v>78</v>
      </c>
      <c r="O48" s="26">
        <f>M48 - N48</f>
        <v>0</v>
      </c>
    </row>
    <row r="49" spans="1:15" ht="15.6">
      <c r="A49" s="15"/>
      <c r="B49" s="17"/>
      <c r="C49" s="17"/>
      <c r="D49" s="20">
        <v>636</v>
      </c>
      <c r="E49" s="26" t="str">
        <f>VLOOKUP($D:$D,基础资料!$A:B,2,0)</f>
        <v>0704000001</v>
      </c>
      <c r="F49" s="26" t="str">
        <f>VLOOKUP($D:$D,基础资料!$A:C,3,0)</f>
        <v>S-内识心理学</v>
      </c>
      <c r="G49" s="26" t="str">
        <f>VLOOKUP($D:$D,基础资料!$A:D,4,0)</f>
        <v>\</v>
      </c>
      <c r="H49" s="26" t="str">
        <f>VLOOKUP($D:$D,基础资料!$A:E,5,0)</f>
        <v>本</v>
      </c>
      <c r="I49" s="26" t="str">
        <f>VLOOKUP($D:$D,基础资料!$A:F,6,0)</f>
        <v>书本</v>
      </c>
      <c r="J49" s="14"/>
      <c r="K49" s="14"/>
      <c r="L49" s="14">
        <v>979</v>
      </c>
      <c r="M49" s="26">
        <f>SUMIF($D:$D,D49,$L:$L)+SUMIF($D:$D,D49,$J:$J)-SUMIF($D:$D,D49,$K:$K)</f>
        <v>656</v>
      </c>
      <c r="N49" s="26">
        <f>VLOOKUP(D:D,结存!A:J,10,0)</f>
        <v>656</v>
      </c>
      <c r="O49" s="26">
        <f>M49 - N49</f>
        <v>0</v>
      </c>
    </row>
    <row r="50" spans="1:15" ht="15.6">
      <c r="A50" s="15"/>
      <c r="B50" s="17"/>
      <c r="C50" s="17"/>
      <c r="D50" s="20">
        <v>637</v>
      </c>
      <c r="E50" s="26" t="str">
        <f>VLOOKUP($D:$D,基础资料!$A:B,2,0)</f>
        <v>0704000002</v>
      </c>
      <c r="F50" s="26" t="str">
        <f>VLOOKUP($D:$D,基础资料!$A:C,3,0)</f>
        <v>S-项目评价</v>
      </c>
      <c r="G50" s="26" t="str">
        <f>VLOOKUP($D:$D,基础资料!$A:D,4,0)</f>
        <v>\</v>
      </c>
      <c r="H50" s="26" t="str">
        <f>VLOOKUP($D:$D,基础资料!$A:E,5,0)</f>
        <v>本</v>
      </c>
      <c r="I50" s="26" t="str">
        <f>VLOOKUP($D:$D,基础资料!$A:F,6,0)</f>
        <v>书本</v>
      </c>
      <c r="J50" s="14"/>
      <c r="K50" s="14"/>
      <c r="L50" s="14">
        <v>45</v>
      </c>
      <c r="M50" s="26">
        <f>SUMIF($D:$D,D50,$L:$L)+SUMIF($D:$D,D50,$J:$J)-SUMIF($D:$D,D50,$K:$K)</f>
        <v>1877</v>
      </c>
      <c r="N50" s="26">
        <f>VLOOKUP(D:D,结存!A:J,10,0)</f>
        <v>1877</v>
      </c>
      <c r="O50" s="26">
        <f>M50 - N50</f>
        <v>0</v>
      </c>
    </row>
    <row r="51" spans="1:15" ht="15.6">
      <c r="A51" s="15"/>
      <c r="B51" s="17"/>
      <c r="C51" s="17"/>
      <c r="D51" s="20">
        <v>638</v>
      </c>
      <c r="E51" s="26" t="str">
        <f>VLOOKUP($D:$D,基础资料!$A:B,2,0)</f>
        <v>0704000003</v>
      </c>
      <c r="F51" s="26" t="str">
        <f>VLOOKUP($D:$D,基础资料!$A:C,3,0)</f>
        <v>S-人格理论</v>
      </c>
      <c r="G51" s="26" t="str">
        <f>VLOOKUP($D:$D,基础资料!$A:D,4,0)</f>
        <v>\</v>
      </c>
      <c r="H51" s="26" t="str">
        <f>VLOOKUP($D:$D,基础资料!$A:E,5,0)</f>
        <v>本</v>
      </c>
      <c r="I51" s="26" t="str">
        <f>VLOOKUP($D:$D,基础资料!$A:F,6,0)</f>
        <v>书本</v>
      </c>
      <c r="J51" s="14"/>
      <c r="K51" s="14"/>
      <c r="L51" s="14">
        <v>586</v>
      </c>
      <c r="M51" s="26">
        <f>SUMIF($D:$D,D51,$L:$L)+SUMIF($D:$D,D51,$J:$J)-SUMIF($D:$D,D51,$K:$K)</f>
        <v>523</v>
      </c>
      <c r="N51" s="26">
        <f>VLOOKUP(D:D,结存!A:J,10,0)</f>
        <v>523</v>
      </c>
      <c r="O51" s="26">
        <f>M51 - N51</f>
        <v>0</v>
      </c>
    </row>
    <row r="52" spans="1:15" ht="15.6">
      <c r="A52" s="15"/>
      <c r="B52" s="17"/>
      <c r="C52" s="17"/>
      <c r="D52" s="20">
        <v>639</v>
      </c>
      <c r="E52" s="26" t="str">
        <f>VLOOKUP($D:$D,基础资料!$A:B,2,0)</f>
        <v>0704000004</v>
      </c>
      <c r="F52" s="26" t="str">
        <f>VLOOKUP($D:$D,基础资料!$A:C,3,0)</f>
        <v>S-电器查询</v>
      </c>
      <c r="G52" s="26" t="str">
        <f>VLOOKUP($D:$D,基础资料!$A:D,4,0)</f>
        <v>\</v>
      </c>
      <c r="H52" s="26" t="str">
        <f>VLOOKUP($D:$D,基础资料!$A:E,5,0)</f>
        <v>本</v>
      </c>
      <c r="I52" s="26" t="str">
        <f>VLOOKUP($D:$D,基础资料!$A:F,6,0)</f>
        <v>书本</v>
      </c>
      <c r="J52" s="14"/>
      <c r="K52" s="14"/>
      <c r="L52" s="14">
        <v>258</v>
      </c>
      <c r="M52" s="26">
        <f>SUMIF($D:$D,D52,$L:$L)+SUMIF($D:$D,D52,$J:$J)-SUMIF($D:$D,D52,$K:$K)</f>
        <v>223</v>
      </c>
      <c r="N52" s="26">
        <f>VLOOKUP(D:D,结存!A:J,10,0)</f>
        <v>223</v>
      </c>
      <c r="O52" s="26">
        <f>M52 - N52</f>
        <v>0</v>
      </c>
    </row>
    <row r="53" spans="1:15" ht="15.6">
      <c r="A53" s="15"/>
      <c r="B53" s="17"/>
      <c r="C53" s="17"/>
      <c r="D53" s="20">
        <v>640</v>
      </c>
      <c r="E53" s="26" t="str">
        <f>VLOOKUP($D:$D,基础资料!$A:B,2,0)</f>
        <v>0704000035</v>
      </c>
      <c r="F53" s="26" t="str">
        <f>VLOOKUP($D:$D,基础资料!$A:C,3,0)</f>
        <v>S-商业：一个不断变化的世界</v>
      </c>
      <c r="G53" s="26" t="str">
        <f>VLOOKUP($D:$D,基础资料!$A:D,4,0)</f>
        <v>\</v>
      </c>
      <c r="H53" s="26" t="str">
        <f>VLOOKUP($D:$D,基础资料!$A:E,5,0)</f>
        <v>本</v>
      </c>
      <c r="I53" s="26" t="str">
        <f>VLOOKUP($D:$D,基础资料!$A:F,6,0)</f>
        <v>书本</v>
      </c>
      <c r="J53" s="14"/>
      <c r="K53" s="14"/>
      <c r="L53" s="14">
        <v>527</v>
      </c>
      <c r="M53" s="26">
        <f>SUMIF($D:$D,D53,$L:$L)+SUMIF($D:$D,D53,$J:$J)-SUMIF($D:$D,D53,$K:$K)</f>
        <v>474</v>
      </c>
      <c r="N53" s="26">
        <f>VLOOKUP(D:D,结存!A:J,10,0)</f>
        <v>474</v>
      </c>
      <c r="O53" s="26">
        <f>M53 - N53</f>
        <v>0</v>
      </c>
    </row>
    <row r="54" spans="1:15" ht="15.6">
      <c r="A54" s="15"/>
      <c r="B54" s="17"/>
      <c r="C54" s="17"/>
      <c r="D54" s="20">
        <v>641</v>
      </c>
      <c r="E54" s="26" t="str">
        <f>VLOOKUP($D:$D,基础资料!$A:B,2,0)</f>
        <v>0704000036</v>
      </c>
      <c r="F54" s="26" t="str">
        <f>VLOOKUP($D:$D,基础资料!$A:C,3,0)</f>
        <v>S-我们的人民</v>
      </c>
      <c r="G54" s="26" t="str">
        <f>VLOOKUP($D:$D,基础资料!$A:D,4,0)</f>
        <v>\</v>
      </c>
      <c r="H54" s="26" t="str">
        <f>VLOOKUP($D:$D,基础资料!$A:E,5,0)</f>
        <v>本</v>
      </c>
      <c r="I54" s="26" t="str">
        <f>VLOOKUP($D:$D,基础资料!$A:F,6,0)</f>
        <v>书本</v>
      </c>
      <c r="J54" s="14"/>
      <c r="K54" s="14"/>
      <c r="L54" s="14">
        <v>2745</v>
      </c>
      <c r="M54" s="26">
        <f>SUMIF($D:$D,D54,$L:$L)+SUMIF($D:$D,D54,$J:$J)-SUMIF($D:$D,D54,$K:$K)</f>
        <v>2685</v>
      </c>
      <c r="N54" s="26">
        <f>VLOOKUP(D:D,结存!A:J,10,0)</f>
        <v>2685</v>
      </c>
      <c r="O54" s="26">
        <f>M54 - N54</f>
        <v>0</v>
      </c>
    </row>
    <row r="55" spans="1:15" ht="15.6">
      <c r="A55" s="15"/>
      <c r="B55" s="17"/>
      <c r="C55" s="17"/>
      <c r="D55" s="20">
        <v>642</v>
      </c>
      <c r="E55" s="26" t="str">
        <f>VLOOKUP($D:$D,基础资料!$A:B,2,0)</f>
        <v>07040001</v>
      </c>
      <c r="F55" s="26" t="str">
        <f>VLOOKUP($D:$D,基础资料!$A:C,3,0)</f>
        <v>S-恐怖故事（3本一套）</v>
      </c>
      <c r="G55" s="26" t="str">
        <f>VLOOKUP($D:$D,基础资料!$A:D,4,0)</f>
        <v>\</v>
      </c>
      <c r="H55" s="26" t="str">
        <f>VLOOKUP($D:$D,基础资料!$A:E,5,0)</f>
        <v>套</v>
      </c>
      <c r="I55" s="26" t="str">
        <f>VLOOKUP($D:$D,基础资料!$A:F,6,0)</f>
        <v>书本</v>
      </c>
      <c r="J55" s="14"/>
      <c r="K55" s="14"/>
      <c r="L55" s="14">
        <v>91</v>
      </c>
      <c r="M55" s="26">
        <f>SUMIF($D:$D,D55,$L:$L)+SUMIF($D:$D,D55,$J:$J)-SUMIF($D:$D,D55,$K:$K)</f>
        <v>35</v>
      </c>
      <c r="N55" s="26">
        <f>VLOOKUP(D:D,结存!A:J,10,0)</f>
        <v>35</v>
      </c>
      <c r="O55" s="26">
        <f>M55 - N55</f>
        <v>0</v>
      </c>
    </row>
    <row r="56" spans="1:15" ht="15.6">
      <c r="A56" s="15"/>
      <c r="B56" s="17"/>
      <c r="C56" s="17"/>
      <c r="D56" s="20">
        <v>643</v>
      </c>
      <c r="E56" s="26" t="str">
        <f>VLOOKUP($D:$D,基础资料!$A:B,2,0)</f>
        <v>07040002</v>
      </c>
      <c r="F56" s="26" t="str">
        <f>VLOOKUP($D:$D,基础资料!$A:C,3,0)</f>
        <v>S-定量技术分析</v>
      </c>
      <c r="G56" s="26" t="str">
        <f>VLOOKUP($D:$D,基础资料!$A:D,4,0)</f>
        <v>\</v>
      </c>
      <c r="H56" s="26" t="str">
        <f>VLOOKUP($D:$D,基础资料!$A:E,5,0)</f>
        <v>本</v>
      </c>
      <c r="I56" s="26" t="str">
        <f>VLOOKUP($D:$D,基础资料!$A:F,6,0)</f>
        <v>书本</v>
      </c>
      <c r="J56" s="14"/>
      <c r="K56" s="14"/>
      <c r="L56" s="14">
        <v>570</v>
      </c>
      <c r="M56" s="26">
        <f>SUMIF($D:$D,D56,$L:$L)+SUMIF($D:$D,D56,$J:$J)-SUMIF($D:$D,D56,$K:$K)</f>
        <v>570</v>
      </c>
      <c r="N56" s="26">
        <f>VLOOKUP(D:D,结存!A:J,10,0)</f>
        <v>570</v>
      </c>
      <c r="O56" s="26">
        <f>M56 - N56</f>
        <v>0</v>
      </c>
    </row>
    <row r="57" spans="1:15" ht="15.6">
      <c r="A57" s="15"/>
      <c r="B57" s="17"/>
      <c r="C57" s="17"/>
      <c r="D57" s="20">
        <v>644</v>
      </c>
      <c r="E57" s="26" t="str">
        <f>VLOOKUP($D:$D,基础资料!$A:B,2,0)</f>
        <v>0704000293</v>
      </c>
      <c r="F57" s="26" t="str">
        <f>VLOOKUP($D:$D,基础资料!$A:C,3,0)</f>
        <v>S-环境经济学</v>
      </c>
      <c r="G57" s="26" t="str">
        <f>VLOOKUP($D:$D,基础资料!$A:D,4,0)</f>
        <v>\</v>
      </c>
      <c r="H57" s="26" t="str">
        <f>VLOOKUP($D:$D,基础资料!$A:E,5,0)</f>
        <v>本</v>
      </c>
      <c r="I57" s="26" t="str">
        <f>VLOOKUP($D:$D,基础资料!$A:F,6,0)</f>
        <v>书本</v>
      </c>
      <c r="J57" s="14"/>
      <c r="K57" s="14"/>
      <c r="L57" s="14">
        <v>555</v>
      </c>
      <c r="M57" s="26">
        <f>SUMIF($D:$D,D57,$L:$L)+SUMIF($D:$D,D57,$J:$J)-SUMIF($D:$D,D57,$K:$K)</f>
        <v>419</v>
      </c>
      <c r="N57" s="26">
        <f>VLOOKUP(D:D,结存!A:J,10,0)</f>
        <v>419</v>
      </c>
      <c r="O57" s="26">
        <f>M57 - N57</f>
        <v>0</v>
      </c>
    </row>
    <row r="58" spans="1:15" ht="15.6">
      <c r="A58" s="15"/>
      <c r="B58" s="17"/>
      <c r="C58" s="17"/>
      <c r="D58" s="20">
        <v>645</v>
      </c>
      <c r="E58" s="26" t="str">
        <f>VLOOKUP($D:$D,基础资料!$A:B,2,0)</f>
        <v>07040003</v>
      </c>
      <c r="F58" s="26" t="str">
        <f>VLOOKUP($D:$D,基础资料!$A:C,3,0)</f>
        <v>S-公共演讲的艺术</v>
      </c>
      <c r="G58" s="26" t="str">
        <f>VLOOKUP($D:$D,基础资料!$A:D,4,0)</f>
        <v>\</v>
      </c>
      <c r="H58" s="26" t="str">
        <f>VLOOKUP($D:$D,基础资料!$A:E,5,0)</f>
        <v>本</v>
      </c>
      <c r="I58" s="26" t="str">
        <f>VLOOKUP($D:$D,基础资料!$A:F,6,0)</f>
        <v>书本</v>
      </c>
      <c r="J58" s="14"/>
      <c r="K58" s="14"/>
      <c r="L58" s="14">
        <v>1461</v>
      </c>
      <c r="M58" s="26">
        <f>SUMIF($D:$D,D58,$L:$L)+SUMIF($D:$D,D58,$J:$J)-SUMIF($D:$D,D58,$K:$K)</f>
        <v>1403</v>
      </c>
      <c r="N58" s="26">
        <f>VLOOKUP(D:D,结存!A:J,10,0)</f>
        <v>1403</v>
      </c>
      <c r="O58" s="26">
        <f>M58 - N58</f>
        <v>0</v>
      </c>
    </row>
    <row r="59" spans="1:15" ht="15.6">
      <c r="A59" s="15"/>
      <c r="B59" s="17"/>
      <c r="C59" s="17"/>
      <c r="D59" s="20">
        <v>646</v>
      </c>
      <c r="E59" s="26" t="str">
        <f>VLOOKUP($D:$D,基础资料!$A:B,2,0)</f>
        <v>07040004</v>
      </c>
      <c r="F59" s="26" t="str">
        <f>VLOOKUP($D:$D,基础资料!$A:C,3,0)</f>
        <v>S-媒体伦理</v>
      </c>
      <c r="G59" s="26" t="str">
        <f>VLOOKUP($D:$D,基础资料!$A:D,4,0)</f>
        <v>\</v>
      </c>
      <c r="H59" s="26" t="str">
        <f>VLOOKUP($D:$D,基础资料!$A:E,5,0)</f>
        <v>本</v>
      </c>
      <c r="I59" s="26" t="str">
        <f>VLOOKUP($D:$D,基础资料!$A:F,6,0)</f>
        <v>书本</v>
      </c>
      <c r="J59" s="14"/>
      <c r="K59" s="14"/>
      <c r="L59" s="14">
        <v>619</v>
      </c>
      <c r="M59" s="26">
        <f>SUMIF($D:$D,D59,$L:$L)+SUMIF($D:$D,D59,$J:$J)-SUMIF($D:$D,D59,$K:$K)</f>
        <v>619</v>
      </c>
      <c r="N59" s="26">
        <f>VLOOKUP(D:D,结存!A:J,10,0)</f>
        <v>619</v>
      </c>
      <c r="O59" s="26">
        <f>M59 - N59</f>
        <v>0</v>
      </c>
    </row>
    <row r="60" spans="1:15" ht="15.6">
      <c r="A60" s="15"/>
      <c r="B60" s="17"/>
      <c r="C60" s="17"/>
      <c r="D60" s="20">
        <v>647</v>
      </c>
      <c r="E60" s="26" t="str">
        <f>VLOOKUP($D:$D,基础资料!$A:B,2,0)</f>
        <v>07040005</v>
      </c>
      <c r="F60" s="26" t="str">
        <f>VLOOKUP($D:$D,基础资料!$A:C,3,0)</f>
        <v>S-有效的小组讨论</v>
      </c>
      <c r="G60" s="26" t="str">
        <f>VLOOKUP($D:$D,基础资料!$A:D,4,0)</f>
        <v>\</v>
      </c>
      <c r="H60" s="26" t="str">
        <f>VLOOKUP($D:$D,基础资料!$A:E,5,0)</f>
        <v>本</v>
      </c>
      <c r="I60" s="26" t="str">
        <f>VLOOKUP($D:$D,基础资料!$A:F,6,0)</f>
        <v>书本</v>
      </c>
      <c r="J60" s="14"/>
      <c r="K60" s="14"/>
      <c r="L60" s="14">
        <v>382</v>
      </c>
      <c r="M60" s="26">
        <f>SUMIF($D:$D,D60,$L:$L)+SUMIF($D:$D,D60,$J:$J)-SUMIF($D:$D,D60,$K:$K)</f>
        <v>382</v>
      </c>
      <c r="N60" s="26">
        <f>VLOOKUP(D:D,结存!A:J,10,0)</f>
        <v>382</v>
      </c>
      <c r="O60" s="26">
        <f>M60 - N60</f>
        <v>0</v>
      </c>
    </row>
    <row r="61" spans="1:15" ht="15.6">
      <c r="A61" s="15"/>
      <c r="B61" s="17"/>
      <c r="C61" s="17"/>
      <c r="D61" s="20">
        <v>648</v>
      </c>
      <c r="E61" s="26" t="str">
        <f>VLOOKUP($D:$D,基础资料!$A:B,2,0)</f>
        <v>07040006</v>
      </c>
      <c r="F61" s="26" t="str">
        <f>VLOOKUP($D:$D,基础资料!$A:C,3,0)</f>
        <v>S-大众传媒法</v>
      </c>
      <c r="G61" s="26" t="str">
        <f>VLOOKUP($D:$D,基础资料!$A:D,4,0)</f>
        <v>\</v>
      </c>
      <c r="H61" s="26" t="str">
        <f>VLOOKUP($D:$D,基础资料!$A:E,5,0)</f>
        <v>本</v>
      </c>
      <c r="I61" s="26" t="str">
        <f>VLOOKUP($D:$D,基础资料!$A:F,6,0)</f>
        <v>书本</v>
      </c>
      <c r="J61" s="14"/>
      <c r="K61" s="14"/>
      <c r="L61" s="14">
        <v>94</v>
      </c>
      <c r="M61" s="26">
        <f>SUMIF($D:$D,D61,$L:$L)+SUMIF($D:$D,D61,$J:$J)-SUMIF($D:$D,D61,$K:$K)</f>
        <v>19</v>
      </c>
      <c r="N61" s="26">
        <f>VLOOKUP(D:D,结存!A:J,10,0)</f>
        <v>19</v>
      </c>
      <c r="O61" s="26">
        <f>M61 - N61</f>
        <v>0</v>
      </c>
    </row>
    <row r="62" spans="1:15" ht="15.6">
      <c r="A62" s="15"/>
      <c r="B62" s="17"/>
      <c r="C62" s="17"/>
      <c r="D62" s="20">
        <v>649</v>
      </c>
      <c r="E62" s="26" t="str">
        <f>VLOOKUP($D:$D,基础资料!$A:B,2,0)</f>
        <v>07040007</v>
      </c>
      <c r="F62" s="26" t="str">
        <f>VLOOKUP($D:$D,基础资料!$A:C,3,0)</f>
        <v>S-行为研究方法</v>
      </c>
      <c r="G62" s="26" t="str">
        <f>VLOOKUP($D:$D,基础资料!$A:D,4,0)</f>
        <v>\</v>
      </c>
      <c r="H62" s="26" t="str">
        <f>VLOOKUP($D:$D,基础资料!$A:E,5,0)</f>
        <v>本</v>
      </c>
      <c r="I62" s="26" t="str">
        <f>VLOOKUP($D:$D,基础资料!$A:F,6,0)</f>
        <v>书本</v>
      </c>
      <c r="J62" s="14"/>
      <c r="K62" s="14"/>
      <c r="L62" s="14">
        <v>4620</v>
      </c>
      <c r="M62" s="26">
        <f>SUMIF($D:$D,D62,$L:$L)+SUMIF($D:$D,D62,$J:$J)-SUMIF($D:$D,D62,$K:$K)</f>
        <v>4577</v>
      </c>
      <c r="N62" s="26">
        <f>VLOOKUP(D:D,结存!A:J,10,0)</f>
        <v>4577</v>
      </c>
      <c r="O62" s="26">
        <f>M62 - N62</f>
        <v>0</v>
      </c>
    </row>
    <row r="63" spans="1:15" ht="15.6">
      <c r="A63" s="15"/>
      <c r="B63" s="17"/>
      <c r="C63" s="17"/>
      <c r="D63" s="20">
        <v>650</v>
      </c>
      <c r="E63" s="26" t="str">
        <f>VLOOKUP($D:$D,基础资料!$A:B,2,0)</f>
        <v>07040008</v>
      </c>
      <c r="F63" s="26" t="str">
        <f>VLOOKUP($D:$D,基础资料!$A:C,3,0)</f>
        <v>S-谈判精要</v>
      </c>
      <c r="G63" s="26" t="str">
        <f>VLOOKUP($D:$D,基础资料!$A:D,4,0)</f>
        <v>\</v>
      </c>
      <c r="H63" s="26" t="str">
        <f>VLOOKUP($D:$D,基础资料!$A:E,5,0)</f>
        <v>本</v>
      </c>
      <c r="I63" s="26" t="str">
        <f>VLOOKUP($D:$D,基础资料!$A:F,6,0)</f>
        <v>书本</v>
      </c>
      <c r="J63" s="14"/>
      <c r="K63" s="14"/>
      <c r="L63" s="14">
        <v>678</v>
      </c>
      <c r="M63" s="26">
        <f>SUMIF($D:$D,D63,$L:$L)+SUMIF($D:$D,D63,$J:$J)-SUMIF($D:$D,D63,$K:$K)</f>
        <v>538</v>
      </c>
      <c r="N63" s="26">
        <f>VLOOKUP(D:D,结存!A:J,10,0)</f>
        <v>538</v>
      </c>
      <c r="O63" s="26">
        <f>M63 - N63</f>
        <v>0</v>
      </c>
    </row>
    <row r="64" spans="1:15" ht="15.6">
      <c r="A64" s="15"/>
      <c r="B64" s="17"/>
      <c r="C64" s="17"/>
      <c r="D64" s="20">
        <v>651</v>
      </c>
      <c r="E64" s="26" t="str">
        <f>VLOOKUP($D:$D,基础资料!$A:B,2,0)</f>
        <v>07040009</v>
      </c>
      <c r="F64" s="26" t="str">
        <f>VLOOKUP($D:$D,基础资料!$A:C,3,0)</f>
        <v>S-合作、协商和团队合作</v>
      </c>
      <c r="G64" s="26" t="str">
        <f>VLOOKUP($D:$D,基础资料!$A:D,4,0)</f>
        <v>\</v>
      </c>
      <c r="H64" s="26" t="str">
        <f>VLOOKUP($D:$D,基础资料!$A:E,5,0)</f>
        <v>本</v>
      </c>
      <c r="I64" s="26" t="str">
        <f>VLOOKUP($D:$D,基础资料!$A:F,6,0)</f>
        <v>书本</v>
      </c>
      <c r="J64" s="14"/>
      <c r="K64" s="14"/>
      <c r="L64" s="14">
        <v>314</v>
      </c>
      <c r="M64" s="26">
        <f>SUMIF($D:$D,D64,$L:$L)+SUMIF($D:$D,D64,$J:$J)-SUMIF($D:$D,D64,$K:$K)</f>
        <v>311</v>
      </c>
      <c r="N64" s="26">
        <f>VLOOKUP(D:D,结存!A:J,10,0)</f>
        <v>311</v>
      </c>
      <c r="O64" s="26">
        <f>M64 - N64</f>
        <v>0</v>
      </c>
    </row>
    <row r="65" spans="1:15" ht="15.6">
      <c r="A65" s="15"/>
      <c r="B65" s="17"/>
      <c r="C65" s="17"/>
      <c r="D65" s="20">
        <v>652</v>
      </c>
      <c r="E65" s="26" t="str">
        <f>VLOOKUP($D:$D,基础资料!$A:B,2,0)</f>
        <v>07040010</v>
      </c>
      <c r="F65" s="26" t="str">
        <f>VLOOKUP($D:$D,基础资料!$A:C,3,0)</f>
        <v>S-管理技能养成</v>
      </c>
      <c r="G65" s="26" t="str">
        <f>VLOOKUP($D:$D,基础资料!$A:D,4,0)</f>
        <v>\</v>
      </c>
      <c r="H65" s="26" t="str">
        <f>VLOOKUP($D:$D,基础资料!$A:E,5,0)</f>
        <v>本</v>
      </c>
      <c r="I65" s="26" t="str">
        <f>VLOOKUP($D:$D,基础资料!$A:F,6,0)</f>
        <v>书本</v>
      </c>
      <c r="J65" s="14"/>
      <c r="K65" s="14"/>
      <c r="L65" s="14">
        <v>424</v>
      </c>
      <c r="M65" s="26">
        <f>SUMIF($D:$D,D65,$L:$L)+SUMIF($D:$D,D65,$J:$J)-SUMIF($D:$D,D65,$K:$K)</f>
        <v>292</v>
      </c>
      <c r="N65" s="26">
        <f>VLOOKUP(D:D,结存!A:J,10,0)</f>
        <v>292</v>
      </c>
      <c r="O65" s="26">
        <f>M65 - N65</f>
        <v>0</v>
      </c>
    </row>
    <row r="66" spans="1:15" ht="15.6">
      <c r="A66" s="15"/>
      <c r="B66" s="17"/>
      <c r="C66" s="17"/>
      <c r="D66" s="20">
        <v>653</v>
      </c>
      <c r="E66" s="26" t="str">
        <f>VLOOKUP($D:$D,基础资料!$A:B,2,0)</f>
        <v>07040011</v>
      </c>
      <c r="F66" s="26" t="str">
        <f>VLOOKUP($D:$D,基础资料!$A:C,3,0)</f>
        <v>S-实现改变</v>
      </c>
      <c r="G66" s="26" t="str">
        <f>VLOOKUP($D:$D,基础资料!$A:D,4,0)</f>
        <v>\</v>
      </c>
      <c r="H66" s="26" t="str">
        <f>VLOOKUP($D:$D,基础资料!$A:E,5,0)</f>
        <v>本</v>
      </c>
      <c r="I66" s="26" t="str">
        <f>VLOOKUP($D:$D,基础资料!$A:F,6,0)</f>
        <v>书本</v>
      </c>
      <c r="J66" s="14"/>
      <c r="K66" s="14"/>
      <c r="L66" s="14">
        <v>985</v>
      </c>
      <c r="M66" s="26">
        <f>SUMIF($D:$D,D66,$L:$L)+SUMIF($D:$D,D66,$J:$J)-SUMIF($D:$D,D66,$K:$K)</f>
        <v>985</v>
      </c>
      <c r="N66" s="26">
        <f>VLOOKUP(D:D,结存!A:J,10,0)</f>
        <v>985</v>
      </c>
      <c r="O66" s="26">
        <f>M66 - N66</f>
        <v>0</v>
      </c>
    </row>
    <row r="67" spans="1:15" ht="15.6">
      <c r="A67" s="15"/>
      <c r="B67" s="17"/>
      <c r="C67" s="17"/>
      <c r="D67" s="20">
        <v>654</v>
      </c>
      <c r="E67" s="26" t="str">
        <f>VLOOKUP($D:$D,基础资料!$A:B,2,0)</f>
        <v>07040012</v>
      </c>
      <c r="F67" s="26" t="str">
        <f>VLOOKUP($D:$D,基础资料!$A:C,3,0)</f>
        <v>S-实践研究</v>
      </c>
      <c r="G67" s="26" t="str">
        <f>VLOOKUP($D:$D,基础资料!$A:D,4,0)</f>
        <v>\</v>
      </c>
      <c r="H67" s="26" t="str">
        <f>VLOOKUP($D:$D,基础资料!$A:E,5,0)</f>
        <v>本</v>
      </c>
      <c r="I67" s="26" t="str">
        <f>VLOOKUP($D:$D,基础资料!$A:F,6,0)</f>
        <v>书本</v>
      </c>
      <c r="J67" s="14"/>
      <c r="K67" s="14"/>
      <c r="L67" s="14">
        <v>2002</v>
      </c>
      <c r="M67" s="26">
        <f>SUMIF($D:$D,D67,$L:$L)+SUMIF($D:$D,D67,$J:$J)-SUMIF($D:$D,D67,$K:$K)</f>
        <v>1966</v>
      </c>
      <c r="N67" s="26">
        <f>VLOOKUP(D:D,结存!A:J,10,0)</f>
        <v>1966</v>
      </c>
      <c r="O67" s="26">
        <f>M67 - N67</f>
        <v>0</v>
      </c>
    </row>
    <row r="68" spans="1:15" ht="15.6">
      <c r="A68" s="15"/>
      <c r="B68" s="17"/>
      <c r="C68" s="17"/>
      <c r="D68" s="20">
        <v>655</v>
      </c>
      <c r="E68" s="26" t="str">
        <f>VLOOKUP($D:$D,基础资料!$A:B,2,0)</f>
        <v>07040013</v>
      </c>
      <c r="F68" s="26" t="str">
        <f>VLOOKUP($D:$D,基础资料!$A:C,3,0)</f>
        <v>S-校园法律</v>
      </c>
      <c r="G68" s="26" t="str">
        <f>VLOOKUP($D:$D,基础资料!$A:D,4,0)</f>
        <v>\</v>
      </c>
      <c r="H68" s="26" t="str">
        <f>VLOOKUP($D:$D,基础资料!$A:E,5,0)</f>
        <v>本</v>
      </c>
      <c r="I68" s="26" t="str">
        <f>VLOOKUP($D:$D,基础资料!$A:F,6,0)</f>
        <v>书本</v>
      </c>
      <c r="J68" s="14"/>
      <c r="K68" s="14"/>
      <c r="L68" s="14">
        <v>768</v>
      </c>
      <c r="M68" s="26">
        <f>SUMIF($D:$D,D68,$L:$L)+SUMIF($D:$D,D68,$J:$J)-SUMIF($D:$D,D68,$K:$K)</f>
        <v>698</v>
      </c>
      <c r="N68" s="26">
        <f>VLOOKUP(D:D,结存!A:J,10,0)</f>
        <v>698</v>
      </c>
      <c r="O68" s="26">
        <f>M68 - N68</f>
        <v>0</v>
      </c>
    </row>
    <row r="69" spans="1:15" ht="15.6">
      <c r="A69" s="15"/>
      <c r="B69" s="17"/>
      <c r="C69" s="17"/>
      <c r="D69" s="20">
        <v>656</v>
      </c>
      <c r="E69" s="26" t="str">
        <f>VLOOKUP($D:$D,基础资料!$A:B,2,0)</f>
        <v>07040014</v>
      </c>
      <c r="F69" s="26" t="str">
        <f>VLOOKUP($D:$D,基础资料!$A:C,3,0)</f>
        <v>S-伦理护理</v>
      </c>
      <c r="G69" s="26" t="str">
        <f>VLOOKUP($D:$D,基础资料!$A:D,4,0)</f>
        <v>\</v>
      </c>
      <c r="H69" s="26" t="str">
        <f>VLOOKUP($D:$D,基础资料!$A:E,5,0)</f>
        <v>本</v>
      </c>
      <c r="I69" s="26" t="str">
        <f>VLOOKUP($D:$D,基础资料!$A:F,6,0)</f>
        <v>书本</v>
      </c>
      <c r="J69" s="14"/>
      <c r="K69" s="14"/>
      <c r="L69" s="14">
        <v>966</v>
      </c>
      <c r="M69" s="26">
        <f>SUMIF($D:$D,D69,$L:$L)+SUMIF($D:$D,D69,$J:$J)-SUMIF($D:$D,D69,$K:$K)</f>
        <v>956</v>
      </c>
      <c r="N69" s="26">
        <f>VLOOKUP(D:D,结存!A:J,10,0)</f>
        <v>956</v>
      </c>
      <c r="O69" s="26">
        <f>M69 - N69</f>
        <v>0</v>
      </c>
    </row>
    <row r="70" spans="1:15" ht="15.6">
      <c r="A70" s="15"/>
      <c r="B70" s="17"/>
      <c r="C70" s="17"/>
      <c r="D70" s="20">
        <v>657</v>
      </c>
      <c r="E70" s="26" t="str">
        <f>VLOOKUP($D:$D,基础资料!$A:B,2,0)</f>
        <v>07040015</v>
      </c>
      <c r="F70" s="26" t="str">
        <f>VLOOKUP($D:$D,基础资料!$A:C,3,0)</f>
        <v>S-心理学</v>
      </c>
      <c r="G70" s="26" t="str">
        <f>VLOOKUP($D:$D,基础资料!$A:D,4,0)</f>
        <v>\</v>
      </c>
      <c r="H70" s="26" t="str">
        <f>VLOOKUP($D:$D,基础资料!$A:E,5,0)</f>
        <v>本</v>
      </c>
      <c r="I70" s="26" t="str">
        <f>VLOOKUP($D:$D,基础资料!$A:F,6,0)</f>
        <v>书本</v>
      </c>
      <c r="J70" s="14"/>
      <c r="K70" s="14"/>
      <c r="L70" s="14">
        <v>575</v>
      </c>
      <c r="M70" s="26">
        <f>SUMIF($D:$D,D70,$L:$L)+SUMIF($D:$D,D70,$J:$J)-SUMIF($D:$D,D70,$K:$K)</f>
        <v>575</v>
      </c>
      <c r="N70" s="26">
        <f>VLOOKUP(D:D,结存!A:J,10,0)</f>
        <v>575</v>
      </c>
      <c r="O70" s="26">
        <f>M70 - N70</f>
        <v>0</v>
      </c>
    </row>
    <row r="71" spans="1:15" ht="15.6">
      <c r="A71" s="15"/>
      <c r="B71" s="17"/>
      <c r="C71" s="17"/>
      <c r="D71" s="20">
        <v>658</v>
      </c>
      <c r="E71" s="26" t="str">
        <f>VLOOKUP($D:$D,基础资料!$A:B,2,0)</f>
        <v>07040016</v>
      </c>
      <c r="F71" s="26" t="str">
        <f>VLOOKUP($D:$D,基础资料!$A:C,3,0)</f>
        <v>S-四十项心理学的研究 821</v>
      </c>
      <c r="G71" s="26" t="str">
        <f>VLOOKUP($D:$D,基础资料!$A:D,4,0)</f>
        <v>\</v>
      </c>
      <c r="H71" s="26" t="str">
        <f>VLOOKUP($D:$D,基础资料!$A:E,5,0)</f>
        <v>本</v>
      </c>
      <c r="I71" s="26" t="str">
        <f>VLOOKUP($D:$D,基础资料!$A:F,6,0)</f>
        <v>书本</v>
      </c>
      <c r="J71" s="14"/>
      <c r="K71" s="14"/>
      <c r="L71" s="14">
        <v>251</v>
      </c>
      <c r="M71" s="26">
        <f>SUMIF($D:$D,D71,$L:$L)+SUMIF($D:$D,D71,$J:$J)-SUMIF($D:$D,D71,$K:$K)</f>
        <v>1</v>
      </c>
      <c r="N71" s="26">
        <f>VLOOKUP(D:D,结存!A:J,10,0)</f>
        <v>1</v>
      </c>
      <c r="O71" s="26">
        <f>M71 - N71</f>
        <v>0</v>
      </c>
    </row>
    <row r="72" spans="1:15" ht="15.6">
      <c r="A72" s="15"/>
      <c r="B72" s="17"/>
      <c r="C72" s="17"/>
      <c r="D72" s="20">
        <v>659</v>
      </c>
      <c r="E72" s="26" t="str">
        <f>VLOOKUP($D:$D,基础资料!$A:B,2,0)</f>
        <v>07040017</v>
      </c>
      <c r="F72" s="26" t="str">
        <f>VLOOKUP($D:$D,基础资料!$A:C,3,0)</f>
        <v>S-实习手册</v>
      </c>
      <c r="G72" s="26" t="str">
        <f>VLOOKUP($D:$D,基础资料!$A:D,4,0)</f>
        <v>\</v>
      </c>
      <c r="H72" s="26" t="str">
        <f>VLOOKUP($D:$D,基础资料!$A:E,5,0)</f>
        <v>本</v>
      </c>
      <c r="I72" s="26" t="str">
        <f>VLOOKUP($D:$D,基础资料!$A:F,6,0)</f>
        <v>书本</v>
      </c>
      <c r="J72" s="14"/>
      <c r="K72" s="14"/>
      <c r="L72" s="14">
        <v>934</v>
      </c>
      <c r="M72" s="26">
        <f>SUMIF($D:$D,D72,$L:$L)+SUMIF($D:$D,D72,$J:$J)-SUMIF($D:$D,D72,$K:$K)</f>
        <v>934</v>
      </c>
      <c r="N72" s="26">
        <f>VLOOKUP(D:D,结存!A:J,10,0)</f>
        <v>934</v>
      </c>
      <c r="O72" s="26">
        <f>M72 - N72</f>
        <v>0</v>
      </c>
    </row>
    <row r="73" spans="1:15" ht="15.6">
      <c r="A73" s="15"/>
      <c r="B73" s="17"/>
      <c r="C73" s="17"/>
      <c r="D73" s="20">
        <v>660</v>
      </c>
      <c r="E73" s="26" t="str">
        <f>VLOOKUP($D:$D,基础资料!$A:B,2,0)</f>
        <v>07040018</v>
      </c>
      <c r="F73" s="26" t="str">
        <f>VLOOKUP($D:$D,基础资料!$A:C,3,0)</f>
        <v>S-明了和优雅风格的教训</v>
      </c>
      <c r="G73" s="26" t="str">
        <f>VLOOKUP($D:$D,基础资料!$A:D,4,0)</f>
        <v>\</v>
      </c>
      <c r="H73" s="26" t="str">
        <f>VLOOKUP($D:$D,基础资料!$A:E,5,0)</f>
        <v>本</v>
      </c>
      <c r="I73" s="26" t="str">
        <f>VLOOKUP($D:$D,基础资料!$A:F,6,0)</f>
        <v>书本</v>
      </c>
      <c r="J73" s="14"/>
      <c r="K73" s="14"/>
      <c r="L73" s="14">
        <v>454</v>
      </c>
      <c r="M73" s="26">
        <f>SUMIF($D:$D,D73,$L:$L)+SUMIF($D:$D,D73,$J:$J)-SUMIF($D:$D,D73,$K:$K)</f>
        <v>454</v>
      </c>
      <c r="N73" s="26">
        <f>VLOOKUP(D:D,结存!A:J,10,0)</f>
        <v>454</v>
      </c>
      <c r="O73" s="26">
        <f>M73 - N73</f>
        <v>0</v>
      </c>
    </row>
    <row r="74" spans="1:15" ht="15.6">
      <c r="A74" s="15"/>
      <c r="B74" s="17"/>
      <c r="C74" s="17"/>
      <c r="D74" s="20">
        <v>661</v>
      </c>
      <c r="E74" s="26" t="str">
        <f>VLOOKUP($D:$D,基础资料!$A:B,2,0)</f>
        <v>07040019</v>
      </c>
      <c r="F74" s="26" t="str">
        <f>VLOOKUP($D:$D,基础资料!$A:C,3,0)</f>
        <v>S-美国药疗保健</v>
      </c>
      <c r="G74" s="26" t="str">
        <f>VLOOKUP($D:$D,基础资料!$A:D,4,0)</f>
        <v>\</v>
      </c>
      <c r="H74" s="26" t="str">
        <f>VLOOKUP($D:$D,基础资料!$A:E,5,0)</f>
        <v>本</v>
      </c>
      <c r="I74" s="26" t="str">
        <f>VLOOKUP($D:$D,基础资料!$A:F,6,0)</f>
        <v>书本</v>
      </c>
      <c r="J74" s="14"/>
      <c r="K74" s="14"/>
      <c r="L74" s="14">
        <v>1029</v>
      </c>
      <c r="M74" s="26">
        <f>SUMIF($D:$D,D74,$L:$L)+SUMIF($D:$D,D74,$J:$J)-SUMIF($D:$D,D74,$K:$K)</f>
        <v>975</v>
      </c>
      <c r="N74" s="26">
        <f>VLOOKUP(D:D,结存!A:J,10,0)</f>
        <v>975</v>
      </c>
      <c r="O74" s="26">
        <f>M74 - N74</f>
        <v>0</v>
      </c>
    </row>
    <row r="75" spans="1:15" ht="15.6">
      <c r="A75" s="15"/>
      <c r="B75" s="17"/>
      <c r="C75" s="17"/>
      <c r="D75" s="20">
        <v>662</v>
      </c>
      <c r="E75" s="26" t="str">
        <f>VLOOKUP($D:$D,基础资料!$A:B,2,0)</f>
        <v>07040020</v>
      </c>
      <c r="F75" s="26" t="str">
        <f>VLOOKUP($D:$D,基础资料!$A:C,3,0)</f>
        <v>S-硕士考试指南</v>
      </c>
      <c r="G75" s="26" t="str">
        <f>VLOOKUP($D:$D,基础资料!$A:D,4,0)</f>
        <v>\</v>
      </c>
      <c r="H75" s="26" t="str">
        <f>VLOOKUP($D:$D,基础资料!$A:E,5,0)</f>
        <v>本</v>
      </c>
      <c r="I75" s="26" t="str">
        <f>VLOOKUP($D:$D,基础资料!$A:F,6,0)</f>
        <v>书本</v>
      </c>
      <c r="J75" s="14"/>
      <c r="K75" s="14"/>
      <c r="L75" s="14">
        <v>2144</v>
      </c>
      <c r="M75" s="26">
        <f>SUMIF($D:$D,D75,$L:$L)+SUMIF($D:$D,D75,$J:$J)-SUMIF($D:$D,D75,$K:$K)</f>
        <v>2104</v>
      </c>
      <c r="N75" s="26">
        <f>VLOOKUP(D:D,结存!A:J,10,0)</f>
        <v>2104</v>
      </c>
      <c r="O75" s="26">
        <f>M75 - N75</f>
        <v>0</v>
      </c>
    </row>
    <row r="76" spans="1:15" ht="15.6">
      <c r="A76" s="15"/>
      <c r="B76" s="17"/>
      <c r="C76" s="17"/>
      <c r="D76" s="20">
        <v>663</v>
      </c>
      <c r="E76" s="26" t="str">
        <f>VLOOKUP($D:$D,基础资料!$A:B,2,0)</f>
        <v>07040021</v>
      </c>
      <c r="F76" s="26" t="str">
        <f>VLOOKUP($D:$D,基础资料!$A:C,3,0)</f>
        <v>S-面试技巧</v>
      </c>
      <c r="G76" s="26" t="str">
        <f>VLOOKUP($D:$D,基础资料!$A:D,4,0)</f>
        <v>\</v>
      </c>
      <c r="H76" s="26" t="str">
        <f>VLOOKUP($D:$D,基础资料!$A:E,5,0)</f>
        <v>本</v>
      </c>
      <c r="I76" s="26" t="str">
        <f>VLOOKUP($D:$D,基础资料!$A:F,6,0)</f>
        <v>书本</v>
      </c>
      <c r="J76" s="14"/>
      <c r="K76" s="14"/>
      <c r="L76" s="14">
        <v>615</v>
      </c>
      <c r="M76" s="26">
        <f>SUMIF($D:$D,D76,$L:$L)+SUMIF($D:$D,D76,$J:$J)-SUMIF($D:$D,D76,$K:$K)</f>
        <v>595</v>
      </c>
      <c r="N76" s="26">
        <f>VLOOKUP(D:D,结存!A:J,10,0)</f>
        <v>595</v>
      </c>
      <c r="O76" s="26">
        <f>M76 - N76</f>
        <v>0</v>
      </c>
    </row>
    <row r="77" spans="1:15" ht="15.6">
      <c r="A77" s="15"/>
      <c r="B77" s="17"/>
      <c r="C77" s="17"/>
      <c r="D77" s="20">
        <v>664</v>
      </c>
      <c r="E77" s="26" t="str">
        <f>VLOOKUP($D:$D,基础资料!$A:B,2,0)</f>
        <v>07040022</v>
      </c>
      <c r="F77" s="26" t="str">
        <f>VLOOKUP($D:$D,基础资料!$A:C,3,0)</f>
        <v>S-麦克的学习技巧</v>
      </c>
      <c r="G77" s="26" t="str">
        <f>VLOOKUP($D:$D,基础资料!$A:D,4,0)</f>
        <v>\</v>
      </c>
      <c r="H77" s="26" t="str">
        <f>VLOOKUP($D:$D,基础资料!$A:E,5,0)</f>
        <v>本</v>
      </c>
      <c r="I77" s="26" t="str">
        <f>VLOOKUP($D:$D,基础资料!$A:F,6,0)</f>
        <v>书本</v>
      </c>
      <c r="J77" s="14"/>
      <c r="K77" s="14"/>
      <c r="L77" s="14">
        <v>594</v>
      </c>
      <c r="M77" s="26">
        <f>SUMIF($D:$D,D77,$L:$L)+SUMIF($D:$D,D77,$J:$J)-SUMIF($D:$D,D77,$K:$K)</f>
        <v>594</v>
      </c>
      <c r="N77" s="26">
        <f>VLOOKUP(D:D,结存!A:J,10,0)</f>
        <v>594</v>
      </c>
      <c r="O77" s="26">
        <f>M77 - N77</f>
        <v>0</v>
      </c>
    </row>
    <row r="78" spans="1:15" ht="15.6">
      <c r="A78" s="15"/>
      <c r="B78" s="17"/>
      <c r="C78" s="17"/>
      <c r="D78" s="20">
        <v>665</v>
      </c>
      <c r="E78" s="26" t="str">
        <f>VLOOKUP($D:$D,基础资料!$A:B,2,0)</f>
        <v>07040023</v>
      </c>
      <c r="F78" s="26" t="str">
        <f>VLOOKUP($D:$D,基础资料!$A:C,3,0)</f>
        <v>S-医生的护理实践</v>
      </c>
      <c r="G78" s="26" t="str">
        <f>VLOOKUP($D:$D,基础资料!$A:D,4,0)</f>
        <v>\</v>
      </c>
      <c r="H78" s="26" t="str">
        <f>VLOOKUP($D:$D,基础资料!$A:E,5,0)</f>
        <v>本</v>
      </c>
      <c r="I78" s="26" t="str">
        <f>VLOOKUP($D:$D,基础资料!$A:F,6,0)</f>
        <v>书本</v>
      </c>
      <c r="J78" s="14"/>
      <c r="K78" s="14"/>
      <c r="L78" s="14">
        <v>1327</v>
      </c>
      <c r="M78" s="26">
        <f>SUMIF($D:$D,D78,$L:$L)+SUMIF($D:$D,D78,$J:$J)-SUMIF($D:$D,D78,$K:$K)</f>
        <v>1327</v>
      </c>
      <c r="N78" s="26">
        <f>VLOOKUP(D:D,结存!A:J,10,0)</f>
        <v>1327</v>
      </c>
      <c r="O78" s="26">
        <f>M78 - N78</f>
        <v>0</v>
      </c>
    </row>
    <row r="79" spans="1:15" ht="15.6">
      <c r="A79" s="15"/>
      <c r="B79" s="17"/>
      <c r="C79" s="17"/>
      <c r="D79" s="20">
        <v>666</v>
      </c>
      <c r="E79" s="26" t="str">
        <f>VLOOKUP($D:$D,基础资料!$A:B,2,0)</f>
        <v>07040024</v>
      </c>
      <c r="F79" s="26" t="str">
        <f>VLOOKUP($D:$D,基础资料!$A:C,3,0)</f>
        <v>S-社会精神</v>
      </c>
      <c r="G79" s="26" t="str">
        <f>VLOOKUP($D:$D,基础资料!$A:D,4,0)</f>
        <v>\</v>
      </c>
      <c r="H79" s="26" t="str">
        <f>VLOOKUP($D:$D,基础资料!$A:E,5,0)</f>
        <v>本</v>
      </c>
      <c r="I79" s="26" t="str">
        <f>VLOOKUP($D:$D,基础资料!$A:F,6,0)</f>
        <v>书本</v>
      </c>
      <c r="J79" s="14"/>
      <c r="K79" s="14"/>
      <c r="L79" s="14">
        <v>606</v>
      </c>
      <c r="M79" s="26">
        <f>SUMIF($D:$D,D79,$L:$L)+SUMIF($D:$D,D79,$J:$J)-SUMIF($D:$D,D79,$K:$K)</f>
        <v>606</v>
      </c>
      <c r="N79" s="26">
        <f>VLOOKUP(D:D,结存!A:J,10,0)</f>
        <v>606</v>
      </c>
      <c r="O79" s="26">
        <f>M79 - N79</f>
        <v>0</v>
      </c>
    </row>
    <row r="80" spans="1:15" ht="15.6">
      <c r="A80" s="15"/>
      <c r="B80" s="17"/>
      <c r="C80" s="17"/>
      <c r="D80" s="20">
        <v>667</v>
      </c>
      <c r="E80" s="26" t="str">
        <f>VLOOKUP($D:$D,基础资料!$A:B,2,0)</f>
        <v>07040025</v>
      </c>
      <c r="F80" s="26" t="str">
        <f>VLOOKUP($D:$D,基础资料!$A:C,3,0)</f>
        <v>S-临床评估工作簿</v>
      </c>
      <c r="G80" s="26" t="str">
        <f>VLOOKUP($D:$D,基础资料!$A:D,4,0)</f>
        <v>\</v>
      </c>
      <c r="H80" s="26" t="str">
        <f>VLOOKUP($D:$D,基础资料!$A:E,5,0)</f>
        <v>本</v>
      </c>
      <c r="I80" s="26" t="str">
        <f>VLOOKUP($D:$D,基础资料!$A:F,6,0)</f>
        <v>书本</v>
      </c>
      <c r="J80" s="14"/>
      <c r="K80" s="14"/>
      <c r="L80" s="14">
        <v>2358</v>
      </c>
      <c r="M80" s="26">
        <f>SUMIF($D:$D,D80,$L:$L)+SUMIF($D:$D,D80,$J:$J)-SUMIF($D:$D,D80,$K:$K)</f>
        <v>2338</v>
      </c>
      <c r="N80" s="26">
        <f>VLOOKUP(D:D,结存!A:J,10,0)</f>
        <v>2338</v>
      </c>
      <c r="O80" s="26">
        <f>M80 - N80</f>
        <v>0</v>
      </c>
    </row>
    <row r="81" spans="1:15" ht="15.6">
      <c r="A81" s="15"/>
      <c r="B81" s="17"/>
      <c r="C81" s="17"/>
      <c r="D81" s="20">
        <v>668</v>
      </c>
      <c r="E81" s="26" t="str">
        <f>VLOOKUP($D:$D,基础资料!$A:B,2,0)</f>
        <v>07040026</v>
      </c>
      <c r="F81" s="26" t="str">
        <f>VLOOKUP($D:$D,基础资料!$A:C,3,0)</f>
        <v>S-团体咨询</v>
      </c>
      <c r="G81" s="26" t="str">
        <f>VLOOKUP($D:$D,基础资料!$A:D,4,0)</f>
        <v>\</v>
      </c>
      <c r="H81" s="26" t="str">
        <f>VLOOKUP($D:$D,基础资料!$A:E,5,0)</f>
        <v>本</v>
      </c>
      <c r="I81" s="26" t="str">
        <f>VLOOKUP($D:$D,基础资料!$A:F,6,0)</f>
        <v>书本</v>
      </c>
      <c r="J81" s="14"/>
      <c r="K81" s="14"/>
      <c r="L81" s="14">
        <v>1522</v>
      </c>
      <c r="M81" s="26">
        <f>SUMIF($D:$D,D81,$L:$L)+SUMIF($D:$D,D81,$J:$J)-SUMIF($D:$D,D81,$K:$K)</f>
        <v>1473</v>
      </c>
      <c r="N81" s="26">
        <f>VLOOKUP(D:D,结存!A:J,10,0)</f>
        <v>1473</v>
      </c>
      <c r="O81" s="26">
        <f>M81 - N81</f>
        <v>0</v>
      </c>
    </row>
    <row r="82" spans="1:15" ht="15.6">
      <c r="A82" s="15"/>
      <c r="B82" s="17"/>
      <c r="C82" s="17"/>
      <c r="D82" s="20">
        <v>669</v>
      </c>
      <c r="E82" s="26" t="str">
        <f>VLOOKUP($D:$D,基础资料!$A:B,2,0)</f>
        <v>07040027</v>
      </c>
      <c r="F82" s="26" t="str">
        <f>VLOOKUP($D:$D,基础资料!$A:C,3,0)</f>
        <v>S-小屁孩日记（9本一套）</v>
      </c>
      <c r="G82" s="26" t="str">
        <f>VLOOKUP($D:$D,基础资料!$A:D,4,0)</f>
        <v>\</v>
      </c>
      <c r="H82" s="26" t="str">
        <f>VLOOKUP($D:$D,基础资料!$A:E,5,0)</f>
        <v>套</v>
      </c>
      <c r="I82" s="26" t="str">
        <f>VLOOKUP($D:$D,基础资料!$A:F,6,0)</f>
        <v>书本</v>
      </c>
      <c r="J82" s="14"/>
      <c r="K82" s="14"/>
      <c r="L82" s="14">
        <v>963</v>
      </c>
      <c r="M82" s="26">
        <f>SUMIF($D:$D,D82,$L:$L)+SUMIF($D:$D,D82,$J:$J)-SUMIF($D:$D,D82,$K:$K)</f>
        <v>958</v>
      </c>
      <c r="N82" s="26">
        <f>VLOOKUP(D:D,结存!A:J,10,0)</f>
        <v>958</v>
      </c>
      <c r="O82" s="26">
        <f>M82 - N82</f>
        <v>0</v>
      </c>
    </row>
    <row r="83" spans="1:15" ht="15.6">
      <c r="A83" s="15"/>
      <c r="B83" s="17"/>
      <c r="C83" s="17"/>
      <c r="D83" s="20">
        <v>677</v>
      </c>
      <c r="E83" s="26" t="str">
        <f>VLOOKUP($D:$D,基础资料!$A:B,2,0)</f>
        <v>07040027-1</v>
      </c>
      <c r="F83" s="26" t="str">
        <f>VLOOKUP($D:$D,基础资料!$A:C,3,0)</f>
        <v>S-小屁孩日记（1/9本一套）</v>
      </c>
      <c r="G83" s="26" t="str">
        <f>VLOOKUP($D:$D,基础资料!$A:D,4,0)</f>
        <v>\</v>
      </c>
      <c r="H83" s="26" t="str">
        <f>VLOOKUP($D:$D,基础资料!$A:E,5,0)</f>
        <v>本</v>
      </c>
      <c r="I83" s="26" t="str">
        <f>VLOOKUP($D:$D,基础资料!$A:F,6,0)</f>
        <v>书本</v>
      </c>
      <c r="J83" s="14"/>
      <c r="K83" s="14"/>
      <c r="L83" s="14">
        <v>8</v>
      </c>
      <c r="M83" s="26">
        <f>SUMIF($D:$D,D83,$L:$L)+SUMIF($D:$D,D83,$J:$J)-SUMIF($D:$D,D83,$K:$K)</f>
        <v>8</v>
      </c>
      <c r="N83" s="26">
        <f>VLOOKUP(D:D,结存!A:J,10,0)</f>
        <v>8</v>
      </c>
      <c r="O83" s="26">
        <f>M83 - N83</f>
        <v>0</v>
      </c>
    </row>
    <row r="84" spans="1:15" ht="15.6">
      <c r="A84" s="15"/>
      <c r="B84" s="17"/>
      <c r="C84" s="17"/>
      <c r="D84" s="20">
        <v>678</v>
      </c>
      <c r="E84" s="26" t="str">
        <f>VLOOKUP($D:$D,基础资料!$A:B,2,0)</f>
        <v>07040027-2</v>
      </c>
      <c r="F84" s="26" t="str">
        <f>VLOOKUP($D:$D,基础资料!$A:C,3,0)</f>
        <v>S-小屁孩日记（2/9本一套）</v>
      </c>
      <c r="G84" s="26" t="str">
        <f>VLOOKUP($D:$D,基础资料!$A:D,4,0)</f>
        <v>\</v>
      </c>
      <c r="H84" s="26" t="str">
        <f>VLOOKUP($D:$D,基础资料!$A:E,5,0)</f>
        <v>本</v>
      </c>
      <c r="I84" s="26" t="str">
        <f>VLOOKUP($D:$D,基础资料!$A:F,6,0)</f>
        <v>书本</v>
      </c>
      <c r="J84" s="14"/>
      <c r="K84" s="14"/>
      <c r="L84" s="14">
        <v>1</v>
      </c>
      <c r="M84" s="26">
        <f>SUMIF($D:$D,D84,$L:$L)+SUMIF($D:$D,D84,$J:$J)-SUMIF($D:$D,D84,$K:$K)</f>
        <v>1</v>
      </c>
      <c r="N84" s="26">
        <f>VLOOKUP(D:D,结存!A:J,10,0)</f>
        <v>1</v>
      </c>
      <c r="O84" s="26">
        <f>M84 - N84</f>
        <v>0</v>
      </c>
    </row>
    <row r="85" spans="1:15" ht="15.6">
      <c r="A85" s="15"/>
      <c r="B85" s="17"/>
      <c r="C85" s="17"/>
      <c r="D85" s="20">
        <v>679</v>
      </c>
      <c r="E85" s="26" t="str">
        <f>VLOOKUP($D:$D,基础资料!$A:B,2,0)</f>
        <v>07040027-3</v>
      </c>
      <c r="F85" s="26" t="str">
        <f>VLOOKUP($D:$D,基础资料!$A:C,3,0)</f>
        <v>S-小屁孩日记（3/9本一套）</v>
      </c>
      <c r="G85" s="26" t="str">
        <f>VLOOKUP($D:$D,基础资料!$A:D,4,0)</f>
        <v>\</v>
      </c>
      <c r="H85" s="26" t="str">
        <f>VLOOKUP($D:$D,基础资料!$A:E,5,0)</f>
        <v>本</v>
      </c>
      <c r="I85" s="26" t="str">
        <f>VLOOKUP($D:$D,基础资料!$A:F,6,0)</f>
        <v>书本</v>
      </c>
      <c r="J85" s="14"/>
      <c r="K85" s="14"/>
      <c r="L85" s="14">
        <v>11</v>
      </c>
      <c r="M85" s="26">
        <f>SUMIF($D:$D,D85,$L:$L)+SUMIF($D:$D,D85,$J:$J)-SUMIF($D:$D,D85,$K:$K)</f>
        <v>11</v>
      </c>
      <c r="N85" s="26">
        <f>VLOOKUP(D:D,结存!A:J,10,0)</f>
        <v>11</v>
      </c>
      <c r="O85" s="26">
        <f>M85 - N85</f>
        <v>0</v>
      </c>
    </row>
    <row r="86" spans="1:15" ht="15.6">
      <c r="A86" s="15"/>
      <c r="B86" s="17"/>
      <c r="C86" s="17"/>
      <c r="D86" s="20">
        <v>680</v>
      </c>
      <c r="E86" s="26" t="str">
        <f>VLOOKUP($D:$D,基础资料!$A:B,2,0)</f>
        <v>07040027-4</v>
      </c>
      <c r="F86" s="26" t="str">
        <f>VLOOKUP($D:$D,基础资料!$A:C,3,0)</f>
        <v>S-小屁孩日记（4/9本一套）</v>
      </c>
      <c r="G86" s="26" t="str">
        <f>VLOOKUP($D:$D,基础资料!$A:D,4,0)</f>
        <v>\</v>
      </c>
      <c r="H86" s="26" t="str">
        <f>VLOOKUP($D:$D,基础资料!$A:E,5,0)</f>
        <v>本</v>
      </c>
      <c r="I86" s="26" t="str">
        <f>VLOOKUP($D:$D,基础资料!$A:F,6,0)</f>
        <v>书本</v>
      </c>
      <c r="J86" s="14"/>
      <c r="K86" s="14"/>
      <c r="L86" s="14">
        <v>15</v>
      </c>
      <c r="M86" s="26">
        <f>SUMIF($D:$D,D86,$L:$L)+SUMIF($D:$D,D86,$J:$J)-SUMIF($D:$D,D86,$K:$K)</f>
        <v>15</v>
      </c>
      <c r="N86" s="26">
        <f>VLOOKUP(D:D,结存!A:J,10,0)</f>
        <v>15</v>
      </c>
      <c r="O86" s="26">
        <f>M86 - N86</f>
        <v>0</v>
      </c>
    </row>
    <row r="87" spans="1:15" ht="15.6">
      <c r="A87" s="15"/>
      <c r="B87" s="17"/>
      <c r="C87" s="17"/>
      <c r="D87" s="20">
        <v>681</v>
      </c>
      <c r="E87" s="26" t="str">
        <f>VLOOKUP($D:$D,基础资料!$A:B,2,0)</f>
        <v>07040027-5</v>
      </c>
      <c r="F87" s="26" t="str">
        <f>VLOOKUP($D:$D,基础资料!$A:C,3,0)</f>
        <v>S-小屁孩日记（5/9本一套）</v>
      </c>
      <c r="G87" s="26" t="str">
        <f>VLOOKUP($D:$D,基础资料!$A:D,4,0)</f>
        <v>\</v>
      </c>
      <c r="H87" s="26" t="str">
        <f>VLOOKUP($D:$D,基础资料!$A:E,5,0)</f>
        <v>本</v>
      </c>
      <c r="I87" s="26" t="str">
        <f>VLOOKUP($D:$D,基础资料!$A:F,6,0)</f>
        <v>书本</v>
      </c>
      <c r="J87" s="14"/>
      <c r="K87" s="14"/>
      <c r="L87" s="14">
        <v>30</v>
      </c>
      <c r="M87" s="26">
        <f>SUMIF($D:$D,D87,$L:$L)+SUMIF($D:$D,D87,$J:$J)-SUMIF($D:$D,D87,$K:$K)</f>
        <v>30</v>
      </c>
      <c r="N87" s="26">
        <f>VLOOKUP(D:D,结存!A:J,10,0)</f>
        <v>30</v>
      </c>
      <c r="O87" s="26">
        <f>M87 - N87</f>
        <v>0</v>
      </c>
    </row>
    <row r="88" spans="1:15" ht="15.6">
      <c r="A88" s="15"/>
      <c r="B88" s="17"/>
      <c r="C88" s="17"/>
      <c r="D88" s="20">
        <v>682</v>
      </c>
      <c r="E88" s="26" t="str">
        <f>VLOOKUP($D:$D,基础资料!$A:B,2,0)</f>
        <v>07040027-6</v>
      </c>
      <c r="F88" s="26" t="str">
        <f>VLOOKUP($D:$D,基础资料!$A:C,3,0)</f>
        <v>S-小屁孩日记（6/9本一套）</v>
      </c>
      <c r="G88" s="26" t="str">
        <f>VLOOKUP($D:$D,基础资料!$A:D,4,0)</f>
        <v>\</v>
      </c>
      <c r="H88" s="26" t="str">
        <f>VLOOKUP($D:$D,基础资料!$A:E,5,0)</f>
        <v>本</v>
      </c>
      <c r="I88" s="26" t="str">
        <f>VLOOKUP($D:$D,基础资料!$A:F,6,0)</f>
        <v>书本</v>
      </c>
      <c r="J88" s="14"/>
      <c r="K88" s="14"/>
      <c r="L88" s="14">
        <v>570</v>
      </c>
      <c r="M88" s="26">
        <f>SUMIF($D:$D,D88,$L:$L)+SUMIF($D:$D,D88,$J:$J)-SUMIF($D:$D,D88,$K:$K)</f>
        <v>570</v>
      </c>
      <c r="N88" s="26">
        <f>VLOOKUP(D:D,结存!A:J,10,0)</f>
        <v>570</v>
      </c>
      <c r="O88" s="26">
        <f>M88 - N88</f>
        <v>0</v>
      </c>
    </row>
    <row r="89" spans="1:15" ht="15.6">
      <c r="A89" s="15"/>
      <c r="B89" s="17"/>
      <c r="C89" s="17"/>
      <c r="D89" s="20">
        <v>683</v>
      </c>
      <c r="E89" s="26" t="str">
        <f>VLOOKUP($D:$D,基础资料!$A:B,2,0)</f>
        <v>07040027-7</v>
      </c>
      <c r="F89" s="26" t="str">
        <f>VLOOKUP($D:$D,基础资料!$A:C,3,0)</f>
        <v>S-小屁孩日记（7/9本一套）</v>
      </c>
      <c r="G89" s="26" t="str">
        <f>VLOOKUP($D:$D,基础资料!$A:D,4,0)</f>
        <v>\</v>
      </c>
      <c r="H89" s="26" t="str">
        <f>VLOOKUP($D:$D,基础资料!$A:E,5,0)</f>
        <v>本</v>
      </c>
      <c r="I89" s="26" t="str">
        <f>VLOOKUP($D:$D,基础资料!$A:F,6,0)</f>
        <v>书本</v>
      </c>
      <c r="J89" s="14"/>
      <c r="K89" s="14"/>
      <c r="L89" s="14">
        <v>517</v>
      </c>
      <c r="M89" s="26">
        <f>SUMIF($D:$D,D89,$L:$L)+SUMIF($D:$D,D89,$J:$J)-SUMIF($D:$D,D89,$K:$K)</f>
        <v>517</v>
      </c>
      <c r="N89" s="26">
        <f>VLOOKUP(D:D,结存!A:J,10,0)</f>
        <v>517</v>
      </c>
      <c r="O89" s="26">
        <f>M89 - N89</f>
        <v>0</v>
      </c>
    </row>
    <row r="90" spans="1:15" ht="15.6">
      <c r="A90" s="15"/>
      <c r="B90" s="17"/>
      <c r="C90" s="17"/>
      <c r="D90" s="20">
        <v>684</v>
      </c>
      <c r="E90" s="26" t="str">
        <f>VLOOKUP($D:$D,基础资料!$A:B,2,0)</f>
        <v>07040027-8</v>
      </c>
      <c r="F90" s="26" t="str">
        <f>VLOOKUP($D:$D,基础资料!$A:C,3,0)</f>
        <v>S-小屁孩日记（8/9本一套）</v>
      </c>
      <c r="G90" s="26" t="str">
        <f>VLOOKUP($D:$D,基础资料!$A:D,4,0)</f>
        <v>\</v>
      </c>
      <c r="H90" s="26" t="str">
        <f>VLOOKUP($D:$D,基础资料!$A:E,5,0)</f>
        <v>本</v>
      </c>
      <c r="I90" s="26" t="str">
        <f>VLOOKUP($D:$D,基础资料!$A:F,6,0)</f>
        <v>书本</v>
      </c>
      <c r="J90" s="14"/>
      <c r="K90" s="14"/>
      <c r="L90" s="14">
        <v>454</v>
      </c>
      <c r="M90" s="26">
        <f>SUMIF($D:$D,D90,$L:$L)+SUMIF($D:$D,D90,$J:$J)-SUMIF($D:$D,D90,$K:$K)</f>
        <v>454</v>
      </c>
      <c r="N90" s="26">
        <f>VLOOKUP(D:D,结存!A:J,10,0)</f>
        <v>454</v>
      </c>
      <c r="O90" s="26">
        <f>M90 - N90</f>
        <v>0</v>
      </c>
    </row>
    <row r="91" spans="1:15" ht="15.6">
      <c r="A91" s="15"/>
      <c r="B91" s="17"/>
      <c r="C91" s="17"/>
      <c r="D91" s="20">
        <v>685</v>
      </c>
      <c r="E91" s="26" t="str">
        <f>VLOOKUP($D:$D,基础资料!$A:B,2,0)</f>
        <v>07040027-9</v>
      </c>
      <c r="F91" s="26" t="str">
        <f>VLOOKUP($D:$D,基础资料!$A:C,3,0)</f>
        <v>S-小屁孩日记（9/9本一套）</v>
      </c>
      <c r="G91" s="26" t="str">
        <f>VLOOKUP($D:$D,基础资料!$A:D,4,0)</f>
        <v>\</v>
      </c>
      <c r="H91" s="26" t="str">
        <f>VLOOKUP($D:$D,基础资料!$A:E,5,0)</f>
        <v>本</v>
      </c>
      <c r="I91" s="26" t="str">
        <f>VLOOKUP($D:$D,基础资料!$A:F,6,0)</f>
        <v>书本</v>
      </c>
      <c r="J91" s="14"/>
      <c r="K91" s="14"/>
      <c r="L91" s="14">
        <v>508</v>
      </c>
      <c r="M91" s="26">
        <f>SUMIF($D:$D,D91,$L:$L)+SUMIF($D:$D,D91,$J:$J)-SUMIF($D:$D,D91,$K:$K)</f>
        <v>508</v>
      </c>
      <c r="N91" s="26">
        <f>VLOOKUP(D:D,结存!A:J,10,0)</f>
        <v>508</v>
      </c>
      <c r="O91" s="26">
        <f>M91 - N91</f>
        <v>0</v>
      </c>
    </row>
    <row r="92" spans="1:15" ht="15.6">
      <c r="A92" s="15"/>
      <c r="B92" s="17"/>
      <c r="C92" s="17"/>
      <c r="D92" s="20">
        <v>670</v>
      </c>
      <c r="E92" s="26" t="str">
        <f>VLOOKUP($D:$D,基础资料!$A:B,2,0)</f>
        <v>07040028</v>
      </c>
      <c r="F92" s="26" t="str">
        <f>VLOOKUP($D:$D,基础资料!$A:C,3,0)</f>
        <v>S-上诉辩护</v>
      </c>
      <c r="G92" s="26" t="str">
        <f>VLOOKUP($D:$D,基础资料!$A:D,4,0)</f>
        <v>\</v>
      </c>
      <c r="H92" s="26" t="str">
        <f>VLOOKUP($D:$D,基础资料!$A:E,5,0)</f>
        <v>本</v>
      </c>
      <c r="I92" s="26" t="str">
        <f>VLOOKUP($D:$D,基础资料!$A:F,6,0)</f>
        <v>书本</v>
      </c>
      <c r="J92" s="14"/>
      <c r="K92" s="14"/>
      <c r="L92" s="14">
        <v>703</v>
      </c>
      <c r="M92" s="26">
        <f>SUMIF($D:$D,D92,$L:$L)+SUMIF($D:$D,D92,$J:$J)-SUMIF($D:$D,D92,$K:$K)</f>
        <v>703</v>
      </c>
      <c r="N92" s="26">
        <f>VLOOKUP(D:D,结存!A:J,10,0)</f>
        <v>703</v>
      </c>
      <c r="O92" s="26">
        <f>M92 - N92</f>
        <v>0</v>
      </c>
    </row>
    <row r="93" spans="1:15" ht="15.6">
      <c r="A93" s="15"/>
      <c r="B93" s="17"/>
      <c r="C93" s="17"/>
      <c r="D93" s="20">
        <v>671</v>
      </c>
      <c r="E93" s="26" t="str">
        <f>VLOOKUP($D:$D,基础资料!$A:B,2,0)</f>
        <v>07040029</v>
      </c>
      <c r="F93" s="26" t="str">
        <f>VLOOKUP($D:$D,基础资料!$A:C,3,0)</f>
        <v>S-法律研究</v>
      </c>
      <c r="G93" s="26" t="str">
        <f>VLOOKUP($D:$D,基础资料!$A:D,4,0)</f>
        <v>\</v>
      </c>
      <c r="H93" s="26" t="str">
        <f>VLOOKUP($D:$D,基础资料!$A:E,5,0)</f>
        <v>本</v>
      </c>
      <c r="I93" s="26" t="str">
        <f>VLOOKUP($D:$D,基础资料!$A:F,6,0)</f>
        <v>书本</v>
      </c>
      <c r="J93" s="14"/>
      <c r="K93" s="14"/>
      <c r="L93" s="14">
        <v>807</v>
      </c>
      <c r="M93" s="26">
        <f>SUMIF($D:$D,D93,$L:$L)+SUMIF($D:$D,D93,$J:$J)-SUMIF($D:$D,D93,$K:$K)</f>
        <v>807</v>
      </c>
      <c r="N93" s="26">
        <f>VLOOKUP(D:D,结存!A:J,10,0)</f>
        <v>807</v>
      </c>
      <c r="O93" s="26">
        <f>M93 - N93</f>
        <v>0</v>
      </c>
    </row>
    <row r="94" spans="1:15" ht="15.6">
      <c r="A94" s="15"/>
      <c r="B94" s="17"/>
      <c r="C94" s="17"/>
      <c r="D94" s="20">
        <v>672</v>
      </c>
      <c r="E94" s="26" t="str">
        <f>VLOOKUP($D:$D,基础资料!$A:B,2,0)</f>
        <v>07040030</v>
      </c>
      <c r="F94" s="26" t="str">
        <f>VLOOKUP($D:$D,基础资料!$A:C,3,0)</f>
        <v>S-法律写作和分析</v>
      </c>
      <c r="G94" s="26" t="str">
        <f>VLOOKUP($D:$D,基础资料!$A:D,4,0)</f>
        <v>\</v>
      </c>
      <c r="H94" s="26" t="str">
        <f>VLOOKUP($D:$D,基础资料!$A:E,5,0)</f>
        <v>本</v>
      </c>
      <c r="I94" s="26" t="str">
        <f>VLOOKUP($D:$D,基础资料!$A:F,6,0)</f>
        <v>书本</v>
      </c>
      <c r="J94" s="14"/>
      <c r="K94" s="14"/>
      <c r="L94" s="14">
        <v>0</v>
      </c>
      <c r="M94" s="26">
        <f>SUMIF($D:$D,D94,$L:$L)+SUMIF($D:$D,D94,$J:$J)-SUMIF($D:$D,D94,$K:$K)</f>
        <v>712</v>
      </c>
      <c r="N94" s="26">
        <f>VLOOKUP(D:D,结存!A:J,10,0)</f>
        <v>712</v>
      </c>
      <c r="O94" s="26">
        <f>M94 - N94</f>
        <v>0</v>
      </c>
    </row>
    <row r="95" spans="1:15" ht="15.6">
      <c r="A95" s="15"/>
      <c r="B95" s="17"/>
      <c r="C95" s="17"/>
      <c r="D95" s="20">
        <v>673</v>
      </c>
      <c r="E95" s="26" t="str">
        <f>VLOOKUP($D:$D,基础资料!$A:B,2,0)</f>
        <v>07040031</v>
      </c>
      <c r="F95" s="26" t="str">
        <f>VLOOKUP($D:$D,基础资料!$A:C,3,0)</f>
        <v>S-电子和计算机考试学习指南</v>
      </c>
      <c r="G95" s="26" t="str">
        <f>VLOOKUP($D:$D,基础资料!$A:D,4,0)</f>
        <v>\</v>
      </c>
      <c r="H95" s="26" t="str">
        <f>VLOOKUP($D:$D,基础资料!$A:E,5,0)</f>
        <v>本</v>
      </c>
      <c r="I95" s="26" t="str">
        <f>VLOOKUP($D:$D,基础资料!$A:F,6,0)</f>
        <v>书本</v>
      </c>
      <c r="J95" s="14"/>
      <c r="K95" s="14"/>
      <c r="L95" s="14">
        <v>719</v>
      </c>
      <c r="M95" s="26">
        <f>SUMIF($D:$D,D95,$L:$L)+SUMIF($D:$D,D95,$J:$J)-SUMIF($D:$D,D95,$K:$K)</f>
        <v>719</v>
      </c>
      <c r="N95" s="26">
        <f>VLOOKUP(D:D,结存!A:J,10,0)</f>
        <v>719</v>
      </c>
      <c r="O95" s="26">
        <f>M95 - N95</f>
        <v>0</v>
      </c>
    </row>
    <row r="96" spans="1:15" ht="15.6">
      <c r="A96" s="15"/>
      <c r="B96" s="17"/>
      <c r="C96" s="17"/>
      <c r="D96" s="20">
        <v>674</v>
      </c>
      <c r="E96" s="26" t="str">
        <f>VLOOKUP($D:$D,基础资料!$A:B,2,0)</f>
        <v>07040032</v>
      </c>
      <c r="F96" s="26" t="str">
        <f>VLOOKUP($D:$D,基础资料!$A:C,3,0)</f>
        <v>S-民事诉讼</v>
      </c>
      <c r="G96" s="26" t="str">
        <f>VLOOKUP($D:$D,基础资料!$A:D,4,0)</f>
        <v>\</v>
      </c>
      <c r="H96" s="26" t="str">
        <f>VLOOKUP($D:$D,基础资料!$A:E,5,0)</f>
        <v>本</v>
      </c>
      <c r="I96" s="26" t="str">
        <f>VLOOKUP($D:$D,基础资料!$A:F,6,0)</f>
        <v>书本</v>
      </c>
      <c r="J96" s="14"/>
      <c r="K96" s="14"/>
      <c r="L96" s="14">
        <v>710</v>
      </c>
      <c r="M96" s="26">
        <f>SUMIF($D:$D,D96,$L:$L)+SUMIF($D:$D,D96,$J:$J)-SUMIF($D:$D,D96,$K:$K)</f>
        <v>707</v>
      </c>
      <c r="N96" s="26">
        <f>VLOOKUP(D:D,结存!A:J,10,0)</f>
        <v>707</v>
      </c>
      <c r="O96" s="26">
        <f>M96 - N96</f>
        <v>0</v>
      </c>
    </row>
    <row r="97" spans="1:15" ht="15.6">
      <c r="A97" s="15"/>
      <c r="B97" s="17"/>
      <c r="C97" s="17"/>
      <c r="D97" s="20">
        <v>675</v>
      </c>
      <c r="E97" s="26" t="str">
        <f>VLOOKUP($D:$D,基础资料!$A:B,2,0)</f>
        <v>07040033</v>
      </c>
      <c r="F97" s="26" t="str">
        <f>VLOOKUP($D:$D,基础资料!$A:C,3,0)</f>
        <v>S-机械实践</v>
      </c>
      <c r="G97" s="26" t="str">
        <f>VLOOKUP($D:$D,基础资料!$A:D,4,0)</f>
        <v>\</v>
      </c>
      <c r="H97" s="26" t="str">
        <f>VLOOKUP($D:$D,基础资料!$A:E,5,0)</f>
        <v>本</v>
      </c>
      <c r="I97" s="26" t="str">
        <f>VLOOKUP($D:$D,基础资料!$A:F,6,0)</f>
        <v>书本</v>
      </c>
      <c r="J97" s="14"/>
      <c r="K97" s="14"/>
      <c r="L97" s="14">
        <v>513</v>
      </c>
      <c r="M97" s="26">
        <f>SUMIF($D:$D,D97,$L:$L)+SUMIF($D:$D,D97,$J:$J)-SUMIF($D:$D,D97,$K:$K)</f>
        <v>463</v>
      </c>
      <c r="N97" s="26">
        <f>VLOOKUP(D:D,结存!A:J,10,0)</f>
        <v>463</v>
      </c>
      <c r="O97" s="26">
        <f>M97 - N97</f>
        <v>0</v>
      </c>
    </row>
    <row r="98" spans="1:15" ht="15.6">
      <c r="A98" s="15"/>
      <c r="B98" s="17"/>
      <c r="C98" s="17"/>
      <c r="D98" s="20">
        <v>629</v>
      </c>
      <c r="E98" s="26" t="str">
        <f>VLOOKUP($D:$D,基础资料!$A:B,2,0)</f>
        <v>07030005</v>
      </c>
      <c r="F98" s="26" t="str">
        <f>VLOOKUP($D:$D,基础资料!$A:C,3,0)</f>
        <v>蓝卡-穿越时空的少女  1BD+2DVD</v>
      </c>
      <c r="G98" s="26" t="str">
        <f>VLOOKUP($D:$D,基础资料!$A:D,4,0)</f>
        <v>3</v>
      </c>
      <c r="H98" s="26" t="str">
        <f>VLOOKUP($D:$D,基础资料!$A:E,5,0)</f>
        <v>套</v>
      </c>
      <c r="I98" s="26" t="str">
        <f>VLOOKUP($D:$D,基础资料!$A:F,6,0)</f>
        <v>蓝光卡通</v>
      </c>
      <c r="J98" s="14"/>
      <c r="K98" s="14"/>
      <c r="L98" s="14">
        <v>77</v>
      </c>
      <c r="M98" s="26">
        <f>SUMIF($D:$D,D98,$L:$L)+SUMIF($D:$D,D98,$J:$J)-SUMIF($D:$D,D98,$K:$K)</f>
        <v>77</v>
      </c>
      <c r="N98" s="26">
        <f>VLOOKUP(D:D,结存!A:J,10,0)</f>
        <v>77</v>
      </c>
      <c r="O98" s="26">
        <f>M98 - N98</f>
        <v>0</v>
      </c>
    </row>
    <row r="99" spans="1:15" ht="15.6">
      <c r="A99" s="15"/>
      <c r="B99" s="17"/>
      <c r="C99" s="17"/>
      <c r="D99" s="20">
        <v>676</v>
      </c>
      <c r="E99" s="26" t="str">
        <f>VLOOKUP($D:$D,基础资料!$A:B,2,0)</f>
        <v>07040034</v>
      </c>
      <c r="F99" s="26" t="str">
        <f>VLOOKUP($D:$D,基础资料!$A:C,3,0)</f>
        <v>S-程序员考试</v>
      </c>
      <c r="G99" s="26" t="str">
        <f>VLOOKUP($D:$D,基础资料!$A:D,4,0)</f>
        <v>\</v>
      </c>
      <c r="H99" s="26" t="str">
        <f>VLOOKUP($D:$D,基础资料!$A:E,5,0)</f>
        <v>本</v>
      </c>
      <c r="I99" s="26" t="str">
        <f>VLOOKUP($D:$D,基础资料!$A:F,6,0)</f>
        <v>书本</v>
      </c>
      <c r="J99" s="14"/>
      <c r="K99" s="14"/>
      <c r="L99" s="14">
        <v>1422</v>
      </c>
      <c r="M99" s="26">
        <f>SUMIF($D:$D,D99,$L:$L)+SUMIF($D:$D,D99,$J:$J)-SUMIF($D:$D,D99,$K:$K)</f>
        <v>1412</v>
      </c>
      <c r="N99" s="26">
        <f>VLOOKUP(D:D,结存!A:J,10,0)</f>
        <v>1412</v>
      </c>
      <c r="O99" s="26">
        <f>M99 - N99</f>
        <v>0</v>
      </c>
    </row>
    <row r="100" spans="1:15" ht="15.6">
      <c r="A100" s="15">
        <v>42668</v>
      </c>
      <c r="B100" s="17" t="s">
        <v>847</v>
      </c>
      <c r="C100" s="17"/>
      <c r="D100" s="20">
        <v>607</v>
      </c>
      <c r="E100" s="26" t="str">
        <f>VLOOKUP($D:$D,基础资料!$A:B,2,0)</f>
        <v>07020039</v>
      </c>
      <c r="F100" s="26" t="str">
        <f>VLOOKUP($D:$D,基础资料!$A:C,3,0)</f>
        <v>蓝影-钢之炼金术师：兄弟会（上）  4BD</v>
      </c>
      <c r="G100" s="26" t="str">
        <f>VLOOKUP($D:$D,基础资料!$A:D,4,0)</f>
        <v>4</v>
      </c>
      <c r="H100" s="26" t="str">
        <f>VLOOKUP($D:$D,基础资料!$A:E,5,0)</f>
        <v>套</v>
      </c>
      <c r="I100" s="26" t="str">
        <f>VLOOKUP($D:$D,基础资料!$A:F,6,0)</f>
        <v>蓝光电影</v>
      </c>
      <c r="J100" s="14"/>
      <c r="K100" s="14">
        <v>5</v>
      </c>
      <c r="L100" s="14"/>
      <c r="M100" s="26">
        <f>SUMIF($D:$D,D100,$L:$L)+SUMIF($D:$D,D100,$J:$J)-SUMIF($D:$D,D100,$K:$K)</f>
        <v>72</v>
      </c>
      <c r="N100" s="26">
        <f>VLOOKUP(D:D,结存!A:J,10,0)</f>
        <v>72</v>
      </c>
      <c r="O100" s="26">
        <f>M100 - N100</f>
        <v>0</v>
      </c>
    </row>
    <row r="101" spans="1:15" ht="15.6">
      <c r="A101" s="15">
        <v>42668</v>
      </c>
      <c r="B101" s="17" t="s">
        <v>847</v>
      </c>
      <c r="C101" s="17"/>
      <c r="D101" s="20">
        <v>608</v>
      </c>
      <c r="E101" s="26" t="str">
        <f>VLOOKUP($D:$D,基础资料!$A:B,2,0)</f>
        <v>07020040</v>
      </c>
      <c r="F101" s="26" t="str">
        <f>VLOOKUP($D:$D,基础资料!$A:C,3,0)</f>
        <v>蓝影-钢之炼金术师：兄弟会（下）  4BD</v>
      </c>
      <c r="G101" s="26" t="str">
        <f>VLOOKUP($D:$D,基础资料!$A:D,4,0)</f>
        <v>4</v>
      </c>
      <c r="H101" s="26" t="str">
        <f>VLOOKUP($D:$D,基础资料!$A:E,5,0)</f>
        <v>套</v>
      </c>
      <c r="I101" s="26" t="str">
        <f>VLOOKUP($D:$D,基础资料!$A:F,6,0)</f>
        <v>蓝光电影</v>
      </c>
      <c r="J101" s="14"/>
      <c r="K101" s="14">
        <v>5</v>
      </c>
      <c r="L101" s="14"/>
      <c r="M101" s="26">
        <f>SUMIF($D:$D,D101,$L:$L)+SUMIF($D:$D,D101,$J:$J)-SUMIF($D:$D,D101,$K:$K)</f>
        <v>77</v>
      </c>
      <c r="N101" s="26">
        <f>VLOOKUP(D:D,结存!A:J,10,0)</f>
        <v>77</v>
      </c>
      <c r="O101" s="26">
        <f>M101 - N101</f>
        <v>0</v>
      </c>
    </row>
    <row r="102" spans="1:15" ht="15.6">
      <c r="A102" s="15">
        <v>42668</v>
      </c>
      <c r="B102" s="17" t="s">
        <v>848</v>
      </c>
      <c r="C102" s="17"/>
      <c r="D102" s="20">
        <v>640</v>
      </c>
      <c r="E102" s="26" t="str">
        <f>VLOOKUP($D:$D,基础资料!$A:B,2,0)</f>
        <v>0704000035</v>
      </c>
      <c r="F102" s="26" t="str">
        <f>VLOOKUP($D:$D,基础资料!$A:C,3,0)</f>
        <v>S-商业：一个不断变化的世界</v>
      </c>
      <c r="G102" s="26" t="str">
        <f>VLOOKUP($D:$D,基础资料!$A:D,4,0)</f>
        <v>\</v>
      </c>
      <c r="H102" s="26" t="str">
        <f>VLOOKUP($D:$D,基础资料!$A:E,5,0)</f>
        <v>本</v>
      </c>
      <c r="I102" s="26" t="str">
        <f>VLOOKUP($D:$D,基础资料!$A:F,6,0)</f>
        <v>书本</v>
      </c>
      <c r="J102" s="14"/>
      <c r="K102" s="14">
        <v>10</v>
      </c>
      <c r="L102" s="14"/>
      <c r="M102" s="26">
        <f>SUMIF($D:$D,D102,$L:$L)+SUMIF($D:$D,D102,$J:$J)-SUMIF($D:$D,D102,$K:$K)</f>
        <v>474</v>
      </c>
      <c r="N102" s="26">
        <f>VLOOKUP(D:D,结存!A:J,10,0)</f>
        <v>474</v>
      </c>
      <c r="O102" s="26">
        <f>M102 - N102</f>
        <v>0</v>
      </c>
    </row>
    <row r="103" spans="1:15" ht="15.6">
      <c r="A103" s="15">
        <v>42668</v>
      </c>
      <c r="B103" s="17" t="s">
        <v>849</v>
      </c>
      <c r="C103" s="17"/>
      <c r="D103" s="20">
        <v>644</v>
      </c>
      <c r="E103" s="26" t="str">
        <f>VLOOKUP($D:$D,基础资料!$A:B,2,0)</f>
        <v>0704000293</v>
      </c>
      <c r="F103" s="26" t="str">
        <f>VLOOKUP($D:$D,基础资料!$A:C,3,0)</f>
        <v>S-环境经济学</v>
      </c>
      <c r="G103" s="26" t="str">
        <f>VLOOKUP($D:$D,基础资料!$A:D,4,0)</f>
        <v>\</v>
      </c>
      <c r="H103" s="26" t="str">
        <f>VLOOKUP($D:$D,基础资料!$A:E,5,0)</f>
        <v>本</v>
      </c>
      <c r="I103" s="26" t="str">
        <f>VLOOKUP($D:$D,基础资料!$A:F,6,0)</f>
        <v>书本</v>
      </c>
      <c r="J103" s="14"/>
      <c r="K103" s="14">
        <v>100</v>
      </c>
      <c r="L103" s="14"/>
      <c r="M103" s="26">
        <f>SUMIF($D:$D,D103,$L:$L)+SUMIF($D:$D,D103,$J:$J)-SUMIF($D:$D,D103,$K:$K)</f>
        <v>419</v>
      </c>
      <c r="N103" s="26">
        <f>VLOOKUP(D:D,结存!A:J,10,0)</f>
        <v>419</v>
      </c>
      <c r="O103" s="26">
        <f>M103 - N103</f>
        <v>0</v>
      </c>
    </row>
    <row r="104" spans="1:15" ht="15.6">
      <c r="A104" s="15">
        <v>42668</v>
      </c>
      <c r="B104" s="17" t="s">
        <v>848</v>
      </c>
      <c r="C104" s="17"/>
      <c r="D104" s="20">
        <v>648</v>
      </c>
      <c r="E104" s="26" t="str">
        <f>VLOOKUP($D:$D,基础资料!$A:B,2,0)</f>
        <v>07040006</v>
      </c>
      <c r="F104" s="26" t="str">
        <f>VLOOKUP($D:$D,基础资料!$A:C,3,0)</f>
        <v>S-大众传媒法</v>
      </c>
      <c r="G104" s="26" t="str">
        <f>VLOOKUP($D:$D,基础资料!$A:D,4,0)</f>
        <v>\</v>
      </c>
      <c r="H104" s="26" t="str">
        <f>VLOOKUP($D:$D,基础资料!$A:E,5,0)</f>
        <v>本</v>
      </c>
      <c r="I104" s="26" t="str">
        <f>VLOOKUP($D:$D,基础资料!$A:F,6,0)</f>
        <v>书本</v>
      </c>
      <c r="J104" s="14"/>
      <c r="K104" s="14">
        <v>50</v>
      </c>
      <c r="L104" s="14"/>
      <c r="M104" s="26">
        <f>SUMIF($D:$D,D104,$L:$L)+SUMIF($D:$D,D104,$J:$J)-SUMIF($D:$D,D104,$K:$K)</f>
        <v>19</v>
      </c>
      <c r="N104" s="26">
        <f>VLOOKUP(D:D,结存!A:J,10,0)</f>
        <v>19</v>
      </c>
      <c r="O104" s="26">
        <f>M104 - N104</f>
        <v>0</v>
      </c>
    </row>
    <row r="105" spans="1:15" ht="15.6">
      <c r="A105" s="15">
        <v>42669</v>
      </c>
      <c r="B105" s="17" t="s">
        <v>850</v>
      </c>
      <c r="C105" s="17"/>
      <c r="D105" s="20">
        <v>539</v>
      </c>
      <c r="E105" s="26" t="str">
        <f>VLOOKUP($D:$D,基础资料!$A:B,2,0)</f>
        <v>07010013</v>
      </c>
      <c r="F105" s="26" t="str">
        <f>VLOOKUP($D:$D,基础资料!$A:C,3,0)</f>
        <v>蓝剧-黑色孤儿第3季  2BD</v>
      </c>
      <c r="G105" s="26" t="str">
        <f>VLOOKUP($D:$D,基础资料!$A:D,4,0)</f>
        <v>2</v>
      </c>
      <c r="H105" s="26" t="str">
        <f>VLOOKUP($D:$D,基础资料!$A:E,5,0)</f>
        <v>套</v>
      </c>
      <c r="I105" s="26" t="str">
        <f>VLOOKUP($D:$D,基础资料!$A:F,6,0)</f>
        <v>蓝光电视剧</v>
      </c>
      <c r="J105" s="14">
        <v>4</v>
      </c>
      <c r="K105" s="14"/>
      <c r="L105" s="14"/>
      <c r="M105" s="26">
        <f>SUMIF($D:$D,D105,$L:$L)+SUMIF($D:$D,D105,$J:$J)-SUMIF($D:$D,D105,$K:$K)</f>
        <v>86</v>
      </c>
      <c r="N105" s="26">
        <f>VLOOKUP(D:D,结存!A:J,10,0)</f>
        <v>86</v>
      </c>
      <c r="O105" s="26">
        <f>M105 - N105</f>
        <v>0</v>
      </c>
    </row>
    <row r="106" spans="1:15" ht="15.6">
      <c r="A106" s="15">
        <v>42669</v>
      </c>
      <c r="B106" s="17" t="s">
        <v>851</v>
      </c>
      <c r="C106" s="17"/>
      <c r="D106" s="20">
        <v>568</v>
      </c>
      <c r="E106" s="26" t="str">
        <f>VLOOKUP($D:$D,基础资料!$A:B,2,0)</f>
        <v>0702000032</v>
      </c>
      <c r="F106" s="26" t="str">
        <f>VLOOKUP($D:$D,基础资料!$A:C,3,0)</f>
        <v>蓝影年轻气盛1BD</v>
      </c>
      <c r="G106" s="26" t="str">
        <f>VLOOKUP($D:$D,基础资料!$A:D,4,0)</f>
        <v>1</v>
      </c>
      <c r="H106" s="26" t="str">
        <f>VLOOKUP($D:$D,基础资料!$A:E,5,0)</f>
        <v>套</v>
      </c>
      <c r="I106" s="26" t="str">
        <f>VLOOKUP($D:$D,基础资料!$A:F,6,0)</f>
        <v>蓝光电影</v>
      </c>
      <c r="J106" s="14">
        <v>1</v>
      </c>
      <c r="K106" s="14"/>
      <c r="L106" s="14"/>
      <c r="M106" s="26">
        <f>SUMIF($D:$D,D106,$L:$L)+SUMIF($D:$D,D106,$J:$J)-SUMIF($D:$D,D106,$K:$K)</f>
        <v>95</v>
      </c>
      <c r="N106" s="26">
        <f>VLOOKUP(D:D,结存!A:J,10,0)</f>
        <v>95</v>
      </c>
      <c r="O106" s="26">
        <f>M106 - N106</f>
        <v>0</v>
      </c>
    </row>
    <row r="107" spans="1:15" ht="15.6">
      <c r="A107" s="15">
        <v>42669</v>
      </c>
      <c r="B107" s="17" t="s">
        <v>852</v>
      </c>
      <c r="C107" s="17"/>
      <c r="D107" s="20">
        <v>568</v>
      </c>
      <c r="E107" s="26" t="str">
        <f>VLOOKUP($D:$D,基础资料!$A:B,2,0)</f>
        <v>0702000032</v>
      </c>
      <c r="F107" s="26" t="str">
        <f>VLOOKUP($D:$D,基础资料!$A:C,3,0)</f>
        <v>蓝影年轻气盛1BD</v>
      </c>
      <c r="G107" s="26" t="str">
        <f>VLOOKUP($D:$D,基础资料!$A:D,4,0)</f>
        <v>1</v>
      </c>
      <c r="H107" s="26" t="str">
        <f>VLOOKUP($D:$D,基础资料!$A:E,5,0)</f>
        <v>套</v>
      </c>
      <c r="I107" s="26" t="str">
        <f>VLOOKUP($D:$D,基础资料!$A:F,6,0)</f>
        <v>蓝光电影</v>
      </c>
      <c r="J107" s="14"/>
      <c r="K107" s="14">
        <v>1</v>
      </c>
      <c r="L107" s="14"/>
      <c r="M107" s="26">
        <f>SUMIF($D:$D,D107,$L:$L)+SUMIF($D:$D,D107,$J:$J)-SUMIF($D:$D,D107,$K:$K)</f>
        <v>95</v>
      </c>
      <c r="N107" s="26">
        <f>VLOOKUP(D:D,结存!A:J,10,0)</f>
        <v>95</v>
      </c>
      <c r="O107" s="26">
        <f>M107 - N107</f>
        <v>0</v>
      </c>
    </row>
    <row r="108" spans="1:15" ht="15.6">
      <c r="A108" s="15">
        <v>42669</v>
      </c>
      <c r="B108" s="17" t="s">
        <v>852</v>
      </c>
      <c r="C108" s="17"/>
      <c r="D108" s="20">
        <v>590</v>
      </c>
      <c r="E108" s="26" t="str">
        <f>VLOOKUP($D:$D,基础资料!$A:B,2,0)</f>
        <v>07020022</v>
      </c>
      <c r="F108" s="26" t="str">
        <f>VLOOKUP($D:$D,基础资料!$A:C,3,0)</f>
        <v>蓝影-美国不为人知的历史 1BD</v>
      </c>
      <c r="G108" s="26" t="str">
        <f>VLOOKUP($D:$D,基础资料!$A:D,4,0)</f>
        <v>1</v>
      </c>
      <c r="H108" s="26" t="str">
        <f>VLOOKUP($D:$D,基础资料!$A:E,5,0)</f>
        <v>套</v>
      </c>
      <c r="I108" s="26" t="str">
        <f>VLOOKUP($D:$D,基础资料!$A:F,6,0)</f>
        <v>蓝光电影</v>
      </c>
      <c r="J108" s="14"/>
      <c r="K108" s="14">
        <v>1</v>
      </c>
      <c r="L108" s="14"/>
      <c r="M108" s="26">
        <f>SUMIF($D:$D,D108,$L:$L)+SUMIF($D:$D,D108,$J:$J)-SUMIF($D:$D,D108,$K:$K)</f>
        <v>88</v>
      </c>
      <c r="N108" s="26">
        <f>VLOOKUP(D:D,结存!A:J,10,0)</f>
        <v>88</v>
      </c>
      <c r="O108" s="26">
        <f>M108 - N108</f>
        <v>0</v>
      </c>
    </row>
    <row r="109" spans="1:15" ht="15.6">
      <c r="A109" s="15">
        <v>42669</v>
      </c>
      <c r="B109" s="17"/>
      <c r="C109" s="17"/>
      <c r="D109" s="20">
        <v>594</v>
      </c>
      <c r="E109" s="26" t="str">
        <f>VLOOKUP($D:$D,基础资料!$A:B,2,0)</f>
        <v>07020026</v>
      </c>
      <c r="F109" s="26" t="str">
        <f>VLOOKUP($D:$D,基础资料!$A:C,3,0)</f>
        <v>蓝影-耐撕侦探1BD+1DVD</v>
      </c>
      <c r="G109" s="26" t="str">
        <f>VLOOKUP($D:$D,基础资料!$A:D,4,0)</f>
        <v>2</v>
      </c>
      <c r="H109" s="26" t="str">
        <f>VLOOKUP($D:$D,基础资料!$A:E,5,0)</f>
        <v>套</v>
      </c>
      <c r="I109" s="26" t="str">
        <f>VLOOKUP($D:$D,基础资料!$A:F,6,0)</f>
        <v>蓝光电影</v>
      </c>
      <c r="J109" s="14">
        <v>1</v>
      </c>
      <c r="K109" s="14"/>
      <c r="L109" s="14"/>
      <c r="M109" s="26">
        <f>SUMIF($D:$D,D109,$L:$L)+SUMIF($D:$D,D109,$J:$J)-SUMIF($D:$D,D109,$K:$K)</f>
        <v>95</v>
      </c>
      <c r="N109" s="26">
        <f>VLOOKUP(D:D,结存!A:J,10,0)</f>
        <v>95</v>
      </c>
      <c r="O109" s="26">
        <f>M109 - N109</f>
        <v>0</v>
      </c>
    </row>
    <row r="110" spans="1:15" ht="15.6">
      <c r="A110" s="15">
        <v>42669</v>
      </c>
      <c r="B110" s="17" t="s">
        <v>852</v>
      </c>
      <c r="C110" s="17"/>
      <c r="D110" s="20">
        <v>594</v>
      </c>
      <c r="E110" s="26" t="str">
        <f>VLOOKUP($D:$D,基础资料!$A:B,2,0)</f>
        <v>07020026</v>
      </c>
      <c r="F110" s="26" t="str">
        <f>VLOOKUP($D:$D,基础资料!$A:C,3,0)</f>
        <v>蓝影-耐撕侦探1BD+1DVD</v>
      </c>
      <c r="G110" s="26" t="str">
        <f>VLOOKUP($D:$D,基础资料!$A:D,4,0)</f>
        <v>2</v>
      </c>
      <c r="H110" s="26" t="str">
        <f>VLOOKUP($D:$D,基础资料!$A:E,5,0)</f>
        <v>套</v>
      </c>
      <c r="I110" s="26" t="str">
        <f>VLOOKUP($D:$D,基础资料!$A:F,6,0)</f>
        <v>蓝光电影</v>
      </c>
      <c r="J110" s="14"/>
      <c r="K110" s="14">
        <v>1</v>
      </c>
      <c r="L110" s="14"/>
      <c r="M110" s="26">
        <f>SUMIF($D:$D,D110,$L:$L)+SUMIF($D:$D,D110,$J:$J)-SUMIF($D:$D,D110,$K:$K)</f>
        <v>95</v>
      </c>
      <c r="N110" s="26">
        <f>VLOOKUP(D:D,结存!A:J,10,0)</f>
        <v>95</v>
      </c>
      <c r="O110" s="26">
        <f>M110 - N110</f>
        <v>0</v>
      </c>
    </row>
    <row r="111" spans="1:15" ht="15.6">
      <c r="A111" s="15">
        <v>42669</v>
      </c>
      <c r="B111" s="17" t="s">
        <v>852</v>
      </c>
      <c r="C111" s="17"/>
      <c r="D111" s="20">
        <v>599</v>
      </c>
      <c r="E111" s="26" t="str">
        <f>VLOOKUP($D:$D,基础资料!$A:B,2,0)</f>
        <v>07020031</v>
      </c>
      <c r="F111" s="26" t="str">
        <f>VLOOKUP($D:$D,基础资料!$A:C,3,0)</f>
        <v>蓝影-杀死一只知更鸟1BD</v>
      </c>
      <c r="G111" s="26" t="str">
        <f>VLOOKUP($D:$D,基础资料!$A:D,4,0)</f>
        <v>1</v>
      </c>
      <c r="H111" s="26" t="str">
        <f>VLOOKUP($D:$D,基础资料!$A:E,5,0)</f>
        <v>套</v>
      </c>
      <c r="I111" s="26" t="str">
        <f>VLOOKUP($D:$D,基础资料!$A:F,6,0)</f>
        <v>蓝光电影</v>
      </c>
      <c r="J111" s="14"/>
      <c r="K111" s="14">
        <v>1</v>
      </c>
      <c r="L111" s="14"/>
      <c r="M111" s="26">
        <f>SUMIF($D:$D,D111,$L:$L)+SUMIF($D:$D,D111,$J:$J)-SUMIF($D:$D,D111,$K:$K)</f>
        <v>78</v>
      </c>
      <c r="N111" s="26">
        <f>VLOOKUP(D:D,结存!A:J,10,0)</f>
        <v>78</v>
      </c>
      <c r="O111" s="26">
        <f>M111 - N111</f>
        <v>0</v>
      </c>
    </row>
    <row r="112" spans="1:15" ht="15.6">
      <c r="A112" s="15">
        <v>42669</v>
      </c>
      <c r="B112" s="17" t="s">
        <v>853</v>
      </c>
      <c r="C112" s="17"/>
      <c r="D112" s="20">
        <v>607</v>
      </c>
      <c r="E112" s="26" t="str">
        <f>VLOOKUP($D:$D,基础资料!$A:B,2,0)</f>
        <v>07020039</v>
      </c>
      <c r="F112" s="26" t="str">
        <f>VLOOKUP($D:$D,基础资料!$A:C,3,0)</f>
        <v>蓝影-钢之炼金术师：兄弟会（上）  4BD</v>
      </c>
      <c r="G112" s="26" t="str">
        <f>VLOOKUP($D:$D,基础资料!$A:D,4,0)</f>
        <v>4</v>
      </c>
      <c r="H112" s="26" t="str">
        <f>VLOOKUP($D:$D,基础资料!$A:E,5,0)</f>
        <v>套</v>
      </c>
      <c r="I112" s="26" t="str">
        <f>VLOOKUP($D:$D,基础资料!$A:F,6,0)</f>
        <v>蓝光电影</v>
      </c>
      <c r="J112" s="14"/>
      <c r="K112" s="14">
        <v>4</v>
      </c>
      <c r="L112" s="14"/>
      <c r="M112" s="26">
        <f>SUMIF($D:$D,D112,$L:$L)+SUMIF($D:$D,D112,$J:$J)-SUMIF($D:$D,D112,$K:$K)</f>
        <v>72</v>
      </c>
      <c r="N112" s="26">
        <f>VLOOKUP(D:D,结存!A:J,10,0)</f>
        <v>72</v>
      </c>
      <c r="O112" s="26">
        <f>M112 - N112</f>
        <v>0</v>
      </c>
    </row>
    <row r="113" spans="1:15" ht="15.6">
      <c r="A113" s="15">
        <v>42669</v>
      </c>
      <c r="B113" s="17" t="s">
        <v>854</v>
      </c>
      <c r="C113" s="17"/>
      <c r="D113" s="20">
        <v>633</v>
      </c>
      <c r="E113" s="26" t="str">
        <f>VLOOKUP($D:$D,基础资料!$A:B,2,0)</f>
        <v>07030009</v>
      </c>
      <c r="F113" s="26" t="str">
        <f>VLOOKUP($D:$D,基础资料!$A:C,3,0)</f>
        <v>蓝卡-星际牛仔  4BD</v>
      </c>
      <c r="G113" s="26" t="str">
        <f>VLOOKUP($D:$D,基础资料!$A:D,4,0)</f>
        <v>4</v>
      </c>
      <c r="H113" s="26" t="str">
        <f>VLOOKUP($D:$D,基础资料!$A:E,5,0)</f>
        <v>套</v>
      </c>
      <c r="I113" s="26" t="str">
        <f>VLOOKUP($D:$D,基础资料!$A:F,6,0)</f>
        <v>蓝光卡通</v>
      </c>
      <c r="J113" s="14"/>
      <c r="K113" s="14">
        <v>2</v>
      </c>
      <c r="L113" s="14"/>
      <c r="M113" s="26">
        <f>SUMIF($D:$D,D113,$L:$L)+SUMIF($D:$D,D113,$J:$J)-SUMIF($D:$D,D113,$K:$K)</f>
        <v>9</v>
      </c>
      <c r="N113" s="26">
        <f>VLOOKUP(D:D,结存!A:J,10,0)</f>
        <v>9</v>
      </c>
      <c r="O113" s="26">
        <f>M113 - N113</f>
        <v>0</v>
      </c>
    </row>
    <row r="114" spans="1:15" ht="15.6">
      <c r="A114" s="15">
        <v>42669</v>
      </c>
      <c r="B114" s="17" t="s">
        <v>855</v>
      </c>
      <c r="C114" s="17"/>
      <c r="D114" s="20">
        <v>688</v>
      </c>
      <c r="E114" s="26">
        <f>VLOOKUP($D:$D,基础资料!$A:B,2,0)</f>
        <v>9090003</v>
      </c>
      <c r="F114" s="26" t="str">
        <f>VLOOKUP($D:$D,基础资料!$A:C,3,0)</f>
        <v>蓝光瑞壳和莫蒂第1季1BD</v>
      </c>
      <c r="G114" s="26" t="str">
        <f>VLOOKUP($D:$D,基础资料!$A:D,4,0)</f>
        <v>\</v>
      </c>
      <c r="H114" s="26" t="str">
        <f>VLOOKUP($D:$D,基础资料!$A:E,5,0)</f>
        <v>套</v>
      </c>
      <c r="I114" s="26" t="str">
        <f>VLOOKUP($D:$D,基础资料!$A:F,6,0)</f>
        <v>蓝光电影</v>
      </c>
      <c r="J114" s="14">
        <v>1</v>
      </c>
      <c r="K114" s="14"/>
      <c r="L114" s="14"/>
      <c r="M114" s="26">
        <f>SUMIF($D:$D,D114,$L:$L)+SUMIF($D:$D,D114,$J:$J)-SUMIF($D:$D,D114,$K:$K)</f>
        <v>0</v>
      </c>
      <c r="N114" s="26">
        <f>VLOOKUP(D:D,结存!A:J,10,0)</f>
        <v>0</v>
      </c>
      <c r="O114" s="26">
        <f>M114 - N114</f>
        <v>0</v>
      </c>
    </row>
    <row r="115" spans="1:15" ht="15.6">
      <c r="A115" s="15">
        <v>42669</v>
      </c>
      <c r="B115" s="17" t="s">
        <v>857</v>
      </c>
      <c r="C115" s="17"/>
      <c r="D115" s="20">
        <v>688</v>
      </c>
      <c r="E115" s="26">
        <f>VLOOKUP($D:$D,基础资料!$A:B,2,0)</f>
        <v>9090003</v>
      </c>
      <c r="F115" s="26" t="str">
        <f>VLOOKUP($D:$D,基础资料!$A:C,3,0)</f>
        <v>蓝光瑞壳和莫蒂第1季1BD</v>
      </c>
      <c r="G115" s="26" t="str">
        <f>VLOOKUP($D:$D,基础资料!$A:D,4,0)</f>
        <v>\</v>
      </c>
      <c r="H115" s="26" t="str">
        <f>VLOOKUP($D:$D,基础资料!$A:E,5,0)</f>
        <v>套</v>
      </c>
      <c r="I115" s="26" t="str">
        <f>VLOOKUP($D:$D,基础资料!$A:F,6,0)</f>
        <v>蓝光电影</v>
      </c>
      <c r="J115" s="14"/>
      <c r="K115" s="14">
        <v>1</v>
      </c>
      <c r="L115" s="14"/>
      <c r="M115" s="26">
        <f>SUMIF($D:$D,D115,$L:$L)+SUMIF($D:$D,D115,$J:$J)-SUMIF($D:$D,D115,$K:$K)</f>
        <v>0</v>
      </c>
      <c r="N115" s="26">
        <f>VLOOKUP(D:D,结存!A:J,10,0)</f>
        <v>0</v>
      </c>
      <c r="O115" s="26">
        <f>M115 - N115</f>
        <v>0</v>
      </c>
    </row>
    <row r="116" spans="1:15" ht="15.6">
      <c r="A116" s="15">
        <v>42669</v>
      </c>
      <c r="B116" s="17"/>
      <c r="C116" s="17"/>
      <c r="D116" s="20">
        <v>578</v>
      </c>
      <c r="E116" s="26" t="str">
        <f>VLOOKUP($D:$D,基础资料!$A:B,2,0)</f>
        <v>07020010</v>
      </c>
      <c r="F116" s="26" t="str">
        <f>VLOOKUP($D:$D,基础资料!$A:C,3,0)</f>
        <v>蓝影-功夫熊猫21BD+2DVD</v>
      </c>
      <c r="G116" s="26" t="str">
        <f>VLOOKUP($D:$D,基础资料!$A:D,4,0)</f>
        <v>3</v>
      </c>
      <c r="H116" s="26" t="str">
        <f>VLOOKUP($D:$D,基础资料!$A:E,5,0)</f>
        <v>套</v>
      </c>
      <c r="I116" s="26" t="str">
        <f>VLOOKUP($D:$D,基础资料!$A:F,6,0)</f>
        <v>蓝光电影</v>
      </c>
      <c r="J116" s="14"/>
      <c r="K116" s="14">
        <v>8</v>
      </c>
      <c r="L116" s="14"/>
      <c r="M116" s="26">
        <f>SUMIF($D:$D,D116,$L:$L)+SUMIF($D:$D,D116,$J:$J)-SUMIF($D:$D,D116,$K:$K)</f>
        <v>81</v>
      </c>
      <c r="N116" s="26">
        <f>VLOOKUP(D:D,结存!A:J,10,0)</f>
        <v>81</v>
      </c>
      <c r="O116" s="26">
        <f>M116 - N116</f>
        <v>0</v>
      </c>
    </row>
    <row r="117" spans="1:15" ht="15.6">
      <c r="A117" s="15">
        <v>42669</v>
      </c>
      <c r="B117" s="17"/>
      <c r="C117" s="17"/>
      <c r="D117" s="20">
        <v>579</v>
      </c>
      <c r="E117" s="26" t="str">
        <f>VLOOKUP($D:$D,基础资料!$A:B,2,0)</f>
        <v>07020011</v>
      </c>
      <c r="F117" s="26" t="str">
        <f>VLOOKUP($D:$D,基础资料!$A:C,3,0)</f>
        <v>蓝影-功夫熊猫3  1BD+1DVD</v>
      </c>
      <c r="G117" s="26" t="str">
        <f>VLOOKUP($D:$D,基础资料!$A:D,4,0)</f>
        <v>2</v>
      </c>
      <c r="H117" s="26" t="str">
        <f>VLOOKUP($D:$D,基础资料!$A:E,5,0)</f>
        <v>套</v>
      </c>
      <c r="I117" s="26" t="str">
        <f>VLOOKUP($D:$D,基础资料!$A:F,6,0)</f>
        <v>蓝光电影</v>
      </c>
      <c r="J117" s="14"/>
      <c r="K117" s="14">
        <v>8</v>
      </c>
      <c r="L117" s="14"/>
      <c r="M117" s="26">
        <f>SUMIF($D:$D,D117,$L:$L)+SUMIF($D:$D,D117,$J:$J)-SUMIF($D:$D,D117,$K:$K)</f>
        <v>67</v>
      </c>
      <c r="N117" s="26">
        <f>VLOOKUP(D:D,结存!A:J,10,0)</f>
        <v>67</v>
      </c>
      <c r="O117" s="26">
        <f>M117 - N117</f>
        <v>0</v>
      </c>
    </row>
    <row r="118" spans="1:15" ht="15.6">
      <c r="A118" s="15">
        <v>42670</v>
      </c>
      <c r="B118" s="17" t="s">
        <v>858</v>
      </c>
      <c r="C118" s="17"/>
      <c r="D118" s="20">
        <v>636</v>
      </c>
      <c r="E118" s="26" t="str">
        <f>VLOOKUP($D:$D,基础资料!$A:B,2,0)</f>
        <v>0704000001</v>
      </c>
      <c r="F118" s="26" t="str">
        <f>VLOOKUP($D:$D,基础资料!$A:C,3,0)</f>
        <v>S-内识心理学</v>
      </c>
      <c r="G118" s="26" t="str">
        <f>VLOOKUP($D:$D,基础资料!$A:D,4,0)</f>
        <v>\</v>
      </c>
      <c r="H118" s="26" t="str">
        <f>VLOOKUP($D:$D,基础资料!$A:E,5,0)</f>
        <v>本</v>
      </c>
      <c r="I118" s="26" t="str">
        <f>VLOOKUP($D:$D,基础资料!$A:F,6,0)</f>
        <v>书本</v>
      </c>
      <c r="J118" s="14"/>
      <c r="K118" s="14">
        <v>52</v>
      </c>
      <c r="L118" s="14"/>
      <c r="M118" s="26">
        <f>SUMIF($D:$D,D118,$L:$L)+SUMIF($D:$D,D118,$J:$J)-SUMIF($D:$D,D118,$K:$K)</f>
        <v>656</v>
      </c>
      <c r="N118" s="26">
        <f>VLOOKUP(D:D,结存!A:J,10,0)</f>
        <v>656</v>
      </c>
      <c r="O118" s="26">
        <f>M118 - N118</f>
        <v>0</v>
      </c>
    </row>
    <row r="119" spans="1:15" ht="15.6">
      <c r="A119" s="15">
        <v>42670</v>
      </c>
      <c r="B119" s="17" t="s">
        <v>858</v>
      </c>
      <c r="C119" s="17"/>
      <c r="D119" s="20">
        <v>637</v>
      </c>
      <c r="E119" s="26" t="str">
        <f>VLOOKUP($D:$D,基础资料!$A:B,2,0)</f>
        <v>0704000002</v>
      </c>
      <c r="F119" s="26" t="str">
        <f>VLOOKUP($D:$D,基础资料!$A:C,3,0)</f>
        <v>S-项目评价</v>
      </c>
      <c r="G119" s="26" t="str">
        <f>VLOOKUP($D:$D,基础资料!$A:D,4,0)</f>
        <v>\</v>
      </c>
      <c r="H119" s="26" t="str">
        <f>VLOOKUP($D:$D,基础资料!$A:E,5,0)</f>
        <v>本</v>
      </c>
      <c r="I119" s="26" t="str">
        <f>VLOOKUP($D:$D,基础资料!$A:F,6,0)</f>
        <v>书本</v>
      </c>
      <c r="J119" s="14"/>
      <c r="K119" s="14">
        <v>4</v>
      </c>
      <c r="L119" s="14"/>
      <c r="M119" s="26">
        <f>SUMIF($D:$D,D119,$L:$L)+SUMIF($D:$D,D119,$J:$J)-SUMIF($D:$D,D119,$K:$K)</f>
        <v>1877</v>
      </c>
      <c r="N119" s="26">
        <f>VLOOKUP(D:D,结存!A:J,10,0)</f>
        <v>1877</v>
      </c>
      <c r="O119" s="26">
        <f>M119 - N119</f>
        <v>0</v>
      </c>
    </row>
    <row r="120" spans="1:15" ht="15.6">
      <c r="A120" s="15">
        <v>42670</v>
      </c>
      <c r="B120" s="17" t="s">
        <v>858</v>
      </c>
      <c r="C120" s="17"/>
      <c r="D120" s="20">
        <v>639</v>
      </c>
      <c r="E120" s="26" t="str">
        <f>VLOOKUP($D:$D,基础资料!$A:B,2,0)</f>
        <v>0704000004</v>
      </c>
      <c r="F120" s="26" t="str">
        <f>VLOOKUP($D:$D,基础资料!$A:C,3,0)</f>
        <v>S-电器查询</v>
      </c>
      <c r="G120" s="26" t="str">
        <f>VLOOKUP($D:$D,基础资料!$A:D,4,0)</f>
        <v>\</v>
      </c>
      <c r="H120" s="26" t="str">
        <f>VLOOKUP($D:$D,基础资料!$A:E,5,0)</f>
        <v>本</v>
      </c>
      <c r="I120" s="26" t="str">
        <f>VLOOKUP($D:$D,基础资料!$A:F,6,0)</f>
        <v>书本</v>
      </c>
      <c r="J120" s="14"/>
      <c r="K120" s="14">
        <v>15</v>
      </c>
      <c r="L120" s="14"/>
      <c r="M120" s="26">
        <f>SUMIF($D:$D,D120,$L:$L)+SUMIF($D:$D,D120,$J:$J)-SUMIF($D:$D,D120,$K:$K)</f>
        <v>223</v>
      </c>
      <c r="N120" s="26">
        <f>VLOOKUP(D:D,结存!A:J,10,0)</f>
        <v>223</v>
      </c>
      <c r="O120" s="26">
        <f>M120 - N120</f>
        <v>0</v>
      </c>
    </row>
    <row r="121" spans="1:15" ht="15.6">
      <c r="A121" s="15">
        <v>42670</v>
      </c>
      <c r="B121" s="17" t="s">
        <v>858</v>
      </c>
      <c r="C121" s="17"/>
      <c r="D121" s="20">
        <v>640</v>
      </c>
      <c r="E121" s="26" t="str">
        <f>VLOOKUP($D:$D,基础资料!$A:B,2,0)</f>
        <v>0704000035</v>
      </c>
      <c r="F121" s="26" t="str">
        <f>VLOOKUP($D:$D,基础资料!$A:C,3,0)</f>
        <v>S-商业：一个不断变化的世界</v>
      </c>
      <c r="G121" s="26" t="str">
        <f>VLOOKUP($D:$D,基础资料!$A:D,4,0)</f>
        <v>\</v>
      </c>
      <c r="H121" s="26" t="str">
        <f>VLOOKUP($D:$D,基础资料!$A:E,5,0)</f>
        <v>本</v>
      </c>
      <c r="I121" s="26" t="str">
        <f>VLOOKUP($D:$D,基础资料!$A:F,6,0)</f>
        <v>书本</v>
      </c>
      <c r="J121" s="14"/>
      <c r="K121" s="14">
        <v>3</v>
      </c>
      <c r="L121" s="14"/>
      <c r="M121" s="26">
        <f>SUMIF($D:$D,D121,$L:$L)+SUMIF($D:$D,D121,$J:$J)-SUMIF($D:$D,D121,$K:$K)</f>
        <v>474</v>
      </c>
      <c r="N121" s="26">
        <f>VLOOKUP(D:D,结存!A:J,10,0)</f>
        <v>474</v>
      </c>
      <c r="O121" s="26">
        <f>M121 - N121</f>
        <v>0</v>
      </c>
    </row>
    <row r="122" spans="1:15" ht="15.6">
      <c r="A122" s="15">
        <v>42670</v>
      </c>
      <c r="B122" s="17" t="s">
        <v>858</v>
      </c>
      <c r="C122" s="17"/>
      <c r="D122" s="20">
        <v>641</v>
      </c>
      <c r="E122" s="26" t="str">
        <f>VLOOKUP($D:$D,基础资料!$A:B,2,0)</f>
        <v>0704000036</v>
      </c>
      <c r="F122" s="26" t="str">
        <f>VLOOKUP($D:$D,基础资料!$A:C,3,0)</f>
        <v>S-我们的人民</v>
      </c>
      <c r="G122" s="26" t="str">
        <f>VLOOKUP($D:$D,基础资料!$A:D,4,0)</f>
        <v>\</v>
      </c>
      <c r="H122" s="26" t="str">
        <f>VLOOKUP($D:$D,基础资料!$A:E,5,0)</f>
        <v>本</v>
      </c>
      <c r="I122" s="26" t="str">
        <f>VLOOKUP($D:$D,基础资料!$A:F,6,0)</f>
        <v>书本</v>
      </c>
      <c r="J122" s="14"/>
      <c r="K122" s="14">
        <v>3</v>
      </c>
      <c r="L122" s="14"/>
      <c r="M122" s="26">
        <f>SUMIF($D:$D,D122,$L:$L)+SUMIF($D:$D,D122,$J:$J)-SUMIF($D:$D,D122,$K:$K)</f>
        <v>2685</v>
      </c>
      <c r="N122" s="26">
        <f>VLOOKUP(D:D,结存!A:J,10,0)</f>
        <v>2685</v>
      </c>
      <c r="O122" s="26">
        <f>M122 - N122</f>
        <v>0</v>
      </c>
    </row>
    <row r="123" spans="1:15" ht="15.6">
      <c r="A123" s="15">
        <v>42670</v>
      </c>
      <c r="B123" s="17" t="s">
        <v>859</v>
      </c>
      <c r="C123" s="17"/>
      <c r="D123" s="20">
        <v>644</v>
      </c>
      <c r="E123" s="26" t="str">
        <f>VLOOKUP($D:$D,基础资料!$A:B,2,0)</f>
        <v>0704000293</v>
      </c>
      <c r="F123" s="26" t="str">
        <f>VLOOKUP($D:$D,基础资料!$A:C,3,0)</f>
        <v>S-环境经济学</v>
      </c>
      <c r="G123" s="26" t="str">
        <f>VLOOKUP($D:$D,基础资料!$A:D,4,0)</f>
        <v>\</v>
      </c>
      <c r="H123" s="26" t="str">
        <f>VLOOKUP($D:$D,基础资料!$A:E,5,0)</f>
        <v>本</v>
      </c>
      <c r="I123" s="26" t="str">
        <f>VLOOKUP($D:$D,基础资料!$A:F,6,0)</f>
        <v>书本</v>
      </c>
      <c r="J123" s="14"/>
      <c r="K123" s="14"/>
      <c r="L123" s="14"/>
      <c r="M123" s="26">
        <f>SUMIF($D:$D,D123,$L:$L)+SUMIF($D:$D,D123,$J:$J)-SUMIF($D:$D,D123,$K:$K)</f>
        <v>419</v>
      </c>
      <c r="N123" s="26">
        <f>VLOOKUP(D:D,结存!A:J,10,0)</f>
        <v>419</v>
      </c>
      <c r="O123" s="26">
        <f>M123 - N123</f>
        <v>0</v>
      </c>
    </row>
    <row r="124" spans="1:15" ht="15.6">
      <c r="A124" s="15">
        <v>42670</v>
      </c>
      <c r="B124" s="17" t="s">
        <v>859</v>
      </c>
      <c r="C124" s="17"/>
      <c r="D124" s="20">
        <v>644</v>
      </c>
      <c r="E124" s="26" t="str">
        <f>VLOOKUP($D:$D,基础资料!$A:B,2,0)</f>
        <v>0704000293</v>
      </c>
      <c r="F124" s="26" t="str">
        <f>VLOOKUP($D:$D,基础资料!$A:C,3,0)</f>
        <v>S-环境经济学</v>
      </c>
      <c r="G124" s="26" t="str">
        <f>VLOOKUP($D:$D,基础资料!$A:D,4,0)</f>
        <v>\</v>
      </c>
      <c r="H124" s="26" t="str">
        <f>VLOOKUP($D:$D,基础资料!$A:E,5,0)</f>
        <v>本</v>
      </c>
      <c r="I124" s="26" t="str">
        <f>VLOOKUP($D:$D,基础资料!$A:F,6,0)</f>
        <v>书本</v>
      </c>
      <c r="J124" s="14"/>
      <c r="K124" s="14">
        <v>36</v>
      </c>
      <c r="L124" s="14"/>
      <c r="M124" s="26">
        <f>SUMIF($D:$D,D124,$L:$L)+SUMIF($D:$D,D124,$J:$J)-SUMIF($D:$D,D124,$K:$K)</f>
        <v>419</v>
      </c>
      <c r="N124" s="26">
        <f>VLOOKUP(D:D,结存!A:J,10,0)</f>
        <v>419</v>
      </c>
      <c r="O124" s="26">
        <f>M124 - N124</f>
        <v>0</v>
      </c>
    </row>
    <row r="125" spans="1:15" ht="15.6">
      <c r="A125" s="15">
        <v>42670</v>
      </c>
      <c r="B125" s="17" t="s">
        <v>858</v>
      </c>
      <c r="C125" s="17"/>
      <c r="D125" s="20">
        <v>649</v>
      </c>
      <c r="E125" s="26" t="str">
        <f>VLOOKUP($D:$D,基础资料!$A:B,2,0)</f>
        <v>07040007</v>
      </c>
      <c r="F125" s="26" t="str">
        <f>VLOOKUP($D:$D,基础资料!$A:C,3,0)</f>
        <v>S-行为研究方法</v>
      </c>
      <c r="G125" s="26" t="str">
        <f>VLOOKUP($D:$D,基础资料!$A:D,4,0)</f>
        <v>\</v>
      </c>
      <c r="H125" s="26" t="str">
        <f>VLOOKUP($D:$D,基础资料!$A:E,5,0)</f>
        <v>本</v>
      </c>
      <c r="I125" s="26" t="str">
        <f>VLOOKUP($D:$D,基础资料!$A:F,6,0)</f>
        <v>书本</v>
      </c>
      <c r="J125" s="14"/>
      <c r="K125" s="14">
        <v>3</v>
      </c>
      <c r="L125" s="14"/>
      <c r="M125" s="26">
        <f>SUMIF($D:$D,D125,$L:$L)+SUMIF($D:$D,D125,$J:$J)-SUMIF($D:$D,D125,$K:$K)</f>
        <v>4577</v>
      </c>
      <c r="N125" s="26">
        <f>VLOOKUP(D:D,结存!A:J,10,0)</f>
        <v>4577</v>
      </c>
      <c r="O125" s="26">
        <f>M125 - N125</f>
        <v>0</v>
      </c>
    </row>
    <row r="126" spans="1:15" ht="15.6">
      <c r="A126" s="15">
        <v>42670</v>
      </c>
      <c r="B126" s="17" t="s">
        <v>858</v>
      </c>
      <c r="C126" s="17"/>
      <c r="D126" s="20">
        <v>654</v>
      </c>
      <c r="E126" s="26" t="str">
        <f>VLOOKUP($D:$D,基础资料!$A:B,2,0)</f>
        <v>07040012</v>
      </c>
      <c r="F126" s="26" t="str">
        <f>VLOOKUP($D:$D,基础资料!$A:C,3,0)</f>
        <v>S-实践研究</v>
      </c>
      <c r="G126" s="26" t="str">
        <f>VLOOKUP($D:$D,基础资料!$A:D,4,0)</f>
        <v>\</v>
      </c>
      <c r="H126" s="26" t="str">
        <f>VLOOKUP($D:$D,基础资料!$A:E,5,0)</f>
        <v>本</v>
      </c>
      <c r="I126" s="26" t="str">
        <f>VLOOKUP($D:$D,基础资料!$A:F,6,0)</f>
        <v>书本</v>
      </c>
      <c r="J126" s="14"/>
      <c r="K126" s="14">
        <v>3</v>
      </c>
      <c r="L126" s="14"/>
      <c r="M126" s="26">
        <f>SUMIF($D:$D,D126,$L:$L)+SUMIF($D:$D,D126,$J:$J)-SUMIF($D:$D,D126,$K:$K)</f>
        <v>1966</v>
      </c>
      <c r="N126" s="26">
        <f>VLOOKUP(D:D,结存!A:J,10,0)</f>
        <v>1966</v>
      </c>
      <c r="O126" s="26">
        <f>M126 - N126</f>
        <v>0</v>
      </c>
    </row>
    <row r="127" spans="1:15" ht="15.6">
      <c r="A127" s="15">
        <v>42670</v>
      </c>
      <c r="B127" s="17" t="s">
        <v>858</v>
      </c>
      <c r="C127" s="17"/>
      <c r="D127" s="20">
        <v>661</v>
      </c>
      <c r="E127" s="26" t="str">
        <f>VLOOKUP($D:$D,基础资料!$A:B,2,0)</f>
        <v>07040019</v>
      </c>
      <c r="F127" s="26" t="str">
        <f>VLOOKUP($D:$D,基础资料!$A:C,3,0)</f>
        <v>S-美国药疗保健</v>
      </c>
      <c r="G127" s="26" t="str">
        <f>VLOOKUP($D:$D,基础资料!$A:D,4,0)</f>
        <v>\</v>
      </c>
      <c r="H127" s="26" t="str">
        <f>VLOOKUP($D:$D,基础资料!$A:E,5,0)</f>
        <v>本</v>
      </c>
      <c r="I127" s="26" t="str">
        <f>VLOOKUP($D:$D,基础资料!$A:F,6,0)</f>
        <v>书本</v>
      </c>
      <c r="J127" s="14"/>
      <c r="K127" s="14">
        <v>3</v>
      </c>
      <c r="L127" s="14"/>
      <c r="M127" s="26">
        <f>SUMIF($D:$D,D127,$L:$L)+SUMIF($D:$D,D127,$J:$J)-SUMIF($D:$D,D127,$K:$K)</f>
        <v>975</v>
      </c>
      <c r="N127" s="26">
        <f>VLOOKUP(D:D,结存!A:J,10,0)</f>
        <v>975</v>
      </c>
      <c r="O127" s="26">
        <f>M127 - N127</f>
        <v>0</v>
      </c>
    </row>
    <row r="128" spans="1:15" ht="15.6">
      <c r="A128" s="15">
        <v>42671</v>
      </c>
      <c r="B128" s="17" t="s">
        <v>860</v>
      </c>
      <c r="C128" s="17"/>
      <c r="D128" s="20">
        <v>645</v>
      </c>
      <c r="E128" s="26" t="str">
        <f>VLOOKUP($D:$D,基础资料!$A:B,2,0)</f>
        <v>07040003</v>
      </c>
      <c r="F128" s="26" t="str">
        <f>VLOOKUP($D:$D,基础资料!$A:C,3,0)</f>
        <v>S-公共演讲的艺术</v>
      </c>
      <c r="G128" s="26" t="str">
        <f>VLOOKUP($D:$D,基础资料!$A:D,4,0)</f>
        <v>\</v>
      </c>
      <c r="H128" s="26" t="str">
        <f>VLOOKUP($D:$D,基础资料!$A:E,5,0)</f>
        <v>本</v>
      </c>
      <c r="I128" s="26" t="str">
        <f>VLOOKUP($D:$D,基础资料!$A:F,6,0)</f>
        <v>书本</v>
      </c>
      <c r="J128" s="14"/>
      <c r="K128" s="14">
        <v>10</v>
      </c>
      <c r="L128" s="14"/>
      <c r="M128" s="26">
        <f>SUMIF($D:$D,D128,$L:$L)+SUMIF($D:$D,D128,$J:$J)-SUMIF($D:$D,D128,$K:$K)</f>
        <v>1403</v>
      </c>
      <c r="N128" s="26">
        <f>VLOOKUP(D:D,结存!A:J,10,0)</f>
        <v>1403</v>
      </c>
      <c r="O128" s="26">
        <f>M128 - N128</f>
        <v>0</v>
      </c>
    </row>
    <row r="129" spans="1:15" ht="15.6">
      <c r="A129" s="15">
        <v>42671</v>
      </c>
      <c r="B129" s="17" t="s">
        <v>860</v>
      </c>
      <c r="C129" s="17"/>
      <c r="D129" s="20">
        <v>637</v>
      </c>
      <c r="E129" s="26" t="str">
        <f>VLOOKUP($D:$D,基础资料!$A:B,2,0)</f>
        <v>0704000002</v>
      </c>
      <c r="F129" s="26" t="str">
        <f>VLOOKUP($D:$D,基础资料!$A:C,3,0)</f>
        <v>S-项目评价</v>
      </c>
      <c r="G129" s="26" t="str">
        <f>VLOOKUP($D:$D,基础资料!$A:D,4,0)</f>
        <v>\</v>
      </c>
      <c r="H129" s="26" t="str">
        <f>VLOOKUP($D:$D,基础资料!$A:E,5,0)</f>
        <v>本</v>
      </c>
      <c r="I129" s="26" t="str">
        <f>VLOOKUP($D:$D,基础资料!$A:F,6,0)</f>
        <v>书本</v>
      </c>
      <c r="J129" s="14"/>
      <c r="K129" s="14">
        <v>10</v>
      </c>
      <c r="L129" s="14"/>
      <c r="M129" s="26">
        <f>SUMIF($D:$D,D129,$L:$L)+SUMIF($D:$D,D129,$J:$J)-SUMIF($D:$D,D129,$K:$K)</f>
        <v>1877</v>
      </c>
      <c r="N129" s="26">
        <f>VLOOKUP(D:D,结存!A:J,10,0)</f>
        <v>1877</v>
      </c>
      <c r="O129" s="26">
        <f>M129 - N129</f>
        <v>0</v>
      </c>
    </row>
    <row r="130" spans="1:15" ht="15.6">
      <c r="A130" s="15">
        <v>42671</v>
      </c>
      <c r="B130" s="17" t="s">
        <v>860</v>
      </c>
      <c r="C130" s="17"/>
      <c r="D130" s="20">
        <v>636</v>
      </c>
      <c r="E130" s="26" t="str">
        <f>VLOOKUP($D:$D,基础资料!$A:B,2,0)</f>
        <v>0704000001</v>
      </c>
      <c r="F130" s="26" t="str">
        <f>VLOOKUP($D:$D,基础资料!$A:C,3,0)</f>
        <v>S-内识心理学</v>
      </c>
      <c r="G130" s="26" t="str">
        <f>VLOOKUP($D:$D,基础资料!$A:D,4,0)</f>
        <v>\</v>
      </c>
      <c r="H130" s="26" t="str">
        <f>VLOOKUP($D:$D,基础资料!$A:E,5,0)</f>
        <v>本</v>
      </c>
      <c r="I130" s="26" t="str">
        <f>VLOOKUP($D:$D,基础资料!$A:F,6,0)</f>
        <v>书本</v>
      </c>
      <c r="J130" s="14"/>
      <c r="K130" s="14">
        <v>10</v>
      </c>
      <c r="L130" s="14"/>
      <c r="M130" s="26">
        <f>SUMIF($D:$D,D130,$L:$L)+SUMIF($D:$D,D130,$J:$J)-SUMIF($D:$D,D130,$K:$K)</f>
        <v>656</v>
      </c>
      <c r="N130" s="26">
        <f>VLOOKUP(D:D,结存!A:J,10,0)</f>
        <v>656</v>
      </c>
      <c r="O130" s="26">
        <f>M130 - N130</f>
        <v>0</v>
      </c>
    </row>
    <row r="131" spans="1:15" ht="15.6">
      <c r="A131" s="15">
        <v>42671</v>
      </c>
      <c r="B131" s="17" t="s">
        <v>860</v>
      </c>
      <c r="C131" s="17"/>
      <c r="D131" s="20">
        <v>652</v>
      </c>
      <c r="E131" s="26" t="str">
        <f>VLOOKUP($D:$D,基础资料!$A:B,2,0)</f>
        <v>07040010</v>
      </c>
      <c r="F131" s="26" t="str">
        <f>VLOOKUP($D:$D,基础资料!$A:C,3,0)</f>
        <v>S-管理技能养成</v>
      </c>
      <c r="G131" s="26" t="str">
        <f>VLOOKUP($D:$D,基础资料!$A:D,4,0)</f>
        <v>\</v>
      </c>
      <c r="H131" s="26" t="str">
        <f>VLOOKUP($D:$D,基础资料!$A:E,5,0)</f>
        <v>本</v>
      </c>
      <c r="I131" s="26" t="str">
        <f>VLOOKUP($D:$D,基础资料!$A:F,6,0)</f>
        <v>书本</v>
      </c>
      <c r="J131" s="14"/>
      <c r="K131" s="14">
        <v>10</v>
      </c>
      <c r="L131" s="14"/>
      <c r="M131" s="26">
        <f>SUMIF($D:$D,D131,$L:$L)+SUMIF($D:$D,D131,$J:$J)-SUMIF($D:$D,D131,$K:$K)</f>
        <v>292</v>
      </c>
      <c r="N131" s="26">
        <f>VLOOKUP(D:D,结存!A:J,10,0)</f>
        <v>292</v>
      </c>
      <c r="O131" s="26">
        <f>M131 - N131</f>
        <v>0</v>
      </c>
    </row>
    <row r="132" spans="1:15" ht="15.6">
      <c r="A132" s="15">
        <v>42671</v>
      </c>
      <c r="B132" s="17" t="s">
        <v>860</v>
      </c>
      <c r="C132" s="17"/>
      <c r="D132" s="20">
        <v>640</v>
      </c>
      <c r="E132" s="26" t="str">
        <f>VLOOKUP($D:$D,基础资料!$A:B,2,0)</f>
        <v>0704000035</v>
      </c>
      <c r="F132" s="26" t="str">
        <f>VLOOKUP($D:$D,基础资料!$A:C,3,0)</f>
        <v>S-商业：一个不断变化的世界</v>
      </c>
      <c r="G132" s="26" t="str">
        <f>VLOOKUP($D:$D,基础资料!$A:D,4,0)</f>
        <v>\</v>
      </c>
      <c r="H132" s="26" t="str">
        <f>VLOOKUP($D:$D,基础资料!$A:E,5,0)</f>
        <v>本</v>
      </c>
      <c r="I132" s="26" t="str">
        <f>VLOOKUP($D:$D,基础资料!$A:F,6,0)</f>
        <v>书本</v>
      </c>
      <c r="J132" s="14"/>
      <c r="K132" s="14">
        <v>10</v>
      </c>
      <c r="L132" s="14"/>
      <c r="M132" s="26">
        <f>SUMIF($D:$D,D132,$L:$L)+SUMIF($D:$D,D132,$J:$J)-SUMIF($D:$D,D132,$K:$K)</f>
        <v>474</v>
      </c>
      <c r="N132" s="26">
        <f>VLOOKUP(D:D,结存!A:J,10,0)</f>
        <v>474</v>
      </c>
      <c r="O132" s="26">
        <f>M132 - N132</f>
        <v>0</v>
      </c>
    </row>
    <row r="133" spans="1:15" ht="15.6">
      <c r="A133" s="15">
        <v>42671</v>
      </c>
      <c r="B133" s="17" t="s">
        <v>860</v>
      </c>
      <c r="C133" s="17"/>
      <c r="D133" s="20">
        <v>650</v>
      </c>
      <c r="E133" s="26" t="str">
        <f>VLOOKUP($D:$D,基础资料!$A:B,2,0)</f>
        <v>07040008</v>
      </c>
      <c r="F133" s="26" t="str">
        <f>VLOOKUP($D:$D,基础资料!$A:C,3,0)</f>
        <v>S-谈判精要</v>
      </c>
      <c r="G133" s="26" t="str">
        <f>VLOOKUP($D:$D,基础资料!$A:D,4,0)</f>
        <v>\</v>
      </c>
      <c r="H133" s="26" t="str">
        <f>VLOOKUP($D:$D,基础资料!$A:E,5,0)</f>
        <v>本</v>
      </c>
      <c r="I133" s="26" t="str">
        <f>VLOOKUP($D:$D,基础资料!$A:F,6,0)</f>
        <v>书本</v>
      </c>
      <c r="J133" s="14"/>
      <c r="K133" s="14">
        <v>10</v>
      </c>
      <c r="L133" s="14"/>
      <c r="M133" s="26">
        <f>SUMIF($D:$D,D133,$L:$L)+SUMIF($D:$D,D133,$J:$J)-SUMIF($D:$D,D133,$K:$K)</f>
        <v>538</v>
      </c>
      <c r="N133" s="26">
        <f>VLOOKUP(D:D,结存!A:J,10,0)</f>
        <v>538</v>
      </c>
      <c r="O133" s="26">
        <f>M133 - N133</f>
        <v>0</v>
      </c>
    </row>
    <row r="134" spans="1:15" ht="15.6">
      <c r="A134" s="15">
        <v>42671</v>
      </c>
      <c r="B134" s="17" t="s">
        <v>860</v>
      </c>
      <c r="C134" s="17"/>
      <c r="D134" s="20">
        <v>641</v>
      </c>
      <c r="E134" s="26" t="str">
        <f>VLOOKUP($D:$D,基础资料!$A:B,2,0)</f>
        <v>0704000036</v>
      </c>
      <c r="F134" s="26" t="str">
        <f>VLOOKUP($D:$D,基础资料!$A:C,3,0)</f>
        <v>S-我们的人民</v>
      </c>
      <c r="G134" s="26" t="str">
        <f>VLOOKUP($D:$D,基础资料!$A:D,4,0)</f>
        <v>\</v>
      </c>
      <c r="H134" s="26" t="str">
        <f>VLOOKUP($D:$D,基础资料!$A:E,5,0)</f>
        <v>本</v>
      </c>
      <c r="I134" s="26" t="str">
        <f>VLOOKUP($D:$D,基础资料!$A:F,6,0)</f>
        <v>书本</v>
      </c>
      <c r="J134" s="14"/>
      <c r="K134" s="14">
        <v>15</v>
      </c>
      <c r="L134" s="14"/>
      <c r="M134" s="26">
        <f>SUMIF($D:$D,D134,$L:$L)+SUMIF($D:$D,D134,$J:$J)-SUMIF($D:$D,D134,$K:$K)</f>
        <v>2685</v>
      </c>
      <c r="N134" s="26">
        <f>VLOOKUP(D:D,结存!A:J,10,0)</f>
        <v>2685</v>
      </c>
      <c r="O134" s="26">
        <f>M134 - N134</f>
        <v>0</v>
      </c>
    </row>
    <row r="135" spans="1:15" ht="15.6">
      <c r="A135" s="15">
        <v>42671</v>
      </c>
      <c r="B135" s="17" t="s">
        <v>860</v>
      </c>
      <c r="C135" s="17"/>
      <c r="D135" s="20">
        <v>648</v>
      </c>
      <c r="E135" s="26" t="str">
        <f>VLOOKUP($D:$D,基础资料!$A:B,2,0)</f>
        <v>07040006</v>
      </c>
      <c r="F135" s="26" t="str">
        <f>VLOOKUP($D:$D,基础资料!$A:C,3,0)</f>
        <v>S-大众传媒法</v>
      </c>
      <c r="G135" s="26" t="str">
        <f>VLOOKUP($D:$D,基础资料!$A:D,4,0)</f>
        <v>\</v>
      </c>
      <c r="H135" s="26" t="str">
        <f>VLOOKUP($D:$D,基础资料!$A:E,5,0)</f>
        <v>本</v>
      </c>
      <c r="I135" s="26" t="str">
        <f>VLOOKUP($D:$D,基础资料!$A:F,6,0)</f>
        <v>书本</v>
      </c>
      <c r="J135" s="14"/>
      <c r="K135" s="14">
        <v>10</v>
      </c>
      <c r="L135" s="14"/>
      <c r="M135" s="26">
        <f>SUMIF($D:$D,D135,$L:$L)+SUMIF($D:$D,D135,$J:$J)-SUMIF($D:$D,D135,$K:$K)</f>
        <v>19</v>
      </c>
      <c r="N135" s="26">
        <f>VLOOKUP(D:D,结存!A:J,10,0)</f>
        <v>19</v>
      </c>
      <c r="O135" s="26">
        <f>M135 - N135</f>
        <v>0</v>
      </c>
    </row>
    <row r="136" spans="1:15" ht="15.6">
      <c r="A136" s="15">
        <v>42671</v>
      </c>
      <c r="B136" s="17" t="s">
        <v>860</v>
      </c>
      <c r="C136" s="17"/>
      <c r="D136" s="20">
        <v>663</v>
      </c>
      <c r="E136" s="26" t="str">
        <f>VLOOKUP($D:$D,基础资料!$A:B,2,0)</f>
        <v>07040021</v>
      </c>
      <c r="F136" s="26" t="str">
        <f>VLOOKUP($D:$D,基础资料!$A:C,3,0)</f>
        <v>S-面试技巧</v>
      </c>
      <c r="G136" s="26" t="str">
        <f>VLOOKUP($D:$D,基础资料!$A:D,4,0)</f>
        <v>\</v>
      </c>
      <c r="H136" s="26" t="str">
        <f>VLOOKUP($D:$D,基础资料!$A:E,5,0)</f>
        <v>本</v>
      </c>
      <c r="I136" s="26" t="str">
        <f>VLOOKUP($D:$D,基础资料!$A:F,6,0)</f>
        <v>书本</v>
      </c>
      <c r="J136" s="14"/>
      <c r="K136" s="14">
        <v>20</v>
      </c>
      <c r="L136" s="14"/>
      <c r="M136" s="26">
        <f>SUMIF($D:$D,D136,$L:$L)+SUMIF($D:$D,D136,$J:$J)-SUMIF($D:$D,D136,$K:$K)</f>
        <v>595</v>
      </c>
      <c r="N136" s="26">
        <f>VLOOKUP(D:D,结存!A:J,10,0)</f>
        <v>595</v>
      </c>
      <c r="O136" s="26">
        <f>M136 - N136</f>
        <v>0</v>
      </c>
    </row>
    <row r="137" spans="1:15" ht="15.6">
      <c r="A137" s="15">
        <v>42671</v>
      </c>
      <c r="B137" s="17" t="s">
        <v>860</v>
      </c>
      <c r="C137" s="17"/>
      <c r="D137" s="20">
        <v>636</v>
      </c>
      <c r="E137" s="26" t="str">
        <f>VLOOKUP($D:$D,基础资料!$A:B,2,0)</f>
        <v>0704000001</v>
      </c>
      <c r="F137" s="26" t="str">
        <f>VLOOKUP($D:$D,基础资料!$A:C,3,0)</f>
        <v>S-内识心理学</v>
      </c>
      <c r="G137" s="26" t="str">
        <f>VLOOKUP($D:$D,基础资料!$A:D,4,0)</f>
        <v>\</v>
      </c>
      <c r="H137" s="26" t="str">
        <f>VLOOKUP($D:$D,基础资料!$A:E,5,0)</f>
        <v>本</v>
      </c>
      <c r="I137" s="26" t="str">
        <f>VLOOKUP($D:$D,基础资料!$A:F,6,0)</f>
        <v>书本</v>
      </c>
      <c r="J137" s="14"/>
      <c r="K137" s="14">
        <v>2</v>
      </c>
      <c r="L137" s="14"/>
      <c r="M137" s="26">
        <f>SUMIF($D:$D,D137,$L:$L)+SUMIF($D:$D,D137,$J:$J)-SUMIF($D:$D,D137,$K:$K)</f>
        <v>656</v>
      </c>
      <c r="N137" s="26">
        <f>VLOOKUP(D:D,结存!A:J,10,0)</f>
        <v>656</v>
      </c>
      <c r="O137" s="26">
        <f>M137 - N137</f>
        <v>0</v>
      </c>
    </row>
    <row r="138" spans="1:15" ht="15.6">
      <c r="A138" s="15">
        <v>42671</v>
      </c>
      <c r="B138" s="17" t="s">
        <v>860</v>
      </c>
      <c r="C138" s="17"/>
      <c r="D138" s="20">
        <v>652</v>
      </c>
      <c r="E138" s="26" t="str">
        <f>VLOOKUP($D:$D,基础资料!$A:B,2,0)</f>
        <v>07040010</v>
      </c>
      <c r="F138" s="26" t="str">
        <f>VLOOKUP($D:$D,基础资料!$A:C,3,0)</f>
        <v>S-管理技能养成</v>
      </c>
      <c r="G138" s="26" t="str">
        <f>VLOOKUP($D:$D,基础资料!$A:D,4,0)</f>
        <v>\</v>
      </c>
      <c r="H138" s="26" t="str">
        <f>VLOOKUP($D:$D,基础资料!$A:E,5,0)</f>
        <v>本</v>
      </c>
      <c r="I138" s="26" t="str">
        <f>VLOOKUP($D:$D,基础资料!$A:F,6,0)</f>
        <v>书本</v>
      </c>
      <c r="J138" s="14"/>
      <c r="K138" s="14">
        <v>2</v>
      </c>
      <c r="L138" s="14"/>
      <c r="M138" s="26">
        <f>SUMIF($D:$D,D138,$L:$L)+SUMIF($D:$D,D138,$J:$J)-SUMIF($D:$D,D138,$K:$K)</f>
        <v>292</v>
      </c>
      <c r="N138" s="26">
        <f>VLOOKUP(D:D,结存!A:J,10,0)</f>
        <v>292</v>
      </c>
      <c r="O138" s="26">
        <f>M138 - N138</f>
        <v>0</v>
      </c>
    </row>
    <row r="139" spans="1:15" ht="15.6">
      <c r="A139" s="15">
        <v>42671</v>
      </c>
      <c r="B139" s="17" t="s">
        <v>860</v>
      </c>
      <c r="C139" s="17"/>
      <c r="D139" s="20">
        <v>637</v>
      </c>
      <c r="E139" s="26" t="str">
        <f>VLOOKUP($D:$D,基础资料!$A:B,2,0)</f>
        <v>0704000002</v>
      </c>
      <c r="F139" s="26" t="str">
        <f>VLOOKUP($D:$D,基础资料!$A:C,3,0)</f>
        <v>S-项目评价</v>
      </c>
      <c r="G139" s="26" t="str">
        <f>VLOOKUP($D:$D,基础资料!$A:D,4,0)</f>
        <v>\</v>
      </c>
      <c r="H139" s="26" t="str">
        <f>VLOOKUP($D:$D,基础资料!$A:E,5,0)</f>
        <v>本</v>
      </c>
      <c r="I139" s="26" t="str">
        <f>VLOOKUP($D:$D,基础资料!$A:F,6,0)</f>
        <v>书本</v>
      </c>
      <c r="J139" s="14"/>
      <c r="K139" s="14">
        <v>1</v>
      </c>
      <c r="L139" s="14"/>
      <c r="M139" s="26">
        <f>SUMIF($D:$D,D139,$L:$L)+SUMIF($D:$D,D139,$J:$J)-SUMIF($D:$D,D139,$K:$K)</f>
        <v>1877</v>
      </c>
      <c r="N139" s="26">
        <f>VLOOKUP(D:D,结存!A:J,10,0)</f>
        <v>1877</v>
      </c>
      <c r="O139" s="26">
        <f>M139 - N139</f>
        <v>0</v>
      </c>
    </row>
    <row r="140" spans="1:15" ht="15.6">
      <c r="A140" s="15">
        <v>42671</v>
      </c>
      <c r="B140" s="17" t="s">
        <v>861</v>
      </c>
      <c r="C140" s="17"/>
      <c r="D140" s="20">
        <v>536</v>
      </c>
      <c r="E140" s="26" t="str">
        <f>VLOOKUP($D:$D,基础资料!$A:B,2,0)</f>
        <v>07010010</v>
      </c>
      <c r="F140" s="26" t="str">
        <f>VLOOKUP($D:$D,基础资料!$A:C,3,0)</f>
        <v>蓝剧-黑色孤儿第1季  2BD</v>
      </c>
      <c r="G140" s="26" t="str">
        <f>VLOOKUP($D:$D,基础资料!$A:D,4,0)</f>
        <v>2</v>
      </c>
      <c r="H140" s="26" t="str">
        <f>VLOOKUP($D:$D,基础资料!$A:E,5,0)</f>
        <v>套</v>
      </c>
      <c r="I140" s="26" t="str">
        <f>VLOOKUP($D:$D,基础资料!$A:F,6,0)</f>
        <v>蓝光电视剧</v>
      </c>
      <c r="J140" s="14"/>
      <c r="K140" s="14">
        <v>1</v>
      </c>
      <c r="L140" s="14"/>
      <c r="M140" s="26">
        <f>SUMIF($D:$D,D140,$L:$L)+SUMIF($D:$D,D140,$J:$J)-SUMIF($D:$D,D140,$K:$K)</f>
        <v>104</v>
      </c>
      <c r="N140" s="26">
        <f>VLOOKUP(D:D,结存!A:J,10,0)</f>
        <v>85</v>
      </c>
      <c r="O140" s="26">
        <f>M140 - N140</f>
        <v>19</v>
      </c>
    </row>
    <row r="141" spans="1:15" ht="15.6">
      <c r="A141" s="15">
        <v>42671</v>
      </c>
      <c r="B141" s="17" t="s">
        <v>861</v>
      </c>
      <c r="C141" s="17"/>
      <c r="D141" s="20">
        <v>537</v>
      </c>
      <c r="E141" s="26" t="str">
        <f>VLOOKUP($D:$D,基础资料!$A:B,2,0)</f>
        <v>07010011</v>
      </c>
      <c r="F141" s="26" t="str">
        <f>VLOOKUP($D:$D,基础资料!$A:C,3,0)</f>
        <v>蓝剧-黑色孤儿第2季  2BD</v>
      </c>
      <c r="G141" s="26" t="str">
        <f>VLOOKUP($D:$D,基础资料!$A:D,4,0)</f>
        <v>2</v>
      </c>
      <c r="H141" s="26" t="str">
        <f>VLOOKUP($D:$D,基础资料!$A:E,5,0)</f>
        <v>套</v>
      </c>
      <c r="I141" s="26" t="str">
        <f>VLOOKUP($D:$D,基础资料!$A:F,6,0)</f>
        <v>蓝光电视剧</v>
      </c>
      <c r="J141" s="14"/>
      <c r="K141" s="14">
        <v>1</v>
      </c>
      <c r="L141" s="14"/>
      <c r="M141" s="26">
        <f>SUMIF($D:$D,D141,$L:$L)+SUMIF($D:$D,D141,$J:$J)-SUMIF($D:$D,D141,$K:$K)</f>
        <v>98</v>
      </c>
      <c r="N141" s="26">
        <f>VLOOKUP(D:D,结存!A:J,10,0)</f>
        <v>79</v>
      </c>
      <c r="O141" s="26">
        <f>M141 - N141</f>
        <v>19</v>
      </c>
    </row>
    <row r="142" spans="1:15" ht="15.6">
      <c r="A142" s="15">
        <v>42671</v>
      </c>
      <c r="B142" s="17" t="s">
        <v>861</v>
      </c>
      <c r="C142" s="17"/>
      <c r="D142" s="20">
        <v>539</v>
      </c>
      <c r="E142" s="26" t="str">
        <f>VLOOKUP($D:$D,基础资料!$A:B,2,0)</f>
        <v>07010013</v>
      </c>
      <c r="F142" s="26" t="str">
        <f>VLOOKUP($D:$D,基础资料!$A:C,3,0)</f>
        <v>蓝剧-黑色孤儿第3季  2BD</v>
      </c>
      <c r="G142" s="26" t="str">
        <f>VLOOKUP($D:$D,基础资料!$A:D,4,0)</f>
        <v>2</v>
      </c>
      <c r="H142" s="26" t="str">
        <f>VLOOKUP($D:$D,基础资料!$A:E,5,0)</f>
        <v>套</v>
      </c>
      <c r="I142" s="26" t="str">
        <f>VLOOKUP($D:$D,基础资料!$A:F,6,0)</f>
        <v>蓝光电视剧</v>
      </c>
      <c r="J142" s="14"/>
      <c r="K142" s="14">
        <v>1</v>
      </c>
      <c r="L142" s="14"/>
      <c r="M142" s="26">
        <f>SUMIF($D:$D,D142,$L:$L)+SUMIF($D:$D,D142,$J:$J)-SUMIF($D:$D,D142,$K:$K)</f>
        <v>86</v>
      </c>
      <c r="N142" s="26">
        <f>VLOOKUP(D:D,结存!A:J,10,0)</f>
        <v>86</v>
      </c>
      <c r="O142" s="26">
        <f>M142 - N142</f>
        <v>0</v>
      </c>
    </row>
    <row r="143" spans="1:15" ht="15.6">
      <c r="A143" s="15">
        <v>42671</v>
      </c>
      <c r="B143" s="17" t="s">
        <v>861</v>
      </c>
      <c r="C143" s="17"/>
      <c r="D143" s="20">
        <v>541</v>
      </c>
      <c r="E143" s="26" t="str">
        <f>VLOOKUP($D:$D,基础资料!$A:B,2,0)</f>
        <v>07010015</v>
      </c>
      <c r="F143" s="26" t="str">
        <f>VLOOKUP($D:$D,基础资料!$A:C,3,0)</f>
        <v>蓝剧-黑色孤儿第4季  2BD</v>
      </c>
      <c r="G143" s="26" t="str">
        <f>VLOOKUP($D:$D,基础资料!$A:D,4,0)</f>
        <v>2</v>
      </c>
      <c r="H143" s="26" t="str">
        <f>VLOOKUP($D:$D,基础资料!$A:E,5,0)</f>
        <v>套</v>
      </c>
      <c r="I143" s="26" t="str">
        <f>VLOOKUP($D:$D,基础资料!$A:F,6,0)</f>
        <v>蓝光电视剧</v>
      </c>
      <c r="J143" s="14"/>
      <c r="K143" s="14">
        <v>1</v>
      </c>
      <c r="L143" s="14"/>
      <c r="M143" s="26">
        <f>SUMIF($D:$D,D143,$L:$L)+SUMIF($D:$D,D143,$J:$J)-SUMIF($D:$D,D143,$K:$K)</f>
        <v>63</v>
      </c>
      <c r="N143" s="26">
        <f>VLOOKUP(D:D,结存!A:J,10,0)</f>
        <v>63</v>
      </c>
      <c r="O143" s="26">
        <f>M143 - N143</f>
        <v>0</v>
      </c>
    </row>
    <row r="144" spans="1:15" ht="15.6">
      <c r="A144" s="15">
        <v>42671</v>
      </c>
      <c r="B144" s="17" t="s">
        <v>862</v>
      </c>
      <c r="C144" s="17"/>
      <c r="D144" s="20">
        <v>573</v>
      </c>
      <c r="E144" s="26" t="str">
        <f>VLOOKUP($D:$D,基础资料!$A:B,2,0)</f>
        <v>07020005</v>
      </c>
      <c r="F144" s="26" t="str">
        <f>VLOOKUP($D:$D,基础资料!$A:C,3,0)</f>
        <v>蓝影-猫王:是这样的:特别版  1BD+1DVD</v>
      </c>
      <c r="G144" s="26" t="str">
        <f>VLOOKUP($D:$D,基础资料!$A:D,4,0)</f>
        <v>2</v>
      </c>
      <c r="H144" s="26" t="str">
        <f>VLOOKUP($D:$D,基础资料!$A:E,5,0)</f>
        <v>套</v>
      </c>
      <c r="I144" s="26" t="str">
        <f>VLOOKUP($D:$D,基础资料!$A:F,6,0)</f>
        <v>蓝光电影</v>
      </c>
      <c r="J144" s="14"/>
      <c r="K144" s="14">
        <v>1</v>
      </c>
      <c r="L144" s="14"/>
      <c r="M144" s="26">
        <f>SUMIF($D:$D,D144,$L:$L)+SUMIF($D:$D,D144,$J:$J)-SUMIF($D:$D,D144,$K:$K)</f>
        <v>69</v>
      </c>
      <c r="N144" s="26">
        <f>VLOOKUP(D:D,结存!A:J,10,0)</f>
        <v>69</v>
      </c>
      <c r="O144" s="26">
        <f>M144 - N144</f>
        <v>0</v>
      </c>
    </row>
    <row r="145" spans="1:15" ht="15.6">
      <c r="A145" s="15">
        <v>42671</v>
      </c>
      <c r="B145" s="17" t="s">
        <v>862</v>
      </c>
      <c r="C145" s="17"/>
      <c r="D145" s="20">
        <v>588</v>
      </c>
      <c r="E145" s="26" t="str">
        <f>VLOOKUP($D:$D,基础资料!$A:B,2,0)</f>
        <v>07020020</v>
      </c>
      <c r="F145" s="26" t="str">
        <f>VLOOKUP($D:$D,基础资料!$A:C,3,0)</f>
        <v>蓝影-猫王-埃尔维斯之旅 1BD</v>
      </c>
      <c r="G145" s="26" t="str">
        <f>VLOOKUP($D:$D,基础资料!$A:D,4,0)</f>
        <v>1</v>
      </c>
      <c r="H145" s="26" t="str">
        <f>VLOOKUP($D:$D,基础资料!$A:E,5,0)</f>
        <v>套</v>
      </c>
      <c r="I145" s="26" t="str">
        <f>VLOOKUP($D:$D,基础资料!$A:F,6,0)</f>
        <v>蓝光电影</v>
      </c>
      <c r="J145" s="14"/>
      <c r="K145" s="14">
        <v>1</v>
      </c>
      <c r="L145" s="14"/>
      <c r="M145" s="26">
        <f>SUMIF($D:$D,D145,$L:$L)+SUMIF($D:$D,D145,$J:$J)-SUMIF($D:$D,D145,$K:$K)</f>
        <v>96</v>
      </c>
      <c r="N145" s="26">
        <f>VLOOKUP(D:D,结存!A:J,10,0)</f>
        <v>96</v>
      </c>
      <c r="O145" s="26">
        <f>M145 - N145</f>
        <v>0</v>
      </c>
    </row>
    <row r="146" spans="1:15" ht="15.6">
      <c r="A146" s="15">
        <v>42671</v>
      </c>
      <c r="B146" s="17"/>
      <c r="C146" s="17"/>
      <c r="D146" s="20">
        <v>583</v>
      </c>
      <c r="E146" s="26" t="str">
        <f>VLOOKUP($D:$D,基础资料!$A:B,2,0)</f>
        <v>07020015</v>
      </c>
      <c r="F146" s="26" t="str">
        <f>VLOOKUP($D:$D,基础资料!$A:C,3,0)</f>
        <v>蓝影-元气囝仔 2BD+2DVD</v>
      </c>
      <c r="G146" s="26" t="str">
        <f>VLOOKUP($D:$D,基础资料!$A:D,4,0)</f>
        <v>4</v>
      </c>
      <c r="H146" s="26" t="str">
        <f>VLOOKUP($D:$D,基础资料!$A:E,5,0)</f>
        <v>套</v>
      </c>
      <c r="I146" s="26" t="str">
        <f>VLOOKUP($D:$D,基础资料!$A:F,6,0)</f>
        <v>蓝光电影</v>
      </c>
      <c r="J146" s="14"/>
      <c r="K146" s="14">
        <v>4</v>
      </c>
      <c r="L146" s="14"/>
      <c r="M146" s="26">
        <f>SUMIF($D:$D,D146,$L:$L)+SUMIF($D:$D,D146,$J:$J)-SUMIF($D:$D,D146,$K:$K)</f>
        <v>94</v>
      </c>
      <c r="N146" s="26">
        <f>VLOOKUP(D:D,结存!A:J,10,0)</f>
        <v>94</v>
      </c>
      <c r="O146" s="26">
        <f>M146 - N146</f>
        <v>0</v>
      </c>
    </row>
    <row r="147" spans="1:15" ht="15.6">
      <c r="A147" s="15">
        <v>42671</v>
      </c>
      <c r="B147" s="17"/>
      <c r="C147" s="17"/>
      <c r="D147" s="20">
        <v>633</v>
      </c>
      <c r="E147" s="26" t="str">
        <f>VLOOKUP($D:$D,基础资料!$A:B,2,0)</f>
        <v>07030009</v>
      </c>
      <c r="F147" s="26" t="str">
        <f>VLOOKUP($D:$D,基础资料!$A:C,3,0)</f>
        <v>蓝卡-星际牛仔  4BD</v>
      </c>
      <c r="G147" s="26" t="str">
        <f>VLOOKUP($D:$D,基础资料!$A:D,4,0)</f>
        <v>4</v>
      </c>
      <c r="H147" s="26" t="str">
        <f>VLOOKUP($D:$D,基础资料!$A:E,5,0)</f>
        <v>套</v>
      </c>
      <c r="I147" s="26" t="str">
        <f>VLOOKUP($D:$D,基础资料!$A:F,6,0)</f>
        <v>蓝光卡通</v>
      </c>
      <c r="J147" s="14"/>
      <c r="K147" s="14">
        <v>6</v>
      </c>
      <c r="L147" s="14"/>
      <c r="M147" s="26">
        <f>SUMIF($D:$D,D147,$L:$L)+SUMIF($D:$D,D147,$J:$J)-SUMIF($D:$D,D147,$K:$K)</f>
        <v>9</v>
      </c>
      <c r="N147" s="26">
        <f>VLOOKUP(D:D,结存!A:J,10,0)</f>
        <v>9</v>
      </c>
      <c r="O147" s="26">
        <f>M147 - N147</f>
        <v>0</v>
      </c>
    </row>
    <row r="148" spans="1:15" ht="15.6">
      <c r="A148" s="15">
        <v>42671</v>
      </c>
      <c r="B148" s="17"/>
      <c r="C148" s="17"/>
      <c r="D148" s="20">
        <v>607</v>
      </c>
      <c r="E148" s="26" t="str">
        <f>VLOOKUP($D:$D,基础资料!$A:B,2,0)</f>
        <v>07020039</v>
      </c>
      <c r="F148" s="26" t="str">
        <f>VLOOKUP($D:$D,基础资料!$A:C,3,0)</f>
        <v>蓝影-钢之炼金术师：兄弟会（上）  4BD</v>
      </c>
      <c r="G148" s="26" t="str">
        <f>VLOOKUP($D:$D,基础资料!$A:D,4,0)</f>
        <v>4</v>
      </c>
      <c r="H148" s="26" t="str">
        <f>VLOOKUP($D:$D,基础资料!$A:E,5,0)</f>
        <v>套</v>
      </c>
      <c r="I148" s="26" t="str">
        <f>VLOOKUP($D:$D,基础资料!$A:F,6,0)</f>
        <v>蓝光电影</v>
      </c>
      <c r="J148" s="14"/>
      <c r="K148" s="14">
        <v>4</v>
      </c>
      <c r="L148" s="14"/>
      <c r="M148" s="26">
        <f>SUMIF($D:$D,D148,$L:$L)+SUMIF($D:$D,D148,$J:$J)-SUMIF($D:$D,D148,$K:$K)</f>
        <v>72</v>
      </c>
      <c r="N148" s="26">
        <f>VLOOKUP(D:D,结存!A:J,10,0)</f>
        <v>72</v>
      </c>
      <c r="O148" s="26">
        <f>M148 - N148</f>
        <v>0</v>
      </c>
    </row>
    <row r="149" spans="1:15" ht="15.6">
      <c r="A149" s="15">
        <v>42671</v>
      </c>
      <c r="B149" s="17"/>
      <c r="C149" s="17"/>
      <c r="D149" s="20">
        <v>608</v>
      </c>
      <c r="E149" s="26" t="str">
        <f>VLOOKUP($D:$D,基础资料!$A:B,2,0)</f>
        <v>07020040</v>
      </c>
      <c r="F149" s="26" t="str">
        <f>VLOOKUP($D:$D,基础资料!$A:C,3,0)</f>
        <v>蓝影-钢之炼金术师：兄弟会（下）  4BD</v>
      </c>
      <c r="G149" s="26" t="str">
        <f>VLOOKUP($D:$D,基础资料!$A:D,4,0)</f>
        <v>4</v>
      </c>
      <c r="H149" s="26" t="str">
        <f>VLOOKUP($D:$D,基础资料!$A:E,5,0)</f>
        <v>套</v>
      </c>
      <c r="I149" s="26" t="str">
        <f>VLOOKUP($D:$D,基础资料!$A:F,6,0)</f>
        <v>蓝光电影</v>
      </c>
      <c r="J149" s="14"/>
      <c r="K149" s="14">
        <v>4</v>
      </c>
      <c r="L149" s="14"/>
      <c r="M149" s="26">
        <f>SUMIF($D:$D,D149,$L:$L)+SUMIF($D:$D,D149,$J:$J)-SUMIF($D:$D,D149,$K:$K)</f>
        <v>77</v>
      </c>
      <c r="N149" s="26">
        <f>VLOOKUP(D:D,结存!A:J,10,0)</f>
        <v>77</v>
      </c>
      <c r="O149" s="26">
        <f>M149 - N149</f>
        <v>0</v>
      </c>
    </row>
    <row r="150" spans="1:15" ht="15.6">
      <c r="A150" s="15">
        <v>42671</v>
      </c>
      <c r="B150" s="17"/>
      <c r="C150" s="17"/>
      <c r="D150" s="20">
        <v>594</v>
      </c>
      <c r="E150" s="26" t="str">
        <f>VLOOKUP($D:$D,基础资料!$A:B,2,0)</f>
        <v>07020026</v>
      </c>
      <c r="F150" s="26" t="str">
        <f>VLOOKUP($D:$D,基础资料!$A:C,3,0)</f>
        <v>蓝影-耐撕侦探1BD+1DVD</v>
      </c>
      <c r="G150" s="26" t="str">
        <f>VLOOKUP($D:$D,基础资料!$A:D,4,0)</f>
        <v>2</v>
      </c>
      <c r="H150" s="26" t="str">
        <f>VLOOKUP($D:$D,基础资料!$A:E,5,0)</f>
        <v>套</v>
      </c>
      <c r="I150" s="26" t="str">
        <f>VLOOKUP($D:$D,基础资料!$A:F,6,0)</f>
        <v>蓝光电影</v>
      </c>
      <c r="J150" s="14">
        <v>10</v>
      </c>
      <c r="K150" s="14"/>
      <c r="L150" s="14"/>
      <c r="M150" s="26">
        <f>SUMIF($D:$D,D150,$L:$L)+SUMIF($D:$D,D150,$J:$J)-SUMIF($D:$D,D150,$K:$K)</f>
        <v>95</v>
      </c>
      <c r="N150" s="26">
        <f>VLOOKUP(D:D,结存!A:J,10,0)</f>
        <v>95</v>
      </c>
      <c r="O150" s="26">
        <f>M150 - N150</f>
        <v>0</v>
      </c>
    </row>
    <row r="151" spans="1:15" ht="15.6">
      <c r="A151" s="15">
        <v>42671</v>
      </c>
      <c r="B151" s="17"/>
      <c r="C151" s="17"/>
      <c r="D151" s="20">
        <v>594</v>
      </c>
      <c r="E151" s="26" t="str">
        <f>VLOOKUP($D:$D,基础资料!$A:B,2,0)</f>
        <v>07020026</v>
      </c>
      <c r="F151" s="26" t="str">
        <f>VLOOKUP($D:$D,基础资料!$A:C,3,0)</f>
        <v>蓝影-耐撕侦探1BD+1DVD</v>
      </c>
      <c r="G151" s="26" t="str">
        <f>VLOOKUP($D:$D,基础资料!$A:D,4,0)</f>
        <v>2</v>
      </c>
      <c r="H151" s="26" t="str">
        <f>VLOOKUP($D:$D,基础资料!$A:E,5,0)</f>
        <v>套</v>
      </c>
      <c r="I151" s="26" t="str">
        <f>VLOOKUP($D:$D,基础资料!$A:F,6,0)</f>
        <v>蓝光电影</v>
      </c>
      <c r="J151" s="14"/>
      <c r="K151" s="14">
        <v>2</v>
      </c>
      <c r="L151" s="14"/>
      <c r="M151" s="26">
        <f>SUMIF($D:$D,D151,$L:$L)+SUMIF($D:$D,D151,$J:$J)-SUMIF($D:$D,D151,$K:$K)</f>
        <v>95</v>
      </c>
      <c r="N151" s="26">
        <f>VLOOKUP(D:D,结存!A:J,10,0)</f>
        <v>95</v>
      </c>
      <c r="O151" s="26">
        <f>M151 - N151</f>
        <v>0</v>
      </c>
    </row>
    <row r="152" spans="1:15" ht="15.6">
      <c r="A152" s="15">
        <v>42671</v>
      </c>
      <c r="B152" s="17"/>
      <c r="C152" s="17"/>
      <c r="D152" s="20">
        <v>690</v>
      </c>
      <c r="E152" s="26" t="str">
        <f>VLOOKUP($D:$D,基础资料!$A:B,2,0)</f>
        <v>0703000344</v>
      </c>
      <c r="F152" s="26" t="str">
        <f>VLOOKUP($D:$D,基础资料!$A:C,3,0)</f>
        <v>瑞奇与叮当</v>
      </c>
      <c r="G152" s="26" t="str">
        <f>VLOOKUP($D:$D,基础资料!$A:D,4,0)</f>
        <v>\</v>
      </c>
      <c r="H152" s="26" t="str">
        <f>VLOOKUP($D:$D,基础资料!$A:E,5,0)</f>
        <v>套</v>
      </c>
      <c r="I152" s="26" t="str">
        <f>VLOOKUP($D:$D,基础资料!$A:F,6,0)</f>
        <v>蓝光卡通</v>
      </c>
      <c r="J152" s="14">
        <v>1</v>
      </c>
      <c r="K152" s="14"/>
      <c r="L152" s="14"/>
      <c r="M152" s="26">
        <f>SUMIF($D:$D,D152,$L:$L)+SUMIF($D:$D,D152,$J:$J)-SUMIF($D:$D,D152,$K:$K)</f>
        <v>96</v>
      </c>
      <c r="N152" s="26">
        <f>VLOOKUP(D:D,结存!A:J,10,0)</f>
        <v>96</v>
      </c>
      <c r="O152" s="26">
        <f>M152 - N152</f>
        <v>0</v>
      </c>
    </row>
    <row r="153" spans="1:15" ht="15.6">
      <c r="A153" s="15">
        <v>42671</v>
      </c>
      <c r="B153" s="17" t="s">
        <v>864</v>
      </c>
      <c r="C153" s="17"/>
      <c r="D153" s="20">
        <v>690</v>
      </c>
      <c r="E153" s="26" t="str">
        <f>VLOOKUP($D:$D,基础资料!$A:B,2,0)</f>
        <v>0703000344</v>
      </c>
      <c r="F153" s="26" t="str">
        <f>VLOOKUP($D:$D,基础资料!$A:C,3,0)</f>
        <v>瑞奇与叮当</v>
      </c>
      <c r="G153" s="26" t="str">
        <f>VLOOKUP($D:$D,基础资料!$A:D,4,0)</f>
        <v>\</v>
      </c>
      <c r="H153" s="26" t="str">
        <f>VLOOKUP($D:$D,基础资料!$A:E,5,0)</f>
        <v>套</v>
      </c>
      <c r="I153" s="26" t="str">
        <f>VLOOKUP($D:$D,基础资料!$A:F,6,0)</f>
        <v>蓝光卡通</v>
      </c>
      <c r="J153" s="14"/>
      <c r="K153" s="14">
        <v>1</v>
      </c>
      <c r="L153" s="14"/>
      <c r="M153" s="26">
        <f>SUMIF($D:$D,D153,$L:$L)+SUMIF($D:$D,D153,$J:$J)-SUMIF($D:$D,D153,$K:$K)</f>
        <v>96</v>
      </c>
      <c r="N153" s="26">
        <f>VLOOKUP(D:D,结存!A:J,10,0)</f>
        <v>96</v>
      </c>
      <c r="O153" s="26">
        <f>M153 - N153</f>
        <v>0</v>
      </c>
    </row>
    <row r="154" spans="1:15" ht="15.6">
      <c r="A154" s="15">
        <v>42671</v>
      </c>
      <c r="B154" s="17"/>
      <c r="C154" s="17"/>
      <c r="D154" s="20">
        <v>635</v>
      </c>
      <c r="E154" s="26" t="str">
        <f>VLOOKUP($D:$D,基础资料!$A:B,2,0)</f>
        <v>07030011</v>
      </c>
      <c r="F154" s="26" t="str">
        <f>VLOOKUP($D:$D,基础资料!$A:C,3,0)</f>
        <v>蓝卡-凉宫春日的消失  1BD+2DVD</v>
      </c>
      <c r="G154" s="26" t="str">
        <f>VLOOKUP($D:$D,基础资料!$A:D,4,0)</f>
        <v>\</v>
      </c>
      <c r="H154" s="26" t="str">
        <f>VLOOKUP($D:$D,基础资料!$A:E,5,0)</f>
        <v>套</v>
      </c>
      <c r="I154" s="26" t="str">
        <f>VLOOKUP($D:$D,基础资料!$A:F,6,0)</f>
        <v>蓝光卡通</v>
      </c>
      <c r="J154" s="14">
        <v>4</v>
      </c>
      <c r="K154" s="14"/>
      <c r="L154" s="14"/>
      <c r="M154" s="26">
        <f>SUMIF($D:$D,D154,$L:$L)+SUMIF($D:$D,D154,$J:$J)-SUMIF($D:$D,D154,$K:$K)</f>
        <v>95</v>
      </c>
      <c r="N154" s="26">
        <f>VLOOKUP(D:D,结存!A:J,10,0)</f>
        <v>95</v>
      </c>
      <c r="O154" s="26">
        <f>M154 - N154</f>
        <v>0</v>
      </c>
    </row>
    <row r="155" spans="1:15" ht="15.6">
      <c r="A155" s="15">
        <v>42671</v>
      </c>
      <c r="B155" s="17"/>
      <c r="C155" s="17"/>
      <c r="D155" s="20">
        <v>635</v>
      </c>
      <c r="E155" s="26" t="str">
        <f>VLOOKUP($D:$D,基础资料!$A:B,2,0)</f>
        <v>07030011</v>
      </c>
      <c r="F155" s="26" t="str">
        <f>VLOOKUP($D:$D,基础资料!$A:C,3,0)</f>
        <v>蓝卡-凉宫春日的消失  1BD+2DVD</v>
      </c>
      <c r="G155" s="26" t="str">
        <f>VLOOKUP($D:$D,基础资料!$A:D,4,0)</f>
        <v>\</v>
      </c>
      <c r="H155" s="26" t="str">
        <f>VLOOKUP($D:$D,基础资料!$A:E,5,0)</f>
        <v>套</v>
      </c>
      <c r="I155" s="26" t="str">
        <f>VLOOKUP($D:$D,基础资料!$A:F,6,0)</f>
        <v>蓝光卡通</v>
      </c>
      <c r="J155" s="14"/>
      <c r="K155" s="14">
        <v>4</v>
      </c>
      <c r="L155" s="14"/>
      <c r="M155" s="26">
        <f>SUMIF($D:$D,D155,$L:$L)+SUMIF($D:$D,D155,$J:$J)-SUMIF($D:$D,D155,$K:$K)</f>
        <v>95</v>
      </c>
      <c r="N155" s="26">
        <f>VLOOKUP(D:D,结存!A:J,10,0)</f>
        <v>95</v>
      </c>
      <c r="O155" s="26">
        <f>M155 - N155</f>
        <v>0</v>
      </c>
    </row>
    <row r="156" spans="1:15" ht="15.6">
      <c r="A156" s="15">
        <v>42671</v>
      </c>
      <c r="B156" s="17" t="s">
        <v>865</v>
      </c>
      <c r="C156" s="17"/>
      <c r="D156" s="20">
        <v>526</v>
      </c>
      <c r="E156" s="26" t="str">
        <f>VLOOKUP($D:$D,基础资料!$A:B,2,0)</f>
        <v>07010001</v>
      </c>
      <c r="F156" s="26" t="str">
        <f>VLOOKUP($D:$D,基础资料!$A:C,3,0)</f>
        <v>蓝剧-地球百子第3季 4BD</v>
      </c>
      <c r="G156" s="26" t="str">
        <f>VLOOKUP($D:$D,基础资料!$A:D,4,0)</f>
        <v>4</v>
      </c>
      <c r="H156" s="26" t="str">
        <f>VLOOKUP($D:$D,基础资料!$A:E,5,0)</f>
        <v>套</v>
      </c>
      <c r="I156" s="26" t="str">
        <f>VLOOKUP($D:$D,基础资料!$A:F,6,0)</f>
        <v>蓝光电视剧</v>
      </c>
      <c r="J156" s="14"/>
      <c r="K156" s="14">
        <v>1</v>
      </c>
      <c r="L156" s="14"/>
      <c r="M156" s="26">
        <f>SUMIF($D:$D,D156,$L:$L)+SUMIF($D:$D,D156,$J:$J)-SUMIF($D:$D,D156,$K:$K)</f>
        <v>19</v>
      </c>
      <c r="N156" s="26">
        <f>VLOOKUP(D:D,结存!A:J,10,0)</f>
        <v>19</v>
      </c>
      <c r="O156" s="26">
        <f>M156 - N156</f>
        <v>0</v>
      </c>
    </row>
    <row r="157" spans="1:15" ht="15.6">
      <c r="A157" s="15">
        <v>42671</v>
      </c>
      <c r="B157" s="17" t="s">
        <v>865</v>
      </c>
      <c r="C157" s="17"/>
      <c r="D157" s="20">
        <v>533</v>
      </c>
      <c r="E157" s="26" t="str">
        <f>VLOOKUP($D:$D,基础资料!$A:B,2,0)</f>
        <v>07010006</v>
      </c>
      <c r="F157" s="26" t="str">
        <f>VLOOKUP($D:$D,基础资料!$A:C,3,0)</f>
        <v>蓝剧-冰血暴第2季  3BD</v>
      </c>
      <c r="G157" s="26" t="str">
        <f>VLOOKUP($D:$D,基础资料!$A:D,4,0)</f>
        <v>3</v>
      </c>
      <c r="H157" s="26" t="str">
        <f>VLOOKUP($D:$D,基础资料!$A:E,5,0)</f>
        <v>套</v>
      </c>
      <c r="I157" s="26" t="str">
        <f>VLOOKUP($D:$D,基础资料!$A:F,6,0)</f>
        <v>蓝光电视剧</v>
      </c>
      <c r="J157" s="14"/>
      <c r="K157" s="14">
        <v>2</v>
      </c>
      <c r="L157" s="14"/>
      <c r="M157" s="26">
        <f>SUMIF($D:$D,D157,$L:$L)+SUMIF($D:$D,D157,$J:$J)-SUMIF($D:$D,D157,$K:$K)</f>
        <v>89</v>
      </c>
      <c r="N157" s="26">
        <f>VLOOKUP(D:D,结存!A:J,10,0)</f>
        <v>70</v>
      </c>
      <c r="O157" s="26">
        <f>M157 - N157</f>
        <v>19</v>
      </c>
    </row>
    <row r="158" spans="1:15" ht="15.6">
      <c r="A158" s="15">
        <v>42672</v>
      </c>
      <c r="B158" s="17" t="s">
        <v>866</v>
      </c>
      <c r="C158" s="17"/>
      <c r="D158" s="20">
        <v>611</v>
      </c>
      <c r="E158" s="26" t="str">
        <f>VLOOKUP($D:$D,基础资料!$A:B,2,0)</f>
        <v>07020043</v>
      </c>
      <c r="F158" s="26" t="str">
        <f>VLOOKUP($D:$D,基础资料!$A:C,3,0)</f>
        <v>蓝影-狼厅 3BD</v>
      </c>
      <c r="G158" s="26" t="str">
        <f>VLOOKUP($D:$D,基础资料!$A:D,4,0)</f>
        <v>3</v>
      </c>
      <c r="H158" s="26" t="str">
        <f>VLOOKUP($D:$D,基础资料!$A:E,5,0)</f>
        <v>套</v>
      </c>
      <c r="I158" s="26" t="str">
        <f>VLOOKUP($D:$D,基础资料!$A:F,6,0)</f>
        <v>蓝光电影</v>
      </c>
      <c r="J158" s="14"/>
      <c r="K158" s="14">
        <v>1</v>
      </c>
      <c r="L158" s="14"/>
      <c r="M158" s="26">
        <f>SUMIF($D:$D,D158,$L:$L)+SUMIF($D:$D,D158,$J:$J)-SUMIF($D:$D,D158,$K:$K)</f>
        <v>74</v>
      </c>
      <c r="N158" s="26">
        <f>VLOOKUP(D:D,结存!A:J,10,0)</f>
        <v>74</v>
      </c>
      <c r="O158" s="26">
        <f>M158 - N158</f>
        <v>0</v>
      </c>
    </row>
    <row r="159" spans="1:15" ht="15.6">
      <c r="A159" s="15">
        <v>42672</v>
      </c>
      <c r="B159" s="17" t="s">
        <v>867</v>
      </c>
      <c r="C159" s="17"/>
      <c r="D159" s="20">
        <v>537</v>
      </c>
      <c r="E159" s="26" t="str">
        <f>VLOOKUP($D:$D,基础资料!$A:B,2,0)</f>
        <v>07010011</v>
      </c>
      <c r="F159" s="26" t="str">
        <f>VLOOKUP($D:$D,基础资料!$A:C,3,0)</f>
        <v>蓝剧-黑色孤儿第2季  2BD</v>
      </c>
      <c r="G159" s="26" t="str">
        <f>VLOOKUP($D:$D,基础资料!$A:D,4,0)</f>
        <v>2</v>
      </c>
      <c r="H159" s="26" t="str">
        <f>VLOOKUP($D:$D,基础资料!$A:E,5,0)</f>
        <v>套</v>
      </c>
      <c r="I159" s="26" t="str">
        <f>VLOOKUP($D:$D,基础资料!$A:F,6,0)</f>
        <v>蓝光电视剧</v>
      </c>
      <c r="J159" s="14"/>
      <c r="K159" s="14">
        <v>5</v>
      </c>
      <c r="L159" s="14"/>
      <c r="M159" s="26">
        <f>SUMIF($D:$D,D159,$L:$L)+SUMIF($D:$D,D159,$J:$J)-SUMIF($D:$D,D159,$K:$K)</f>
        <v>98</v>
      </c>
      <c r="N159" s="26">
        <f>VLOOKUP(D:D,结存!A:J,10,0)</f>
        <v>79</v>
      </c>
      <c r="O159" s="26">
        <f>M159 - N159</f>
        <v>19</v>
      </c>
    </row>
    <row r="160" spans="1:15" ht="15.6">
      <c r="A160" s="15">
        <v>42672</v>
      </c>
      <c r="B160" s="17" t="s">
        <v>867</v>
      </c>
      <c r="C160" s="17"/>
      <c r="D160" s="20">
        <v>541</v>
      </c>
      <c r="E160" s="26" t="str">
        <f>VLOOKUP($D:$D,基础资料!$A:B,2,0)</f>
        <v>07010015</v>
      </c>
      <c r="F160" s="26" t="str">
        <f>VLOOKUP($D:$D,基础资料!$A:C,3,0)</f>
        <v>蓝剧-黑色孤儿第4季  2BD</v>
      </c>
      <c r="G160" s="26" t="str">
        <f>VLOOKUP($D:$D,基础资料!$A:D,4,0)</f>
        <v>2</v>
      </c>
      <c r="H160" s="26" t="str">
        <f>VLOOKUP($D:$D,基础资料!$A:E,5,0)</f>
        <v>套</v>
      </c>
      <c r="I160" s="26" t="str">
        <f>VLOOKUP($D:$D,基础资料!$A:F,6,0)</f>
        <v>蓝光电视剧</v>
      </c>
      <c r="J160" s="14"/>
      <c r="K160" s="14">
        <v>5</v>
      </c>
      <c r="L160" s="14"/>
      <c r="M160" s="26">
        <f>SUMIF($D:$D,D160,$L:$L)+SUMIF($D:$D,D160,$J:$J)-SUMIF($D:$D,D160,$K:$K)</f>
        <v>63</v>
      </c>
      <c r="N160" s="26">
        <f>VLOOKUP(D:D,结存!A:J,10,0)</f>
        <v>63</v>
      </c>
      <c r="O160" s="26">
        <f>M160 - N160</f>
        <v>0</v>
      </c>
    </row>
    <row r="161" spans="1:15" ht="15.6">
      <c r="A161" s="15">
        <v>42672</v>
      </c>
      <c r="B161" s="17" t="s">
        <v>868</v>
      </c>
      <c r="C161" s="17"/>
      <c r="D161" s="20">
        <v>637</v>
      </c>
      <c r="E161" s="26" t="str">
        <f>VLOOKUP($D:$D,基础资料!$A:B,2,0)</f>
        <v>0704000002</v>
      </c>
      <c r="F161" s="26" t="str">
        <f>VLOOKUP($D:$D,基础资料!$A:C,3,0)</f>
        <v>S-项目评价</v>
      </c>
      <c r="G161" s="26" t="str">
        <f>VLOOKUP($D:$D,基础资料!$A:D,4,0)</f>
        <v>\</v>
      </c>
      <c r="H161" s="26" t="str">
        <f>VLOOKUP($D:$D,基础资料!$A:E,5,0)</f>
        <v>本</v>
      </c>
      <c r="I161" s="26" t="str">
        <f>VLOOKUP($D:$D,基础资料!$A:F,6,0)</f>
        <v>书本</v>
      </c>
      <c r="J161" s="14"/>
      <c r="K161" s="14">
        <v>80</v>
      </c>
      <c r="L161" s="14"/>
      <c r="M161" s="26">
        <f>SUMIF($D:$D,D161,$L:$L)+SUMIF($D:$D,D161,$J:$J)-SUMIF($D:$D,D161,$K:$K)</f>
        <v>1877</v>
      </c>
      <c r="N161" s="26">
        <f>VLOOKUP(D:D,结存!A:J,10,0)</f>
        <v>1877</v>
      </c>
      <c r="O161" s="26">
        <f>M161 - N161</f>
        <v>0</v>
      </c>
    </row>
    <row r="162" spans="1:15" ht="15.6">
      <c r="A162" s="15">
        <v>42672</v>
      </c>
      <c r="B162" s="17" t="s">
        <v>868</v>
      </c>
      <c r="C162" s="17"/>
      <c r="D162" s="20">
        <v>668</v>
      </c>
      <c r="E162" s="26" t="str">
        <f>VLOOKUP($D:$D,基础资料!$A:B,2,0)</f>
        <v>07040026</v>
      </c>
      <c r="F162" s="26" t="str">
        <f>VLOOKUP($D:$D,基础资料!$A:C,3,0)</f>
        <v>S-团体咨询</v>
      </c>
      <c r="G162" s="26" t="str">
        <f>VLOOKUP($D:$D,基础资料!$A:D,4,0)</f>
        <v>\</v>
      </c>
      <c r="H162" s="26" t="str">
        <f>VLOOKUP($D:$D,基础资料!$A:E,5,0)</f>
        <v>本</v>
      </c>
      <c r="I162" s="26" t="str">
        <f>VLOOKUP($D:$D,基础资料!$A:F,6,0)</f>
        <v>书本</v>
      </c>
      <c r="J162" s="14"/>
      <c r="K162" s="14">
        <v>30</v>
      </c>
      <c r="L162" s="14"/>
      <c r="M162" s="26">
        <f>SUMIF($D:$D,D162,$L:$L)+SUMIF($D:$D,D162,$J:$J)-SUMIF($D:$D,D162,$K:$K)</f>
        <v>1473</v>
      </c>
      <c r="N162" s="26">
        <f>VLOOKUP(D:D,结存!A:J,10,0)</f>
        <v>1473</v>
      </c>
      <c r="O162" s="26">
        <f>M162 - N162</f>
        <v>0</v>
      </c>
    </row>
    <row r="163" spans="1:15" ht="15.6">
      <c r="A163" s="15">
        <v>42672</v>
      </c>
      <c r="B163" s="17" t="s">
        <v>868</v>
      </c>
      <c r="C163" s="17"/>
      <c r="D163" s="20">
        <v>638</v>
      </c>
      <c r="E163" s="26" t="str">
        <f>VLOOKUP($D:$D,基础资料!$A:B,2,0)</f>
        <v>0704000003</v>
      </c>
      <c r="F163" s="26" t="str">
        <f>VLOOKUP($D:$D,基础资料!$A:C,3,0)</f>
        <v>S-人格理论</v>
      </c>
      <c r="G163" s="26" t="str">
        <f>VLOOKUP($D:$D,基础资料!$A:D,4,0)</f>
        <v>\</v>
      </c>
      <c r="H163" s="26" t="str">
        <f>VLOOKUP($D:$D,基础资料!$A:E,5,0)</f>
        <v>本</v>
      </c>
      <c r="I163" s="26" t="str">
        <f>VLOOKUP($D:$D,基础资料!$A:F,6,0)</f>
        <v>书本</v>
      </c>
      <c r="J163" s="14"/>
      <c r="K163" s="14">
        <v>10</v>
      </c>
      <c r="L163" s="14"/>
      <c r="M163" s="26">
        <f>SUMIF($D:$D,D163,$L:$L)+SUMIF($D:$D,D163,$J:$J)-SUMIF($D:$D,D163,$K:$K)</f>
        <v>523</v>
      </c>
      <c r="N163" s="26">
        <f>VLOOKUP(D:D,结存!A:J,10,0)</f>
        <v>523</v>
      </c>
      <c r="O163" s="26">
        <f>M163 - N163</f>
        <v>0</v>
      </c>
    </row>
    <row r="164" spans="1:15" ht="15.6">
      <c r="A164" s="15">
        <v>42672</v>
      </c>
      <c r="B164" s="17" t="s">
        <v>868</v>
      </c>
      <c r="C164" s="17"/>
      <c r="D164" s="20">
        <v>640</v>
      </c>
      <c r="E164" s="26" t="str">
        <f>VLOOKUP($D:$D,基础资料!$A:B,2,0)</f>
        <v>0704000035</v>
      </c>
      <c r="F164" s="26" t="str">
        <f>VLOOKUP($D:$D,基础资料!$A:C,3,0)</f>
        <v>S-商业：一个不断变化的世界</v>
      </c>
      <c r="G164" s="26" t="str">
        <f>VLOOKUP($D:$D,基础资料!$A:D,4,0)</f>
        <v>\</v>
      </c>
      <c r="H164" s="26" t="str">
        <f>VLOOKUP($D:$D,基础资料!$A:E,5,0)</f>
        <v>本</v>
      </c>
      <c r="I164" s="26" t="str">
        <f>VLOOKUP($D:$D,基础资料!$A:F,6,0)</f>
        <v>书本</v>
      </c>
      <c r="J164" s="14"/>
      <c r="K164" s="14">
        <v>25</v>
      </c>
      <c r="L164" s="14"/>
      <c r="M164" s="26">
        <f>SUMIF($D:$D,D164,$L:$L)+SUMIF($D:$D,D164,$J:$J)-SUMIF($D:$D,D164,$K:$K)</f>
        <v>474</v>
      </c>
      <c r="N164" s="26">
        <f>VLOOKUP(D:D,结存!A:J,10,0)</f>
        <v>474</v>
      </c>
      <c r="O164" s="26">
        <f>M164 - N164</f>
        <v>0</v>
      </c>
    </row>
    <row r="165" spans="1:15" ht="15.6">
      <c r="A165" s="15">
        <v>42672</v>
      </c>
      <c r="B165" s="17" t="s">
        <v>868</v>
      </c>
      <c r="C165" s="17"/>
      <c r="D165" s="20">
        <v>652</v>
      </c>
      <c r="E165" s="26" t="str">
        <f>VLOOKUP($D:$D,基础资料!$A:B,2,0)</f>
        <v>07040010</v>
      </c>
      <c r="F165" s="26" t="str">
        <f>VLOOKUP($D:$D,基础资料!$A:C,3,0)</f>
        <v>S-管理技能养成</v>
      </c>
      <c r="G165" s="26" t="str">
        <f>VLOOKUP($D:$D,基础资料!$A:D,4,0)</f>
        <v>\</v>
      </c>
      <c r="H165" s="26" t="str">
        <f>VLOOKUP($D:$D,基础资料!$A:E,5,0)</f>
        <v>本</v>
      </c>
      <c r="I165" s="26" t="str">
        <f>VLOOKUP($D:$D,基础资料!$A:F,6,0)</f>
        <v>书本</v>
      </c>
      <c r="J165" s="14"/>
      <c r="K165" s="14">
        <v>20</v>
      </c>
      <c r="L165" s="14"/>
      <c r="M165" s="26">
        <f>SUMIF($D:$D,D165,$L:$L)+SUMIF($D:$D,D165,$J:$J)-SUMIF($D:$D,D165,$K:$K)</f>
        <v>292</v>
      </c>
      <c r="N165" s="26">
        <f>VLOOKUP(D:D,结存!A:J,10,0)</f>
        <v>292</v>
      </c>
      <c r="O165" s="26">
        <f>M165 - N165</f>
        <v>0</v>
      </c>
    </row>
    <row r="166" spans="1:15" ht="15.6">
      <c r="A166" s="15">
        <v>42672</v>
      </c>
      <c r="B166" s="17" t="s">
        <v>868</v>
      </c>
      <c r="C166" s="17"/>
      <c r="D166" s="20">
        <v>636</v>
      </c>
      <c r="E166" s="26" t="str">
        <f>VLOOKUP($D:$D,基础资料!$A:B,2,0)</f>
        <v>0704000001</v>
      </c>
      <c r="F166" s="26" t="str">
        <f>VLOOKUP($D:$D,基础资料!$A:C,3,0)</f>
        <v>S-内识心理学</v>
      </c>
      <c r="G166" s="26" t="str">
        <f>VLOOKUP($D:$D,基础资料!$A:D,4,0)</f>
        <v>\</v>
      </c>
      <c r="H166" s="26" t="str">
        <f>VLOOKUP($D:$D,基础资料!$A:E,5,0)</f>
        <v>本</v>
      </c>
      <c r="I166" s="26" t="str">
        <f>VLOOKUP($D:$D,基础资料!$A:F,6,0)</f>
        <v>书本</v>
      </c>
      <c r="J166" s="14"/>
      <c r="K166" s="14">
        <v>51</v>
      </c>
      <c r="L166" s="14"/>
      <c r="M166" s="26">
        <f>SUMIF($D:$D,D166,$L:$L)+SUMIF($D:$D,D166,$J:$J)-SUMIF($D:$D,D166,$K:$K)</f>
        <v>656</v>
      </c>
      <c r="N166" s="26">
        <f>VLOOKUP(D:D,结存!A:J,10,0)</f>
        <v>656</v>
      </c>
      <c r="O166" s="26">
        <f>M166 - N166</f>
        <v>0</v>
      </c>
    </row>
    <row r="167" spans="1:15" ht="15.6">
      <c r="A167" s="15">
        <v>42672</v>
      </c>
      <c r="B167" s="17" t="s">
        <v>868</v>
      </c>
      <c r="C167" s="17"/>
      <c r="D167" s="20">
        <v>654</v>
      </c>
      <c r="E167" s="26" t="str">
        <f>VLOOKUP($D:$D,基础资料!$A:B,2,0)</f>
        <v>07040012</v>
      </c>
      <c r="F167" s="26" t="str">
        <f>VLOOKUP($D:$D,基础资料!$A:C,3,0)</f>
        <v>S-实践研究</v>
      </c>
      <c r="G167" s="26" t="str">
        <f>VLOOKUP($D:$D,基础资料!$A:D,4,0)</f>
        <v>\</v>
      </c>
      <c r="H167" s="26" t="str">
        <f>VLOOKUP($D:$D,基础资料!$A:E,5,0)</f>
        <v>本</v>
      </c>
      <c r="I167" s="26" t="str">
        <f>VLOOKUP($D:$D,基础资料!$A:F,6,0)</f>
        <v>书本</v>
      </c>
      <c r="J167" s="14"/>
      <c r="K167" s="14">
        <v>30</v>
      </c>
      <c r="L167" s="14"/>
      <c r="M167" s="26">
        <f>SUMIF($D:$D,D167,$L:$L)+SUMIF($D:$D,D167,$J:$J)-SUMIF($D:$D,D167,$K:$K)</f>
        <v>1966</v>
      </c>
      <c r="N167" s="26">
        <f>VLOOKUP(D:D,结存!A:J,10,0)</f>
        <v>1966</v>
      </c>
      <c r="O167" s="26">
        <f>M167 - N167</f>
        <v>0</v>
      </c>
    </row>
    <row r="168" spans="1:15" ht="15.6">
      <c r="A168" s="15">
        <v>42672</v>
      </c>
      <c r="B168" s="17" t="s">
        <v>868</v>
      </c>
      <c r="C168" s="17"/>
      <c r="D168" s="20">
        <v>661</v>
      </c>
      <c r="E168" s="26" t="str">
        <f>VLOOKUP($D:$D,基础资料!$A:B,2,0)</f>
        <v>07040019</v>
      </c>
      <c r="F168" s="26" t="str">
        <f>VLOOKUP($D:$D,基础资料!$A:C,3,0)</f>
        <v>S-美国药疗保健</v>
      </c>
      <c r="G168" s="26" t="str">
        <f>VLOOKUP($D:$D,基础资料!$A:D,4,0)</f>
        <v>\</v>
      </c>
      <c r="H168" s="26" t="str">
        <f>VLOOKUP($D:$D,基础资料!$A:E,5,0)</f>
        <v>本</v>
      </c>
      <c r="I168" s="26" t="str">
        <f>VLOOKUP($D:$D,基础资料!$A:F,6,0)</f>
        <v>书本</v>
      </c>
      <c r="J168" s="14"/>
      <c r="K168" s="14">
        <v>40</v>
      </c>
      <c r="L168" s="14"/>
      <c r="M168" s="26">
        <f>SUMIF($D:$D,D168,$L:$L)+SUMIF($D:$D,D168,$J:$J)-SUMIF($D:$D,D168,$K:$K)</f>
        <v>975</v>
      </c>
      <c r="N168" s="26">
        <f>VLOOKUP(D:D,结存!A:J,10,0)</f>
        <v>975</v>
      </c>
      <c r="O168" s="26">
        <f>M168 - N168</f>
        <v>0</v>
      </c>
    </row>
    <row r="169" spans="1:15" ht="15.6">
      <c r="A169" s="15">
        <v>42672</v>
      </c>
      <c r="B169" s="17" t="s">
        <v>868</v>
      </c>
      <c r="C169" s="17"/>
      <c r="D169" s="20">
        <v>641</v>
      </c>
      <c r="E169" s="26" t="str">
        <f>VLOOKUP($D:$D,基础资料!$A:B,2,0)</f>
        <v>0704000036</v>
      </c>
      <c r="F169" s="26" t="str">
        <f>VLOOKUP($D:$D,基础资料!$A:C,3,0)</f>
        <v>S-我们的人民</v>
      </c>
      <c r="G169" s="26" t="str">
        <f>VLOOKUP($D:$D,基础资料!$A:D,4,0)</f>
        <v>\</v>
      </c>
      <c r="H169" s="26" t="str">
        <f>VLOOKUP($D:$D,基础资料!$A:E,5,0)</f>
        <v>本</v>
      </c>
      <c r="I169" s="26" t="str">
        <f>VLOOKUP($D:$D,基础资料!$A:F,6,0)</f>
        <v>书本</v>
      </c>
      <c r="J169" s="14"/>
      <c r="K169" s="14">
        <v>25</v>
      </c>
      <c r="L169" s="14"/>
      <c r="M169" s="26">
        <f>SUMIF($D:$D,D169,$L:$L)+SUMIF($D:$D,D169,$J:$J)-SUMIF($D:$D,D169,$K:$K)</f>
        <v>2685</v>
      </c>
      <c r="N169" s="26">
        <f>VLOOKUP(D:D,结存!A:J,10,0)</f>
        <v>2685</v>
      </c>
      <c r="O169" s="26">
        <f>M169 - N169</f>
        <v>0</v>
      </c>
    </row>
    <row r="170" spans="1:15" ht="15.6">
      <c r="A170" s="15">
        <v>42672</v>
      </c>
      <c r="B170" s="17" t="s">
        <v>868</v>
      </c>
      <c r="C170" s="17"/>
      <c r="D170" s="20">
        <v>649</v>
      </c>
      <c r="E170" s="26" t="str">
        <f>VLOOKUP($D:$D,基础资料!$A:B,2,0)</f>
        <v>07040007</v>
      </c>
      <c r="F170" s="26" t="str">
        <f>VLOOKUP($D:$D,基础资料!$A:C,3,0)</f>
        <v>S-行为研究方法</v>
      </c>
      <c r="G170" s="26" t="str">
        <f>VLOOKUP($D:$D,基础资料!$A:D,4,0)</f>
        <v>\</v>
      </c>
      <c r="H170" s="26" t="str">
        <f>VLOOKUP($D:$D,基础资料!$A:E,5,0)</f>
        <v>本</v>
      </c>
      <c r="I170" s="26" t="str">
        <f>VLOOKUP($D:$D,基础资料!$A:F,6,0)</f>
        <v>书本</v>
      </c>
      <c r="J170" s="14"/>
      <c r="K170" s="14">
        <v>20</v>
      </c>
      <c r="L170" s="14"/>
      <c r="M170" s="26">
        <f>SUMIF($D:$D,D170,$L:$L)+SUMIF($D:$D,D170,$J:$J)-SUMIF($D:$D,D170,$K:$K)</f>
        <v>4577</v>
      </c>
      <c r="N170" s="26">
        <f>VLOOKUP(D:D,结存!A:J,10,0)</f>
        <v>4577</v>
      </c>
      <c r="O170" s="26">
        <f>M170 - N170</f>
        <v>0</v>
      </c>
    </row>
    <row r="171" spans="1:15" ht="15.6">
      <c r="A171" s="15">
        <v>42672</v>
      </c>
      <c r="B171" s="17" t="s">
        <v>868</v>
      </c>
      <c r="C171" s="17"/>
      <c r="D171" s="20">
        <v>667</v>
      </c>
      <c r="E171" s="26" t="str">
        <f>VLOOKUP($D:$D,基础资料!$A:B,2,0)</f>
        <v>07040025</v>
      </c>
      <c r="F171" s="26" t="str">
        <f>VLOOKUP($D:$D,基础资料!$A:C,3,0)</f>
        <v>S-临床评估工作簿</v>
      </c>
      <c r="G171" s="26" t="str">
        <f>VLOOKUP($D:$D,基础资料!$A:D,4,0)</f>
        <v>\</v>
      </c>
      <c r="H171" s="26" t="str">
        <f>VLOOKUP($D:$D,基础资料!$A:E,5,0)</f>
        <v>本</v>
      </c>
      <c r="I171" s="26" t="str">
        <f>VLOOKUP($D:$D,基础资料!$A:F,6,0)</f>
        <v>书本</v>
      </c>
      <c r="J171" s="14"/>
      <c r="K171" s="14">
        <v>20</v>
      </c>
      <c r="L171" s="14"/>
      <c r="M171" s="26">
        <f>SUMIF($D:$D,D171,$L:$L)+SUMIF($D:$D,D171,$J:$J)-SUMIF($D:$D,D171,$K:$K)</f>
        <v>2338</v>
      </c>
      <c r="N171" s="26">
        <f>VLOOKUP(D:D,结存!A:J,10,0)</f>
        <v>2338</v>
      </c>
      <c r="O171" s="26">
        <f>M171 - N171</f>
        <v>0</v>
      </c>
    </row>
    <row r="172" spans="1:15" ht="15.6">
      <c r="A172" s="15">
        <v>42672</v>
      </c>
      <c r="B172" s="17" t="s">
        <v>868</v>
      </c>
      <c r="C172" s="17"/>
      <c r="D172" s="20">
        <v>645</v>
      </c>
      <c r="E172" s="26" t="str">
        <f>VLOOKUP($D:$D,基础资料!$A:B,2,0)</f>
        <v>07040003</v>
      </c>
      <c r="F172" s="26" t="str">
        <f>VLOOKUP($D:$D,基础资料!$A:C,3,0)</f>
        <v>S-公共演讲的艺术</v>
      </c>
      <c r="G172" s="26" t="str">
        <f>VLOOKUP($D:$D,基础资料!$A:D,4,0)</f>
        <v>\</v>
      </c>
      <c r="H172" s="26" t="str">
        <f>VLOOKUP($D:$D,基础资料!$A:E,5,0)</f>
        <v>本</v>
      </c>
      <c r="I172" s="26" t="str">
        <f>VLOOKUP($D:$D,基础资料!$A:F,6,0)</f>
        <v>书本</v>
      </c>
      <c r="J172" s="14"/>
      <c r="K172" s="14">
        <v>10</v>
      </c>
      <c r="L172" s="14"/>
      <c r="M172" s="26">
        <f>SUMIF($D:$D,D172,$L:$L)+SUMIF($D:$D,D172,$J:$J)-SUMIF($D:$D,D172,$K:$K)</f>
        <v>1403</v>
      </c>
      <c r="N172" s="26">
        <f>VLOOKUP(D:D,结存!A:J,10,0)</f>
        <v>1403</v>
      </c>
      <c r="O172" s="26">
        <f>M172 - N172</f>
        <v>0</v>
      </c>
    </row>
    <row r="173" spans="1:15" ht="15.6">
      <c r="A173" s="15">
        <v>42672</v>
      </c>
      <c r="B173" s="17" t="s">
        <v>868</v>
      </c>
      <c r="C173" s="17"/>
      <c r="D173" s="20">
        <v>650</v>
      </c>
      <c r="E173" s="26" t="str">
        <f>VLOOKUP($D:$D,基础资料!$A:B,2,0)</f>
        <v>07040008</v>
      </c>
      <c r="F173" s="26" t="str">
        <f>VLOOKUP($D:$D,基础资料!$A:C,3,0)</f>
        <v>S-谈判精要</v>
      </c>
      <c r="G173" s="26" t="str">
        <f>VLOOKUP($D:$D,基础资料!$A:D,4,0)</f>
        <v>\</v>
      </c>
      <c r="H173" s="26" t="str">
        <f>VLOOKUP($D:$D,基础资料!$A:E,5,0)</f>
        <v>本</v>
      </c>
      <c r="I173" s="26" t="str">
        <f>VLOOKUP($D:$D,基础资料!$A:F,6,0)</f>
        <v>书本</v>
      </c>
      <c r="J173" s="14"/>
      <c r="K173" s="14">
        <v>20</v>
      </c>
      <c r="L173" s="14"/>
      <c r="M173" s="26">
        <f>SUMIF($D:$D,D173,$L:$L)+SUMIF($D:$D,D173,$J:$J)-SUMIF($D:$D,D173,$K:$K)</f>
        <v>538</v>
      </c>
      <c r="N173" s="26">
        <f>VLOOKUP(D:D,结存!A:J,10,0)</f>
        <v>538</v>
      </c>
      <c r="O173" s="26">
        <f>M173 - N173</f>
        <v>0</v>
      </c>
    </row>
    <row r="174" spans="1:15" ht="15.6">
      <c r="A174" s="15">
        <v>42672</v>
      </c>
      <c r="B174" s="17" t="s">
        <v>869</v>
      </c>
      <c r="C174" s="17"/>
      <c r="D174" s="20">
        <v>637</v>
      </c>
      <c r="E174" s="26" t="str">
        <f>VLOOKUP($D:$D,基础资料!$A:B,2,0)</f>
        <v>0704000002</v>
      </c>
      <c r="F174" s="26" t="str">
        <f>VLOOKUP($D:$D,基础资料!$A:C,3,0)</f>
        <v>S-项目评价</v>
      </c>
      <c r="G174" s="26" t="str">
        <f>VLOOKUP($D:$D,基础资料!$A:D,4,0)</f>
        <v>\</v>
      </c>
      <c r="H174" s="26" t="str">
        <f>VLOOKUP($D:$D,基础资料!$A:E,5,0)</f>
        <v>本</v>
      </c>
      <c r="I174" s="26" t="str">
        <f>VLOOKUP($D:$D,基础资料!$A:F,6,0)</f>
        <v>书本</v>
      </c>
      <c r="J174" s="14">
        <v>2021</v>
      </c>
      <c r="K174" s="14"/>
      <c r="L174" s="14"/>
      <c r="M174" s="26">
        <f>SUMIF($D:$D,D174,$L:$L)+SUMIF($D:$D,D174,$J:$J)-SUMIF($D:$D,D174,$K:$K)</f>
        <v>1877</v>
      </c>
      <c r="N174" s="26">
        <f>VLOOKUP(D:D,结存!A:J,10,0)</f>
        <v>1877</v>
      </c>
      <c r="O174" s="26">
        <f>M174 - N174</f>
        <v>0</v>
      </c>
    </row>
    <row r="175" spans="1:15" ht="15.6">
      <c r="A175" s="15">
        <v>42672</v>
      </c>
      <c r="B175" s="17" t="s">
        <v>870</v>
      </c>
      <c r="C175" s="17"/>
      <c r="D175" s="20">
        <v>638</v>
      </c>
      <c r="E175" s="26" t="str">
        <f>VLOOKUP($D:$D,基础资料!$A:B,2,0)</f>
        <v>0704000003</v>
      </c>
      <c r="F175" s="26" t="str">
        <f>VLOOKUP($D:$D,基础资料!$A:C,3,0)</f>
        <v>S-人格理论</v>
      </c>
      <c r="G175" s="26" t="str">
        <f>VLOOKUP($D:$D,基础资料!$A:D,4,0)</f>
        <v>\</v>
      </c>
      <c r="H175" s="26" t="str">
        <f>VLOOKUP($D:$D,基础资料!$A:E,5,0)</f>
        <v>本</v>
      </c>
      <c r="I175" s="26" t="str">
        <f>VLOOKUP($D:$D,基础资料!$A:F,6,0)</f>
        <v>书本</v>
      </c>
      <c r="J175" s="14"/>
      <c r="K175" s="14">
        <v>50</v>
      </c>
      <c r="L175" s="14"/>
      <c r="M175" s="26">
        <f>SUMIF($D:$D,D175,$L:$L)+SUMIF($D:$D,D175,$J:$J)-SUMIF($D:$D,D175,$K:$K)</f>
        <v>523</v>
      </c>
      <c r="N175" s="26">
        <f>VLOOKUP(D:D,结存!A:J,10,0)</f>
        <v>523</v>
      </c>
      <c r="O175" s="26">
        <f>M175 - N175</f>
        <v>0</v>
      </c>
    </row>
    <row r="176" spans="1:15" ht="15.6">
      <c r="A176" s="15">
        <v>42672</v>
      </c>
      <c r="B176" s="17" t="s">
        <v>870</v>
      </c>
      <c r="C176" s="17"/>
      <c r="D176" s="20">
        <v>652</v>
      </c>
      <c r="E176" s="26" t="str">
        <f>VLOOKUP($D:$D,基础资料!$A:B,2,0)</f>
        <v>07040010</v>
      </c>
      <c r="F176" s="26" t="str">
        <f>VLOOKUP($D:$D,基础资料!$A:C,3,0)</f>
        <v>S-管理技能养成</v>
      </c>
      <c r="G176" s="26" t="str">
        <f>VLOOKUP($D:$D,基础资料!$A:D,4,0)</f>
        <v>\</v>
      </c>
      <c r="H176" s="26" t="str">
        <f>VLOOKUP($D:$D,基础资料!$A:E,5,0)</f>
        <v>本</v>
      </c>
      <c r="I176" s="26" t="str">
        <f>VLOOKUP($D:$D,基础资料!$A:F,6,0)</f>
        <v>书本</v>
      </c>
      <c r="J176" s="14"/>
      <c r="K176" s="14">
        <v>50</v>
      </c>
      <c r="L176" s="14"/>
      <c r="M176" s="26">
        <f>SUMIF($D:$D,D176,$L:$L)+SUMIF($D:$D,D176,$J:$J)-SUMIF($D:$D,D176,$K:$K)</f>
        <v>292</v>
      </c>
      <c r="N176" s="26">
        <f>VLOOKUP(D:D,结存!A:J,10,0)</f>
        <v>292</v>
      </c>
      <c r="O176" s="26">
        <f>M176 - N176</f>
        <v>0</v>
      </c>
    </row>
    <row r="177" spans="1:15" ht="15.6">
      <c r="A177" s="15">
        <v>42673</v>
      </c>
      <c r="B177" s="17"/>
      <c r="C177" s="17"/>
      <c r="D177" s="20">
        <v>635</v>
      </c>
      <c r="E177" s="26" t="str">
        <f>VLOOKUP($D:$D,基础资料!$A:B,2,0)</f>
        <v>07030011</v>
      </c>
      <c r="F177" s="26" t="str">
        <f>VLOOKUP($D:$D,基础资料!$A:C,3,0)</f>
        <v>蓝卡-凉宫春日的消失  1BD+2DVD</v>
      </c>
      <c r="G177" s="26" t="str">
        <f>VLOOKUP($D:$D,基础资料!$A:D,4,0)</f>
        <v>\</v>
      </c>
      <c r="H177" s="26" t="str">
        <f>VLOOKUP($D:$D,基础资料!$A:E,5,0)</f>
        <v>套</v>
      </c>
      <c r="I177" s="26" t="str">
        <f>VLOOKUP($D:$D,基础资料!$A:F,6,0)</f>
        <v>蓝光卡通</v>
      </c>
      <c r="J177" s="14">
        <v>95</v>
      </c>
      <c r="K177" s="14"/>
      <c r="L177" s="14"/>
      <c r="M177" s="26">
        <f>SUMIF($D:$D,D177,$L:$L)+SUMIF($D:$D,D177,$J:$J)-SUMIF($D:$D,D177,$K:$K)</f>
        <v>95</v>
      </c>
      <c r="N177" s="26">
        <f>VLOOKUP(D:D,结存!A:J,10,0)</f>
        <v>95</v>
      </c>
      <c r="O177" s="26">
        <f>M177 - N177</f>
        <v>0</v>
      </c>
    </row>
    <row r="178" spans="1:15" ht="15.6">
      <c r="A178" s="15">
        <v>42673</v>
      </c>
      <c r="B178" s="17"/>
      <c r="C178" s="17"/>
      <c r="D178" s="20">
        <v>690</v>
      </c>
      <c r="E178" s="26" t="str">
        <f>VLOOKUP($D:$D,基础资料!$A:B,2,0)</f>
        <v>0703000344</v>
      </c>
      <c r="F178" s="26" t="str">
        <f>VLOOKUP($D:$D,基础资料!$A:C,3,0)</f>
        <v>瑞奇与叮当</v>
      </c>
      <c r="G178" s="26" t="str">
        <f>VLOOKUP($D:$D,基础资料!$A:D,4,0)</f>
        <v>\</v>
      </c>
      <c r="H178" s="26" t="str">
        <f>VLOOKUP($D:$D,基础资料!$A:E,5,0)</f>
        <v>套</v>
      </c>
      <c r="I178" s="26" t="str">
        <f>VLOOKUP($D:$D,基础资料!$A:F,6,0)</f>
        <v>蓝光卡通</v>
      </c>
      <c r="J178" s="14">
        <v>97</v>
      </c>
      <c r="K178" s="14"/>
      <c r="L178" s="14"/>
      <c r="M178" s="26">
        <f>SUMIF($D:$D,D178,$L:$L)+SUMIF($D:$D,D178,$J:$J)-SUMIF($D:$D,D178,$K:$K)</f>
        <v>96</v>
      </c>
      <c r="N178" s="26">
        <f>VLOOKUP(D:D,结存!A:J,10,0)</f>
        <v>96</v>
      </c>
      <c r="O178" s="26">
        <f>M178 - N178</f>
        <v>0</v>
      </c>
    </row>
    <row r="179" spans="1:15" ht="15.6">
      <c r="A179" s="15">
        <v>42673</v>
      </c>
      <c r="B179" s="17"/>
      <c r="C179" s="17"/>
      <c r="D179" s="20">
        <v>568</v>
      </c>
      <c r="E179" s="26" t="str">
        <f>VLOOKUP($D:$D,基础资料!$A:B,2,0)</f>
        <v>0702000032</v>
      </c>
      <c r="F179" s="26" t="str">
        <f>VLOOKUP($D:$D,基础资料!$A:C,3,0)</f>
        <v>蓝影年轻气盛1BD</v>
      </c>
      <c r="G179" s="26" t="str">
        <f>VLOOKUP($D:$D,基础资料!$A:D,4,0)</f>
        <v>1</v>
      </c>
      <c r="H179" s="26" t="str">
        <f>VLOOKUP($D:$D,基础资料!$A:E,5,0)</f>
        <v>套</v>
      </c>
      <c r="I179" s="26" t="str">
        <f>VLOOKUP($D:$D,基础资料!$A:F,6,0)</f>
        <v>蓝光电影</v>
      </c>
      <c r="J179" s="14">
        <v>98</v>
      </c>
      <c r="K179" s="14"/>
      <c r="L179" s="14"/>
      <c r="M179" s="26">
        <f>SUMIF($D:$D,D179,$L:$L)+SUMIF($D:$D,D179,$J:$J)-SUMIF($D:$D,D179,$K:$K)</f>
        <v>95</v>
      </c>
      <c r="N179" s="26">
        <f>VLOOKUP(D:D,结存!A:J,10,0)</f>
        <v>95</v>
      </c>
      <c r="O179" s="26">
        <f>M179 - N179</f>
        <v>0</v>
      </c>
    </row>
    <row r="180" spans="1:15" ht="15.6">
      <c r="A180" s="15">
        <v>42673</v>
      </c>
      <c r="B180" s="17"/>
      <c r="C180" s="17"/>
      <c r="D180" s="20">
        <v>689</v>
      </c>
      <c r="E180" s="26" t="str">
        <f>VLOOKUP($D:$D,基础资料!$A:B,2,0)</f>
        <v>0701000349</v>
      </c>
      <c r="F180" s="26" t="str">
        <f>VLOOKUP($D:$D,基础资料!$A:C,3,0)</f>
        <v>奥丽芙.基特里奇2BD</v>
      </c>
      <c r="G180" s="26" t="str">
        <f>VLOOKUP($D:$D,基础资料!$A:D,4,0)</f>
        <v>\</v>
      </c>
      <c r="H180" s="26" t="str">
        <f>VLOOKUP($D:$D,基础资料!$A:E,5,0)</f>
        <v>套</v>
      </c>
      <c r="I180" s="26" t="str">
        <f>VLOOKUP($D:$D,基础资料!$A:F,6,0)</f>
        <v>蓝光电视剧</v>
      </c>
      <c r="J180" s="14">
        <v>98</v>
      </c>
      <c r="K180" s="14"/>
      <c r="L180" s="14"/>
      <c r="M180" s="26">
        <f>SUMIF($D:$D,D180,$L:$L)+SUMIF($D:$D,D180,$J:$J)-SUMIF($D:$D,D180,$K:$K)</f>
        <v>96</v>
      </c>
      <c r="N180" s="26">
        <f>VLOOKUP(D:D,结存!A:J,10,0)</f>
        <v>96</v>
      </c>
      <c r="O180" s="26">
        <f>M180 - N180</f>
        <v>0</v>
      </c>
    </row>
    <row r="181" spans="1:15" ht="15.6">
      <c r="A181" s="15">
        <v>42673</v>
      </c>
      <c r="B181" s="17"/>
      <c r="C181" s="17"/>
      <c r="D181" s="20">
        <v>562</v>
      </c>
      <c r="E181" s="26" t="str">
        <f>VLOOKUP($D:$D,基础资料!$A:B,2,0)</f>
        <v>0702000026</v>
      </c>
      <c r="F181" s="26" t="str">
        <f>VLOOKUP($D:$D,基础资料!$A:C,3,0)</f>
        <v>蓝影我们都为比尔着盛装1BD</v>
      </c>
      <c r="G181" s="26" t="str">
        <f>VLOOKUP($D:$D,基础资料!$A:D,4,0)</f>
        <v>1</v>
      </c>
      <c r="H181" s="26" t="str">
        <f>VLOOKUP($D:$D,基础资料!$A:E,5,0)</f>
        <v>套</v>
      </c>
      <c r="I181" s="26" t="str">
        <f>VLOOKUP($D:$D,基础资料!$A:F,6,0)</f>
        <v>蓝光电影</v>
      </c>
      <c r="J181" s="14">
        <v>98</v>
      </c>
      <c r="K181" s="14"/>
      <c r="L181" s="14"/>
      <c r="M181" s="26">
        <f>SUMIF($D:$D,D181,$L:$L)+SUMIF($D:$D,D181,$J:$J)-SUMIF($D:$D,D181,$K:$K)</f>
        <v>98</v>
      </c>
      <c r="N181" s="26">
        <f>VLOOKUP(D:D,结存!A:J,10,0)</f>
        <v>98</v>
      </c>
      <c r="O181" s="26">
        <f>M181 - N181</f>
        <v>0</v>
      </c>
    </row>
    <row r="182" spans="1:15" ht="15.6">
      <c r="A182" s="15">
        <v>42675</v>
      </c>
      <c r="B182" s="17" t="s">
        <v>872</v>
      </c>
      <c r="C182" s="17"/>
      <c r="D182" s="20">
        <v>692</v>
      </c>
      <c r="E182" s="26" t="str">
        <f>VLOOKUP($D:$D,基础资料!$A:B,2,0)</f>
        <v>0007050305</v>
      </c>
      <c r="F182" s="26" t="str">
        <f>VLOOKUP($D:$D,基础资料!$A:C,3,0)</f>
        <v>滚石乐队15CD</v>
      </c>
      <c r="G182" s="26" t="str">
        <f>VLOOKUP($D:$D,基础资料!$A:D,4,0)</f>
        <v>\</v>
      </c>
      <c r="H182" s="26" t="str">
        <f>VLOOKUP($D:$D,基础资料!$A:E,5,0)</f>
        <v>套</v>
      </c>
      <c r="I182" s="26" t="str">
        <f>VLOOKUP($D:$D,基础资料!$A:F,6,0)</f>
        <v>CD成品</v>
      </c>
      <c r="J182" s="14">
        <v>27</v>
      </c>
      <c r="K182" s="14"/>
      <c r="L182" s="14"/>
      <c r="M182" s="26">
        <f>SUMIF($D:$D,D182,$L:$L)+SUMIF($D:$D,D182,$J:$J)-SUMIF($D:$D,D182,$K:$K)</f>
        <v>28</v>
      </c>
      <c r="N182" s="26">
        <f>VLOOKUP(D:D,结存!A:J,10,0)</f>
        <v>28</v>
      </c>
      <c r="O182" s="26">
        <f>M182 - N182</f>
        <v>0</v>
      </c>
    </row>
    <row r="183" spans="1:15" ht="15.6">
      <c r="A183" s="15">
        <v>42675</v>
      </c>
      <c r="B183" s="17" t="s">
        <v>873</v>
      </c>
      <c r="C183" s="17"/>
      <c r="D183" s="20">
        <v>692</v>
      </c>
      <c r="E183" s="26" t="str">
        <f>VLOOKUP($D:$D,基础资料!$A:B,2,0)</f>
        <v>0007050305</v>
      </c>
      <c r="F183" s="26" t="str">
        <f>VLOOKUP($D:$D,基础资料!$A:C,3,0)</f>
        <v>滚石乐队15CD</v>
      </c>
      <c r="G183" s="26" t="str">
        <f>VLOOKUP($D:$D,基础资料!$A:D,4,0)</f>
        <v>\</v>
      </c>
      <c r="H183" s="26" t="str">
        <f>VLOOKUP($D:$D,基础资料!$A:E,5,0)</f>
        <v>套</v>
      </c>
      <c r="I183" s="26" t="str">
        <f>VLOOKUP($D:$D,基础资料!$A:F,6,0)</f>
        <v>CD成品</v>
      </c>
      <c r="J183" s="14"/>
      <c r="K183" s="14">
        <v>10</v>
      </c>
      <c r="L183" s="14"/>
      <c r="M183" s="26">
        <f>SUMIF($D:$D,D183,$L:$L)+SUMIF($D:$D,D183,$J:$J)-SUMIF($D:$D,D183,$K:$K)</f>
        <v>28</v>
      </c>
      <c r="N183" s="26">
        <f>VLOOKUP(D:D,结存!A:J,10,0)</f>
        <v>28</v>
      </c>
      <c r="O183" s="26">
        <f>M183 - N183</f>
        <v>0</v>
      </c>
    </row>
    <row r="184" spans="1:15" ht="15.6">
      <c r="A184" s="15">
        <v>42675</v>
      </c>
      <c r="B184" s="17" t="s">
        <v>874</v>
      </c>
      <c r="C184" s="17"/>
      <c r="D184" s="20">
        <v>692</v>
      </c>
      <c r="E184" s="26" t="str">
        <f>VLOOKUP($D:$D,基础资料!$A:B,2,0)</f>
        <v>0007050305</v>
      </c>
      <c r="F184" s="26" t="str">
        <f>VLOOKUP($D:$D,基础资料!$A:C,3,0)</f>
        <v>滚石乐队15CD</v>
      </c>
      <c r="G184" s="26" t="str">
        <f>VLOOKUP($D:$D,基础资料!$A:D,4,0)</f>
        <v>\</v>
      </c>
      <c r="H184" s="26" t="str">
        <f>VLOOKUP($D:$D,基础资料!$A:E,5,0)</f>
        <v>套</v>
      </c>
      <c r="I184" s="26" t="str">
        <f>VLOOKUP($D:$D,基础资料!$A:F,6,0)</f>
        <v>CD成品</v>
      </c>
      <c r="J184" s="14"/>
      <c r="K184" s="14">
        <v>2</v>
      </c>
      <c r="L184" s="14"/>
      <c r="M184" s="26">
        <f>SUMIF($D:$D,D184,$L:$L)+SUMIF($D:$D,D184,$J:$J)-SUMIF($D:$D,D184,$K:$K)</f>
        <v>28</v>
      </c>
      <c r="N184" s="26">
        <f>VLOOKUP(D:D,结存!A:J,10,0)</f>
        <v>28</v>
      </c>
      <c r="O184" s="26">
        <f>M184 - N184</f>
        <v>0</v>
      </c>
    </row>
    <row r="185" spans="1:15" ht="15.6">
      <c r="A185" s="15">
        <v>42675</v>
      </c>
      <c r="B185" s="17" t="s">
        <v>875</v>
      </c>
      <c r="C185" s="17"/>
      <c r="D185" s="20">
        <v>692</v>
      </c>
      <c r="E185" s="26" t="str">
        <f>VLOOKUP($D:$D,基础资料!$A:B,2,0)</f>
        <v>0007050305</v>
      </c>
      <c r="F185" s="26" t="str">
        <f>VLOOKUP($D:$D,基础资料!$A:C,3,0)</f>
        <v>滚石乐队15CD</v>
      </c>
      <c r="G185" s="26" t="str">
        <f>VLOOKUP($D:$D,基础资料!$A:D,4,0)</f>
        <v>\</v>
      </c>
      <c r="H185" s="26" t="str">
        <f>VLOOKUP($D:$D,基础资料!$A:E,5,0)</f>
        <v>套</v>
      </c>
      <c r="I185" s="26" t="str">
        <f>VLOOKUP($D:$D,基础资料!$A:F,6,0)</f>
        <v>CD成品</v>
      </c>
      <c r="J185" s="14"/>
      <c r="K185" s="14">
        <v>15</v>
      </c>
      <c r="L185" s="14"/>
      <c r="M185" s="26">
        <f>SUMIF($D:$D,D185,$L:$L)+SUMIF($D:$D,D185,$J:$J)-SUMIF($D:$D,D185,$K:$K)</f>
        <v>28</v>
      </c>
      <c r="N185" s="26">
        <f>VLOOKUP(D:D,结存!A:J,10,0)</f>
        <v>28</v>
      </c>
      <c r="O185" s="26">
        <f>M185 - N185</f>
        <v>0</v>
      </c>
    </row>
    <row r="186" spans="1:15" ht="15.6">
      <c r="A186" s="15">
        <v>42675</v>
      </c>
      <c r="B186" s="17" t="s">
        <v>876</v>
      </c>
      <c r="C186" s="17"/>
      <c r="D186" s="20">
        <v>661</v>
      </c>
      <c r="E186" s="26" t="str">
        <f>VLOOKUP($D:$D,基础资料!$A:B,2,0)</f>
        <v>07040019</v>
      </c>
      <c r="F186" s="26" t="str">
        <f>VLOOKUP($D:$D,基础资料!$A:C,3,0)</f>
        <v>S-美国药疗保健</v>
      </c>
      <c r="G186" s="26" t="str">
        <f>VLOOKUP($D:$D,基础资料!$A:D,4,0)</f>
        <v>\</v>
      </c>
      <c r="H186" s="26" t="str">
        <f>VLOOKUP($D:$D,基础资料!$A:E,5,0)</f>
        <v>本</v>
      </c>
      <c r="I186" s="26" t="str">
        <f>VLOOKUP($D:$D,基础资料!$A:F,6,0)</f>
        <v>书本</v>
      </c>
      <c r="J186" s="14"/>
      <c r="K186" s="14">
        <v>10</v>
      </c>
      <c r="L186" s="14"/>
      <c r="M186" s="26">
        <f>SUMIF($D:$D,D186,$L:$L)+SUMIF($D:$D,D186,$J:$J)-SUMIF($D:$D,D186,$K:$K)</f>
        <v>975</v>
      </c>
      <c r="N186" s="26">
        <f>VLOOKUP(D:D,结存!A:J,10,0)</f>
        <v>975</v>
      </c>
      <c r="O186" s="26">
        <f>M186 - N186</f>
        <v>0</v>
      </c>
    </row>
    <row r="187" spans="1:15" ht="15.6">
      <c r="A187" s="15">
        <v>42675</v>
      </c>
      <c r="B187" s="17" t="s">
        <v>876</v>
      </c>
      <c r="C187" s="17"/>
      <c r="D187" s="20">
        <v>649</v>
      </c>
      <c r="E187" s="26" t="str">
        <f>VLOOKUP($D:$D,基础资料!$A:B,2,0)</f>
        <v>07040007</v>
      </c>
      <c r="F187" s="26" t="str">
        <f>VLOOKUP($D:$D,基础资料!$A:C,3,0)</f>
        <v>S-行为研究方法</v>
      </c>
      <c r="G187" s="26" t="str">
        <f>VLOOKUP($D:$D,基础资料!$A:D,4,0)</f>
        <v>\</v>
      </c>
      <c r="H187" s="26" t="str">
        <f>VLOOKUP($D:$D,基础资料!$A:E,5,0)</f>
        <v>本</v>
      </c>
      <c r="I187" s="26" t="str">
        <f>VLOOKUP($D:$D,基础资料!$A:F,6,0)</f>
        <v>书本</v>
      </c>
      <c r="J187" s="14"/>
      <c r="K187" s="14">
        <v>20</v>
      </c>
      <c r="L187" s="14"/>
      <c r="M187" s="26">
        <f>SUMIF($D:$D,D187,$L:$L)+SUMIF($D:$D,D187,$J:$J)-SUMIF($D:$D,D187,$K:$K)</f>
        <v>4577</v>
      </c>
      <c r="N187" s="26">
        <f>VLOOKUP(D:D,结存!A:J,10,0)</f>
        <v>4577</v>
      </c>
      <c r="O187" s="26">
        <f>M187 - N187</f>
        <v>0</v>
      </c>
    </row>
    <row r="188" spans="1:15" ht="15.6">
      <c r="A188" s="15">
        <v>42675</v>
      </c>
      <c r="B188" s="17" t="s">
        <v>876</v>
      </c>
      <c r="C188" s="17"/>
      <c r="D188" s="20">
        <v>668</v>
      </c>
      <c r="E188" s="26" t="str">
        <f>VLOOKUP($D:$D,基础资料!$A:B,2,0)</f>
        <v>07040026</v>
      </c>
      <c r="F188" s="26" t="str">
        <f>VLOOKUP($D:$D,基础资料!$A:C,3,0)</f>
        <v>S-团体咨询</v>
      </c>
      <c r="G188" s="26" t="str">
        <f>VLOOKUP($D:$D,基础资料!$A:D,4,0)</f>
        <v>\</v>
      </c>
      <c r="H188" s="26" t="str">
        <f>VLOOKUP($D:$D,基础资料!$A:E,5,0)</f>
        <v>本</v>
      </c>
      <c r="I188" s="26" t="str">
        <f>VLOOKUP($D:$D,基础资料!$A:F,6,0)</f>
        <v>书本</v>
      </c>
      <c r="J188" s="14"/>
      <c r="K188" s="14">
        <v>3</v>
      </c>
      <c r="L188" s="14"/>
      <c r="M188" s="26">
        <f>SUMIF($D:$D,D188,$L:$L)+SUMIF($D:$D,D188,$J:$J)-SUMIF($D:$D,D188,$K:$K)</f>
        <v>1473</v>
      </c>
      <c r="N188" s="26">
        <f>VLOOKUP(D:D,结存!A:J,10,0)</f>
        <v>1473</v>
      </c>
      <c r="O188" s="26">
        <f>M188 - N188</f>
        <v>0</v>
      </c>
    </row>
    <row r="189" spans="1:15" ht="15.6">
      <c r="A189" s="15">
        <v>42675</v>
      </c>
      <c r="B189" s="17" t="s">
        <v>876</v>
      </c>
      <c r="C189" s="17"/>
      <c r="D189" s="20">
        <v>637</v>
      </c>
      <c r="E189" s="26" t="str">
        <f>VLOOKUP($D:$D,基础资料!$A:B,2,0)</f>
        <v>0704000002</v>
      </c>
      <c r="F189" s="26" t="str">
        <f>VLOOKUP($D:$D,基础资料!$A:C,3,0)</f>
        <v>S-项目评价</v>
      </c>
      <c r="G189" s="26" t="str">
        <f>VLOOKUP($D:$D,基础资料!$A:D,4,0)</f>
        <v>\</v>
      </c>
      <c r="H189" s="26" t="str">
        <f>VLOOKUP($D:$D,基础资料!$A:E,5,0)</f>
        <v>本</v>
      </c>
      <c r="I189" s="26" t="str">
        <f>VLOOKUP($D:$D,基础资料!$A:F,6,0)</f>
        <v>书本</v>
      </c>
      <c r="J189" s="14"/>
      <c r="K189" s="14">
        <v>9</v>
      </c>
      <c r="L189" s="14"/>
      <c r="M189" s="26">
        <f>SUMIF($D:$D,D189,$L:$L)+SUMIF($D:$D,D189,$J:$J)-SUMIF($D:$D,D189,$K:$K)</f>
        <v>1877</v>
      </c>
      <c r="N189" s="26">
        <f>VLOOKUP(D:D,结存!A:J,10,0)</f>
        <v>1877</v>
      </c>
      <c r="O189" s="26">
        <f>M189 - N189</f>
        <v>0</v>
      </c>
    </row>
    <row r="190" spans="1:15" ht="15.6">
      <c r="A190" s="15">
        <v>42675</v>
      </c>
      <c r="B190" s="17" t="s">
        <v>876</v>
      </c>
      <c r="C190" s="17"/>
      <c r="D190" s="20">
        <v>638</v>
      </c>
      <c r="E190" s="26" t="str">
        <f>VLOOKUP($D:$D,基础资料!$A:B,2,0)</f>
        <v>0704000003</v>
      </c>
      <c r="F190" s="26" t="str">
        <f>VLOOKUP($D:$D,基础资料!$A:C,3,0)</f>
        <v>S-人格理论</v>
      </c>
      <c r="G190" s="26" t="str">
        <f>VLOOKUP($D:$D,基础资料!$A:D,4,0)</f>
        <v>\</v>
      </c>
      <c r="H190" s="26" t="str">
        <f>VLOOKUP($D:$D,基础资料!$A:E,5,0)</f>
        <v>本</v>
      </c>
      <c r="I190" s="26" t="str">
        <f>VLOOKUP($D:$D,基础资料!$A:F,6,0)</f>
        <v>书本</v>
      </c>
      <c r="J190" s="14"/>
      <c r="K190" s="14">
        <v>3</v>
      </c>
      <c r="L190" s="14"/>
      <c r="M190" s="26">
        <f>SUMIF($D:$D,D190,$L:$L)+SUMIF($D:$D,D190,$J:$J)-SUMIF($D:$D,D190,$K:$K)</f>
        <v>523</v>
      </c>
      <c r="N190" s="26">
        <f>VLOOKUP(D:D,结存!A:J,10,0)</f>
        <v>523</v>
      </c>
      <c r="O190" s="26">
        <f>M190 - N190</f>
        <v>0</v>
      </c>
    </row>
    <row r="191" spans="1:15" ht="15.6">
      <c r="A191" s="15">
        <v>42675</v>
      </c>
      <c r="B191" s="17" t="s">
        <v>876</v>
      </c>
      <c r="C191" s="17"/>
      <c r="D191" s="20">
        <v>636</v>
      </c>
      <c r="E191" s="26" t="str">
        <f>VLOOKUP($D:$D,基础资料!$A:B,2,0)</f>
        <v>0704000001</v>
      </c>
      <c r="F191" s="26" t="str">
        <f>VLOOKUP($D:$D,基础资料!$A:C,3,0)</f>
        <v>S-内识心理学</v>
      </c>
      <c r="G191" s="26" t="str">
        <f>VLOOKUP($D:$D,基础资料!$A:D,4,0)</f>
        <v>\</v>
      </c>
      <c r="H191" s="26" t="str">
        <f>VLOOKUP($D:$D,基础资料!$A:E,5,0)</f>
        <v>本</v>
      </c>
      <c r="I191" s="26" t="str">
        <f>VLOOKUP($D:$D,基础资料!$A:F,6,0)</f>
        <v>书本</v>
      </c>
      <c r="J191" s="14"/>
      <c r="K191" s="14">
        <v>3</v>
      </c>
      <c r="L191" s="14"/>
      <c r="M191" s="26">
        <f>SUMIF($D:$D,D191,$L:$L)+SUMIF($D:$D,D191,$J:$J)-SUMIF($D:$D,D191,$K:$K)</f>
        <v>656</v>
      </c>
      <c r="N191" s="26">
        <f>VLOOKUP(D:D,结存!A:J,10,0)</f>
        <v>656</v>
      </c>
      <c r="O191" s="26">
        <f>M191 - N191</f>
        <v>0</v>
      </c>
    </row>
    <row r="192" spans="1:15" ht="15.6">
      <c r="A192" s="15">
        <v>42675</v>
      </c>
      <c r="B192" s="17" t="s">
        <v>876</v>
      </c>
      <c r="C192" s="17"/>
      <c r="D192" s="20">
        <v>651</v>
      </c>
      <c r="E192" s="26" t="str">
        <f>VLOOKUP($D:$D,基础资料!$A:B,2,0)</f>
        <v>07040009</v>
      </c>
      <c r="F192" s="26" t="str">
        <f>VLOOKUP($D:$D,基础资料!$A:C,3,0)</f>
        <v>S-合作、协商和团队合作</v>
      </c>
      <c r="G192" s="26" t="str">
        <f>VLOOKUP($D:$D,基础资料!$A:D,4,0)</f>
        <v>\</v>
      </c>
      <c r="H192" s="26" t="str">
        <f>VLOOKUP($D:$D,基础资料!$A:E,5,0)</f>
        <v>本</v>
      </c>
      <c r="I192" s="26" t="str">
        <f>VLOOKUP($D:$D,基础资料!$A:F,6,0)</f>
        <v>书本</v>
      </c>
      <c r="J192" s="14"/>
      <c r="K192" s="14">
        <v>3</v>
      </c>
      <c r="L192" s="14"/>
      <c r="M192" s="26">
        <f>SUMIF($D:$D,D192,$L:$L)+SUMIF($D:$D,D192,$J:$J)-SUMIF($D:$D,D192,$K:$K)</f>
        <v>311</v>
      </c>
      <c r="N192" s="26">
        <f>VLOOKUP(D:D,结存!A:J,10,0)</f>
        <v>311</v>
      </c>
      <c r="O192" s="26">
        <f>M192 - N192</f>
        <v>0</v>
      </c>
    </row>
    <row r="193" spans="1:15" ht="15.6">
      <c r="A193" s="15">
        <v>42675</v>
      </c>
      <c r="B193" s="17" t="s">
        <v>876</v>
      </c>
      <c r="C193" s="17"/>
      <c r="D193" s="20">
        <v>654</v>
      </c>
      <c r="E193" s="26" t="str">
        <f>VLOOKUP($D:$D,基础资料!$A:B,2,0)</f>
        <v>07040012</v>
      </c>
      <c r="F193" s="26" t="str">
        <f>VLOOKUP($D:$D,基础资料!$A:C,3,0)</f>
        <v>S-实践研究</v>
      </c>
      <c r="G193" s="26" t="str">
        <f>VLOOKUP($D:$D,基础资料!$A:D,4,0)</f>
        <v>\</v>
      </c>
      <c r="H193" s="26" t="str">
        <f>VLOOKUP($D:$D,基础资料!$A:E,5,0)</f>
        <v>本</v>
      </c>
      <c r="I193" s="26" t="str">
        <f>VLOOKUP($D:$D,基础资料!$A:F,6,0)</f>
        <v>书本</v>
      </c>
      <c r="J193" s="14"/>
      <c r="K193" s="14">
        <v>3</v>
      </c>
      <c r="L193" s="14"/>
      <c r="M193" s="26">
        <f>SUMIF($D:$D,D193,$L:$L)+SUMIF($D:$D,D193,$J:$J)-SUMIF($D:$D,D193,$K:$K)</f>
        <v>1966</v>
      </c>
      <c r="N193" s="26">
        <f>VLOOKUP(D:D,结存!A:J,10,0)</f>
        <v>1966</v>
      </c>
      <c r="O193" s="26">
        <f>M193 - N193</f>
        <v>0</v>
      </c>
    </row>
    <row r="194" spans="1:15" ht="15.6">
      <c r="A194" s="15">
        <v>42675</v>
      </c>
      <c r="B194" s="17" t="s">
        <v>876</v>
      </c>
      <c r="C194" s="17"/>
      <c r="D194" s="20">
        <v>655</v>
      </c>
      <c r="E194" s="26" t="str">
        <f>VLOOKUP($D:$D,基础资料!$A:B,2,0)</f>
        <v>07040013</v>
      </c>
      <c r="F194" s="26" t="str">
        <f>VLOOKUP($D:$D,基础资料!$A:C,3,0)</f>
        <v>S-校园法律</v>
      </c>
      <c r="G194" s="26" t="str">
        <f>VLOOKUP($D:$D,基础资料!$A:D,4,0)</f>
        <v>\</v>
      </c>
      <c r="H194" s="26" t="str">
        <f>VLOOKUP($D:$D,基础资料!$A:E,5,0)</f>
        <v>本</v>
      </c>
      <c r="I194" s="26" t="str">
        <f>VLOOKUP($D:$D,基础资料!$A:F,6,0)</f>
        <v>书本</v>
      </c>
      <c r="J194" s="14"/>
      <c r="K194" s="14">
        <v>20</v>
      </c>
      <c r="L194" s="14"/>
      <c r="M194" s="26">
        <f>SUMIF($D:$D,D194,$L:$L)+SUMIF($D:$D,D194,$J:$J)-SUMIF($D:$D,D194,$K:$K)</f>
        <v>698</v>
      </c>
      <c r="N194" s="26">
        <f>VLOOKUP(D:D,结存!A:J,10,0)</f>
        <v>698</v>
      </c>
      <c r="O194" s="26">
        <f>M194 - N194</f>
        <v>0</v>
      </c>
    </row>
    <row r="195" spans="1:15" ht="15.6">
      <c r="A195" s="15" t="s">
        <v>877</v>
      </c>
      <c r="B195" s="17" t="s">
        <v>878</v>
      </c>
      <c r="C195" s="17"/>
      <c r="D195" s="20">
        <v>645</v>
      </c>
      <c r="E195" s="26" t="str">
        <f>VLOOKUP($D:$D,基础资料!$A:B,2,0)</f>
        <v>07040003</v>
      </c>
      <c r="F195" s="26" t="str">
        <f>VLOOKUP($D:$D,基础资料!$A:C,3,0)</f>
        <v>S-公共演讲的艺术</v>
      </c>
      <c r="G195" s="26" t="str">
        <f>VLOOKUP($D:$D,基础资料!$A:D,4,0)</f>
        <v>\</v>
      </c>
      <c r="H195" s="26" t="str">
        <f>VLOOKUP($D:$D,基础资料!$A:E,5,0)</f>
        <v>本</v>
      </c>
      <c r="I195" s="26" t="str">
        <f>VLOOKUP($D:$D,基础资料!$A:F,6,0)</f>
        <v>书本</v>
      </c>
      <c r="J195" s="14"/>
      <c r="K195" s="14">
        <v>8</v>
      </c>
      <c r="L195" s="14"/>
      <c r="M195" s="26">
        <f>SUMIF($D:$D,D195,$L:$L)+SUMIF($D:$D,D195,$J:$J)-SUMIF($D:$D,D195,$K:$K)</f>
        <v>1403</v>
      </c>
      <c r="N195" s="26">
        <f>VLOOKUP(D:D,结存!A:J,10,0)</f>
        <v>1403</v>
      </c>
      <c r="O195" s="26">
        <f>M195 - N195</f>
        <v>0</v>
      </c>
    </row>
    <row r="196" spans="1:15" ht="15.6">
      <c r="A196" s="15">
        <v>42674</v>
      </c>
      <c r="B196" s="17" t="s">
        <v>879</v>
      </c>
      <c r="C196" s="17"/>
      <c r="D196" s="20">
        <v>532</v>
      </c>
      <c r="E196" s="26" t="str">
        <f>VLOOKUP($D:$D,基础资料!$A:B,2,0)</f>
        <v>07010005</v>
      </c>
      <c r="F196" s="26" t="str">
        <f>VLOOKUP($D:$D,基础资料!$A:C,3,0)</f>
        <v>蓝剧-我是僵尸第2季  4BD</v>
      </c>
      <c r="G196" s="26" t="str">
        <f>VLOOKUP($D:$D,基础资料!$A:D,4,0)</f>
        <v>4</v>
      </c>
      <c r="H196" s="26" t="str">
        <f>VLOOKUP($D:$D,基础资料!$A:E,5,0)</f>
        <v>套</v>
      </c>
      <c r="I196" s="26" t="str">
        <f>VLOOKUP($D:$D,基础资料!$A:F,6,0)</f>
        <v>蓝光电视剧</v>
      </c>
      <c r="J196" s="14"/>
      <c r="K196" s="14">
        <v>5</v>
      </c>
      <c r="L196" s="14">
        <v>61</v>
      </c>
      <c r="M196" s="26">
        <f>SUMIF($D:$D,D196,$L:$L)+SUMIF($D:$D,D196,$J:$J)-SUMIF($D:$D,D196,$K:$K)</f>
        <v>55</v>
      </c>
      <c r="N196" s="26">
        <f>VLOOKUP(D:D,结存!A:J,10,0)</f>
        <v>55</v>
      </c>
      <c r="O196" s="26">
        <f>M196 - N196</f>
        <v>0</v>
      </c>
    </row>
    <row r="197" spans="1:15" ht="15.6">
      <c r="A197" s="15">
        <v>42674</v>
      </c>
      <c r="B197" s="17" t="s">
        <v>880</v>
      </c>
      <c r="C197" s="17"/>
      <c r="D197" s="20">
        <v>674</v>
      </c>
      <c r="E197" s="26" t="str">
        <f>VLOOKUP($D:$D,基础资料!$A:B,2,0)</f>
        <v>07040032</v>
      </c>
      <c r="F197" s="26" t="str">
        <f>VLOOKUP($D:$D,基础资料!$A:C,3,0)</f>
        <v>S-民事诉讼</v>
      </c>
      <c r="G197" s="26" t="str">
        <f>VLOOKUP($D:$D,基础资料!$A:D,4,0)</f>
        <v>\</v>
      </c>
      <c r="H197" s="26" t="str">
        <f>VLOOKUP($D:$D,基础资料!$A:E,5,0)</f>
        <v>本</v>
      </c>
      <c r="I197" s="26" t="str">
        <f>VLOOKUP($D:$D,基础资料!$A:F,6,0)</f>
        <v>书本</v>
      </c>
      <c r="J197" s="14"/>
      <c r="K197" s="14">
        <v>3</v>
      </c>
      <c r="L197" s="14"/>
      <c r="M197" s="26">
        <f>SUMIF($D:$D,D197,$L:$L)+SUMIF($D:$D,D197,$J:$J)-SUMIF($D:$D,D197,$K:$K)</f>
        <v>707</v>
      </c>
      <c r="N197" s="26">
        <f>VLOOKUP(D:D,结存!A:J,10,0)</f>
        <v>707</v>
      </c>
      <c r="O197" s="26">
        <f>M197 - N197</f>
        <v>0</v>
      </c>
    </row>
    <row r="198" spans="1:15" ht="15.6">
      <c r="A198" s="15">
        <v>42674</v>
      </c>
      <c r="B198" s="17" t="s">
        <v>880</v>
      </c>
      <c r="C198" s="17"/>
      <c r="D198" s="20">
        <v>642</v>
      </c>
      <c r="E198" s="26" t="str">
        <f>VLOOKUP($D:$D,基础资料!$A:B,2,0)</f>
        <v>07040001</v>
      </c>
      <c r="F198" s="26" t="str">
        <f>VLOOKUP($D:$D,基础资料!$A:C,3,0)</f>
        <v>S-恐怖故事（3本一套）</v>
      </c>
      <c r="G198" s="26" t="str">
        <f>VLOOKUP($D:$D,基础资料!$A:D,4,0)</f>
        <v>\</v>
      </c>
      <c r="H198" s="26" t="str">
        <f>VLOOKUP($D:$D,基础资料!$A:E,5,0)</f>
        <v>套</v>
      </c>
      <c r="I198" s="26" t="str">
        <f>VLOOKUP($D:$D,基础资料!$A:F,6,0)</f>
        <v>书本</v>
      </c>
      <c r="J198" s="14"/>
      <c r="K198" s="14">
        <v>10</v>
      </c>
      <c r="L198" s="14"/>
      <c r="M198" s="26">
        <f>SUMIF($D:$D,D198,$L:$L)+SUMIF($D:$D,D198,$J:$J)-SUMIF($D:$D,D198,$K:$K)</f>
        <v>35</v>
      </c>
      <c r="N198" s="26">
        <f>VLOOKUP(D:D,结存!A:J,10,0)</f>
        <v>35</v>
      </c>
      <c r="O198" s="26">
        <f>M198 - N198</f>
        <v>0</v>
      </c>
    </row>
    <row r="199" spans="1:15" ht="15.6">
      <c r="A199" s="15">
        <v>42674</v>
      </c>
      <c r="B199" s="17" t="s">
        <v>880</v>
      </c>
      <c r="C199" s="17"/>
      <c r="D199" s="20">
        <v>641</v>
      </c>
      <c r="E199" s="26" t="str">
        <f>VLOOKUP($D:$D,基础资料!$A:B,2,0)</f>
        <v>0704000036</v>
      </c>
      <c r="F199" s="26" t="str">
        <f>VLOOKUP($D:$D,基础资料!$A:C,3,0)</f>
        <v>S-我们的人民</v>
      </c>
      <c r="G199" s="26" t="str">
        <f>VLOOKUP($D:$D,基础资料!$A:D,4,0)</f>
        <v>\</v>
      </c>
      <c r="H199" s="26" t="str">
        <f>VLOOKUP($D:$D,基础资料!$A:E,5,0)</f>
        <v>本</v>
      </c>
      <c r="I199" s="26" t="str">
        <f>VLOOKUP($D:$D,基础资料!$A:F,6,0)</f>
        <v>书本</v>
      </c>
      <c r="J199" s="14"/>
      <c r="K199" s="14">
        <v>2</v>
      </c>
      <c r="L199" s="14"/>
      <c r="M199" s="26">
        <f>SUMIF($D:$D,D199,$L:$L)+SUMIF($D:$D,D199,$J:$J)-SUMIF($D:$D,D199,$K:$K)</f>
        <v>2685</v>
      </c>
      <c r="N199" s="26">
        <f>VLOOKUP(D:D,结存!A:J,10,0)</f>
        <v>2685</v>
      </c>
      <c r="O199" s="26">
        <f>M199 - N199</f>
        <v>0</v>
      </c>
    </row>
    <row r="200" spans="1:15" ht="15.6">
      <c r="A200" s="15">
        <v>42674</v>
      </c>
      <c r="B200" s="17" t="s">
        <v>880</v>
      </c>
      <c r="C200" s="17"/>
      <c r="D200" s="20">
        <v>668</v>
      </c>
      <c r="E200" s="26" t="str">
        <f>VLOOKUP($D:$D,基础资料!$A:B,2,0)</f>
        <v>07040026</v>
      </c>
      <c r="F200" s="26" t="str">
        <f>VLOOKUP($D:$D,基础资料!$A:C,3,0)</f>
        <v>S-团体咨询</v>
      </c>
      <c r="G200" s="26" t="str">
        <f>VLOOKUP($D:$D,基础资料!$A:D,4,0)</f>
        <v>\</v>
      </c>
      <c r="H200" s="26" t="str">
        <f>VLOOKUP($D:$D,基础资料!$A:E,5,0)</f>
        <v>本</v>
      </c>
      <c r="I200" s="26" t="str">
        <f>VLOOKUP($D:$D,基础资料!$A:F,6,0)</f>
        <v>书本</v>
      </c>
      <c r="J200" s="14"/>
      <c r="K200" s="14">
        <v>2</v>
      </c>
      <c r="L200" s="14"/>
      <c r="M200" s="26">
        <f>SUMIF($D:$D,D200,$L:$L)+SUMIF($D:$D,D200,$J:$J)-SUMIF($D:$D,D200,$K:$K)</f>
        <v>1473</v>
      </c>
      <c r="N200" s="26">
        <f>VLOOKUP(D:D,结存!A:J,10,0)</f>
        <v>1473</v>
      </c>
      <c r="O200" s="26">
        <f>M200 - N200</f>
        <v>0</v>
      </c>
    </row>
    <row r="201" spans="1:15" ht="15.6">
      <c r="A201" s="15">
        <v>42674</v>
      </c>
      <c r="B201" s="17" t="s">
        <v>880</v>
      </c>
      <c r="C201" s="17"/>
      <c r="D201" s="20">
        <v>661</v>
      </c>
      <c r="E201" s="26" t="str">
        <f>VLOOKUP($D:$D,基础资料!$A:B,2,0)</f>
        <v>07040019</v>
      </c>
      <c r="F201" s="26" t="str">
        <f>VLOOKUP($D:$D,基础资料!$A:C,3,0)</f>
        <v>S-美国药疗保健</v>
      </c>
      <c r="G201" s="26" t="str">
        <f>VLOOKUP($D:$D,基础资料!$A:D,4,0)</f>
        <v>\</v>
      </c>
      <c r="H201" s="26" t="str">
        <f>VLOOKUP($D:$D,基础资料!$A:E,5,0)</f>
        <v>本</v>
      </c>
      <c r="I201" s="26" t="str">
        <f>VLOOKUP($D:$D,基础资料!$A:F,6,0)</f>
        <v>书本</v>
      </c>
      <c r="J201" s="14"/>
      <c r="K201" s="14">
        <v>1</v>
      </c>
      <c r="L201" s="14"/>
      <c r="M201" s="26">
        <f>SUMIF($D:$D,D201,$L:$L)+SUMIF($D:$D,D201,$J:$J)-SUMIF($D:$D,D201,$K:$K)</f>
        <v>975</v>
      </c>
      <c r="N201" s="26">
        <f>VLOOKUP(D:D,结存!A:J,10,0)</f>
        <v>975</v>
      </c>
      <c r="O201" s="26">
        <f>M201 - N201</f>
        <v>0</v>
      </c>
    </row>
    <row r="202" spans="1:15" ht="15.6">
      <c r="A202" s="15">
        <v>42674</v>
      </c>
      <c r="B202" s="17" t="s">
        <v>881</v>
      </c>
      <c r="C202" s="17"/>
      <c r="D202" s="20">
        <v>693</v>
      </c>
      <c r="E202" s="26" t="str">
        <f>VLOOKUP($D:$D,基础资料!$A:B,2,0)</f>
        <v>0702000350</v>
      </c>
      <c r="F202" s="26" t="str">
        <f>VLOOKUP($D:$D,基础资料!$A:C,3,0)</f>
        <v>星际迷航3：超越星辰</v>
      </c>
      <c r="G202" s="26" t="str">
        <f>VLOOKUP($D:$D,基础资料!$A:D,4,0)</f>
        <v>\</v>
      </c>
      <c r="H202" s="26" t="str">
        <f>VLOOKUP($D:$D,基础资料!$A:E,5,0)</f>
        <v>套</v>
      </c>
      <c r="I202" s="26" t="str">
        <f>VLOOKUP($D:$D,基础资料!$A:F,6,0)</f>
        <v>蓝光电影</v>
      </c>
      <c r="J202" s="14">
        <v>31</v>
      </c>
      <c r="K202" s="14"/>
      <c r="L202" s="14"/>
      <c r="M202" s="26">
        <f>SUMIF($D:$D,D202,$L:$L)+SUMIF($D:$D,D202,$J:$J)-SUMIF($D:$D,D202,$K:$K)</f>
        <v>17</v>
      </c>
      <c r="N202" s="26">
        <f>VLOOKUP(D:D,结存!A:J,10,0)</f>
        <v>17</v>
      </c>
      <c r="O202" s="26">
        <f>M202 - N202</f>
        <v>0</v>
      </c>
    </row>
    <row r="203" spans="1:15" ht="15.6">
      <c r="A203" s="15">
        <v>42674</v>
      </c>
      <c r="B203" s="17" t="s">
        <v>882</v>
      </c>
      <c r="C203" s="17"/>
      <c r="D203" s="20">
        <v>563</v>
      </c>
      <c r="E203" s="26" t="str">
        <f>VLOOKUP($D:$D,基础资料!$A:B,2,0)</f>
        <v>0702000027</v>
      </c>
      <c r="F203" s="26" t="str">
        <f>VLOOKUP($D:$D,基础资料!$A:C,3,0)</f>
        <v>蓝影攀登梅鲁峰1BD</v>
      </c>
      <c r="G203" s="26" t="str">
        <f>VLOOKUP($D:$D,基础资料!$A:D,4,0)</f>
        <v>1</v>
      </c>
      <c r="H203" s="26" t="str">
        <f>VLOOKUP($D:$D,基础资料!$A:E,5,0)</f>
        <v>套</v>
      </c>
      <c r="I203" s="26" t="str">
        <f>VLOOKUP($D:$D,基础资料!$A:F,6,0)</f>
        <v>蓝光电影</v>
      </c>
      <c r="J203" s="14">
        <v>2</v>
      </c>
      <c r="K203" s="14"/>
      <c r="L203" s="14"/>
      <c r="M203" s="26">
        <f>SUMIF($D:$D,D203,$L:$L)+SUMIF($D:$D,D203,$J:$J)-SUMIF($D:$D,D203,$K:$K)</f>
        <v>0</v>
      </c>
      <c r="N203" s="26">
        <f>VLOOKUP(D:D,结存!A:J,10,0)</f>
        <v>0</v>
      </c>
      <c r="O203" s="26">
        <f>M203 - N203</f>
        <v>0</v>
      </c>
    </row>
    <row r="204" spans="1:15" ht="15.6">
      <c r="A204" s="15">
        <v>42674</v>
      </c>
      <c r="B204" s="17" t="s">
        <v>883</v>
      </c>
      <c r="C204" s="17"/>
      <c r="D204" s="20">
        <v>672</v>
      </c>
      <c r="E204" s="26" t="str">
        <f>VLOOKUP($D:$D,基础资料!$A:B,2,0)</f>
        <v>07040030</v>
      </c>
      <c r="F204" s="26" t="str">
        <f>VLOOKUP($D:$D,基础资料!$A:C,3,0)</f>
        <v>S-法律写作和分析</v>
      </c>
      <c r="G204" s="26" t="str">
        <f>VLOOKUP($D:$D,基础资料!$A:D,4,0)</f>
        <v>\</v>
      </c>
      <c r="H204" s="26" t="str">
        <f>VLOOKUP($D:$D,基础资料!$A:E,5,0)</f>
        <v>本</v>
      </c>
      <c r="I204" s="26" t="str">
        <f>VLOOKUP($D:$D,基础资料!$A:F,6,0)</f>
        <v>书本</v>
      </c>
      <c r="J204" s="14">
        <v>1012</v>
      </c>
      <c r="K204" s="14"/>
      <c r="L204" s="14"/>
      <c r="M204" s="26">
        <f>SUMIF($D:$D,D204,$L:$L)+SUMIF($D:$D,D204,$J:$J)-SUMIF($D:$D,D204,$K:$K)</f>
        <v>712</v>
      </c>
      <c r="N204" s="26">
        <f>VLOOKUP(D:D,结存!A:J,10,0)</f>
        <v>712</v>
      </c>
      <c r="O204" s="26">
        <f>M204 - N204</f>
        <v>0</v>
      </c>
    </row>
    <row r="205" spans="1:15" ht="15.6">
      <c r="A205" s="15">
        <v>42674</v>
      </c>
      <c r="B205" s="17" t="s">
        <v>884</v>
      </c>
      <c r="C205" s="17"/>
      <c r="D205" s="20">
        <v>693</v>
      </c>
      <c r="E205" s="26" t="str">
        <f>VLOOKUP($D:$D,基础资料!$A:B,2,0)</f>
        <v>0702000350</v>
      </c>
      <c r="F205" s="26" t="str">
        <f>VLOOKUP($D:$D,基础资料!$A:C,3,0)</f>
        <v>星际迷航3：超越星辰</v>
      </c>
      <c r="G205" s="26" t="str">
        <f>VLOOKUP($D:$D,基础资料!$A:D,4,0)</f>
        <v>\</v>
      </c>
      <c r="H205" s="26" t="str">
        <f>VLOOKUP($D:$D,基础资料!$A:E,5,0)</f>
        <v>套</v>
      </c>
      <c r="I205" s="26" t="str">
        <f>VLOOKUP($D:$D,基础资料!$A:F,6,0)</f>
        <v>蓝光电影</v>
      </c>
      <c r="J205" s="14"/>
      <c r="K205" s="14">
        <v>31</v>
      </c>
      <c r="L205" s="14"/>
      <c r="M205" s="26">
        <f>SUMIF($D:$D,D205,$L:$L)+SUMIF($D:$D,D205,$J:$J)-SUMIF($D:$D,D205,$K:$K)</f>
        <v>17</v>
      </c>
      <c r="N205" s="26">
        <f>VLOOKUP(D:D,结存!A:J,10,0)</f>
        <v>17</v>
      </c>
      <c r="O205" s="26">
        <f>M205 - N205</f>
        <v>0</v>
      </c>
    </row>
    <row r="206" spans="1:15" ht="15.6">
      <c r="A206" s="15">
        <v>42674</v>
      </c>
      <c r="B206" s="17" t="s">
        <v>885</v>
      </c>
      <c r="C206" s="17"/>
      <c r="D206" s="20">
        <v>672</v>
      </c>
      <c r="E206" s="26" t="str">
        <f>VLOOKUP($D:$D,基础资料!$A:B,2,0)</f>
        <v>07040030</v>
      </c>
      <c r="F206" s="26" t="str">
        <f>VLOOKUP($D:$D,基础资料!$A:C,3,0)</f>
        <v>S-法律写作和分析</v>
      </c>
      <c r="G206" s="26" t="str">
        <f>VLOOKUP($D:$D,基础资料!$A:D,4,0)</f>
        <v>\</v>
      </c>
      <c r="H206" s="26" t="str">
        <f>VLOOKUP($D:$D,基础资料!$A:E,5,0)</f>
        <v>本</v>
      </c>
      <c r="I206" s="26" t="str">
        <f>VLOOKUP($D:$D,基础资料!$A:F,6,0)</f>
        <v>书本</v>
      </c>
      <c r="J206" s="14"/>
      <c r="K206" s="14">
        <v>300</v>
      </c>
      <c r="L206" s="14"/>
      <c r="M206" s="26">
        <f>SUMIF($D:$D,D206,$L:$L)+SUMIF($D:$D,D206,$J:$J)-SUMIF($D:$D,D206,$K:$K)</f>
        <v>712</v>
      </c>
      <c r="N206" s="26">
        <f>VLOOKUP(D:D,结存!A:J,10,0)</f>
        <v>712</v>
      </c>
      <c r="O206" s="26">
        <f>M206 - N206</f>
        <v>0</v>
      </c>
    </row>
    <row r="207" spans="1:15" ht="15.6">
      <c r="A207" s="15">
        <v>42674</v>
      </c>
      <c r="B207" s="17" t="s">
        <v>886</v>
      </c>
      <c r="C207" s="17"/>
      <c r="D207" s="20">
        <v>529</v>
      </c>
      <c r="E207" s="26" t="str">
        <f>VLOOKUP($D:$D,基础资料!$A:B,2,0)</f>
        <v>0701000235</v>
      </c>
      <c r="F207" s="26" t="str">
        <f>VLOOKUP($D:$D,基础资料!$A:C,3,0)</f>
        <v>蓝剧传教士 第一季3BD</v>
      </c>
      <c r="G207" s="26" t="str">
        <f>VLOOKUP($D:$D,基础资料!$A:D,4,0)</f>
        <v>3</v>
      </c>
      <c r="H207" s="26" t="str">
        <f>VLOOKUP($D:$D,基础资料!$A:E,5,0)</f>
        <v>套</v>
      </c>
      <c r="I207" s="26" t="str">
        <f>VLOOKUP($D:$D,基础资料!$A:F,6,0)</f>
        <v>蓝光电视剧</v>
      </c>
      <c r="J207" s="14">
        <v>4</v>
      </c>
      <c r="K207" s="14"/>
      <c r="L207" s="14"/>
      <c r="M207" s="26">
        <f>SUMIF($D:$D,D207,$L:$L)+SUMIF($D:$D,D207,$J:$J)-SUMIF($D:$D,D207,$K:$K)</f>
        <v>90</v>
      </c>
      <c r="N207" s="26">
        <f>VLOOKUP(D:D,结存!A:J,10,0)</f>
        <v>90</v>
      </c>
      <c r="O207" s="26">
        <f>M207 - N207</f>
        <v>0</v>
      </c>
    </row>
    <row r="208" spans="1:15" ht="15.6">
      <c r="A208" s="15">
        <v>42674</v>
      </c>
      <c r="B208" s="17" t="s">
        <v>887</v>
      </c>
      <c r="C208" s="17"/>
      <c r="D208" s="20">
        <v>529</v>
      </c>
      <c r="E208" s="26" t="str">
        <f>VLOOKUP($D:$D,基础资料!$A:B,2,0)</f>
        <v>0701000235</v>
      </c>
      <c r="F208" s="26" t="str">
        <f>VLOOKUP($D:$D,基础资料!$A:C,3,0)</f>
        <v>蓝剧传教士 第一季3BD</v>
      </c>
      <c r="G208" s="26" t="str">
        <f>VLOOKUP($D:$D,基础资料!$A:D,4,0)</f>
        <v>3</v>
      </c>
      <c r="H208" s="26" t="str">
        <f>VLOOKUP($D:$D,基础资料!$A:E,5,0)</f>
        <v>套</v>
      </c>
      <c r="I208" s="26" t="str">
        <f>VLOOKUP($D:$D,基础资料!$A:F,6,0)</f>
        <v>蓝光电视剧</v>
      </c>
      <c r="J208" s="14"/>
      <c r="K208" s="14">
        <v>4</v>
      </c>
      <c r="L208" s="14"/>
      <c r="M208" s="26">
        <f>SUMIF($D:$D,D208,$L:$L)+SUMIF($D:$D,D208,$J:$J)-SUMIF($D:$D,D208,$K:$K)</f>
        <v>90</v>
      </c>
      <c r="N208" s="26">
        <f>VLOOKUP(D:D,结存!A:J,10,0)</f>
        <v>90</v>
      </c>
      <c r="O208" s="26">
        <f>M208 - N208</f>
        <v>0</v>
      </c>
    </row>
    <row r="209" spans="1:15" ht="15.6">
      <c r="A209" s="15">
        <v>42674</v>
      </c>
      <c r="B209" s="17" t="s">
        <v>887</v>
      </c>
      <c r="C209" s="17"/>
      <c r="D209" s="20">
        <v>563</v>
      </c>
      <c r="E209" s="26" t="str">
        <f>VLOOKUP($D:$D,基础资料!$A:B,2,0)</f>
        <v>0702000027</v>
      </c>
      <c r="F209" s="26" t="str">
        <f>VLOOKUP($D:$D,基础资料!$A:C,3,0)</f>
        <v>蓝影攀登梅鲁峰1BD</v>
      </c>
      <c r="G209" s="26" t="str">
        <f>VLOOKUP($D:$D,基础资料!$A:D,4,0)</f>
        <v>1</v>
      </c>
      <c r="H209" s="26" t="str">
        <f>VLOOKUP($D:$D,基础资料!$A:E,5,0)</f>
        <v>套</v>
      </c>
      <c r="I209" s="26" t="str">
        <f>VLOOKUP($D:$D,基础资料!$A:F,6,0)</f>
        <v>蓝光电影</v>
      </c>
      <c r="J209" s="14"/>
      <c r="K209" s="14">
        <v>2</v>
      </c>
      <c r="L209" s="14"/>
      <c r="M209" s="26">
        <f>SUMIF($D:$D,D209,$L:$L)+SUMIF($D:$D,D209,$J:$J)-SUMIF($D:$D,D209,$K:$K)</f>
        <v>0</v>
      </c>
      <c r="N209" s="26">
        <f>VLOOKUP(D:D,结存!A:J,10,0)</f>
        <v>0</v>
      </c>
      <c r="O209" s="26">
        <f>M209 - N209</f>
        <v>0</v>
      </c>
    </row>
    <row r="210" spans="1:15" ht="15.6">
      <c r="A210" s="15">
        <v>42674</v>
      </c>
      <c r="B210" s="17" t="s">
        <v>887</v>
      </c>
      <c r="C210" s="17"/>
      <c r="D210" s="20">
        <v>689</v>
      </c>
      <c r="E210" s="26" t="str">
        <f>VLOOKUP($D:$D,基础资料!$A:B,2,0)</f>
        <v>0701000349</v>
      </c>
      <c r="F210" s="26" t="str">
        <f>VLOOKUP($D:$D,基础资料!$A:C,3,0)</f>
        <v>奥丽芙.基特里奇2BD</v>
      </c>
      <c r="G210" s="26" t="str">
        <f>VLOOKUP($D:$D,基础资料!$A:D,4,0)</f>
        <v>\</v>
      </c>
      <c r="H210" s="26" t="str">
        <f>VLOOKUP($D:$D,基础资料!$A:E,5,0)</f>
        <v>套</v>
      </c>
      <c r="I210" s="26" t="str">
        <f>VLOOKUP($D:$D,基础资料!$A:F,6,0)</f>
        <v>蓝光电视剧</v>
      </c>
      <c r="J210" s="14"/>
      <c r="K210" s="14">
        <v>2</v>
      </c>
      <c r="L210" s="14"/>
      <c r="M210" s="26">
        <f>SUMIF($D:$D,D210,$L:$L)+SUMIF($D:$D,D210,$J:$J)-SUMIF($D:$D,D210,$K:$K)</f>
        <v>96</v>
      </c>
      <c r="N210" s="26">
        <f>VLOOKUP(D:D,结存!A:J,10,0)</f>
        <v>96</v>
      </c>
      <c r="O210" s="26">
        <f>M210 - N210</f>
        <v>0</v>
      </c>
    </row>
    <row r="211" spans="1:15" ht="15.6">
      <c r="A211" s="15">
        <v>42674</v>
      </c>
      <c r="B211" s="17" t="s">
        <v>888</v>
      </c>
      <c r="C211" s="17"/>
      <c r="D211" s="20">
        <v>568</v>
      </c>
      <c r="E211" s="26" t="str">
        <f>VLOOKUP($D:$D,基础资料!$A:B,2,0)</f>
        <v>0702000032</v>
      </c>
      <c r="F211" s="26" t="str">
        <f>VLOOKUP($D:$D,基础资料!$A:C,3,0)</f>
        <v>蓝影年轻气盛1BD</v>
      </c>
      <c r="G211" s="26" t="str">
        <f>VLOOKUP($D:$D,基础资料!$A:D,4,0)</f>
        <v>1</v>
      </c>
      <c r="H211" s="26" t="str">
        <f>VLOOKUP($D:$D,基础资料!$A:E,5,0)</f>
        <v>套</v>
      </c>
      <c r="I211" s="26" t="str">
        <f>VLOOKUP($D:$D,基础资料!$A:F,6,0)</f>
        <v>蓝光电影</v>
      </c>
      <c r="J211" s="14"/>
      <c r="K211" s="14">
        <v>2</v>
      </c>
      <c r="L211" s="14"/>
      <c r="M211" s="26">
        <f>SUMIF($D:$D,D211,$L:$L)+SUMIF($D:$D,D211,$J:$J)-SUMIF($D:$D,D211,$K:$K)</f>
        <v>95</v>
      </c>
      <c r="N211" s="26">
        <f>VLOOKUP(D:D,结存!A:J,10,0)</f>
        <v>95</v>
      </c>
      <c r="O211" s="26">
        <f>M211 - N211</f>
        <v>0</v>
      </c>
    </row>
    <row r="212" spans="1:15" ht="15.6">
      <c r="A212" s="15">
        <v>42675</v>
      </c>
      <c r="B212" s="17" t="s">
        <v>889</v>
      </c>
      <c r="C212" s="17"/>
      <c r="D212" s="20">
        <v>675</v>
      </c>
      <c r="E212" s="26" t="str">
        <f>VLOOKUP($D:$D,基础资料!$A:B,2,0)</f>
        <v>07040033</v>
      </c>
      <c r="F212" s="26" t="str">
        <f>VLOOKUP($D:$D,基础资料!$A:C,3,0)</f>
        <v>S-机械实践</v>
      </c>
      <c r="G212" s="26" t="str">
        <f>VLOOKUP($D:$D,基础资料!$A:D,4,0)</f>
        <v>\</v>
      </c>
      <c r="H212" s="26" t="str">
        <f>VLOOKUP($D:$D,基础资料!$A:E,5,0)</f>
        <v>本</v>
      </c>
      <c r="I212" s="26" t="str">
        <f>VLOOKUP($D:$D,基础资料!$A:F,6,0)</f>
        <v>书本</v>
      </c>
      <c r="J212" s="14"/>
      <c r="K212" s="14">
        <v>50</v>
      </c>
      <c r="L212" s="14"/>
      <c r="M212" s="26">
        <f>SUMIF($D:$D,D212,$L:$L)+SUMIF($D:$D,D212,$J:$J)-SUMIF($D:$D,D212,$K:$K)</f>
        <v>463</v>
      </c>
      <c r="N212" s="26">
        <f>VLOOKUP(D:D,结存!A:J,10,0)</f>
        <v>463</v>
      </c>
      <c r="O212" s="26">
        <f>M212 - N212</f>
        <v>0</v>
      </c>
    </row>
    <row r="213" spans="1:15" ht="15.6">
      <c r="A213" s="15">
        <v>42675</v>
      </c>
      <c r="B213" s="17" t="s">
        <v>890</v>
      </c>
      <c r="C213" s="17"/>
      <c r="D213" s="20">
        <v>529</v>
      </c>
      <c r="E213" s="26" t="str">
        <f>VLOOKUP($D:$D,基础资料!$A:B,2,0)</f>
        <v>0701000235</v>
      </c>
      <c r="F213" s="26" t="str">
        <f>VLOOKUP($D:$D,基础资料!$A:C,3,0)</f>
        <v>蓝剧传教士 第一季3BD</v>
      </c>
      <c r="G213" s="26" t="str">
        <f>VLOOKUP($D:$D,基础资料!$A:D,4,0)</f>
        <v>3</v>
      </c>
      <c r="H213" s="26" t="str">
        <f>VLOOKUP($D:$D,基础资料!$A:E,5,0)</f>
        <v>套</v>
      </c>
      <c r="I213" s="26" t="str">
        <f>VLOOKUP($D:$D,基础资料!$A:F,6,0)</f>
        <v>蓝光电视剧</v>
      </c>
      <c r="J213" s="14">
        <v>2</v>
      </c>
      <c r="K213" s="14"/>
      <c r="L213" s="14"/>
      <c r="M213" s="26">
        <f>SUMIF($D:$D,D213,$L:$L)+SUMIF($D:$D,D213,$J:$J)-SUMIF($D:$D,D213,$K:$K)</f>
        <v>90</v>
      </c>
      <c r="N213" s="26">
        <f>VLOOKUP(D:D,结存!A:J,10,0)</f>
        <v>90</v>
      </c>
      <c r="O213" s="26">
        <f>M213 - N213</f>
        <v>0</v>
      </c>
    </row>
    <row r="214" spans="1:15" ht="15.6">
      <c r="A214" s="15">
        <v>42675</v>
      </c>
      <c r="B214" s="17" t="s">
        <v>891</v>
      </c>
      <c r="C214" s="17"/>
      <c r="D214" s="20">
        <v>529</v>
      </c>
      <c r="E214" s="26" t="str">
        <f>VLOOKUP($D:$D,基础资料!$A:B,2,0)</f>
        <v>0701000235</v>
      </c>
      <c r="F214" s="26" t="str">
        <f>VLOOKUP($D:$D,基础资料!$A:C,3,0)</f>
        <v>蓝剧传教士 第一季3BD</v>
      </c>
      <c r="G214" s="26" t="str">
        <f>VLOOKUP($D:$D,基础资料!$A:D,4,0)</f>
        <v>3</v>
      </c>
      <c r="H214" s="26" t="str">
        <f>VLOOKUP($D:$D,基础资料!$A:E,5,0)</f>
        <v>套</v>
      </c>
      <c r="I214" s="26" t="str">
        <f>VLOOKUP($D:$D,基础资料!$A:F,6,0)</f>
        <v>蓝光电视剧</v>
      </c>
      <c r="J214" s="14"/>
      <c r="K214" s="14">
        <v>2</v>
      </c>
      <c r="L214" s="14"/>
      <c r="M214" s="26">
        <f>SUMIF($D:$D,D214,$L:$L)+SUMIF($D:$D,D214,$J:$J)-SUMIF($D:$D,D214,$K:$K)</f>
        <v>90</v>
      </c>
      <c r="N214" s="26">
        <f>VLOOKUP(D:D,结存!A:J,10,0)</f>
        <v>90</v>
      </c>
      <c r="O214" s="26">
        <f>M214 - N214</f>
        <v>0</v>
      </c>
    </row>
    <row r="215" spans="1:15" ht="15.6">
      <c r="A215" s="15">
        <v>42675</v>
      </c>
      <c r="B215" s="17" t="s">
        <v>892</v>
      </c>
      <c r="C215" s="17"/>
      <c r="D215" s="20">
        <v>541</v>
      </c>
      <c r="E215" s="26" t="str">
        <f>VLOOKUP($D:$D,基础资料!$A:B,2,0)</f>
        <v>07010015</v>
      </c>
      <c r="F215" s="26" t="str">
        <f>VLOOKUP($D:$D,基础资料!$A:C,3,0)</f>
        <v>蓝剧-黑色孤儿第4季  2BD</v>
      </c>
      <c r="G215" s="26" t="str">
        <f>VLOOKUP($D:$D,基础资料!$A:D,4,0)</f>
        <v>2</v>
      </c>
      <c r="H215" s="26" t="str">
        <f>VLOOKUP($D:$D,基础资料!$A:E,5,0)</f>
        <v>套</v>
      </c>
      <c r="I215" s="26" t="str">
        <f>VLOOKUP($D:$D,基础资料!$A:F,6,0)</f>
        <v>蓝光电视剧</v>
      </c>
      <c r="J215" s="14"/>
      <c r="K215" s="14">
        <v>5</v>
      </c>
      <c r="L215" s="14"/>
      <c r="M215" s="26">
        <f>SUMIF($D:$D,D215,$L:$L)+SUMIF($D:$D,D215,$J:$J)-SUMIF($D:$D,D215,$K:$K)</f>
        <v>63</v>
      </c>
      <c r="N215" s="26">
        <f>VLOOKUP(D:D,结存!A:J,10,0)</f>
        <v>63</v>
      </c>
      <c r="O215" s="26">
        <f>M215 - N215</f>
        <v>0</v>
      </c>
    </row>
    <row r="216" spans="1:15" ht="15.6">
      <c r="A216" s="15">
        <v>42675</v>
      </c>
      <c r="B216" s="17" t="s">
        <v>893</v>
      </c>
      <c r="C216" s="17"/>
      <c r="D216" s="20">
        <v>676</v>
      </c>
      <c r="E216" s="26" t="str">
        <f>VLOOKUP($D:$D,基础资料!$A:B,2,0)</f>
        <v>07040034</v>
      </c>
      <c r="F216" s="26" t="str">
        <f>VLOOKUP($D:$D,基础资料!$A:C,3,0)</f>
        <v>S-程序员考试</v>
      </c>
      <c r="G216" s="26" t="str">
        <f>VLOOKUP($D:$D,基础资料!$A:D,4,0)</f>
        <v>\</v>
      </c>
      <c r="H216" s="26" t="str">
        <f>VLOOKUP($D:$D,基础资料!$A:E,5,0)</f>
        <v>本</v>
      </c>
      <c r="I216" s="26" t="str">
        <f>VLOOKUP($D:$D,基础资料!$A:F,6,0)</f>
        <v>书本</v>
      </c>
      <c r="J216" s="14"/>
      <c r="K216" s="14">
        <v>10</v>
      </c>
      <c r="L216" s="14"/>
      <c r="M216" s="26">
        <f>SUMIF($D:$D,D216,$L:$L)+SUMIF($D:$D,D216,$J:$J)-SUMIF($D:$D,D216,$K:$K)</f>
        <v>1412</v>
      </c>
      <c r="N216" s="26">
        <f>VLOOKUP(D:D,结存!A:J,10,0)</f>
        <v>1412</v>
      </c>
      <c r="O216" s="26">
        <f>M216 - N216</f>
        <v>0</v>
      </c>
    </row>
    <row r="217" spans="1:15" ht="15.6">
      <c r="A217" s="15">
        <v>42675</v>
      </c>
      <c r="B217" s="17" t="s">
        <v>893</v>
      </c>
      <c r="C217" s="17"/>
      <c r="D217" s="20">
        <v>645</v>
      </c>
      <c r="E217" s="26" t="str">
        <f>VLOOKUP($D:$D,基础资料!$A:B,2,0)</f>
        <v>07040003</v>
      </c>
      <c r="F217" s="26" t="str">
        <f>VLOOKUP($D:$D,基础资料!$A:C,3,0)</f>
        <v>S-公共演讲的艺术</v>
      </c>
      <c r="G217" s="26" t="str">
        <f>VLOOKUP($D:$D,基础资料!$A:D,4,0)</f>
        <v>\</v>
      </c>
      <c r="H217" s="26" t="str">
        <f>VLOOKUP($D:$D,基础资料!$A:E,5,0)</f>
        <v>本</v>
      </c>
      <c r="I217" s="26" t="str">
        <f>VLOOKUP($D:$D,基础资料!$A:F,6,0)</f>
        <v>书本</v>
      </c>
      <c r="J217" s="14"/>
      <c r="K217" s="14">
        <v>10</v>
      </c>
      <c r="L217" s="14"/>
      <c r="M217" s="26">
        <f>SUMIF($D:$D,D217,$L:$L)+SUMIF($D:$D,D217,$J:$J)-SUMIF($D:$D,D217,$K:$K)</f>
        <v>1403</v>
      </c>
      <c r="N217" s="26">
        <f>VLOOKUP(D:D,结存!A:J,10,0)</f>
        <v>1403</v>
      </c>
      <c r="O217" s="26">
        <f>M217 - N217</f>
        <v>0</v>
      </c>
    </row>
    <row r="218" spans="1:15" ht="15.6">
      <c r="A218" s="15">
        <v>42675</v>
      </c>
      <c r="B218" s="17" t="s">
        <v>893</v>
      </c>
      <c r="C218" s="17"/>
      <c r="D218" s="20">
        <v>656</v>
      </c>
      <c r="E218" s="26" t="str">
        <f>VLOOKUP($D:$D,基础资料!$A:B,2,0)</f>
        <v>07040014</v>
      </c>
      <c r="F218" s="26" t="str">
        <f>VLOOKUP($D:$D,基础资料!$A:C,3,0)</f>
        <v>S-伦理护理</v>
      </c>
      <c r="G218" s="26" t="str">
        <f>VLOOKUP($D:$D,基础资料!$A:D,4,0)</f>
        <v>\</v>
      </c>
      <c r="H218" s="26" t="str">
        <f>VLOOKUP($D:$D,基础资料!$A:E,5,0)</f>
        <v>本</v>
      </c>
      <c r="I218" s="26" t="str">
        <f>VLOOKUP($D:$D,基础资料!$A:F,6,0)</f>
        <v>书本</v>
      </c>
      <c r="J218" s="14"/>
      <c r="K218" s="14">
        <v>10</v>
      </c>
      <c r="L218" s="14"/>
      <c r="M218" s="26">
        <f>SUMIF($D:$D,D218,$L:$L)+SUMIF($D:$D,D218,$J:$J)-SUMIF($D:$D,D218,$K:$K)</f>
        <v>956</v>
      </c>
      <c r="N218" s="26">
        <f>VLOOKUP(D:D,结存!A:J,10,0)</f>
        <v>956</v>
      </c>
      <c r="O218" s="26">
        <f>M218 - N218</f>
        <v>0</v>
      </c>
    </row>
    <row r="219" spans="1:15" ht="15.6">
      <c r="A219" s="15">
        <v>42675</v>
      </c>
      <c r="B219" s="17" t="s">
        <v>893</v>
      </c>
      <c r="C219" s="17"/>
      <c r="D219" s="20">
        <v>662</v>
      </c>
      <c r="E219" s="26" t="str">
        <f>VLOOKUP($D:$D,基础资料!$A:B,2,0)</f>
        <v>07040020</v>
      </c>
      <c r="F219" s="26" t="str">
        <f>VLOOKUP($D:$D,基础资料!$A:C,3,0)</f>
        <v>S-硕士考试指南</v>
      </c>
      <c r="G219" s="26" t="str">
        <f>VLOOKUP($D:$D,基础资料!$A:D,4,0)</f>
        <v>\</v>
      </c>
      <c r="H219" s="26" t="str">
        <f>VLOOKUP($D:$D,基础资料!$A:E,5,0)</f>
        <v>本</v>
      </c>
      <c r="I219" s="26" t="str">
        <f>VLOOKUP($D:$D,基础资料!$A:F,6,0)</f>
        <v>书本</v>
      </c>
      <c r="J219" s="14"/>
      <c r="K219" s="14">
        <v>10</v>
      </c>
      <c r="L219" s="14"/>
      <c r="M219" s="26">
        <f>SUMIF($D:$D,D219,$L:$L)+SUMIF($D:$D,D219,$J:$J)-SUMIF($D:$D,D219,$K:$K)</f>
        <v>2104</v>
      </c>
      <c r="N219" s="26">
        <f>VLOOKUP(D:D,结存!A:J,10,0)</f>
        <v>2104</v>
      </c>
      <c r="O219" s="26">
        <f>M219 - N219</f>
        <v>0</v>
      </c>
    </row>
    <row r="220" spans="1:15" ht="15.6">
      <c r="A220" s="15">
        <v>42675</v>
      </c>
      <c r="B220" s="17" t="s">
        <v>893</v>
      </c>
      <c r="C220" s="17"/>
      <c r="D220" s="20">
        <v>655</v>
      </c>
      <c r="E220" s="26" t="str">
        <f>VLOOKUP($D:$D,基础资料!$A:B,2,0)</f>
        <v>07040013</v>
      </c>
      <c r="F220" s="26" t="str">
        <f>VLOOKUP($D:$D,基础资料!$A:C,3,0)</f>
        <v>S-校园法律</v>
      </c>
      <c r="G220" s="26" t="str">
        <f>VLOOKUP($D:$D,基础资料!$A:D,4,0)</f>
        <v>\</v>
      </c>
      <c r="H220" s="26" t="str">
        <f>VLOOKUP($D:$D,基础资料!$A:E,5,0)</f>
        <v>本</v>
      </c>
      <c r="I220" s="26" t="str">
        <f>VLOOKUP($D:$D,基础资料!$A:F,6,0)</f>
        <v>书本</v>
      </c>
      <c r="J220" s="14"/>
      <c r="K220" s="14">
        <v>40</v>
      </c>
      <c r="L220" s="14"/>
      <c r="M220" s="26">
        <f>SUMIF($D:$D,D220,$L:$L)+SUMIF($D:$D,D220,$J:$J)-SUMIF($D:$D,D220,$K:$K)</f>
        <v>698</v>
      </c>
      <c r="N220" s="26">
        <f>VLOOKUP(D:D,结存!A:J,10,0)</f>
        <v>698</v>
      </c>
      <c r="O220" s="26">
        <f>M220 - N220</f>
        <v>0</v>
      </c>
    </row>
    <row r="221" spans="1:15" ht="15.6">
      <c r="A221" s="15">
        <v>42675</v>
      </c>
      <c r="B221" s="17" t="s">
        <v>893</v>
      </c>
      <c r="C221" s="17"/>
      <c r="D221" s="20">
        <v>642</v>
      </c>
      <c r="E221" s="26" t="str">
        <f>VLOOKUP($D:$D,基础资料!$A:B,2,0)</f>
        <v>07040001</v>
      </c>
      <c r="F221" s="26" t="str">
        <f>VLOOKUP($D:$D,基础资料!$A:C,3,0)</f>
        <v>S-恐怖故事（3本一套）</v>
      </c>
      <c r="G221" s="26" t="str">
        <f>VLOOKUP($D:$D,基础资料!$A:D,4,0)</f>
        <v>\</v>
      </c>
      <c r="H221" s="26" t="str">
        <f>VLOOKUP($D:$D,基础资料!$A:E,5,0)</f>
        <v>套</v>
      </c>
      <c r="I221" s="26" t="str">
        <f>VLOOKUP($D:$D,基础资料!$A:F,6,0)</f>
        <v>书本</v>
      </c>
      <c r="J221" s="14"/>
      <c r="K221" s="14">
        <v>46</v>
      </c>
      <c r="L221" s="14"/>
      <c r="M221" s="26">
        <f>SUMIF($D:$D,D221,$L:$L)+SUMIF($D:$D,D221,$J:$J)-SUMIF($D:$D,D221,$K:$K)</f>
        <v>35</v>
      </c>
      <c r="N221" s="26">
        <f>VLOOKUP(D:D,结存!A:J,10,0)</f>
        <v>35</v>
      </c>
      <c r="O221" s="26">
        <f>M221 - N221</f>
        <v>0</v>
      </c>
    </row>
    <row r="222" spans="1:15" ht="15.6">
      <c r="A222" s="15">
        <v>42675</v>
      </c>
      <c r="B222" s="17" t="s">
        <v>893</v>
      </c>
      <c r="C222" s="17"/>
      <c r="D222" s="20">
        <v>650</v>
      </c>
      <c r="E222" s="26" t="str">
        <f>VLOOKUP($D:$D,基础资料!$A:B,2,0)</f>
        <v>07040008</v>
      </c>
      <c r="F222" s="26" t="str">
        <f>VLOOKUP($D:$D,基础资料!$A:C,3,0)</f>
        <v>S-谈判精要</v>
      </c>
      <c r="G222" s="26" t="str">
        <f>VLOOKUP($D:$D,基础资料!$A:D,4,0)</f>
        <v>\</v>
      </c>
      <c r="H222" s="26" t="str">
        <f>VLOOKUP($D:$D,基础资料!$A:E,5,0)</f>
        <v>本</v>
      </c>
      <c r="I222" s="26" t="str">
        <f>VLOOKUP($D:$D,基础资料!$A:F,6,0)</f>
        <v>书本</v>
      </c>
      <c r="J222" s="14"/>
      <c r="K222" s="14">
        <v>10</v>
      </c>
      <c r="L222" s="14"/>
      <c r="M222" s="26">
        <f>SUMIF($D:$D,D222,$L:$L)+SUMIF($D:$D,D222,$J:$J)-SUMIF($D:$D,D222,$K:$K)</f>
        <v>538</v>
      </c>
      <c r="N222" s="26">
        <f>VLOOKUP(D:D,结存!A:J,10,0)</f>
        <v>538</v>
      </c>
      <c r="O222" s="26">
        <f>M222 - N222</f>
        <v>0</v>
      </c>
    </row>
    <row r="223" spans="1:15" ht="15.6">
      <c r="A223" s="15">
        <v>42675</v>
      </c>
      <c r="B223" s="17" t="s">
        <v>893</v>
      </c>
      <c r="C223" s="17"/>
      <c r="D223" s="20">
        <v>669</v>
      </c>
      <c r="E223" s="26" t="str">
        <f>VLOOKUP($D:$D,基础资料!$A:B,2,0)</f>
        <v>07040027</v>
      </c>
      <c r="F223" s="26" t="str">
        <f>VLOOKUP($D:$D,基础资料!$A:C,3,0)</f>
        <v>S-小屁孩日记（9本一套）</v>
      </c>
      <c r="G223" s="26" t="str">
        <f>VLOOKUP($D:$D,基础资料!$A:D,4,0)</f>
        <v>\</v>
      </c>
      <c r="H223" s="26" t="str">
        <f>VLOOKUP($D:$D,基础资料!$A:E,5,0)</f>
        <v>套</v>
      </c>
      <c r="I223" s="26" t="str">
        <f>VLOOKUP($D:$D,基础资料!$A:F,6,0)</f>
        <v>书本</v>
      </c>
      <c r="J223" s="14"/>
      <c r="K223" s="14">
        <v>5</v>
      </c>
      <c r="L223" s="14"/>
      <c r="M223" s="26">
        <f>SUMIF($D:$D,D223,$L:$L)+SUMIF($D:$D,D223,$J:$J)-SUMIF($D:$D,D223,$K:$K)</f>
        <v>958</v>
      </c>
      <c r="N223" s="26">
        <f>VLOOKUP(D:D,结存!A:J,10,0)</f>
        <v>958</v>
      </c>
      <c r="O223" s="26">
        <f>M223 - N223</f>
        <v>0</v>
      </c>
    </row>
    <row r="224" spans="1:15" ht="15.6">
      <c r="A224" s="15" t="s">
        <v>877</v>
      </c>
      <c r="B224" s="17" t="s">
        <v>878</v>
      </c>
      <c r="C224" s="17"/>
      <c r="D224" s="20">
        <v>639</v>
      </c>
      <c r="E224" s="26" t="str">
        <f>VLOOKUP($D:$D,基础资料!$A:B,2,0)</f>
        <v>0704000004</v>
      </c>
      <c r="F224" s="26" t="str">
        <f>VLOOKUP($D:$D,基础资料!$A:C,3,0)</f>
        <v>S-电器查询</v>
      </c>
      <c r="G224" s="26" t="str">
        <f>VLOOKUP($D:$D,基础资料!$A:D,4,0)</f>
        <v>\</v>
      </c>
      <c r="H224" s="26" t="str">
        <f>VLOOKUP($D:$D,基础资料!$A:E,5,0)</f>
        <v>本</v>
      </c>
      <c r="I224" s="26" t="str">
        <f>VLOOKUP($D:$D,基础资料!$A:F,6,0)</f>
        <v>书本</v>
      </c>
      <c r="J224" s="14"/>
      <c r="K224" s="14">
        <v>50</v>
      </c>
      <c r="L224" s="14"/>
      <c r="M224" s="26">
        <f>SUMIF($D:$D,D224,$L:$L)+SUMIF($D:$D,D224,$J:$J)-SUMIF($D:$D,D224,$K:$K)</f>
        <v>223</v>
      </c>
      <c r="N224" s="26">
        <f>VLOOKUP(D:D,结存!A:J,10,0)</f>
        <v>223</v>
      </c>
      <c r="O224" s="26">
        <f>M224 - N224</f>
        <v>0</v>
      </c>
    </row>
    <row r="225" spans="1:15" ht="15.6">
      <c r="A225" s="15">
        <v>42676</v>
      </c>
      <c r="B225" s="17" t="s">
        <v>894</v>
      </c>
      <c r="C225" s="17"/>
      <c r="D225" s="20">
        <v>692</v>
      </c>
      <c r="E225" s="26" t="str">
        <f>VLOOKUP($D:$D,基础资料!$A:B,2,0)</f>
        <v>0007050305</v>
      </c>
      <c r="F225" s="26" t="str">
        <f>VLOOKUP($D:$D,基础资料!$A:C,3,0)</f>
        <v>滚石乐队15CD</v>
      </c>
      <c r="G225" s="26" t="str">
        <f>VLOOKUP($D:$D,基础资料!$A:D,4,0)</f>
        <v>\</v>
      </c>
      <c r="H225" s="26" t="str">
        <f>VLOOKUP($D:$D,基础资料!$A:E,5,0)</f>
        <v>套</v>
      </c>
      <c r="I225" s="26" t="str">
        <f>VLOOKUP($D:$D,基础资料!$A:F,6,0)</f>
        <v>CD成品</v>
      </c>
      <c r="J225" s="14"/>
      <c r="K225" s="14">
        <v>15</v>
      </c>
      <c r="L225" s="14"/>
      <c r="M225" s="26">
        <f>SUMIF($D:$D,D225,$L:$L)+SUMIF($D:$D,D225,$J:$J)-SUMIF($D:$D,D225,$K:$K)</f>
        <v>28</v>
      </c>
      <c r="N225" s="26">
        <f>VLOOKUP(D:D,结存!A:J,10,0)</f>
        <v>28</v>
      </c>
      <c r="O225" s="26">
        <f>M225 - N225</f>
        <v>0</v>
      </c>
    </row>
    <row r="226" spans="1:15" ht="15.6">
      <c r="A226" s="15">
        <v>42676</v>
      </c>
      <c r="B226" s="17" t="s">
        <v>895</v>
      </c>
      <c r="C226" s="17"/>
      <c r="D226" s="20">
        <v>693</v>
      </c>
      <c r="E226" s="26" t="str">
        <f>VLOOKUP($D:$D,基础资料!$A:B,2,0)</f>
        <v>0702000350</v>
      </c>
      <c r="F226" s="26" t="str">
        <f>VLOOKUP($D:$D,基础资料!$A:C,3,0)</f>
        <v>星际迷航3：超越星辰</v>
      </c>
      <c r="G226" s="26" t="str">
        <f>VLOOKUP($D:$D,基础资料!$A:D,4,0)</f>
        <v>\</v>
      </c>
      <c r="H226" s="26" t="str">
        <f>VLOOKUP($D:$D,基础资料!$A:E,5,0)</f>
        <v>套</v>
      </c>
      <c r="I226" s="26" t="str">
        <f>VLOOKUP($D:$D,基础资料!$A:F,6,0)</f>
        <v>蓝光电影</v>
      </c>
      <c r="J226" s="14"/>
      <c r="K226" s="14">
        <v>50</v>
      </c>
      <c r="L226" s="14"/>
      <c r="M226" s="26">
        <f>SUMIF($D:$D,D226,$L:$L)+SUMIF($D:$D,D226,$J:$J)-SUMIF($D:$D,D226,$K:$K)</f>
        <v>17</v>
      </c>
      <c r="N226" s="26">
        <f>VLOOKUP(D:D,结存!A:J,10,0)</f>
        <v>17</v>
      </c>
      <c r="O226" s="26">
        <f>M226 - N226</f>
        <v>0</v>
      </c>
    </row>
    <row r="227" spans="1:15" ht="15.6">
      <c r="A227" s="15">
        <v>42676</v>
      </c>
      <c r="B227" s="17" t="s">
        <v>896</v>
      </c>
      <c r="C227" s="17"/>
      <c r="D227" s="20">
        <v>607</v>
      </c>
      <c r="E227" s="26" t="str">
        <f>VLOOKUP($D:$D,基础资料!$A:B,2,0)</f>
        <v>07020039</v>
      </c>
      <c r="F227" s="26" t="str">
        <f>VLOOKUP($D:$D,基础资料!$A:C,3,0)</f>
        <v>蓝影-钢之炼金术师：兄弟会（上）  4BD</v>
      </c>
      <c r="G227" s="26" t="str">
        <f>VLOOKUP($D:$D,基础资料!$A:D,4,0)</f>
        <v>4</v>
      </c>
      <c r="H227" s="26" t="str">
        <f>VLOOKUP($D:$D,基础资料!$A:E,5,0)</f>
        <v>套</v>
      </c>
      <c r="I227" s="26" t="str">
        <f>VLOOKUP($D:$D,基础资料!$A:F,6,0)</f>
        <v>蓝光电影</v>
      </c>
      <c r="J227" s="14"/>
      <c r="K227" s="14">
        <v>3</v>
      </c>
      <c r="L227" s="14"/>
      <c r="M227" s="26">
        <f>SUMIF($D:$D,D227,$L:$L)+SUMIF($D:$D,D227,$J:$J)-SUMIF($D:$D,D227,$K:$K)</f>
        <v>72</v>
      </c>
      <c r="N227" s="26">
        <f>VLOOKUP(D:D,结存!A:J,10,0)</f>
        <v>72</v>
      </c>
      <c r="O227" s="26">
        <f>M227 - N227</f>
        <v>0</v>
      </c>
    </row>
    <row r="228" spans="1:15" ht="15.6">
      <c r="A228" s="15">
        <v>42676</v>
      </c>
      <c r="B228" s="17" t="s">
        <v>896</v>
      </c>
      <c r="C228" s="17"/>
      <c r="D228" s="20">
        <v>633</v>
      </c>
      <c r="E228" s="26" t="str">
        <f>VLOOKUP($D:$D,基础资料!$A:B,2,0)</f>
        <v>07030009</v>
      </c>
      <c r="F228" s="26" t="str">
        <f>VLOOKUP($D:$D,基础资料!$A:C,3,0)</f>
        <v>蓝卡-星际牛仔  4BD</v>
      </c>
      <c r="G228" s="26" t="str">
        <f>VLOOKUP($D:$D,基础资料!$A:D,4,0)</f>
        <v>4</v>
      </c>
      <c r="H228" s="26" t="str">
        <f>VLOOKUP($D:$D,基础资料!$A:E,5,0)</f>
        <v>套</v>
      </c>
      <c r="I228" s="26" t="str">
        <f>VLOOKUP($D:$D,基础资料!$A:F,6,0)</f>
        <v>蓝光卡通</v>
      </c>
      <c r="J228" s="14"/>
      <c r="K228" s="14">
        <v>1</v>
      </c>
      <c r="L228" s="14"/>
      <c r="M228" s="26">
        <f>SUMIF($D:$D,D228,$L:$L)+SUMIF($D:$D,D228,$J:$J)-SUMIF($D:$D,D228,$K:$K)</f>
        <v>9</v>
      </c>
      <c r="N228" s="26">
        <f>VLOOKUP(D:D,结存!A:J,10,0)</f>
        <v>9</v>
      </c>
      <c r="O228" s="26">
        <f>M228 - N228</f>
        <v>0</v>
      </c>
    </row>
    <row r="229" spans="1:15" ht="15.6">
      <c r="A229" s="15">
        <v>42676</v>
      </c>
      <c r="B229" s="17" t="s">
        <v>897</v>
      </c>
      <c r="C229" s="17"/>
      <c r="D229" s="20">
        <v>692</v>
      </c>
      <c r="E229" s="26" t="str">
        <f>VLOOKUP($D:$D,基础资料!$A:B,2,0)</f>
        <v>0007050305</v>
      </c>
      <c r="F229" s="26" t="str">
        <f>VLOOKUP($D:$D,基础资料!$A:C,3,0)</f>
        <v>滚石乐队15CD</v>
      </c>
      <c r="G229" s="26" t="str">
        <f>VLOOKUP($D:$D,基础资料!$A:D,4,0)</f>
        <v>\</v>
      </c>
      <c r="H229" s="26" t="str">
        <f>VLOOKUP($D:$D,基础资料!$A:E,5,0)</f>
        <v>套</v>
      </c>
      <c r="I229" s="26" t="str">
        <f>VLOOKUP($D:$D,基础资料!$A:F,6,0)</f>
        <v>CD成品</v>
      </c>
      <c r="J229" s="14"/>
      <c r="K229" s="14">
        <v>3</v>
      </c>
      <c r="L229" s="14"/>
      <c r="M229" s="26">
        <f>SUMIF($D:$D,D229,$L:$L)+SUMIF($D:$D,D229,$J:$J)-SUMIF($D:$D,D229,$K:$K)</f>
        <v>28</v>
      </c>
      <c r="N229" s="26">
        <f>VLOOKUP(D:D,结存!A:J,10,0)</f>
        <v>28</v>
      </c>
      <c r="O229" s="26">
        <f>M229 - N229</f>
        <v>0</v>
      </c>
    </row>
    <row r="230" spans="1:15" ht="15.6">
      <c r="A230" s="15">
        <v>42676</v>
      </c>
      <c r="B230" s="17" t="s">
        <v>898</v>
      </c>
      <c r="C230" s="17"/>
      <c r="D230" s="20">
        <v>652</v>
      </c>
      <c r="E230" s="26" t="str">
        <f>VLOOKUP($D:$D,基础资料!$A:B,2,0)</f>
        <v>07040010</v>
      </c>
      <c r="F230" s="26" t="str">
        <f>VLOOKUP($D:$D,基础资料!$A:C,3,0)</f>
        <v>S-管理技能养成</v>
      </c>
      <c r="G230" s="26" t="str">
        <f>VLOOKUP($D:$D,基础资料!$A:D,4,0)</f>
        <v>\</v>
      </c>
      <c r="H230" s="26" t="str">
        <f>VLOOKUP($D:$D,基础资料!$A:E,5,0)</f>
        <v>本</v>
      </c>
      <c r="I230" s="26" t="str">
        <f>VLOOKUP($D:$D,基础资料!$A:F,6,0)</f>
        <v>书本</v>
      </c>
      <c r="J230" s="14"/>
      <c r="K230" s="14">
        <v>50</v>
      </c>
      <c r="L230" s="14"/>
      <c r="M230" s="26">
        <f>SUMIF($D:$D,D230,$L:$L)+SUMIF($D:$D,D230,$J:$J)-SUMIF($D:$D,D230,$K:$K)</f>
        <v>292</v>
      </c>
      <c r="N230" s="26">
        <f>VLOOKUP(D:D,结存!A:J,10,0)</f>
        <v>292</v>
      </c>
      <c r="O230" s="26">
        <f>M230 - N230</f>
        <v>0</v>
      </c>
    </row>
    <row r="231" spans="1:15" ht="15.6">
      <c r="A231" s="15">
        <v>42676</v>
      </c>
      <c r="B231" s="17" t="s">
        <v>899</v>
      </c>
      <c r="C231" s="17"/>
      <c r="D231" s="20">
        <v>639</v>
      </c>
      <c r="E231" s="26" t="str">
        <f>VLOOKUP($D:$D,基础资料!$A:B,2,0)</f>
        <v>0704000004</v>
      </c>
      <c r="F231" s="26" t="str">
        <f>VLOOKUP($D:$D,基础资料!$A:C,3,0)</f>
        <v>S-电器查询</v>
      </c>
      <c r="G231" s="26" t="str">
        <f>VLOOKUP($D:$D,基础资料!$A:D,4,0)</f>
        <v>\</v>
      </c>
      <c r="H231" s="26" t="str">
        <f>VLOOKUP($D:$D,基础资料!$A:E,5,0)</f>
        <v>本</v>
      </c>
      <c r="I231" s="26" t="str">
        <f>VLOOKUP($D:$D,基础资料!$A:F,6,0)</f>
        <v>书本</v>
      </c>
      <c r="J231" s="14">
        <v>50</v>
      </c>
      <c r="K231" s="14"/>
      <c r="L231" s="14"/>
      <c r="M231" s="26">
        <f>SUMIF($D:$D,D231,$L:$L)+SUMIF($D:$D,D231,$J:$J)-SUMIF($D:$D,D231,$K:$K)</f>
        <v>223</v>
      </c>
      <c r="N231" s="26">
        <f>VLOOKUP(D:D,结存!A:J,10,0)</f>
        <v>223</v>
      </c>
      <c r="O231" s="26">
        <f>M231 - N231</f>
        <v>0</v>
      </c>
    </row>
    <row r="232" spans="1:15" ht="15.6">
      <c r="A232" s="15">
        <v>42676</v>
      </c>
      <c r="B232" s="17" t="s">
        <v>899</v>
      </c>
      <c r="C232" s="17"/>
      <c r="D232" s="20">
        <v>668</v>
      </c>
      <c r="E232" s="26" t="str">
        <f>VLOOKUP($D:$D,基础资料!$A:B,2,0)</f>
        <v>07040026</v>
      </c>
      <c r="F232" s="26" t="str">
        <f>VLOOKUP($D:$D,基础资料!$A:C,3,0)</f>
        <v>S-团体咨询</v>
      </c>
      <c r="G232" s="26" t="str">
        <f>VLOOKUP($D:$D,基础资料!$A:D,4,0)</f>
        <v>\</v>
      </c>
      <c r="H232" s="26" t="str">
        <f>VLOOKUP($D:$D,基础资料!$A:E,5,0)</f>
        <v>本</v>
      </c>
      <c r="I232" s="26" t="str">
        <f>VLOOKUP($D:$D,基础资料!$A:F,6,0)</f>
        <v>书本</v>
      </c>
      <c r="J232" s="14">
        <v>1</v>
      </c>
      <c r="K232" s="14"/>
      <c r="L232" s="14"/>
      <c r="M232" s="26">
        <f>SUMIF($D:$D,D232,$L:$L)+SUMIF($D:$D,D232,$J:$J)-SUMIF($D:$D,D232,$K:$K)</f>
        <v>1473</v>
      </c>
      <c r="N232" s="26">
        <f>VLOOKUP(D:D,结存!A:J,10,0)</f>
        <v>1473</v>
      </c>
      <c r="O232" s="26">
        <f>M232 - N232</f>
        <v>0</v>
      </c>
    </row>
    <row r="233" spans="1:15" ht="15.6">
      <c r="A233" s="15">
        <v>42676</v>
      </c>
      <c r="B233" s="17" t="s">
        <v>900</v>
      </c>
      <c r="C233" s="17"/>
      <c r="D233" s="20">
        <v>594</v>
      </c>
      <c r="E233" s="26" t="str">
        <f>VLOOKUP($D:$D,基础资料!$A:B,2,0)</f>
        <v>07020026</v>
      </c>
      <c r="F233" s="26" t="str">
        <f>VLOOKUP($D:$D,基础资料!$A:C,3,0)</f>
        <v>蓝影-耐撕侦探1BD+1DVD</v>
      </c>
      <c r="G233" s="26" t="str">
        <f>VLOOKUP($D:$D,基础资料!$A:D,4,0)</f>
        <v>2</v>
      </c>
      <c r="H233" s="26" t="str">
        <f>VLOOKUP($D:$D,基础资料!$A:E,5,0)</f>
        <v>套</v>
      </c>
      <c r="I233" s="26" t="str">
        <f>VLOOKUP($D:$D,基础资料!$A:F,6,0)</f>
        <v>蓝光电影</v>
      </c>
      <c r="J233" s="14">
        <v>87</v>
      </c>
      <c r="K233" s="14"/>
      <c r="L233" s="14"/>
      <c r="M233" s="26">
        <f>SUMIF($D:$D,D233,$L:$L)+SUMIF($D:$D,D233,$J:$J)-SUMIF($D:$D,D233,$K:$K)</f>
        <v>95</v>
      </c>
      <c r="N233" s="26">
        <f>VLOOKUP(D:D,结存!A:J,10,0)</f>
        <v>95</v>
      </c>
      <c r="O233" s="26">
        <f>M233 - N233</f>
        <v>0</v>
      </c>
    </row>
    <row r="234" spans="1:15" ht="15.6">
      <c r="A234" s="15">
        <v>42677</v>
      </c>
      <c r="B234" s="17" t="s">
        <v>902</v>
      </c>
      <c r="C234" s="17"/>
      <c r="D234" s="20">
        <v>692</v>
      </c>
      <c r="E234" s="26" t="str">
        <f>VLOOKUP($D:$D,基础资料!$A:B,2,0)</f>
        <v>0007050305</v>
      </c>
      <c r="F234" s="26" t="str">
        <f>VLOOKUP($D:$D,基础资料!$A:C,3,0)</f>
        <v>滚石乐队15CD</v>
      </c>
      <c r="G234" s="26" t="str">
        <f>VLOOKUP($D:$D,基础资料!$A:D,4,0)</f>
        <v>\</v>
      </c>
      <c r="H234" s="26" t="str">
        <f>VLOOKUP($D:$D,基础资料!$A:E,5,0)</f>
        <v>套</v>
      </c>
      <c r="I234" s="26" t="str">
        <f>VLOOKUP($D:$D,基础资料!$A:F,6,0)</f>
        <v>CD成品</v>
      </c>
      <c r="J234" s="14"/>
      <c r="K234" s="14">
        <v>10</v>
      </c>
      <c r="L234" s="14"/>
      <c r="M234" s="26">
        <f>SUMIF($D:$D,D234,$L:$L)+SUMIF($D:$D,D234,$J:$J)-SUMIF($D:$D,D234,$K:$K)</f>
        <v>28</v>
      </c>
      <c r="N234" s="26">
        <f>VLOOKUP(D:D,结存!A:J,10,0)</f>
        <v>28</v>
      </c>
      <c r="O234" s="26">
        <f>M234 - N234</f>
        <v>0</v>
      </c>
    </row>
    <row r="235" spans="1:15" ht="15.6">
      <c r="A235" s="15">
        <v>42676</v>
      </c>
      <c r="B235" s="17" t="s">
        <v>901</v>
      </c>
      <c r="C235" s="17"/>
      <c r="D235" s="20">
        <v>692</v>
      </c>
      <c r="E235" s="26" t="str">
        <f>VLOOKUP($D:$D,基础资料!$A:B,2,0)</f>
        <v>0007050305</v>
      </c>
      <c r="F235" s="26" t="str">
        <f>VLOOKUP($D:$D,基础资料!$A:C,3,0)</f>
        <v>滚石乐队15CD</v>
      </c>
      <c r="G235" s="26" t="str">
        <f>VLOOKUP($D:$D,基础资料!$A:D,4,0)</f>
        <v>\</v>
      </c>
      <c r="H235" s="26" t="str">
        <f>VLOOKUP($D:$D,基础资料!$A:E,5,0)</f>
        <v>套</v>
      </c>
      <c r="I235" s="26" t="str">
        <f>VLOOKUP($D:$D,基础资料!$A:F,6,0)</f>
        <v>CD成品</v>
      </c>
      <c r="J235" s="14">
        <v>23</v>
      </c>
      <c r="K235" s="14"/>
      <c r="L235" s="14"/>
      <c r="M235" s="26">
        <f>SUMIF($D:$D,D235,$L:$L)+SUMIF($D:$D,D235,$J:$J)-SUMIF($D:$D,D235,$K:$K)</f>
        <v>28</v>
      </c>
      <c r="N235" s="26">
        <f>VLOOKUP(D:D,结存!A:J,10,0)</f>
        <v>28</v>
      </c>
      <c r="O235" s="26">
        <f>M235 - N235</f>
        <v>0</v>
      </c>
    </row>
    <row r="236" spans="1:15" ht="15.6">
      <c r="A236" s="15">
        <v>42677</v>
      </c>
      <c r="B236" s="17" t="s">
        <v>903</v>
      </c>
      <c r="C236" s="17"/>
      <c r="D236" s="20">
        <v>639</v>
      </c>
      <c r="E236" s="26" t="str">
        <f>VLOOKUP($D:$D,基础资料!$A:B,2,0)</f>
        <v>0704000004</v>
      </c>
      <c r="F236" s="26" t="str">
        <f>VLOOKUP($D:$D,基础资料!$A:C,3,0)</f>
        <v>S-电器查询</v>
      </c>
      <c r="G236" s="26" t="str">
        <f>VLOOKUP($D:$D,基础资料!$A:D,4,0)</f>
        <v>\</v>
      </c>
      <c r="H236" s="26" t="str">
        <f>VLOOKUP($D:$D,基础资料!$A:E,5,0)</f>
        <v>本</v>
      </c>
      <c r="I236" s="26" t="str">
        <f>VLOOKUP($D:$D,基础资料!$A:F,6,0)</f>
        <v>书本</v>
      </c>
      <c r="J236" s="14"/>
      <c r="K236" s="14">
        <v>20</v>
      </c>
      <c r="L236" s="14"/>
      <c r="M236" s="26">
        <f>SUMIF($D:$D,D236,$L:$L)+SUMIF($D:$D,D236,$J:$J)-SUMIF($D:$D,D236,$K:$K)</f>
        <v>223</v>
      </c>
      <c r="N236" s="26">
        <f>VLOOKUP(D:D,结存!A:J,10,0)</f>
        <v>223</v>
      </c>
      <c r="O236" s="26">
        <f>M236 - N236</f>
        <v>0</v>
      </c>
    </row>
    <row r="237" spans="1:15" ht="15.6">
      <c r="A237" s="15">
        <v>42677</v>
      </c>
      <c r="B237" s="17" t="s">
        <v>903</v>
      </c>
      <c r="C237" s="17"/>
      <c r="D237" s="20">
        <v>636</v>
      </c>
      <c r="E237" s="26" t="str">
        <f>VLOOKUP($D:$D,基础资料!$A:B,2,0)</f>
        <v>0704000001</v>
      </c>
      <c r="F237" s="26" t="str">
        <f>VLOOKUP($D:$D,基础资料!$A:C,3,0)</f>
        <v>S-内识心理学</v>
      </c>
      <c r="G237" s="26" t="str">
        <f>VLOOKUP($D:$D,基础资料!$A:D,4,0)</f>
        <v>\</v>
      </c>
      <c r="H237" s="26" t="str">
        <f>VLOOKUP($D:$D,基础资料!$A:E,5,0)</f>
        <v>本</v>
      </c>
      <c r="I237" s="26" t="str">
        <f>VLOOKUP($D:$D,基础资料!$A:F,6,0)</f>
        <v>书本</v>
      </c>
      <c r="J237" s="14"/>
      <c r="K237" s="14">
        <v>105</v>
      </c>
      <c r="L237" s="14"/>
      <c r="M237" s="26">
        <f>SUMIF($D:$D,D237,$L:$L)+SUMIF($D:$D,D237,$J:$J)-SUMIF($D:$D,D237,$K:$K)</f>
        <v>656</v>
      </c>
      <c r="N237" s="26">
        <f>VLOOKUP(D:D,结存!A:J,10,0)</f>
        <v>656</v>
      </c>
      <c r="O237" s="26">
        <f>M237 - N237</f>
        <v>0</v>
      </c>
    </row>
    <row r="238" spans="1:15" ht="15.6">
      <c r="A238" s="15">
        <v>42677</v>
      </c>
      <c r="B238" s="17" t="s">
        <v>903</v>
      </c>
      <c r="C238" s="17"/>
      <c r="D238" s="20">
        <v>637</v>
      </c>
      <c r="E238" s="26" t="str">
        <f>VLOOKUP($D:$D,基础资料!$A:B,2,0)</f>
        <v>0704000002</v>
      </c>
      <c r="F238" s="26" t="str">
        <f>VLOOKUP($D:$D,基础资料!$A:C,3,0)</f>
        <v>S-项目评价</v>
      </c>
      <c r="G238" s="26" t="str">
        <f>VLOOKUP($D:$D,基础资料!$A:D,4,0)</f>
        <v>\</v>
      </c>
      <c r="H238" s="26" t="str">
        <f>VLOOKUP($D:$D,基础资料!$A:E,5,0)</f>
        <v>本</v>
      </c>
      <c r="I238" s="26" t="str">
        <f>VLOOKUP($D:$D,基础资料!$A:F,6,0)</f>
        <v>书本</v>
      </c>
      <c r="J238" s="14"/>
      <c r="K238" s="14">
        <v>25</v>
      </c>
      <c r="L238" s="14"/>
      <c r="M238" s="26">
        <f>SUMIF($D:$D,D238,$L:$L)+SUMIF($D:$D,D238,$J:$J)-SUMIF($D:$D,D238,$K:$K)</f>
        <v>1877</v>
      </c>
      <c r="N238" s="26">
        <f>VLOOKUP(D:D,结存!A:J,10,0)</f>
        <v>1877</v>
      </c>
      <c r="O238" s="26">
        <f>M238 - N238</f>
        <v>0</v>
      </c>
    </row>
    <row r="239" spans="1:15" ht="15.6">
      <c r="A239" s="15">
        <v>42677</v>
      </c>
      <c r="B239" s="17" t="s">
        <v>903</v>
      </c>
      <c r="C239" s="17"/>
      <c r="D239" s="20">
        <v>668</v>
      </c>
      <c r="E239" s="26" t="str">
        <f>VLOOKUP($D:$D,基础资料!$A:B,2,0)</f>
        <v>07040026</v>
      </c>
      <c r="F239" s="26" t="str">
        <f>VLOOKUP($D:$D,基础资料!$A:C,3,0)</f>
        <v>S-团体咨询</v>
      </c>
      <c r="G239" s="26" t="str">
        <f>VLOOKUP($D:$D,基础资料!$A:D,4,0)</f>
        <v>\</v>
      </c>
      <c r="H239" s="26" t="str">
        <f>VLOOKUP($D:$D,基础资料!$A:E,5,0)</f>
        <v>本</v>
      </c>
      <c r="I239" s="26" t="str">
        <f>VLOOKUP($D:$D,基础资料!$A:F,6,0)</f>
        <v>书本</v>
      </c>
      <c r="J239" s="14"/>
      <c r="K239" s="14">
        <v>5</v>
      </c>
      <c r="L239" s="14"/>
      <c r="M239" s="26">
        <f>SUMIF($D:$D,D239,$L:$L)+SUMIF($D:$D,D239,$J:$J)-SUMIF($D:$D,D239,$K:$K)</f>
        <v>1473</v>
      </c>
      <c r="N239" s="26">
        <f>VLOOKUP(D:D,结存!A:J,10,0)</f>
        <v>1473</v>
      </c>
      <c r="O239" s="26">
        <f>M239 - N239</f>
        <v>0</v>
      </c>
    </row>
    <row r="240" spans="1:15" ht="15.6">
      <c r="A240" s="15">
        <v>42677</v>
      </c>
      <c r="B240" s="17" t="s">
        <v>903</v>
      </c>
      <c r="C240" s="17"/>
      <c r="D240" s="20">
        <v>641</v>
      </c>
      <c r="E240" s="26" t="str">
        <f>VLOOKUP($D:$D,基础资料!$A:B,2,0)</f>
        <v>0704000036</v>
      </c>
      <c r="F240" s="26" t="str">
        <f>VLOOKUP($D:$D,基础资料!$A:C,3,0)</f>
        <v>S-我们的人民</v>
      </c>
      <c r="G240" s="26" t="str">
        <f>VLOOKUP($D:$D,基础资料!$A:D,4,0)</f>
        <v>\</v>
      </c>
      <c r="H240" s="26" t="str">
        <f>VLOOKUP($D:$D,基础资料!$A:E,5,0)</f>
        <v>本</v>
      </c>
      <c r="I240" s="26" t="str">
        <f>VLOOKUP($D:$D,基础资料!$A:F,6,0)</f>
        <v>书本</v>
      </c>
      <c r="J240" s="14"/>
      <c r="K240" s="14">
        <v>5</v>
      </c>
      <c r="L240" s="14"/>
      <c r="M240" s="26">
        <f>SUMIF($D:$D,D240,$L:$L)+SUMIF($D:$D,D240,$J:$J)-SUMIF($D:$D,D240,$K:$K)</f>
        <v>2685</v>
      </c>
      <c r="N240" s="26">
        <f>VLOOKUP(D:D,结存!A:J,10,0)</f>
        <v>2685</v>
      </c>
      <c r="O240" s="26">
        <f>M240 - N240</f>
        <v>0</v>
      </c>
    </row>
    <row r="241" spans="1:15" ht="15.6">
      <c r="A241" s="15">
        <v>42677</v>
      </c>
      <c r="B241" s="17" t="s">
        <v>903</v>
      </c>
      <c r="C241" s="17"/>
      <c r="D241" s="20">
        <v>648</v>
      </c>
      <c r="E241" s="26" t="str">
        <f>VLOOKUP($D:$D,基础资料!$A:B,2,0)</f>
        <v>07040006</v>
      </c>
      <c r="F241" s="26" t="str">
        <f>VLOOKUP($D:$D,基础资料!$A:C,3,0)</f>
        <v>S-大众传媒法</v>
      </c>
      <c r="G241" s="26" t="str">
        <f>VLOOKUP($D:$D,基础资料!$A:D,4,0)</f>
        <v>\</v>
      </c>
      <c r="H241" s="26" t="str">
        <f>VLOOKUP($D:$D,基础资料!$A:E,5,0)</f>
        <v>本</v>
      </c>
      <c r="I241" s="26" t="str">
        <f>VLOOKUP($D:$D,基础资料!$A:F,6,0)</f>
        <v>书本</v>
      </c>
      <c r="J241" s="14"/>
      <c r="K241" s="14">
        <v>15</v>
      </c>
      <c r="L241" s="14"/>
      <c r="M241" s="26">
        <f>SUMIF($D:$D,D241,$L:$L)+SUMIF($D:$D,D241,$J:$J)-SUMIF($D:$D,D241,$K:$K)</f>
        <v>19</v>
      </c>
      <c r="N241" s="26">
        <f>VLOOKUP(D:D,结存!A:J,10,0)</f>
        <v>19</v>
      </c>
      <c r="O241" s="26">
        <f>M241 - N241</f>
        <v>0</v>
      </c>
    </row>
    <row r="242" spans="1:15" ht="15.6">
      <c r="A242" s="15">
        <v>42677</v>
      </c>
      <c r="B242" s="17" t="s">
        <v>903</v>
      </c>
      <c r="C242" s="17"/>
      <c r="D242" s="20">
        <v>650</v>
      </c>
      <c r="E242" s="26" t="str">
        <f>VLOOKUP($D:$D,基础资料!$A:B,2,0)</f>
        <v>07040008</v>
      </c>
      <c r="F242" s="26" t="str">
        <f>VLOOKUP($D:$D,基础资料!$A:C,3,0)</f>
        <v>S-谈判精要</v>
      </c>
      <c r="G242" s="26" t="str">
        <f>VLOOKUP($D:$D,基础资料!$A:D,4,0)</f>
        <v>\</v>
      </c>
      <c r="H242" s="26" t="str">
        <f>VLOOKUP($D:$D,基础资料!$A:E,5,0)</f>
        <v>本</v>
      </c>
      <c r="I242" s="26" t="str">
        <f>VLOOKUP($D:$D,基础资料!$A:F,6,0)</f>
        <v>书本</v>
      </c>
      <c r="J242" s="14"/>
      <c r="K242" s="14">
        <v>100</v>
      </c>
      <c r="L242" s="14"/>
      <c r="M242" s="26">
        <f>SUMIF($D:$D,D242,$L:$L)+SUMIF($D:$D,D242,$J:$J)-SUMIF($D:$D,D242,$K:$K)</f>
        <v>538</v>
      </c>
      <c r="N242" s="26">
        <f>VLOOKUP(D:D,结存!A:J,10,0)</f>
        <v>538</v>
      </c>
      <c r="O242" s="26">
        <f>M242 - N242</f>
        <v>0</v>
      </c>
    </row>
    <row r="243" spans="1:15" ht="15.6">
      <c r="A243" s="15">
        <v>42677</v>
      </c>
      <c r="B243" s="17" t="s">
        <v>904</v>
      </c>
      <c r="C243" s="17"/>
      <c r="D243" s="20">
        <v>692</v>
      </c>
      <c r="E243" s="26" t="str">
        <f>VLOOKUP($D:$D,基础资料!$A:B,2,0)</f>
        <v>0007050305</v>
      </c>
      <c r="F243" s="26" t="str">
        <f>VLOOKUP($D:$D,基础资料!$A:C,3,0)</f>
        <v>滚石乐队15CD</v>
      </c>
      <c r="G243" s="26" t="str">
        <f>VLOOKUP($D:$D,基础资料!$A:D,4,0)</f>
        <v>\</v>
      </c>
      <c r="H243" s="26" t="str">
        <f>VLOOKUP($D:$D,基础资料!$A:E,5,0)</f>
        <v>套</v>
      </c>
      <c r="I243" s="26" t="str">
        <f>VLOOKUP($D:$D,基础资料!$A:F,6,0)</f>
        <v>CD成品</v>
      </c>
      <c r="J243" s="14">
        <v>48</v>
      </c>
      <c r="K243" s="14"/>
      <c r="L243" s="14"/>
      <c r="M243" s="26">
        <f>SUMIF($D:$D,D243,$L:$L)+SUMIF($D:$D,D243,$J:$J)-SUMIF($D:$D,D243,$K:$K)</f>
        <v>28</v>
      </c>
      <c r="N243" s="26">
        <f>VLOOKUP(D:D,结存!A:J,10,0)</f>
        <v>28</v>
      </c>
      <c r="O243" s="26">
        <f>M243 - N243</f>
        <v>0</v>
      </c>
    </row>
    <row r="244" spans="1:15" ht="15.6">
      <c r="A244" s="15">
        <v>42677</v>
      </c>
      <c r="B244" s="17" t="s">
        <v>905</v>
      </c>
      <c r="C244" s="17"/>
      <c r="D244" s="20">
        <v>692</v>
      </c>
      <c r="E244" s="26" t="str">
        <f>VLOOKUP($D:$D,基础资料!$A:B,2,0)</f>
        <v>0007050305</v>
      </c>
      <c r="F244" s="26" t="str">
        <f>VLOOKUP($D:$D,基础资料!$A:C,3,0)</f>
        <v>滚石乐队15CD</v>
      </c>
      <c r="G244" s="26" t="str">
        <f>VLOOKUP($D:$D,基础资料!$A:D,4,0)</f>
        <v>\</v>
      </c>
      <c r="H244" s="26" t="str">
        <f>VLOOKUP($D:$D,基础资料!$A:E,5,0)</f>
        <v>套</v>
      </c>
      <c r="I244" s="26" t="str">
        <f>VLOOKUP($D:$D,基础资料!$A:F,6,0)</f>
        <v>CD成品</v>
      </c>
      <c r="J244" s="14"/>
      <c r="K244" s="14">
        <v>6</v>
      </c>
      <c r="L244" s="14"/>
      <c r="M244" s="26">
        <f>SUMIF($D:$D,D244,$L:$L)+SUMIF($D:$D,D244,$J:$J)-SUMIF($D:$D,D244,$K:$K)</f>
        <v>28</v>
      </c>
      <c r="N244" s="26">
        <f>VLOOKUP(D:D,结存!A:J,10,0)</f>
        <v>28</v>
      </c>
      <c r="O244" s="26">
        <f>M244 - N244</f>
        <v>0</v>
      </c>
    </row>
    <row r="245" spans="1:15" ht="15.6">
      <c r="A245" s="15">
        <v>42677</v>
      </c>
      <c r="B245" s="17" t="s">
        <v>905</v>
      </c>
      <c r="C245" s="17"/>
      <c r="D245" s="20">
        <v>573</v>
      </c>
      <c r="E245" s="26" t="str">
        <f>VLOOKUP($D:$D,基础资料!$A:B,2,0)</f>
        <v>07020005</v>
      </c>
      <c r="F245" s="26" t="str">
        <f>VLOOKUP($D:$D,基础资料!$A:C,3,0)</f>
        <v>蓝影-猫王:是这样的:特别版  1BD+1DVD</v>
      </c>
      <c r="G245" s="26" t="str">
        <f>VLOOKUP($D:$D,基础资料!$A:D,4,0)</f>
        <v>2</v>
      </c>
      <c r="H245" s="26" t="str">
        <f>VLOOKUP($D:$D,基础资料!$A:E,5,0)</f>
        <v>套</v>
      </c>
      <c r="I245" s="26" t="str">
        <f>VLOOKUP($D:$D,基础资料!$A:F,6,0)</f>
        <v>蓝光电影</v>
      </c>
      <c r="J245" s="14"/>
      <c r="K245" s="14">
        <v>15</v>
      </c>
      <c r="L245" s="14"/>
      <c r="M245" s="26">
        <f>SUMIF($D:$D,D245,$L:$L)+SUMIF($D:$D,D245,$J:$J)-SUMIF($D:$D,D245,$K:$K)</f>
        <v>69</v>
      </c>
      <c r="N245" s="26">
        <f>VLOOKUP(D:D,结存!A:J,10,0)</f>
        <v>69</v>
      </c>
      <c r="O245" s="26">
        <f>M245 - N245</f>
        <v>0</v>
      </c>
    </row>
    <row r="246" spans="1:15" ht="15.6">
      <c r="A246" s="15">
        <v>42677</v>
      </c>
      <c r="B246" s="17" t="s">
        <v>906</v>
      </c>
      <c r="C246" s="17"/>
      <c r="D246" s="20">
        <v>532</v>
      </c>
      <c r="E246" s="26" t="str">
        <f>VLOOKUP($D:$D,基础资料!$A:B,2,0)</f>
        <v>07010005</v>
      </c>
      <c r="F246" s="26" t="str">
        <f>VLOOKUP($D:$D,基础资料!$A:C,3,0)</f>
        <v>蓝剧-我是僵尸第2季  4BD</v>
      </c>
      <c r="G246" s="26" t="str">
        <f>VLOOKUP($D:$D,基础资料!$A:D,4,0)</f>
        <v>4</v>
      </c>
      <c r="H246" s="26" t="str">
        <f>VLOOKUP($D:$D,基础资料!$A:E,5,0)</f>
        <v>套</v>
      </c>
      <c r="I246" s="26" t="str">
        <f>VLOOKUP($D:$D,基础资料!$A:F,6,0)</f>
        <v>蓝光电视剧</v>
      </c>
      <c r="J246" s="14"/>
      <c r="K246" s="14">
        <v>1</v>
      </c>
      <c r="L246" s="14"/>
      <c r="M246" s="26">
        <f>SUMIF($D:$D,D246,$L:$L)+SUMIF($D:$D,D246,$J:$J)-SUMIF($D:$D,D246,$K:$K)</f>
        <v>55</v>
      </c>
      <c r="N246" s="26">
        <f>VLOOKUP(D:D,结存!A:J,10,0)</f>
        <v>55</v>
      </c>
      <c r="O246" s="26">
        <f>M246 - N246</f>
        <v>0</v>
      </c>
    </row>
    <row r="247" spans="1:15" ht="15.6">
      <c r="A247" s="15">
        <v>42677</v>
      </c>
      <c r="B247" s="17" t="s">
        <v>906</v>
      </c>
      <c r="C247" s="17"/>
      <c r="D247" s="20">
        <v>526</v>
      </c>
      <c r="E247" s="26" t="str">
        <f>VLOOKUP($D:$D,基础资料!$A:B,2,0)</f>
        <v>07010001</v>
      </c>
      <c r="F247" s="26" t="str">
        <f>VLOOKUP($D:$D,基础资料!$A:C,3,0)</f>
        <v>蓝剧-地球百子第3季 4BD</v>
      </c>
      <c r="G247" s="26" t="str">
        <f>VLOOKUP($D:$D,基础资料!$A:D,4,0)</f>
        <v>4</v>
      </c>
      <c r="H247" s="26" t="str">
        <f>VLOOKUP($D:$D,基础资料!$A:E,5,0)</f>
        <v>套</v>
      </c>
      <c r="I247" s="26" t="str">
        <f>VLOOKUP($D:$D,基础资料!$A:F,6,0)</f>
        <v>蓝光电视剧</v>
      </c>
      <c r="J247" s="14"/>
      <c r="K247" s="14">
        <v>1</v>
      </c>
      <c r="L247" s="14"/>
      <c r="M247" s="26">
        <f>SUMIF($D:$D,D247,$L:$L)+SUMIF($D:$D,D247,$J:$J)-SUMIF($D:$D,D247,$K:$K)</f>
        <v>19</v>
      </c>
      <c r="N247" s="26">
        <f>VLOOKUP(D:D,结存!A:J,10,0)</f>
        <v>19</v>
      </c>
      <c r="O247" s="26">
        <f>M247 - N247</f>
        <v>0</v>
      </c>
    </row>
    <row r="248" spans="1:15" ht="15.6">
      <c r="A248" s="15">
        <v>42677</v>
      </c>
      <c r="B248" s="17" t="s">
        <v>906</v>
      </c>
      <c r="C248" s="17"/>
      <c r="D248" s="20">
        <v>693</v>
      </c>
      <c r="E248" s="26" t="str">
        <f>VLOOKUP($D:$D,基础资料!$A:B,2,0)</f>
        <v>0702000350</v>
      </c>
      <c r="F248" s="26" t="str">
        <f>VLOOKUP($D:$D,基础资料!$A:C,3,0)</f>
        <v>星际迷航3：超越星辰</v>
      </c>
      <c r="G248" s="26" t="str">
        <f>VLOOKUP($D:$D,基础资料!$A:D,4,0)</f>
        <v>\</v>
      </c>
      <c r="H248" s="26" t="str">
        <f>VLOOKUP($D:$D,基础资料!$A:E,5,0)</f>
        <v>套</v>
      </c>
      <c r="I248" s="26" t="str">
        <f>VLOOKUP($D:$D,基础资料!$A:F,6,0)</f>
        <v>蓝光电影</v>
      </c>
      <c r="J248" s="14"/>
      <c r="K248" s="14">
        <v>1</v>
      </c>
      <c r="L248" s="14"/>
      <c r="M248" s="26">
        <f>SUMIF($D:$D,D248,$L:$L)+SUMIF($D:$D,D248,$J:$J)-SUMIF($D:$D,D248,$K:$K)</f>
        <v>17</v>
      </c>
      <c r="N248" s="26">
        <f>VLOOKUP(D:D,结存!A:J,10,0)</f>
        <v>17</v>
      </c>
      <c r="O248" s="26">
        <f>M248 - N248</f>
        <v>0</v>
      </c>
    </row>
    <row r="249" spans="1:15" ht="15.6">
      <c r="A249" s="15">
        <v>42677</v>
      </c>
      <c r="B249" s="17" t="s">
        <v>906</v>
      </c>
      <c r="C249" s="17"/>
      <c r="D249" s="20">
        <v>568</v>
      </c>
      <c r="E249" s="26" t="str">
        <f>VLOOKUP($D:$D,基础资料!$A:B,2,0)</f>
        <v>0702000032</v>
      </c>
      <c r="F249" s="26" t="str">
        <f>VLOOKUP($D:$D,基础资料!$A:C,3,0)</f>
        <v>蓝影年轻气盛1BD</v>
      </c>
      <c r="G249" s="26" t="str">
        <f>VLOOKUP($D:$D,基础资料!$A:D,4,0)</f>
        <v>1</v>
      </c>
      <c r="H249" s="26" t="str">
        <f>VLOOKUP($D:$D,基础资料!$A:E,5,0)</f>
        <v>套</v>
      </c>
      <c r="I249" s="26" t="str">
        <f>VLOOKUP($D:$D,基础资料!$A:F,6,0)</f>
        <v>蓝光电影</v>
      </c>
      <c r="J249" s="14"/>
      <c r="K249" s="14">
        <v>1</v>
      </c>
      <c r="L249" s="14"/>
      <c r="M249" s="26">
        <f>SUMIF($D:$D,D249,$L:$L)+SUMIF($D:$D,D249,$J:$J)-SUMIF($D:$D,D249,$K:$K)</f>
        <v>95</v>
      </c>
      <c r="N249" s="26">
        <f>VLOOKUP(D:D,结存!A:J,10,0)</f>
        <v>95</v>
      </c>
      <c r="O249" s="26">
        <f>M249 - N249</f>
        <v>0</v>
      </c>
    </row>
    <row r="250" spans="1:15" ht="15.6">
      <c r="A250" s="15">
        <v>42677</v>
      </c>
      <c r="B250" s="17" t="s">
        <v>906</v>
      </c>
      <c r="C250" s="17"/>
      <c r="D250" s="20">
        <v>690</v>
      </c>
      <c r="E250" s="26" t="str">
        <f>VLOOKUP($D:$D,基础资料!$A:B,2,0)</f>
        <v>0703000344</v>
      </c>
      <c r="F250" s="26" t="str">
        <f>VLOOKUP($D:$D,基础资料!$A:C,3,0)</f>
        <v>瑞奇与叮当</v>
      </c>
      <c r="G250" s="26" t="str">
        <f>VLOOKUP($D:$D,基础资料!$A:D,4,0)</f>
        <v>\</v>
      </c>
      <c r="H250" s="26" t="str">
        <f>VLOOKUP($D:$D,基础资料!$A:E,5,0)</f>
        <v>套</v>
      </c>
      <c r="I250" s="26" t="str">
        <f>VLOOKUP($D:$D,基础资料!$A:F,6,0)</f>
        <v>蓝光卡通</v>
      </c>
      <c r="J250" s="14"/>
      <c r="K250" s="14">
        <v>1</v>
      </c>
      <c r="L250" s="14"/>
      <c r="M250" s="26">
        <f>SUMIF($D:$D,D250,$L:$L)+SUMIF($D:$D,D250,$J:$J)-SUMIF($D:$D,D250,$K:$K)</f>
        <v>96</v>
      </c>
      <c r="N250" s="26">
        <f>VLOOKUP(D:D,结存!A:J,10,0)</f>
        <v>96</v>
      </c>
      <c r="O250" s="26">
        <f>M250 - N250</f>
        <v>0</v>
      </c>
    </row>
    <row r="251" spans="1:15" ht="15.6">
      <c r="A251" s="15">
        <v>42677</v>
      </c>
      <c r="B251" s="17" t="s">
        <v>906</v>
      </c>
      <c r="C251" s="17"/>
      <c r="D251" s="20">
        <v>633</v>
      </c>
      <c r="E251" s="26" t="str">
        <f>VLOOKUP($D:$D,基础资料!$A:B,2,0)</f>
        <v>07030009</v>
      </c>
      <c r="F251" s="26" t="str">
        <f>VLOOKUP($D:$D,基础资料!$A:C,3,0)</f>
        <v>蓝卡-星际牛仔  4BD</v>
      </c>
      <c r="G251" s="26" t="str">
        <f>VLOOKUP($D:$D,基础资料!$A:D,4,0)</f>
        <v>4</v>
      </c>
      <c r="H251" s="26" t="str">
        <f>VLOOKUP($D:$D,基础资料!$A:E,5,0)</f>
        <v>套</v>
      </c>
      <c r="I251" s="26" t="str">
        <f>VLOOKUP($D:$D,基础资料!$A:F,6,0)</f>
        <v>蓝光卡通</v>
      </c>
      <c r="J251" s="14"/>
      <c r="K251" s="14">
        <v>1</v>
      </c>
      <c r="L251" s="14"/>
      <c r="M251" s="26">
        <f>SUMIF($D:$D,D251,$L:$L)+SUMIF($D:$D,D251,$J:$J)-SUMIF($D:$D,D251,$K:$K)</f>
        <v>9</v>
      </c>
      <c r="N251" s="26">
        <f>VLOOKUP(D:D,结存!A:J,10,0)</f>
        <v>9</v>
      </c>
      <c r="O251" s="26">
        <f>M251 - N251</f>
        <v>0</v>
      </c>
    </row>
    <row r="252" spans="1:15" ht="15.6">
      <c r="A252" s="15">
        <v>42677</v>
      </c>
      <c r="B252" s="17" t="s">
        <v>907</v>
      </c>
      <c r="C252" s="17"/>
      <c r="D252" s="20">
        <v>658</v>
      </c>
      <c r="E252" s="26" t="str">
        <f>VLOOKUP($D:$D,基础资料!$A:B,2,0)</f>
        <v>07040016</v>
      </c>
      <c r="F252" s="26" t="str">
        <f>VLOOKUP($D:$D,基础资料!$A:C,3,0)</f>
        <v>S-四十项心理学的研究 821</v>
      </c>
      <c r="G252" s="26" t="str">
        <f>VLOOKUP($D:$D,基础资料!$A:D,4,0)</f>
        <v>\</v>
      </c>
      <c r="H252" s="26" t="str">
        <f>VLOOKUP($D:$D,基础资料!$A:E,5,0)</f>
        <v>本</v>
      </c>
      <c r="I252" s="26" t="str">
        <f>VLOOKUP($D:$D,基础资料!$A:F,6,0)</f>
        <v>书本</v>
      </c>
      <c r="J252" s="14"/>
      <c r="K252" s="14">
        <v>250</v>
      </c>
      <c r="L252" s="14"/>
      <c r="M252" s="26">
        <f>SUMIF($D:$D,D252,$L:$L)+SUMIF($D:$D,D252,$J:$J)-SUMIF($D:$D,D252,$K:$K)</f>
        <v>1</v>
      </c>
      <c r="N252" s="26">
        <f>VLOOKUP(D:D,结存!A:J,10,0)</f>
        <v>1</v>
      </c>
      <c r="O252" s="26">
        <f>M252 - N252</f>
        <v>0</v>
      </c>
    </row>
    <row r="253" spans="1:15" ht="15.6">
      <c r="A253" s="15">
        <v>42677</v>
      </c>
      <c r="B253" s="17" t="s">
        <v>908</v>
      </c>
      <c r="C253" s="17"/>
      <c r="D253" s="20">
        <v>529</v>
      </c>
      <c r="E253" s="26" t="str">
        <f>VLOOKUP($D:$D,基础资料!$A:B,2,0)</f>
        <v>0701000235</v>
      </c>
      <c r="F253" s="26" t="str">
        <f>VLOOKUP($D:$D,基础资料!$A:C,3,0)</f>
        <v>蓝剧传教士 第一季3BD</v>
      </c>
      <c r="G253" s="26" t="str">
        <f>VLOOKUP($D:$D,基础资料!$A:D,4,0)</f>
        <v>3</v>
      </c>
      <c r="H253" s="26" t="str">
        <f>VLOOKUP($D:$D,基础资料!$A:E,5,0)</f>
        <v>套</v>
      </c>
      <c r="I253" s="26" t="str">
        <f>VLOOKUP($D:$D,基础资料!$A:F,6,0)</f>
        <v>蓝光电视剧</v>
      </c>
      <c r="J253" s="14">
        <v>90</v>
      </c>
      <c r="K253" s="14"/>
      <c r="L253" s="14"/>
      <c r="M253" s="26">
        <f>SUMIF($D:$D,D253,$L:$L)+SUMIF($D:$D,D253,$J:$J)-SUMIF($D:$D,D253,$K:$K)</f>
        <v>90</v>
      </c>
      <c r="N253" s="26">
        <f>VLOOKUP(D:D,结存!A:J,10,0)</f>
        <v>90</v>
      </c>
      <c r="O253" s="26">
        <f>M253 - N253</f>
        <v>0</v>
      </c>
    </row>
    <row r="254" spans="1:15" ht="15.6">
      <c r="A254" s="15">
        <v>42677</v>
      </c>
      <c r="B254" s="17" t="s">
        <v>909</v>
      </c>
      <c r="C254" s="17"/>
      <c r="D254" s="20">
        <v>693</v>
      </c>
      <c r="E254" s="26" t="str">
        <f>VLOOKUP($D:$D,基础资料!$A:B,2,0)</f>
        <v>0702000350</v>
      </c>
      <c r="F254" s="26" t="str">
        <f>VLOOKUP($D:$D,基础资料!$A:C,3,0)</f>
        <v>星际迷航3：超越星辰</v>
      </c>
      <c r="G254" s="26" t="str">
        <f>VLOOKUP($D:$D,基础资料!$A:D,4,0)</f>
        <v>\</v>
      </c>
      <c r="H254" s="26" t="str">
        <f>VLOOKUP($D:$D,基础资料!$A:E,5,0)</f>
        <v>套</v>
      </c>
      <c r="I254" s="26" t="str">
        <f>VLOOKUP($D:$D,基础资料!$A:F,6,0)</f>
        <v>蓝光电影</v>
      </c>
      <c r="J254" s="14">
        <v>68</v>
      </c>
      <c r="K254" s="14"/>
      <c r="L254" s="14"/>
      <c r="M254" s="26">
        <f>SUMIF($D:$D,D254,$L:$L)+SUMIF($D:$D,D254,$J:$J)-SUMIF($D:$D,D254,$K:$K)</f>
        <v>17</v>
      </c>
      <c r="N254" s="26">
        <f>VLOOKUP(D:D,结存!A:J,10,0)</f>
        <v>17</v>
      </c>
      <c r="O254" s="26">
        <f>M254 - N254</f>
        <v>0</v>
      </c>
    </row>
    <row r="255" spans="1:15" ht="15.6">
      <c r="A255" s="15">
        <v>42677</v>
      </c>
      <c r="B255" s="17" t="s">
        <v>909</v>
      </c>
      <c r="C255" s="17"/>
      <c r="D255" s="20">
        <v>621</v>
      </c>
      <c r="E255" s="26" t="str">
        <f>VLOOKUP($D:$D,基础资料!$A:B,2,0)</f>
        <v>0703000024</v>
      </c>
      <c r="F255" s="26" t="str">
        <f>VLOOKUP($D:$D,基础资料!$A:C,3,0)</f>
        <v>蓝卡愤怒的小鸟1BD+1DVD</v>
      </c>
      <c r="G255" s="26" t="str">
        <f>VLOOKUP($D:$D,基础资料!$A:D,4,0)</f>
        <v>1BD+1DVD</v>
      </c>
      <c r="H255" s="26" t="str">
        <f>VLOOKUP($D:$D,基础资料!$A:E,5,0)</f>
        <v>套</v>
      </c>
      <c r="I255" s="26" t="str">
        <f>VLOOKUP($D:$D,基础资料!$A:F,6,0)</f>
        <v>蓝光卡通</v>
      </c>
      <c r="J255" s="14">
        <v>10</v>
      </c>
      <c r="K255" s="14"/>
      <c r="L255" s="14"/>
      <c r="M255" s="26">
        <f>SUMIF($D:$D,D255,$L:$L)+SUMIF($D:$D,D255,$J:$J)-SUMIF($D:$D,D255,$K:$K)</f>
        <v>485</v>
      </c>
      <c r="N255" s="26">
        <f>VLOOKUP(D:D,结存!A:J,10,0)</f>
        <v>485</v>
      </c>
      <c r="O255" s="26">
        <f>M255 - N255</f>
        <v>0</v>
      </c>
    </row>
    <row r="256" spans="1:15" ht="15.6">
      <c r="A256" s="15">
        <v>42677</v>
      </c>
      <c r="B256" s="17" t="s">
        <v>910</v>
      </c>
      <c r="C256" s="17"/>
      <c r="D256" s="20">
        <v>692</v>
      </c>
      <c r="E256" s="26" t="str">
        <f>VLOOKUP($D:$D,基础资料!$A:B,2,0)</f>
        <v>0007050305</v>
      </c>
      <c r="F256" s="26" t="str">
        <f>VLOOKUP($D:$D,基础资料!$A:C,3,0)</f>
        <v>滚石乐队15CD</v>
      </c>
      <c r="G256" s="26" t="str">
        <f>VLOOKUP($D:$D,基础资料!$A:D,4,0)</f>
        <v>\</v>
      </c>
      <c r="H256" s="26" t="str">
        <f>VLOOKUP($D:$D,基础资料!$A:E,5,0)</f>
        <v>套</v>
      </c>
      <c r="I256" s="26" t="str">
        <f>VLOOKUP($D:$D,基础资料!$A:F,6,0)</f>
        <v>CD成品</v>
      </c>
      <c r="J256" s="14"/>
      <c r="K256" s="14">
        <v>4</v>
      </c>
      <c r="L256" s="14"/>
      <c r="M256" s="26">
        <f>SUMIF($D:$D,D256,$L:$L)+SUMIF($D:$D,D256,$J:$J)-SUMIF($D:$D,D256,$K:$K)</f>
        <v>28</v>
      </c>
      <c r="N256" s="26">
        <f>VLOOKUP(D:D,结存!A:J,10,0)</f>
        <v>28</v>
      </c>
      <c r="O256" s="26">
        <f>M256 - N256</f>
        <v>0</v>
      </c>
    </row>
    <row r="257" spans="1:15" ht="15.6">
      <c r="A257" s="15">
        <v>42678</v>
      </c>
      <c r="B257" s="17" t="s">
        <v>911</v>
      </c>
      <c r="C257" s="17"/>
      <c r="D257" s="20">
        <v>692</v>
      </c>
      <c r="E257" s="26" t="str">
        <f>VLOOKUP($D:$D,基础资料!$A:B,2,0)</f>
        <v>0007050305</v>
      </c>
      <c r="F257" s="26" t="str">
        <f>VLOOKUP($D:$D,基础资料!$A:C,3,0)</f>
        <v>滚石乐队15CD</v>
      </c>
      <c r="G257" s="26" t="str">
        <f>VLOOKUP($D:$D,基础资料!$A:D,4,0)</f>
        <v>\</v>
      </c>
      <c r="H257" s="26" t="str">
        <f>VLOOKUP($D:$D,基础资料!$A:E,5,0)</f>
        <v>套</v>
      </c>
      <c r="I257" s="26" t="str">
        <f>VLOOKUP($D:$D,基础资料!$A:F,6,0)</f>
        <v>CD成品</v>
      </c>
      <c r="J257" s="14"/>
      <c r="K257" s="14">
        <v>5</v>
      </c>
      <c r="L257" s="14"/>
      <c r="M257" s="26">
        <f>SUMIF($D:$D,D257,$L:$L)+SUMIF($D:$D,D257,$J:$J)-SUMIF($D:$D,D257,$K:$K)</f>
        <v>28</v>
      </c>
      <c r="N257" s="26">
        <f>VLOOKUP(D:D,结存!A:J,10,0)</f>
        <v>28</v>
      </c>
      <c r="O257" s="26">
        <f>M257 - N257</f>
        <v>0</v>
      </c>
    </row>
    <row r="258" spans="1:15" ht="15.6">
      <c r="A258" s="15">
        <v>42678</v>
      </c>
      <c r="B258" s="17" t="s">
        <v>912</v>
      </c>
      <c r="C258" s="17"/>
      <c r="D258" s="20">
        <v>22</v>
      </c>
      <c r="E258" s="26" t="str">
        <f>VLOOKUP($D:$D,基础资料!$A:B,2,0)</f>
        <v>0007050246</v>
      </c>
      <c r="F258" s="26" t="str">
        <f>VLOOKUP($D:$D,基础资料!$A:C,3,0)</f>
        <v>猫王这是它的方式（旧版)2CD</v>
      </c>
      <c r="G258" s="26" t="str">
        <f>VLOOKUP($D:$D,基础资料!$A:D,4,0)</f>
        <v>\</v>
      </c>
      <c r="H258" s="26" t="str">
        <f>VLOOKUP($D:$D,基础资料!$A:E,5,0)</f>
        <v>套</v>
      </c>
      <c r="I258" s="26" t="str">
        <f>VLOOKUP($D:$D,基础资料!$A:F,6,0)</f>
        <v>CD成品</v>
      </c>
      <c r="J258" s="14"/>
      <c r="K258" s="14">
        <v>4</v>
      </c>
      <c r="L258" s="14"/>
      <c r="M258" s="26">
        <f>SUMIF($D:$D,D258,$L:$L)+SUMIF($D:$D,D258,$J:$J)-SUMIF($D:$D,D258,$K:$K)</f>
        <v>11</v>
      </c>
      <c r="N258" s="26">
        <f>VLOOKUP(D:D,结存!A:J,10,0)</f>
        <v>11</v>
      </c>
      <c r="O258" s="26">
        <f>M258 - N258</f>
        <v>0</v>
      </c>
    </row>
    <row r="259" spans="1:15" ht="15.6">
      <c r="A259" s="15">
        <v>42678</v>
      </c>
      <c r="B259" s="17" t="s">
        <v>912</v>
      </c>
      <c r="C259" s="17"/>
      <c r="D259" s="20">
        <v>694</v>
      </c>
      <c r="E259" s="26" t="str">
        <f>VLOOKUP($D:$D,基础资料!$A:B,2,0)</f>
        <v>0701000355</v>
      </c>
      <c r="F259" s="26" t="str">
        <f>VLOOKUP($D:$D,基础资料!$A:C,3,0)</f>
        <v>贝茨旅馆第四季2BD</v>
      </c>
      <c r="G259" s="26" t="str">
        <f>VLOOKUP($D:$D,基础资料!$A:D,4,0)</f>
        <v>\</v>
      </c>
      <c r="H259" s="26" t="str">
        <f>VLOOKUP($D:$D,基础资料!$A:E,5,0)</f>
        <v>本</v>
      </c>
      <c r="I259" s="26" t="str">
        <f>VLOOKUP($D:$D,基础资料!$A:F,6,0)</f>
        <v>蓝光电影</v>
      </c>
      <c r="J259" s="14"/>
      <c r="K259" s="14">
        <v>10</v>
      </c>
      <c r="L259" s="14"/>
      <c r="M259" s="26">
        <f>SUMIF($D:$D,D259,$L:$L)+SUMIF($D:$D,D259,$J:$J)-SUMIF($D:$D,D259,$K:$K)</f>
        <v>0</v>
      </c>
      <c r="N259" s="26">
        <f>VLOOKUP(D:D,结存!A:J,10,0)</f>
        <v>0</v>
      </c>
      <c r="O259" s="26">
        <f>M259 - N259</f>
        <v>0</v>
      </c>
    </row>
    <row r="260" spans="1:15" ht="15.6">
      <c r="A260" s="15">
        <v>42678</v>
      </c>
      <c r="B260" s="17" t="s">
        <v>912</v>
      </c>
      <c r="C260" s="17"/>
      <c r="D260" s="20">
        <v>584</v>
      </c>
      <c r="E260" s="26" t="str">
        <f>VLOOKUP($D:$D,基础资料!$A:B,2,0)</f>
        <v>07020016</v>
      </c>
      <c r="F260" s="26" t="str">
        <f>VLOOKUP($D:$D,基础资料!$A:C,3,0)</f>
        <v>蓝影-X战警：金刚狼  6BD</v>
      </c>
      <c r="G260" s="26" t="str">
        <f>VLOOKUP($D:$D,基础资料!$A:D,4,0)</f>
        <v>6</v>
      </c>
      <c r="H260" s="26" t="str">
        <f>VLOOKUP($D:$D,基础资料!$A:E,5,0)</f>
        <v>套</v>
      </c>
      <c r="I260" s="26" t="str">
        <f>VLOOKUP($D:$D,基础资料!$A:F,6,0)</f>
        <v>蓝光电影</v>
      </c>
      <c r="J260" s="14"/>
      <c r="K260" s="14">
        <v>10</v>
      </c>
      <c r="L260" s="14"/>
      <c r="M260" s="26">
        <f>SUMIF($D:$D,D260,$L:$L)+SUMIF($D:$D,D260,$J:$J)-SUMIF($D:$D,D260,$K:$K)</f>
        <v>0</v>
      </c>
      <c r="N260" s="26">
        <f>VLOOKUP(D:D,结存!A:J,10,0)</f>
        <v>0</v>
      </c>
      <c r="O260" s="26">
        <f>M260 - N260</f>
        <v>0</v>
      </c>
    </row>
    <row r="261" spans="1:15" ht="15.6">
      <c r="A261" s="15">
        <v>42678</v>
      </c>
      <c r="B261" s="17" t="s">
        <v>914</v>
      </c>
      <c r="C261" s="17"/>
      <c r="D261" s="20">
        <v>22</v>
      </c>
      <c r="E261" s="26" t="str">
        <f>VLOOKUP($D:$D,基础资料!$A:B,2,0)</f>
        <v>0007050246</v>
      </c>
      <c r="F261" s="26" t="str">
        <f>VLOOKUP($D:$D,基础资料!$A:C,3,0)</f>
        <v>猫王这是它的方式（旧版)2CD</v>
      </c>
      <c r="G261" s="26" t="str">
        <f>VLOOKUP($D:$D,基础资料!$A:D,4,0)</f>
        <v>\</v>
      </c>
      <c r="H261" s="26" t="str">
        <f>VLOOKUP($D:$D,基础资料!$A:E,5,0)</f>
        <v>套</v>
      </c>
      <c r="I261" s="26" t="str">
        <f>VLOOKUP($D:$D,基础资料!$A:F,6,0)</f>
        <v>CD成品</v>
      </c>
      <c r="J261" s="14">
        <v>20</v>
      </c>
      <c r="K261" s="14"/>
      <c r="L261" s="14"/>
      <c r="M261" s="26">
        <f>SUMIF($D:$D,D261,$L:$L)+SUMIF($D:$D,D261,$J:$J)-SUMIF($D:$D,D261,$K:$K)</f>
        <v>11</v>
      </c>
      <c r="N261" s="26">
        <f>VLOOKUP(D:D,结存!A:J,10,0)</f>
        <v>11</v>
      </c>
      <c r="O261" s="26">
        <f>M261 - N261</f>
        <v>0</v>
      </c>
    </row>
    <row r="262" spans="1:15" ht="15.6">
      <c r="A262" s="15">
        <v>42678</v>
      </c>
      <c r="B262" s="17" t="s">
        <v>914</v>
      </c>
      <c r="C262" s="17"/>
      <c r="D262" s="20">
        <v>694</v>
      </c>
      <c r="E262" s="26" t="str">
        <f>VLOOKUP($D:$D,基础资料!$A:B,2,0)</f>
        <v>0701000355</v>
      </c>
      <c r="F262" s="26" t="str">
        <f>VLOOKUP($D:$D,基础资料!$A:C,3,0)</f>
        <v>贝茨旅馆第四季2BD</v>
      </c>
      <c r="G262" s="26" t="str">
        <f>VLOOKUP($D:$D,基础资料!$A:D,4,0)</f>
        <v>\</v>
      </c>
      <c r="H262" s="26" t="str">
        <f>VLOOKUP($D:$D,基础资料!$A:E,5,0)</f>
        <v>本</v>
      </c>
      <c r="I262" s="26" t="str">
        <f>VLOOKUP($D:$D,基础资料!$A:F,6,0)</f>
        <v>蓝光电影</v>
      </c>
      <c r="J262" s="14">
        <v>20</v>
      </c>
      <c r="K262" s="14"/>
      <c r="L262" s="14"/>
      <c r="M262" s="26">
        <f>SUMIF($D:$D,D262,$L:$L)+SUMIF($D:$D,D262,$J:$J)-SUMIF($D:$D,D262,$K:$K)</f>
        <v>0</v>
      </c>
      <c r="N262" s="26">
        <f>VLOOKUP(D:D,结存!A:J,10,0)</f>
        <v>0</v>
      </c>
      <c r="O262" s="26">
        <f>M262 - N262</f>
        <v>0</v>
      </c>
    </row>
    <row r="263" spans="1:15" ht="15.6">
      <c r="A263" s="15">
        <v>42678</v>
      </c>
      <c r="B263" s="17" t="s">
        <v>914</v>
      </c>
      <c r="C263" s="17"/>
      <c r="D263" s="20">
        <v>584</v>
      </c>
      <c r="E263" s="26" t="str">
        <f>VLOOKUP($D:$D,基础资料!$A:B,2,0)</f>
        <v>07020016</v>
      </c>
      <c r="F263" s="26" t="str">
        <f>VLOOKUP($D:$D,基础资料!$A:C,3,0)</f>
        <v>蓝影-X战警：金刚狼  6BD</v>
      </c>
      <c r="G263" s="26" t="str">
        <f>VLOOKUP($D:$D,基础资料!$A:D,4,0)</f>
        <v>6</v>
      </c>
      <c r="H263" s="26" t="str">
        <f>VLOOKUP($D:$D,基础资料!$A:E,5,0)</f>
        <v>套</v>
      </c>
      <c r="I263" s="26" t="str">
        <f>VLOOKUP($D:$D,基础资料!$A:F,6,0)</f>
        <v>蓝光电影</v>
      </c>
      <c r="J263" s="14">
        <v>10</v>
      </c>
      <c r="K263" s="14"/>
      <c r="L263" s="14"/>
      <c r="M263" s="26">
        <f>SUMIF($D:$D,D263,$L:$L)+SUMIF($D:$D,D263,$J:$J)-SUMIF($D:$D,D263,$K:$K)</f>
        <v>0</v>
      </c>
      <c r="N263" s="26">
        <f>VLOOKUP(D:D,结存!A:J,10,0)</f>
        <v>0</v>
      </c>
      <c r="O263" s="26">
        <f>M263 - N263</f>
        <v>0</v>
      </c>
    </row>
    <row r="264" spans="1:15" ht="15.6">
      <c r="A264" s="15">
        <v>42678</v>
      </c>
      <c r="B264" s="17" t="s">
        <v>915</v>
      </c>
      <c r="C264" s="17"/>
      <c r="D264" s="20">
        <v>695</v>
      </c>
      <c r="E264" s="26" t="str">
        <f>VLOOKUP($D:$D,基础资料!$A:B,2,0)</f>
        <v>0704000366</v>
      </c>
      <c r="F264" s="26" t="str">
        <f>VLOOKUP($D:$D,基础资料!$A:C,3,0)</f>
        <v>课程指南</v>
      </c>
      <c r="G264" s="26" t="str">
        <f>VLOOKUP($D:$D,基础资料!$A:D,4,0)</f>
        <v>\</v>
      </c>
      <c r="H264" s="26" t="str">
        <f>VLOOKUP($D:$D,基础资料!$A:E,5,0)</f>
        <v>本</v>
      </c>
      <c r="I264" s="26" t="str">
        <f>VLOOKUP($D:$D,基础资料!$A:F,6,0)</f>
        <v>书本</v>
      </c>
      <c r="J264" s="14">
        <v>600</v>
      </c>
      <c r="K264" s="14"/>
      <c r="L264" s="14"/>
      <c r="M264" s="26">
        <f>SUMIF($D:$D,D264,$L:$L)+SUMIF($D:$D,D264,$J:$J)-SUMIF($D:$D,D264,$K:$K)</f>
        <v>560</v>
      </c>
      <c r="N264" s="26">
        <f>VLOOKUP(D:D,结存!A:J,10,0)</f>
        <v>560</v>
      </c>
      <c r="O264" s="26">
        <f>M264 - N264</f>
        <v>0</v>
      </c>
    </row>
    <row r="265" spans="1:15" ht="15.6">
      <c r="A265" s="15">
        <v>42678</v>
      </c>
      <c r="B265" s="17" t="s">
        <v>916</v>
      </c>
      <c r="C265" s="17"/>
      <c r="D265" s="20">
        <v>621</v>
      </c>
      <c r="E265" s="26" t="str">
        <f>VLOOKUP($D:$D,基础资料!$A:B,2,0)</f>
        <v>0703000024</v>
      </c>
      <c r="F265" s="26" t="str">
        <f>VLOOKUP($D:$D,基础资料!$A:C,3,0)</f>
        <v>蓝卡愤怒的小鸟1BD+1DVD</v>
      </c>
      <c r="G265" s="26" t="str">
        <f>VLOOKUP($D:$D,基础资料!$A:D,4,0)</f>
        <v>1BD+1DVD</v>
      </c>
      <c r="H265" s="26" t="str">
        <f>VLOOKUP($D:$D,基础资料!$A:E,5,0)</f>
        <v>套</v>
      </c>
      <c r="I265" s="26" t="str">
        <f>VLOOKUP($D:$D,基础资料!$A:F,6,0)</f>
        <v>蓝光卡通</v>
      </c>
      <c r="J265" s="14"/>
      <c r="K265" s="14">
        <v>6</v>
      </c>
      <c r="L265" s="14"/>
      <c r="M265" s="26">
        <f>SUMIF($D:$D,D265,$L:$L)+SUMIF($D:$D,D265,$J:$J)-SUMIF($D:$D,D265,$K:$K)</f>
        <v>485</v>
      </c>
      <c r="N265" s="26">
        <f>VLOOKUP(D:D,结存!A:J,10,0)</f>
        <v>485</v>
      </c>
      <c r="O265" s="26">
        <f>M265 - N265</f>
        <v>0</v>
      </c>
    </row>
    <row r="266" spans="1:15" ht="15.6">
      <c r="A266" s="15">
        <v>42678</v>
      </c>
      <c r="B266" s="17" t="s">
        <v>916</v>
      </c>
      <c r="C266" s="17"/>
      <c r="D266" s="20">
        <v>694</v>
      </c>
      <c r="E266" s="26" t="str">
        <f>VLOOKUP($D:$D,基础资料!$A:B,2,0)</f>
        <v>0701000355</v>
      </c>
      <c r="F266" s="26" t="str">
        <f>VLOOKUP($D:$D,基础资料!$A:C,3,0)</f>
        <v>贝茨旅馆第四季2BD</v>
      </c>
      <c r="G266" s="26" t="str">
        <f>VLOOKUP($D:$D,基础资料!$A:D,4,0)</f>
        <v>\</v>
      </c>
      <c r="H266" s="26" t="str">
        <f>VLOOKUP($D:$D,基础资料!$A:E,5,0)</f>
        <v>本</v>
      </c>
      <c r="I266" s="26" t="str">
        <f>VLOOKUP($D:$D,基础资料!$A:F,6,0)</f>
        <v>蓝光电影</v>
      </c>
      <c r="J266" s="14"/>
      <c r="K266" s="14">
        <v>10</v>
      </c>
      <c r="L266" s="14"/>
      <c r="M266" s="26">
        <f>SUMIF($D:$D,D266,$L:$L)+SUMIF($D:$D,D266,$J:$J)-SUMIF($D:$D,D266,$K:$K)</f>
        <v>0</v>
      </c>
      <c r="N266" s="26">
        <f>VLOOKUP(D:D,结存!A:J,10,0)</f>
        <v>0</v>
      </c>
      <c r="O266" s="26">
        <f>M266 - N266</f>
        <v>0</v>
      </c>
    </row>
    <row r="267" spans="1:15" ht="15.6">
      <c r="A267" s="15" t="s">
        <v>917</v>
      </c>
      <c r="B267" s="17" t="s">
        <v>918</v>
      </c>
      <c r="C267" s="17"/>
      <c r="D267" s="20">
        <v>662</v>
      </c>
      <c r="E267" s="26" t="str">
        <f>VLOOKUP($D:$D,基础资料!$A:B,2,0)</f>
        <v>07040020</v>
      </c>
      <c r="F267" s="26" t="str">
        <f>VLOOKUP($D:$D,基础资料!$A:C,3,0)</f>
        <v>S-硕士考试指南</v>
      </c>
      <c r="G267" s="26" t="str">
        <f>VLOOKUP($D:$D,基础资料!$A:D,4,0)</f>
        <v>\</v>
      </c>
      <c r="H267" s="26" t="str">
        <f>VLOOKUP($D:$D,基础资料!$A:E,5,0)</f>
        <v>本</v>
      </c>
      <c r="I267" s="26" t="str">
        <f>VLOOKUP($D:$D,基础资料!$A:F,6,0)</f>
        <v>书本</v>
      </c>
      <c r="J267" s="14"/>
      <c r="K267" s="14">
        <v>30</v>
      </c>
      <c r="L267" s="14"/>
      <c r="M267" s="26">
        <f>SUMIF($D:$D,D267,$L:$L)+SUMIF($D:$D,D267,$J:$J)-SUMIF($D:$D,D267,$K:$K)</f>
        <v>2104</v>
      </c>
      <c r="N267" s="26">
        <f>VLOOKUP(D:D,结存!A:J,10,0)</f>
        <v>2104</v>
      </c>
      <c r="O267" s="26">
        <f>M267 - N267</f>
        <v>0</v>
      </c>
    </row>
    <row r="268" spans="1:15" ht="15.6">
      <c r="A268" s="15">
        <v>42679</v>
      </c>
      <c r="B268" s="17" t="s">
        <v>919</v>
      </c>
      <c r="C268" s="17"/>
      <c r="D268" s="20">
        <v>695</v>
      </c>
      <c r="E268" s="26" t="str">
        <f>VLOOKUP($D:$D,基础资料!$A:B,2,0)</f>
        <v>0704000366</v>
      </c>
      <c r="F268" s="26" t="str">
        <f>VLOOKUP($D:$D,基础资料!$A:C,3,0)</f>
        <v>课程指南</v>
      </c>
      <c r="G268" s="26" t="str">
        <f>VLOOKUP($D:$D,基础资料!$A:D,4,0)</f>
        <v>\</v>
      </c>
      <c r="H268" s="26" t="str">
        <f>VLOOKUP($D:$D,基础资料!$A:E,5,0)</f>
        <v>本</v>
      </c>
      <c r="I268" s="26" t="str">
        <f>VLOOKUP($D:$D,基础资料!$A:F,6,0)</f>
        <v>书本</v>
      </c>
      <c r="J268" s="14"/>
      <c r="K268" s="14">
        <v>20</v>
      </c>
      <c r="L268" s="14"/>
      <c r="M268" s="26">
        <f>SUMIF($D:$D,D268,$L:$L)+SUMIF($D:$D,D268,$J:$J)-SUMIF($D:$D,D268,$K:$K)</f>
        <v>560</v>
      </c>
      <c r="N268" s="26">
        <f>VLOOKUP(D:D,结存!A:J,10,0)</f>
        <v>560</v>
      </c>
      <c r="O268" s="26">
        <f>M268 - N268</f>
        <v>0</v>
      </c>
    </row>
    <row r="269" spans="1:15" ht="15.6">
      <c r="A269" s="15">
        <v>42679</v>
      </c>
      <c r="B269" s="17" t="s">
        <v>919</v>
      </c>
      <c r="C269" s="17"/>
      <c r="D269" s="20">
        <v>696</v>
      </c>
      <c r="E269" s="26" t="str">
        <f>VLOOKUP($D:$D,基础资料!$A:B,2,0)</f>
        <v>0704000368</v>
      </c>
      <c r="F269" s="26" t="str">
        <f>VLOOKUP($D:$D,基础资料!$A:C,3,0)</f>
        <v>国际业务：全球化的挑战</v>
      </c>
      <c r="G269" s="26" t="str">
        <f>VLOOKUP($D:$D,基础资料!$A:D,4,0)</f>
        <v>\</v>
      </c>
      <c r="H269" s="26" t="str">
        <f>VLOOKUP($D:$D,基础资料!$A:E,5,0)</f>
        <v>本</v>
      </c>
      <c r="I269" s="26" t="str">
        <f>VLOOKUP($D:$D,基础资料!$A:F,6,0)</f>
        <v>书本</v>
      </c>
      <c r="J269" s="14"/>
      <c r="K269" s="14">
        <v>20</v>
      </c>
      <c r="L269" s="14"/>
      <c r="M269" s="26">
        <f>SUMIF($D:$D,D269,$L:$L)+SUMIF($D:$D,D269,$J:$J)-SUMIF($D:$D,D269,$K:$K)</f>
        <v>32</v>
      </c>
      <c r="N269" s="26">
        <f>VLOOKUP(D:D,结存!A:J,10,0)</f>
        <v>32</v>
      </c>
      <c r="O269" s="26">
        <f>M269 - N269</f>
        <v>0</v>
      </c>
    </row>
    <row r="270" spans="1:15" ht="15.6">
      <c r="A270" s="15">
        <v>42679</v>
      </c>
      <c r="B270" s="17" t="s">
        <v>919</v>
      </c>
      <c r="C270" s="17"/>
      <c r="D270" s="20">
        <v>695</v>
      </c>
      <c r="E270" s="26" t="str">
        <f>VLOOKUP($D:$D,基础资料!$A:B,2,0)</f>
        <v>0704000366</v>
      </c>
      <c r="F270" s="26" t="str">
        <f>VLOOKUP($D:$D,基础资料!$A:C,3,0)</f>
        <v>课程指南</v>
      </c>
      <c r="G270" s="26" t="str">
        <f>VLOOKUP($D:$D,基础资料!$A:D,4,0)</f>
        <v>\</v>
      </c>
      <c r="H270" s="26" t="str">
        <f>VLOOKUP($D:$D,基础资料!$A:E,5,0)</f>
        <v>本</v>
      </c>
      <c r="I270" s="26" t="str">
        <f>VLOOKUP($D:$D,基础资料!$A:F,6,0)</f>
        <v>书本</v>
      </c>
      <c r="J270" s="14"/>
      <c r="K270" s="14">
        <v>20</v>
      </c>
      <c r="L270" s="14"/>
      <c r="M270" s="26">
        <f>SUMIF($D:$D,D270,$L:$L)+SUMIF($D:$D,D270,$J:$J)-SUMIF($D:$D,D270,$K:$K)</f>
        <v>560</v>
      </c>
      <c r="N270" s="26">
        <f>VLOOKUP(D:D,结存!A:J,10,0)</f>
        <v>560</v>
      </c>
      <c r="O270" s="26">
        <f>M270 - N270</f>
        <v>0</v>
      </c>
    </row>
    <row r="271" spans="1:15" ht="15.6">
      <c r="A271" s="15">
        <v>42679</v>
      </c>
      <c r="B271" s="17" t="s">
        <v>919</v>
      </c>
      <c r="C271" s="17"/>
      <c r="D271" s="20">
        <v>696</v>
      </c>
      <c r="E271" s="26" t="str">
        <f>VLOOKUP($D:$D,基础资料!$A:B,2,0)</f>
        <v>0704000368</v>
      </c>
      <c r="F271" s="26" t="str">
        <f>VLOOKUP($D:$D,基础资料!$A:C,3,0)</f>
        <v>国际业务：全球化的挑战</v>
      </c>
      <c r="G271" s="26" t="str">
        <f>VLOOKUP($D:$D,基础资料!$A:D,4,0)</f>
        <v>\</v>
      </c>
      <c r="H271" s="26" t="str">
        <f>VLOOKUP($D:$D,基础资料!$A:E,5,0)</f>
        <v>本</v>
      </c>
      <c r="I271" s="26" t="str">
        <f>VLOOKUP($D:$D,基础资料!$A:F,6,0)</f>
        <v>书本</v>
      </c>
      <c r="J271" s="14"/>
      <c r="K271" s="14">
        <v>20</v>
      </c>
      <c r="L271" s="14"/>
      <c r="M271" s="26">
        <f>SUMIF($D:$D,D271,$L:$L)+SUMIF($D:$D,D271,$J:$J)-SUMIF($D:$D,D271,$K:$K)</f>
        <v>32</v>
      </c>
      <c r="N271" s="26">
        <f>VLOOKUP(D:D,结存!A:J,10,0)</f>
        <v>32</v>
      </c>
      <c r="O271" s="26">
        <f>M271 - N271</f>
        <v>0</v>
      </c>
    </row>
    <row r="272" spans="1:15" ht="15.6">
      <c r="A272" s="15">
        <v>42679</v>
      </c>
      <c r="B272" s="17" t="s">
        <v>919</v>
      </c>
      <c r="C272" s="17"/>
      <c r="D272" s="20">
        <v>636</v>
      </c>
      <c r="E272" s="26" t="str">
        <f>VLOOKUP($D:$D,基础资料!$A:B,2,0)</f>
        <v>0704000001</v>
      </c>
      <c r="F272" s="26" t="str">
        <f>VLOOKUP($D:$D,基础资料!$A:C,3,0)</f>
        <v>S-内识心理学</v>
      </c>
      <c r="G272" s="26" t="str">
        <f>VLOOKUP($D:$D,基础资料!$A:D,4,0)</f>
        <v>\</v>
      </c>
      <c r="H272" s="26" t="str">
        <f>VLOOKUP($D:$D,基础资料!$A:E,5,0)</f>
        <v>本</v>
      </c>
      <c r="I272" s="26" t="str">
        <f>VLOOKUP($D:$D,基础资料!$A:F,6,0)</f>
        <v>书本</v>
      </c>
      <c r="J272" s="14"/>
      <c r="K272" s="14">
        <v>100</v>
      </c>
      <c r="L272" s="14"/>
      <c r="M272" s="26">
        <f>SUMIF($D:$D,D272,$L:$L)+SUMIF($D:$D,D272,$J:$J)-SUMIF($D:$D,D272,$K:$K)</f>
        <v>656</v>
      </c>
      <c r="N272" s="26">
        <f>VLOOKUP(D:D,结存!A:J,10,0)</f>
        <v>656</v>
      </c>
      <c r="O272" s="26">
        <f>M272 - N272</f>
        <v>0</v>
      </c>
    </row>
    <row r="273" spans="1:15" ht="15.6">
      <c r="A273" s="15">
        <v>42679</v>
      </c>
      <c r="B273" s="17" t="s">
        <v>919</v>
      </c>
      <c r="C273" s="17"/>
      <c r="D273" s="20">
        <v>640</v>
      </c>
      <c r="E273" s="26" t="str">
        <f>VLOOKUP($D:$D,基础资料!$A:B,2,0)</f>
        <v>0704000035</v>
      </c>
      <c r="F273" s="26" t="str">
        <f>VLOOKUP($D:$D,基础资料!$A:C,3,0)</f>
        <v>S-商业：一个不断变化的世界</v>
      </c>
      <c r="G273" s="26" t="str">
        <f>VLOOKUP($D:$D,基础资料!$A:D,4,0)</f>
        <v>\</v>
      </c>
      <c r="H273" s="26" t="str">
        <f>VLOOKUP($D:$D,基础资料!$A:E,5,0)</f>
        <v>本</v>
      </c>
      <c r="I273" s="26" t="str">
        <f>VLOOKUP($D:$D,基础资料!$A:F,6,0)</f>
        <v>书本</v>
      </c>
      <c r="J273" s="14"/>
      <c r="K273" s="14">
        <v>5</v>
      </c>
      <c r="L273" s="14"/>
      <c r="M273" s="26">
        <f>SUMIF($D:$D,D273,$L:$L)+SUMIF($D:$D,D273,$J:$J)-SUMIF($D:$D,D273,$K:$K)</f>
        <v>474</v>
      </c>
      <c r="N273" s="26">
        <f>VLOOKUP(D:D,结存!A:J,10,0)</f>
        <v>474</v>
      </c>
      <c r="O273" s="26">
        <f>M273 - N273</f>
        <v>0</v>
      </c>
    </row>
    <row r="274" spans="1:15" ht="15.6">
      <c r="A274" s="15">
        <v>42679</v>
      </c>
      <c r="B274" s="17" t="s">
        <v>920</v>
      </c>
      <c r="C274" s="17"/>
      <c r="D274" s="20">
        <v>645</v>
      </c>
      <c r="E274" s="26" t="str">
        <f>VLOOKUP($D:$D,基础资料!$A:B,2,0)</f>
        <v>07040003</v>
      </c>
      <c r="F274" s="26" t="str">
        <f>VLOOKUP($D:$D,基础资料!$A:C,3,0)</f>
        <v>S-公共演讲的艺术</v>
      </c>
      <c r="G274" s="26" t="str">
        <f>VLOOKUP($D:$D,基础资料!$A:D,4,0)</f>
        <v>\</v>
      </c>
      <c r="H274" s="26" t="str">
        <f>VLOOKUP($D:$D,基础资料!$A:E,5,0)</f>
        <v>本</v>
      </c>
      <c r="I274" s="26" t="str">
        <f>VLOOKUP($D:$D,基础资料!$A:F,6,0)</f>
        <v>书本</v>
      </c>
      <c r="J274" s="14"/>
      <c r="K274" s="14">
        <v>20</v>
      </c>
      <c r="L274" s="14"/>
      <c r="M274" s="26">
        <f>SUMIF($D:$D,D274,$L:$L)+SUMIF($D:$D,D274,$J:$J)-SUMIF($D:$D,D274,$K:$K)</f>
        <v>1403</v>
      </c>
      <c r="N274" s="26">
        <f>VLOOKUP(D:D,结存!A:J,10,0)</f>
        <v>1403</v>
      </c>
      <c r="O274" s="26">
        <f>M274 - N274</f>
        <v>0</v>
      </c>
    </row>
    <row r="275" spans="1:15" ht="15.6">
      <c r="A275" s="15">
        <v>42679</v>
      </c>
      <c r="B275" s="17" t="s">
        <v>920</v>
      </c>
      <c r="C275" s="17"/>
      <c r="D275" s="20">
        <v>637</v>
      </c>
      <c r="E275" s="26" t="str">
        <f>VLOOKUP($D:$D,基础资料!$A:B,2,0)</f>
        <v>0704000002</v>
      </c>
      <c r="F275" s="26" t="str">
        <f>VLOOKUP($D:$D,基础资料!$A:C,3,0)</f>
        <v>S-项目评价</v>
      </c>
      <c r="G275" s="26" t="str">
        <f>VLOOKUP($D:$D,基础资料!$A:D,4,0)</f>
        <v>\</v>
      </c>
      <c r="H275" s="26" t="str">
        <f>VLOOKUP($D:$D,基础资料!$A:E,5,0)</f>
        <v>本</v>
      </c>
      <c r="I275" s="26" t="str">
        <f>VLOOKUP($D:$D,基础资料!$A:F,6,0)</f>
        <v>书本</v>
      </c>
      <c r="J275" s="14"/>
      <c r="K275" s="14">
        <v>10</v>
      </c>
      <c r="L275" s="14"/>
      <c r="M275" s="26">
        <f>SUMIF($D:$D,D275,$L:$L)+SUMIF($D:$D,D275,$J:$J)-SUMIF($D:$D,D275,$K:$K)</f>
        <v>1877</v>
      </c>
      <c r="N275" s="26">
        <f>VLOOKUP(D:D,结存!A:J,10,0)</f>
        <v>1877</v>
      </c>
      <c r="O275" s="26">
        <f>M275 - N275</f>
        <v>0</v>
      </c>
    </row>
    <row r="276" spans="1:15" ht="15.6">
      <c r="A276" s="15">
        <v>42679</v>
      </c>
      <c r="B276" s="17" t="s">
        <v>920</v>
      </c>
      <c r="C276" s="17"/>
      <c r="D276" s="20">
        <v>668</v>
      </c>
      <c r="E276" s="26" t="str">
        <f>VLOOKUP($D:$D,基础资料!$A:B,2,0)</f>
        <v>07040026</v>
      </c>
      <c r="F276" s="26" t="str">
        <f>VLOOKUP($D:$D,基础资料!$A:C,3,0)</f>
        <v>S-团体咨询</v>
      </c>
      <c r="G276" s="26" t="str">
        <f>VLOOKUP($D:$D,基础资料!$A:D,4,0)</f>
        <v>\</v>
      </c>
      <c r="H276" s="26" t="str">
        <f>VLOOKUP($D:$D,基础资料!$A:E,5,0)</f>
        <v>本</v>
      </c>
      <c r="I276" s="26" t="str">
        <f>VLOOKUP($D:$D,基础资料!$A:F,6,0)</f>
        <v>书本</v>
      </c>
      <c r="J276" s="14"/>
      <c r="K276" s="14">
        <v>10</v>
      </c>
      <c r="L276" s="14"/>
      <c r="M276" s="26">
        <f>SUMIF($D:$D,D276,$L:$L)+SUMIF($D:$D,D276,$J:$J)-SUMIF($D:$D,D276,$K:$K)</f>
        <v>1473</v>
      </c>
      <c r="N276" s="26">
        <f>VLOOKUP(D:D,结存!A:J,10,0)</f>
        <v>1473</v>
      </c>
      <c r="O276" s="26">
        <f>M276 - N276</f>
        <v>0</v>
      </c>
    </row>
    <row r="277" spans="1:15" ht="15.6">
      <c r="A277" s="15">
        <v>42679</v>
      </c>
      <c r="B277" s="17" t="s">
        <v>920</v>
      </c>
      <c r="C277" s="17"/>
      <c r="D277" s="20">
        <v>641</v>
      </c>
      <c r="E277" s="26" t="str">
        <f>VLOOKUP($D:$D,基础资料!$A:B,2,0)</f>
        <v>0704000036</v>
      </c>
      <c r="F277" s="26" t="str">
        <f>VLOOKUP($D:$D,基础资料!$A:C,3,0)</f>
        <v>S-我们的人民</v>
      </c>
      <c r="G277" s="26" t="str">
        <f>VLOOKUP($D:$D,基础资料!$A:D,4,0)</f>
        <v>\</v>
      </c>
      <c r="H277" s="26" t="str">
        <f>VLOOKUP($D:$D,基础资料!$A:E,5,0)</f>
        <v>本</v>
      </c>
      <c r="I277" s="26" t="str">
        <f>VLOOKUP($D:$D,基础资料!$A:F,6,0)</f>
        <v>书本</v>
      </c>
      <c r="J277" s="14"/>
      <c r="K277" s="14">
        <v>10</v>
      </c>
      <c r="L277" s="14"/>
      <c r="M277" s="26">
        <f>SUMIF($D:$D,D277,$L:$L)+SUMIF($D:$D,D277,$J:$J)-SUMIF($D:$D,D277,$K:$K)</f>
        <v>2685</v>
      </c>
      <c r="N277" s="26">
        <f>VLOOKUP(D:D,结存!A:J,10,0)</f>
        <v>2685</v>
      </c>
      <c r="O277" s="26">
        <f>M277 - N277</f>
        <v>0</v>
      </c>
    </row>
    <row r="278" spans="1:15" ht="15.6">
      <c r="A278" s="15">
        <v>42679</v>
      </c>
      <c r="B278" s="17" t="s">
        <v>920</v>
      </c>
      <c r="C278" s="17"/>
      <c r="D278" s="20">
        <v>655</v>
      </c>
      <c r="E278" s="26" t="str">
        <f>VLOOKUP($D:$D,基础资料!$A:B,2,0)</f>
        <v>07040013</v>
      </c>
      <c r="F278" s="26" t="str">
        <f>VLOOKUP($D:$D,基础资料!$A:C,3,0)</f>
        <v>S-校园法律</v>
      </c>
      <c r="G278" s="26" t="str">
        <f>VLOOKUP($D:$D,基础资料!$A:D,4,0)</f>
        <v>\</v>
      </c>
      <c r="H278" s="26" t="str">
        <f>VLOOKUP($D:$D,基础资料!$A:E,5,0)</f>
        <v>本</v>
      </c>
      <c r="I278" s="26" t="str">
        <f>VLOOKUP($D:$D,基础资料!$A:F,6,0)</f>
        <v>书本</v>
      </c>
      <c r="J278" s="14"/>
      <c r="K278" s="14">
        <v>10</v>
      </c>
      <c r="L278" s="14"/>
      <c r="M278" s="26">
        <f>SUMIF($D:$D,D278,$L:$L)+SUMIF($D:$D,D278,$J:$J)-SUMIF($D:$D,D278,$K:$K)</f>
        <v>698</v>
      </c>
      <c r="N278" s="26">
        <f>VLOOKUP(D:D,结存!A:J,10,0)</f>
        <v>698</v>
      </c>
      <c r="O278" s="26">
        <f>M278 - N278</f>
        <v>0</v>
      </c>
    </row>
    <row r="279" spans="1:15" ht="15.6">
      <c r="A279" s="15">
        <v>42679</v>
      </c>
      <c r="B279" s="17" t="s">
        <v>920</v>
      </c>
      <c r="C279" s="17"/>
      <c r="D279" s="20">
        <v>637</v>
      </c>
      <c r="E279" s="26" t="str">
        <f>VLOOKUP($D:$D,基础资料!$A:B,2,0)</f>
        <v>0704000002</v>
      </c>
      <c r="F279" s="26" t="str">
        <f>VLOOKUP($D:$D,基础资料!$A:C,3,0)</f>
        <v>S-项目评价</v>
      </c>
      <c r="G279" s="26" t="str">
        <f>VLOOKUP($D:$D,基础资料!$A:D,4,0)</f>
        <v>\</v>
      </c>
      <c r="H279" s="26" t="str">
        <f>VLOOKUP($D:$D,基础资料!$A:E,5,0)</f>
        <v>本</v>
      </c>
      <c r="I279" s="26" t="str">
        <f>VLOOKUP($D:$D,基础资料!$A:F,6,0)</f>
        <v>书本</v>
      </c>
      <c r="J279" s="14"/>
      <c r="K279" s="14">
        <v>50</v>
      </c>
      <c r="L279" s="14"/>
      <c r="M279" s="26">
        <f>SUMIF($D:$D,D279,$L:$L)+SUMIF($D:$D,D279,$J:$J)-SUMIF($D:$D,D279,$K:$K)</f>
        <v>1877</v>
      </c>
      <c r="N279" s="26">
        <f>VLOOKUP(D:D,结存!A:J,10,0)</f>
        <v>1877</v>
      </c>
      <c r="O279" s="26">
        <f>M279 - N279</f>
        <v>0</v>
      </c>
    </row>
    <row r="280" spans="1:15" ht="15.6">
      <c r="A280" s="15">
        <v>42679</v>
      </c>
      <c r="B280" s="17" t="s">
        <v>921</v>
      </c>
      <c r="C280" s="17"/>
      <c r="D280" s="20">
        <v>696</v>
      </c>
      <c r="E280" s="26" t="str">
        <f>VLOOKUP($D:$D,基础资料!$A:B,2,0)</f>
        <v>0704000368</v>
      </c>
      <c r="F280" s="26" t="str">
        <f>VLOOKUP($D:$D,基础资料!$A:C,3,0)</f>
        <v>国际业务：全球化的挑战</v>
      </c>
      <c r="G280" s="26" t="str">
        <f>VLOOKUP($D:$D,基础资料!$A:D,4,0)</f>
        <v>\</v>
      </c>
      <c r="H280" s="26" t="str">
        <f>VLOOKUP($D:$D,基础资料!$A:E,5,0)</f>
        <v>本</v>
      </c>
      <c r="I280" s="26" t="str">
        <f>VLOOKUP($D:$D,基础资料!$A:F,6,0)</f>
        <v>书本</v>
      </c>
      <c r="J280" s="14">
        <v>72</v>
      </c>
      <c r="K280" s="14"/>
      <c r="L280" s="14"/>
      <c r="M280" s="26">
        <f>SUMIF($D:$D,D280,$L:$L)+SUMIF($D:$D,D280,$J:$J)-SUMIF($D:$D,D280,$K:$K)</f>
        <v>32</v>
      </c>
      <c r="N280" s="26">
        <f>VLOOKUP(D:D,结存!A:J,10,0)</f>
        <v>32</v>
      </c>
      <c r="O280" s="26">
        <f>M280 - N280</f>
        <v>0</v>
      </c>
    </row>
    <row r="281" spans="1:15" ht="15.6">
      <c r="A281" s="15">
        <v>42679</v>
      </c>
      <c r="B281" s="17" t="s">
        <v>920</v>
      </c>
      <c r="C281" s="25"/>
      <c r="D281" s="20">
        <v>621</v>
      </c>
      <c r="E281" s="26" t="str">
        <f>VLOOKUP($D:$D,基础资料!$A:B,2,0)</f>
        <v>0703000024</v>
      </c>
      <c r="F281" s="26" t="str">
        <f>VLOOKUP($D:$D,基础资料!$A:C,3,0)</f>
        <v>蓝卡愤怒的小鸟1BD+1DVD</v>
      </c>
      <c r="G281" s="26" t="str">
        <f>VLOOKUP($D:$D,基础资料!$A:D,4,0)</f>
        <v>1BD+1DVD</v>
      </c>
      <c r="H281" s="26" t="str">
        <f>VLOOKUP($D:$D,基础资料!$A:E,5,0)</f>
        <v>套</v>
      </c>
      <c r="I281" s="26" t="str">
        <f>VLOOKUP($D:$D,基础资料!$A:F,6,0)</f>
        <v>蓝光卡通</v>
      </c>
      <c r="J281" s="27">
        <v>500</v>
      </c>
      <c r="K281" s="27"/>
      <c r="L281" s="27"/>
      <c r="M281" s="26">
        <f>SUMIF($D:$D,D281,$L:$L)+SUMIF($D:$D,D281,$J:$J)-SUMIF($D:$D,D281,$K:$K)</f>
        <v>485</v>
      </c>
      <c r="N281" s="26">
        <f>VLOOKUP(D:D,结存!A:J,10,0)</f>
        <v>485</v>
      </c>
      <c r="O281" s="26">
        <f>M281 - N281</f>
        <v>0</v>
      </c>
    </row>
    <row r="282" spans="1:15" ht="15.6">
      <c r="A282" s="15">
        <v>42679</v>
      </c>
      <c r="B282" s="17" t="s">
        <v>920</v>
      </c>
      <c r="C282" s="25"/>
      <c r="D282" s="20">
        <v>621</v>
      </c>
      <c r="E282" s="26" t="str">
        <f>VLOOKUP($D:$D,基础资料!$A:B,2,0)</f>
        <v>0703000024</v>
      </c>
      <c r="F282" s="26" t="str">
        <f>VLOOKUP($D:$D,基础资料!$A:C,3,0)</f>
        <v>蓝卡愤怒的小鸟1BD+1DVD</v>
      </c>
      <c r="G282" s="26" t="str">
        <f>VLOOKUP($D:$D,基础资料!$A:D,4,0)</f>
        <v>1BD+1DVD</v>
      </c>
      <c r="H282" s="26" t="str">
        <f>VLOOKUP($D:$D,基础资料!$A:E,5,0)</f>
        <v>套</v>
      </c>
      <c r="I282" s="26" t="str">
        <f>VLOOKUP($D:$D,基础资料!$A:F,6,0)</f>
        <v>蓝光卡通</v>
      </c>
      <c r="J282" s="27"/>
      <c r="K282" s="14">
        <v>230</v>
      </c>
      <c r="L282" s="27"/>
      <c r="M282" s="26">
        <f>SUMIF($D:$D,D282,$L:$L)+SUMIF($D:$D,D282,$J:$J)-SUMIF($D:$D,D282,$K:$K)</f>
        <v>485</v>
      </c>
      <c r="N282" s="26">
        <f>VLOOKUP(D:D,结存!A:J,10,0)</f>
        <v>485</v>
      </c>
      <c r="O282" s="26">
        <f>M282 - N282</f>
        <v>0</v>
      </c>
    </row>
    <row r="283" spans="1:15" ht="15.6">
      <c r="A283" s="38">
        <v>43121</v>
      </c>
      <c r="B283" s="25"/>
      <c r="C283" s="25"/>
      <c r="D283" s="20">
        <v>621</v>
      </c>
      <c r="E283" s="28" t="str">
        <f>VLOOKUP($D:$D,基础资料!$A:B,2,0)</f>
        <v>0703000024</v>
      </c>
      <c r="F283" s="28" t="str">
        <f>VLOOKUP($D:$D,基础资料!$A:C,3,0)</f>
        <v>蓝卡愤怒的小鸟1BD+1DVD</v>
      </c>
      <c r="G283" s="28" t="str">
        <f>VLOOKUP($D:$D,基础资料!$A:D,4,0)</f>
        <v>1BD+1DVD</v>
      </c>
      <c r="H283" s="28" t="str">
        <f>VLOOKUP($D:$D,基础资料!$A:E,5,0)</f>
        <v>套</v>
      </c>
      <c r="I283" s="28" t="str">
        <f>VLOOKUP($D:$D,基础资料!$A:F,6,0)</f>
        <v>蓝光卡通</v>
      </c>
      <c r="J283" s="29"/>
      <c r="K283" s="29"/>
      <c r="L283" s="29"/>
      <c r="M283" s="26">
        <f>SUMIF($D:$D,D283,$L:$L)+SUMIF($D:$D,D283,$J:$J)-SUMIF($D:$D,D283,$K:$K)</f>
        <v>485</v>
      </c>
      <c r="N283" s="26">
        <f>VLOOKUP(D:D,结存!A:J,10,0)</f>
        <v>485</v>
      </c>
      <c r="O283" s="26">
        <f>M283 - N283</f>
        <v>0</v>
      </c>
    </row>
    <row r="284" spans="1:15" ht="15.6">
      <c r="A284" s="38">
        <v>43121</v>
      </c>
      <c r="B284" s="25"/>
      <c r="C284" s="25"/>
      <c r="D284" s="20">
        <v>621</v>
      </c>
      <c r="E284" s="28" t="str">
        <f>VLOOKUP($D:$D,基础资料!$A:B,2,0)</f>
        <v>0703000024</v>
      </c>
      <c r="F284" s="28" t="str">
        <f>VLOOKUP($D:$D,基础资料!$A:C,3,0)</f>
        <v>蓝卡愤怒的小鸟1BD+1DVD</v>
      </c>
      <c r="G284" s="28" t="str">
        <f>VLOOKUP($D:$D,基础资料!$A:D,4,0)</f>
        <v>1BD+1DVD</v>
      </c>
      <c r="H284" s="28" t="str">
        <f>VLOOKUP($D:$D,基础资料!$A:E,5,0)</f>
        <v>套</v>
      </c>
      <c r="I284" s="28" t="str">
        <f>VLOOKUP($D:$D,基础资料!$A:F,6,0)</f>
        <v>蓝光卡通</v>
      </c>
      <c r="J284" s="29"/>
      <c r="K284" s="29"/>
      <c r="L284" s="29">
        <v>22</v>
      </c>
      <c r="M284" s="26">
        <f>SUMIF($D:$D,D284,$L:$L)+SUMIF($D:$D,D284,$J:$J)-SUMIF($D:$D,D284,$K:$K)</f>
        <v>485</v>
      </c>
      <c r="N284" s="26">
        <f>VLOOKUP(D:D,结存!A:J,10,0)</f>
        <v>485</v>
      </c>
      <c r="O284" s="26">
        <f>M284 - N284</f>
        <v>0</v>
      </c>
    </row>
    <row r="285" spans="1:15">
      <c r="A285" s="38">
        <v>43121</v>
      </c>
      <c r="B285" s="25"/>
      <c r="C285" s="25"/>
      <c r="D285" s="25">
        <v>621</v>
      </c>
      <c r="E285" s="28" t="str">
        <f>VLOOKUP($D:$D,基础资料!$A:B,2,0)</f>
        <v>0703000024</v>
      </c>
      <c r="F285" s="28" t="str">
        <f>VLOOKUP($D:$D,基础资料!$A:C,3,0)</f>
        <v>蓝卡愤怒的小鸟1BD+1DVD</v>
      </c>
      <c r="G285" s="28" t="str">
        <f>VLOOKUP($D:$D,基础资料!$A:D,4,0)</f>
        <v>1BD+1DVD</v>
      </c>
      <c r="H285" s="28" t="str">
        <f>VLOOKUP($D:$D,基础资料!$A:E,5,0)</f>
        <v>套</v>
      </c>
      <c r="I285" s="28" t="str">
        <f>VLOOKUP($D:$D,基础资料!$A:F,6,0)</f>
        <v>蓝光卡通</v>
      </c>
      <c r="J285" s="29">
        <v>222</v>
      </c>
      <c r="K285" s="29"/>
      <c r="L285" s="29"/>
      <c r="M285" s="26">
        <f>SUMIF($D:$D,D285,$L:$L)+SUMIF($D:$D,D285,$J:$J)-SUMIF($D:$D,D285,$K:$K)</f>
        <v>485</v>
      </c>
      <c r="N285" s="26">
        <f>VLOOKUP(D:D,结存!A:J,10,0)</f>
        <v>485</v>
      </c>
      <c r="O285" s="26">
        <f>M285 - N285</f>
        <v>0</v>
      </c>
    </row>
    <row r="286" spans="1:15">
      <c r="A286" s="38">
        <v>43121</v>
      </c>
      <c r="B286" s="25"/>
      <c r="C286" s="25"/>
      <c r="D286" s="25">
        <v>621</v>
      </c>
      <c r="E286" s="28" t="str">
        <f>VLOOKUP($D:$D,基础资料!$A:B,2,0)</f>
        <v>0703000024</v>
      </c>
      <c r="F286" s="28" t="str">
        <f>VLOOKUP($D:$D,基础资料!$A:C,3,0)</f>
        <v>蓝卡愤怒的小鸟1BD+1DVD</v>
      </c>
      <c r="G286" s="28" t="str">
        <f>VLOOKUP($D:$D,基础资料!$A:D,4,0)</f>
        <v>1BD+1DVD</v>
      </c>
      <c r="H286" s="28" t="str">
        <f>VLOOKUP($D:$D,基础资料!$A:E,5,0)</f>
        <v>套</v>
      </c>
      <c r="I286" s="28" t="str">
        <f>VLOOKUP($D:$D,基础资料!$A:F,6,0)</f>
        <v>蓝光卡通</v>
      </c>
      <c r="J286" s="29"/>
      <c r="K286" s="29">
        <v>33</v>
      </c>
      <c r="L286" s="29"/>
      <c r="M286" s="26">
        <f>SUMIF($D:$D,D286,$L:$L)+SUMIF($D:$D,D286,$J:$J)-SUMIF($D:$D,D286,$K:$K)</f>
        <v>485</v>
      </c>
      <c r="N286" s="26">
        <f>VLOOKUP(D:D,结存!A:J,10,0)</f>
        <v>485</v>
      </c>
      <c r="O286" s="26">
        <f>M286 - N286</f>
        <v>0</v>
      </c>
    </row>
    <row r="287" spans="1:15" ht="15.6">
      <c r="A287" s="38">
        <v>43121</v>
      </c>
      <c r="B287" s="25"/>
      <c r="C287" s="25"/>
      <c r="D287" s="20">
        <v>1</v>
      </c>
      <c r="E287" s="28" t="str">
        <f>VLOOKUP($D:$D,基础资料!$A:B,2,0)</f>
        <v>0001010273</v>
      </c>
      <c r="F287" s="28" t="str">
        <f>VLOOKUP($D:$D,基础资料!$A:C,3,0)</f>
        <v>蓝光-美女与野兽第2季贝儿的心愿1DVD+1BD</v>
      </c>
      <c r="G287" s="28" t="str">
        <f>VLOOKUP($D:$D,基础资料!$A:D,4,0)</f>
        <v>2</v>
      </c>
      <c r="H287" s="28" t="str">
        <f>VLOOKUP($D:$D,基础资料!$A:E,5,0)</f>
        <v>套</v>
      </c>
      <c r="I287" s="28" t="str">
        <f>VLOOKUP($D:$D,基础资料!$A:F,6,0)</f>
        <v>调用成品</v>
      </c>
      <c r="J287" s="29">
        <v>12</v>
      </c>
      <c r="K287" s="29"/>
      <c r="L287" s="29"/>
      <c r="M287" s="26">
        <f>SUMIF($D:$D,D287,$L:$L)+SUMIF($D:$D,D287,$J:$J)-SUMIF($D:$D,D287,$K:$K)</f>
        <v>12</v>
      </c>
      <c r="N287" s="26">
        <f>VLOOKUP(D:D,结存!A:J,10,0)</f>
        <v>12</v>
      </c>
      <c r="O287" s="26">
        <f>M287 - N287</f>
        <v>0</v>
      </c>
    </row>
    <row r="288" spans="1:15" ht="15.6">
      <c r="A288" s="38">
        <v>43121</v>
      </c>
      <c r="B288" s="25"/>
      <c r="C288" s="25"/>
      <c r="D288" s="20">
        <v>2</v>
      </c>
      <c r="E288" s="28" t="str">
        <f>VLOOKUP($D:$D,基础资料!$A:B,2,0)</f>
        <v>0001010274</v>
      </c>
      <c r="F288" s="28" t="str">
        <f>VLOOKUP($D:$D,基础资料!$A:C,3,0)</f>
        <v>蓝光-八恶人1BD+1DVD</v>
      </c>
      <c r="G288" s="28" t="str">
        <f>VLOOKUP($D:$D,基础资料!$A:D,4,0)</f>
        <v>2</v>
      </c>
      <c r="H288" s="28" t="str">
        <f>VLOOKUP($D:$D,基础资料!$A:E,5,0)</f>
        <v>套</v>
      </c>
      <c r="I288" s="28" t="str">
        <f>VLOOKUP($D:$D,基础资料!$A:F,6,0)</f>
        <v>调用成品</v>
      </c>
      <c r="J288" s="29">
        <v>22</v>
      </c>
      <c r="K288" s="29"/>
      <c r="L288" s="29"/>
      <c r="M288" s="26">
        <f>SUMIF($D:$D,D288,$L:$L)+SUMIF($D:$D,D288,$J:$J)-SUMIF($D:$D,D288,$K:$K)</f>
        <v>22</v>
      </c>
      <c r="N288" s="26">
        <f>VLOOKUP(D:D,结存!A:J,10,0)</f>
        <v>22</v>
      </c>
      <c r="O288" s="26">
        <f>M288 - N288</f>
        <v>0</v>
      </c>
    </row>
    <row r="289" spans="1:15" ht="15.6">
      <c r="A289" s="38">
        <v>43121</v>
      </c>
      <c r="D289" s="31">
        <v>22</v>
      </c>
      <c r="E289" s="32" t="str">
        <f>VLOOKUP($D:$D,基础资料!$A:B,2,0)</f>
        <v>0007050246</v>
      </c>
      <c r="F289" s="32" t="str">
        <f>VLOOKUP($D:$D,基础资料!$A:C,3,0)</f>
        <v>猫王这是它的方式（旧版)2CD</v>
      </c>
      <c r="G289" s="32" t="str">
        <f>VLOOKUP($D:$D,基础资料!$A:D,4,0)</f>
        <v>\</v>
      </c>
      <c r="H289" s="32" t="str">
        <f>VLOOKUP($D:$D,基础资料!$A:E,5,0)</f>
        <v>套</v>
      </c>
      <c r="I289" s="32" t="str">
        <f>VLOOKUP($D:$D,基础资料!$A:F,6,0)</f>
        <v>CD成品</v>
      </c>
      <c r="J289" s="33"/>
      <c r="K289" s="33">
        <v>5</v>
      </c>
      <c r="L289" s="33"/>
      <c r="M289" s="26">
        <f>SUMIF($D:$D,D289,$L:$L)+SUMIF($D:$D,D289,$J:$J)-SUMIF($D:$D,D289,$K:$K)</f>
        <v>11</v>
      </c>
      <c r="N289" s="26">
        <f>VLOOKUP(D:D,结存!A:J,10,0)</f>
        <v>11</v>
      </c>
      <c r="O289" s="26">
        <f>M289 - N289</f>
        <v>0</v>
      </c>
    </row>
    <row r="290" spans="1:15" ht="15.6">
      <c r="A290" s="38">
        <v>43121</v>
      </c>
      <c r="D290" s="31">
        <v>666</v>
      </c>
      <c r="E290" s="32" t="str">
        <f>VLOOKUP($D:$D,基础资料!$A:B,2,0)</f>
        <v>07040024</v>
      </c>
      <c r="F290" s="32" t="str">
        <f>VLOOKUP($D:$D,基础资料!$A:C,3,0)</f>
        <v>S-社会精神</v>
      </c>
      <c r="G290" s="32" t="str">
        <f>VLOOKUP($D:$D,基础资料!$A:D,4,0)</f>
        <v>\</v>
      </c>
      <c r="H290" s="32" t="str">
        <f>VLOOKUP($D:$D,基础资料!$A:E,5,0)</f>
        <v>本</v>
      </c>
      <c r="I290" s="32" t="str">
        <f>VLOOKUP($D:$D,基础资料!$A:F,6,0)</f>
        <v>书本</v>
      </c>
      <c r="J290" s="33"/>
      <c r="K290" s="33"/>
      <c r="L290" s="33"/>
      <c r="M290" s="26">
        <f>SUMIF($D:$D,D290,$L:$L)+SUMIF($D:$D,D290,$J:$J)-SUMIF($D:$D,D290,$K:$K)</f>
        <v>606</v>
      </c>
      <c r="N290" s="26">
        <f>VLOOKUP(D:D,结存!A:J,10,0)</f>
        <v>606</v>
      </c>
      <c r="O290" s="26">
        <f>M290 - N290</f>
        <v>0</v>
      </c>
    </row>
  </sheetData>
  <autoFilter ref="A1:O282"/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I32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7" sqref="I7"/>
    </sheetView>
  </sheetViews>
  <sheetFormatPr defaultRowHeight="14.4"/>
  <cols>
    <col min="1" max="1" width="7.33203125" customWidth="1"/>
    <col min="2" max="2" width="14" bestFit="1" customWidth="1"/>
    <col min="3" max="3" width="25" customWidth="1"/>
    <col min="9" max="9" width="27.21875" customWidth="1"/>
  </cols>
  <sheetData>
    <row r="1" spans="1:9">
      <c r="A1" s="4" t="s">
        <v>831</v>
      </c>
      <c r="B1" s="12" t="s">
        <v>832</v>
      </c>
      <c r="C1" s="3" t="s">
        <v>1</v>
      </c>
      <c r="D1" s="2" t="s">
        <v>3</v>
      </c>
      <c r="E1" s="4" t="s">
        <v>0</v>
      </c>
      <c r="F1" s="4" t="s">
        <v>4</v>
      </c>
      <c r="G1" s="4" t="s">
        <v>5</v>
      </c>
      <c r="H1" s="4" t="s">
        <v>6</v>
      </c>
      <c r="I1" s="3" t="s">
        <v>2</v>
      </c>
    </row>
    <row r="2" spans="1:9">
      <c r="A2" s="5">
        <v>1</v>
      </c>
      <c r="B2" s="6" t="s">
        <v>7</v>
      </c>
      <c r="C2" s="7" t="s">
        <v>8</v>
      </c>
      <c r="D2" s="9" t="s">
        <v>9</v>
      </c>
      <c r="E2" s="9" t="s">
        <v>11</v>
      </c>
      <c r="F2" s="9" t="s">
        <v>10</v>
      </c>
      <c r="G2" s="5">
        <v>0</v>
      </c>
      <c r="H2" s="5"/>
      <c r="I2" s="8"/>
    </row>
    <row r="3" spans="1:9">
      <c r="A3" s="5">
        <v>2</v>
      </c>
      <c r="B3" s="6" t="s">
        <v>12</v>
      </c>
      <c r="C3" s="7" t="s">
        <v>13</v>
      </c>
      <c r="D3" s="9" t="s">
        <v>9</v>
      </c>
      <c r="E3" s="9" t="s">
        <v>11</v>
      </c>
      <c r="F3" s="9" t="s">
        <v>10</v>
      </c>
      <c r="G3" s="5">
        <v>0</v>
      </c>
      <c r="H3" s="5"/>
      <c r="I3" s="8"/>
    </row>
    <row r="4" spans="1:9">
      <c r="A4" s="5">
        <v>3</v>
      </c>
      <c r="B4" s="6" t="s">
        <v>14</v>
      </c>
      <c r="C4" s="7" t="s">
        <v>15</v>
      </c>
      <c r="D4" s="9" t="s">
        <v>9</v>
      </c>
      <c r="E4" s="9" t="s">
        <v>11</v>
      </c>
      <c r="F4" s="9" t="s">
        <v>10</v>
      </c>
      <c r="G4" s="5">
        <v>0</v>
      </c>
      <c r="H4" s="5"/>
      <c r="I4" s="8"/>
    </row>
    <row r="5" spans="1:9">
      <c r="A5" s="5">
        <v>4</v>
      </c>
      <c r="B5" s="6" t="s">
        <v>16</v>
      </c>
      <c r="C5" s="7" t="s">
        <v>17</v>
      </c>
      <c r="D5" s="9" t="s">
        <v>18</v>
      </c>
      <c r="E5" s="9" t="s">
        <v>11</v>
      </c>
      <c r="F5" s="9" t="s">
        <v>10</v>
      </c>
      <c r="G5" s="5">
        <v>0</v>
      </c>
      <c r="H5" s="5"/>
      <c r="I5" s="8"/>
    </row>
    <row r="6" spans="1:9">
      <c r="A6" s="5">
        <v>5</v>
      </c>
      <c r="B6" s="6" t="s">
        <v>19</v>
      </c>
      <c r="C6" s="7" t="s">
        <v>20</v>
      </c>
      <c r="D6" s="9" t="s">
        <v>21</v>
      </c>
      <c r="E6" s="9" t="s">
        <v>11</v>
      </c>
      <c r="F6" s="9" t="s">
        <v>10</v>
      </c>
      <c r="G6" s="5">
        <v>0</v>
      </c>
      <c r="H6" s="5"/>
      <c r="I6" s="8"/>
    </row>
    <row r="7" spans="1:9">
      <c r="A7" s="5">
        <v>6</v>
      </c>
      <c r="B7" s="6" t="s">
        <v>22</v>
      </c>
      <c r="C7" s="7" t="s">
        <v>23</v>
      </c>
      <c r="D7" s="9" t="s">
        <v>9</v>
      </c>
      <c r="E7" s="9" t="s">
        <v>11</v>
      </c>
      <c r="F7" s="9" t="s">
        <v>10</v>
      </c>
      <c r="G7" s="5">
        <v>0</v>
      </c>
      <c r="H7" s="5"/>
      <c r="I7" s="8"/>
    </row>
    <row r="8" spans="1:9">
      <c r="A8" s="5">
        <v>7</v>
      </c>
      <c r="B8" s="6" t="s">
        <v>24</v>
      </c>
      <c r="C8" s="7" t="s">
        <v>25</v>
      </c>
      <c r="D8" s="9" t="s">
        <v>9</v>
      </c>
      <c r="E8" s="9" t="s">
        <v>11</v>
      </c>
      <c r="F8" s="9" t="s">
        <v>10</v>
      </c>
      <c r="G8" s="5">
        <v>0</v>
      </c>
      <c r="H8" s="5"/>
      <c r="I8" s="8"/>
    </row>
    <row r="9" spans="1:9">
      <c r="A9" s="5">
        <v>8</v>
      </c>
      <c r="B9" s="6" t="s">
        <v>26</v>
      </c>
      <c r="C9" s="7" t="s">
        <v>27</v>
      </c>
      <c r="D9" s="9" t="s">
        <v>28</v>
      </c>
      <c r="E9" s="9" t="s">
        <v>11</v>
      </c>
      <c r="F9" s="9" t="s">
        <v>10</v>
      </c>
      <c r="G9" s="5">
        <v>0</v>
      </c>
      <c r="H9" s="5"/>
      <c r="I9" s="8"/>
    </row>
    <row r="10" spans="1:9">
      <c r="A10" s="5">
        <v>9</v>
      </c>
      <c r="B10" s="6" t="s">
        <v>29</v>
      </c>
      <c r="C10" s="7" t="s">
        <v>30</v>
      </c>
      <c r="D10" s="9" t="s">
        <v>28</v>
      </c>
      <c r="E10" s="9" t="s">
        <v>11</v>
      </c>
      <c r="F10" s="9" t="s">
        <v>10</v>
      </c>
      <c r="G10" s="5">
        <v>0</v>
      </c>
      <c r="H10" s="5"/>
      <c r="I10" s="8"/>
    </row>
    <row r="11" spans="1:9">
      <c r="A11" s="5">
        <v>10</v>
      </c>
      <c r="B11" s="6" t="s">
        <v>31</v>
      </c>
      <c r="C11" s="7" t="s">
        <v>32</v>
      </c>
      <c r="D11" s="9" t="s">
        <v>28</v>
      </c>
      <c r="E11" s="9" t="s">
        <v>11</v>
      </c>
      <c r="F11" s="9" t="s">
        <v>10</v>
      </c>
      <c r="G11" s="5">
        <v>0</v>
      </c>
      <c r="H11" s="5"/>
      <c r="I11" s="8"/>
    </row>
    <row r="12" spans="1:9">
      <c r="A12" s="5">
        <v>11</v>
      </c>
      <c r="B12" s="6" t="s">
        <v>33</v>
      </c>
      <c r="C12" s="7" t="s">
        <v>34</v>
      </c>
      <c r="D12" s="9" t="s">
        <v>9</v>
      </c>
      <c r="E12" s="9" t="s">
        <v>11</v>
      </c>
      <c r="F12" s="9" t="s">
        <v>10</v>
      </c>
      <c r="G12" s="5">
        <v>0</v>
      </c>
      <c r="H12" s="5"/>
      <c r="I12" s="8"/>
    </row>
    <row r="13" spans="1:9">
      <c r="A13" s="5">
        <v>12</v>
      </c>
      <c r="B13" s="6" t="s">
        <v>35</v>
      </c>
      <c r="C13" s="7" t="s">
        <v>36</v>
      </c>
      <c r="D13" s="9" t="s">
        <v>37</v>
      </c>
      <c r="E13" s="9" t="s">
        <v>11</v>
      </c>
      <c r="F13" s="9" t="s">
        <v>10</v>
      </c>
      <c r="G13" s="5">
        <v>0</v>
      </c>
      <c r="H13" s="5"/>
      <c r="I13" s="8"/>
    </row>
    <row r="14" spans="1:9">
      <c r="A14" s="5">
        <v>13</v>
      </c>
      <c r="B14" s="6" t="s">
        <v>38</v>
      </c>
      <c r="C14" s="7" t="s">
        <v>39</v>
      </c>
      <c r="D14" s="9" t="s">
        <v>9</v>
      </c>
      <c r="E14" s="9" t="s">
        <v>11</v>
      </c>
      <c r="F14" s="9" t="s">
        <v>10</v>
      </c>
      <c r="G14" s="5">
        <v>0</v>
      </c>
      <c r="H14" s="5"/>
      <c r="I14" s="8"/>
    </row>
    <row r="15" spans="1:9">
      <c r="A15" s="5">
        <v>14</v>
      </c>
      <c r="B15" s="6" t="s">
        <v>40</v>
      </c>
      <c r="C15" s="7" t="s">
        <v>41</v>
      </c>
      <c r="D15" s="9" t="s">
        <v>42</v>
      </c>
      <c r="E15" s="9" t="s">
        <v>11</v>
      </c>
      <c r="F15" s="9" t="s">
        <v>10</v>
      </c>
      <c r="G15" s="5">
        <v>0</v>
      </c>
      <c r="H15" s="5"/>
      <c r="I15" s="8"/>
    </row>
    <row r="16" spans="1:9">
      <c r="A16" s="5">
        <v>15</v>
      </c>
      <c r="B16" s="6" t="s">
        <v>43</v>
      </c>
      <c r="C16" s="7" t="s">
        <v>44</v>
      </c>
      <c r="D16" s="9" t="s">
        <v>9</v>
      </c>
      <c r="E16" s="9" t="s">
        <v>11</v>
      </c>
      <c r="F16" s="9" t="s">
        <v>10</v>
      </c>
      <c r="G16" s="5">
        <v>0</v>
      </c>
      <c r="H16" s="5"/>
      <c r="I16" s="8"/>
    </row>
    <row r="17" spans="1:9">
      <c r="A17" s="5">
        <v>16</v>
      </c>
      <c r="B17" s="6" t="s">
        <v>45</v>
      </c>
      <c r="C17" s="7" t="s">
        <v>46</v>
      </c>
      <c r="D17" s="9" t="s">
        <v>47</v>
      </c>
      <c r="E17" s="9" t="s">
        <v>11</v>
      </c>
      <c r="F17" s="9" t="s">
        <v>10</v>
      </c>
      <c r="G17" s="5">
        <v>0</v>
      </c>
      <c r="H17" s="5"/>
      <c r="I17" s="8"/>
    </row>
    <row r="18" spans="1:9">
      <c r="A18" s="5">
        <v>17</v>
      </c>
      <c r="B18" s="6" t="s">
        <v>48</v>
      </c>
      <c r="C18" s="7" t="s">
        <v>49</v>
      </c>
      <c r="D18" s="9" t="s">
        <v>47</v>
      </c>
      <c r="E18" s="9" t="s">
        <v>11</v>
      </c>
      <c r="F18" s="9" t="s">
        <v>10</v>
      </c>
      <c r="G18" s="5">
        <v>0</v>
      </c>
      <c r="H18" s="5"/>
      <c r="I18" s="8"/>
    </row>
    <row r="19" spans="1:9">
      <c r="A19" s="5">
        <v>18</v>
      </c>
      <c r="B19" s="6" t="s">
        <v>50</v>
      </c>
      <c r="C19" s="7" t="s">
        <v>51</v>
      </c>
      <c r="D19" s="9" t="s">
        <v>9</v>
      </c>
      <c r="E19" s="9" t="s">
        <v>11</v>
      </c>
      <c r="F19" s="9" t="s">
        <v>10</v>
      </c>
      <c r="G19" s="5">
        <v>0</v>
      </c>
      <c r="H19" s="5"/>
      <c r="I19" s="8"/>
    </row>
    <row r="20" spans="1:9">
      <c r="A20" s="5">
        <v>19</v>
      </c>
      <c r="B20" s="6" t="s">
        <v>52</v>
      </c>
      <c r="C20" s="7" t="s">
        <v>53</v>
      </c>
      <c r="D20" s="5" t="s">
        <v>954</v>
      </c>
      <c r="E20" s="9" t="s">
        <v>11</v>
      </c>
      <c r="F20" s="9" t="s">
        <v>55</v>
      </c>
      <c r="G20" s="5">
        <v>0</v>
      </c>
      <c r="H20" s="5"/>
      <c r="I20" s="7" t="s">
        <v>54</v>
      </c>
    </row>
    <row r="21" spans="1:9">
      <c r="A21" s="5">
        <v>20</v>
      </c>
      <c r="B21" s="6" t="s">
        <v>56</v>
      </c>
      <c r="C21" s="7" t="s">
        <v>57</v>
      </c>
      <c r="D21" s="5" t="s">
        <v>954</v>
      </c>
      <c r="E21" s="9" t="s">
        <v>11</v>
      </c>
      <c r="F21" s="9" t="s">
        <v>55</v>
      </c>
      <c r="G21" s="5">
        <v>0</v>
      </c>
      <c r="H21" s="5"/>
      <c r="I21" s="7" t="s">
        <v>58</v>
      </c>
    </row>
    <row r="22" spans="1:9">
      <c r="A22" s="5">
        <v>21</v>
      </c>
      <c r="B22" s="6" t="s">
        <v>59</v>
      </c>
      <c r="C22" s="7" t="s">
        <v>60</v>
      </c>
      <c r="D22" s="5" t="s">
        <v>954</v>
      </c>
      <c r="E22" s="9" t="s">
        <v>11</v>
      </c>
      <c r="F22" s="9" t="s">
        <v>55</v>
      </c>
      <c r="G22" s="5">
        <v>0</v>
      </c>
      <c r="H22" s="5"/>
      <c r="I22" s="7" t="s">
        <v>61</v>
      </c>
    </row>
    <row r="23" spans="1:9">
      <c r="A23" s="5">
        <v>22</v>
      </c>
      <c r="B23" s="6" t="s">
        <v>62</v>
      </c>
      <c r="C23" s="7" t="s">
        <v>63</v>
      </c>
      <c r="D23" s="5" t="s">
        <v>954</v>
      </c>
      <c r="E23" s="9" t="s">
        <v>11</v>
      </c>
      <c r="F23" s="9" t="s">
        <v>55</v>
      </c>
      <c r="G23" s="5">
        <v>16</v>
      </c>
      <c r="H23" s="5"/>
      <c r="I23" s="7" t="s">
        <v>64</v>
      </c>
    </row>
    <row r="24" spans="1:9">
      <c r="A24" s="5">
        <v>23</v>
      </c>
      <c r="B24" s="6" t="s">
        <v>65</v>
      </c>
      <c r="C24" s="7" t="s">
        <v>66</v>
      </c>
      <c r="D24" s="5" t="s">
        <v>954</v>
      </c>
      <c r="E24" s="9" t="s">
        <v>11</v>
      </c>
      <c r="F24" s="9" t="s">
        <v>55</v>
      </c>
      <c r="G24" s="5">
        <v>0</v>
      </c>
      <c r="H24" s="5"/>
      <c r="I24" s="7" t="s">
        <v>67</v>
      </c>
    </row>
    <row r="25" spans="1:9">
      <c r="A25" s="5">
        <v>25</v>
      </c>
      <c r="B25" s="6" t="s">
        <v>68</v>
      </c>
      <c r="C25" s="7" t="s">
        <v>69</v>
      </c>
      <c r="D25" s="5" t="s">
        <v>954</v>
      </c>
      <c r="E25" s="9" t="s">
        <v>71</v>
      </c>
      <c r="F25" s="9" t="s">
        <v>70</v>
      </c>
      <c r="G25" s="5">
        <v>0</v>
      </c>
      <c r="H25" s="5"/>
      <c r="I25" s="8"/>
    </row>
    <row r="26" spans="1:9">
      <c r="A26" s="5">
        <v>26</v>
      </c>
      <c r="B26" s="6" t="s">
        <v>72</v>
      </c>
      <c r="C26" s="7" t="s">
        <v>73</v>
      </c>
      <c r="D26" s="5" t="s">
        <v>954</v>
      </c>
      <c r="E26" s="9" t="s">
        <v>71</v>
      </c>
      <c r="F26" s="9" t="s">
        <v>70</v>
      </c>
      <c r="G26" s="5">
        <v>0</v>
      </c>
      <c r="H26" s="5"/>
      <c r="I26" s="8"/>
    </row>
    <row r="27" spans="1:9">
      <c r="A27" s="5">
        <v>27</v>
      </c>
      <c r="B27" s="6" t="s">
        <v>74</v>
      </c>
      <c r="C27" s="7" t="s">
        <v>75</v>
      </c>
      <c r="D27" s="5" t="s">
        <v>954</v>
      </c>
      <c r="E27" s="9" t="s">
        <v>77</v>
      </c>
      <c r="F27" s="9" t="s">
        <v>76</v>
      </c>
      <c r="G27" s="5">
        <v>0</v>
      </c>
      <c r="H27" s="5"/>
      <c r="I27" s="8"/>
    </row>
    <row r="28" spans="1:9">
      <c r="A28" s="5">
        <v>28</v>
      </c>
      <c r="B28" s="6" t="s">
        <v>78</v>
      </c>
      <c r="C28" s="7" t="s">
        <v>79</v>
      </c>
      <c r="D28" s="5" t="s">
        <v>954</v>
      </c>
      <c r="E28" s="9" t="s">
        <v>77</v>
      </c>
      <c r="F28" s="9" t="s">
        <v>76</v>
      </c>
      <c r="G28" s="5">
        <v>0</v>
      </c>
      <c r="H28" s="5"/>
      <c r="I28" s="7" t="s">
        <v>80</v>
      </c>
    </row>
    <row r="29" spans="1:9">
      <c r="A29" s="5">
        <v>29</v>
      </c>
      <c r="B29" s="6" t="s">
        <v>81</v>
      </c>
      <c r="C29" s="7" t="s">
        <v>82</v>
      </c>
      <c r="D29" s="5" t="s">
        <v>954</v>
      </c>
      <c r="E29" s="9" t="s">
        <v>77</v>
      </c>
      <c r="F29" s="9" t="s">
        <v>76</v>
      </c>
      <c r="G29" s="5">
        <v>0</v>
      </c>
      <c r="H29" s="5"/>
      <c r="I29" s="7" t="s">
        <v>83</v>
      </c>
    </row>
    <row r="30" spans="1:9">
      <c r="A30" s="5">
        <v>30</v>
      </c>
      <c r="B30" s="6" t="s">
        <v>84</v>
      </c>
      <c r="C30" s="7" t="s">
        <v>85</v>
      </c>
      <c r="D30" s="5" t="s">
        <v>954</v>
      </c>
      <c r="E30" s="9" t="s">
        <v>77</v>
      </c>
      <c r="F30" s="9" t="s">
        <v>76</v>
      </c>
      <c r="G30" s="5">
        <v>0</v>
      </c>
      <c r="H30" s="5"/>
      <c r="I30" s="7" t="s">
        <v>86</v>
      </c>
    </row>
    <row r="31" spans="1:9">
      <c r="A31" s="5">
        <v>31</v>
      </c>
      <c r="B31" s="6" t="s">
        <v>87</v>
      </c>
      <c r="C31" s="7" t="s">
        <v>88</v>
      </c>
      <c r="D31" s="5" t="s">
        <v>954</v>
      </c>
      <c r="E31" s="9" t="s">
        <v>77</v>
      </c>
      <c r="F31" s="9" t="s">
        <v>76</v>
      </c>
      <c r="G31" s="5">
        <v>0</v>
      </c>
      <c r="H31" s="5"/>
      <c r="I31" s="7" t="s">
        <v>86</v>
      </c>
    </row>
    <row r="32" spans="1:9">
      <c r="A32" s="5">
        <v>32</v>
      </c>
      <c r="B32" s="6" t="s">
        <v>89</v>
      </c>
      <c r="C32" s="7" t="s">
        <v>90</v>
      </c>
      <c r="D32" s="5" t="s">
        <v>954</v>
      </c>
      <c r="E32" s="9" t="s">
        <v>77</v>
      </c>
      <c r="F32" s="9" t="s">
        <v>76</v>
      </c>
      <c r="G32" s="5">
        <v>0</v>
      </c>
      <c r="H32" s="5"/>
      <c r="I32" s="7" t="s">
        <v>86</v>
      </c>
    </row>
    <row r="33" spans="1:9">
      <c r="A33" s="5">
        <v>33</v>
      </c>
      <c r="B33" s="6" t="s">
        <v>91</v>
      </c>
      <c r="C33" s="7" t="s">
        <v>92</v>
      </c>
      <c r="D33" s="5" t="s">
        <v>954</v>
      </c>
      <c r="E33" s="9" t="s">
        <v>77</v>
      </c>
      <c r="F33" s="9" t="s">
        <v>76</v>
      </c>
      <c r="G33" s="5">
        <v>0</v>
      </c>
      <c r="H33" s="5"/>
      <c r="I33" s="7" t="s">
        <v>93</v>
      </c>
    </row>
    <row r="34" spans="1:9">
      <c r="A34" s="5">
        <v>34</v>
      </c>
      <c r="B34" s="6" t="s">
        <v>94</v>
      </c>
      <c r="C34" s="7" t="s">
        <v>95</v>
      </c>
      <c r="D34" s="5" t="s">
        <v>954</v>
      </c>
      <c r="E34" s="9" t="s">
        <v>77</v>
      </c>
      <c r="F34" s="9" t="s">
        <v>76</v>
      </c>
      <c r="G34" s="5">
        <v>0</v>
      </c>
      <c r="H34" s="5"/>
      <c r="I34" s="7" t="s">
        <v>93</v>
      </c>
    </row>
    <row r="35" spans="1:9">
      <c r="A35" s="5">
        <v>35</v>
      </c>
      <c r="B35" s="6" t="s">
        <v>96</v>
      </c>
      <c r="C35" s="7" t="s">
        <v>97</v>
      </c>
      <c r="D35" s="5" t="s">
        <v>954</v>
      </c>
      <c r="E35" s="9" t="s">
        <v>77</v>
      </c>
      <c r="F35" s="9" t="s">
        <v>76</v>
      </c>
      <c r="G35" s="5">
        <v>0</v>
      </c>
      <c r="H35" s="5"/>
      <c r="I35" s="7" t="s">
        <v>98</v>
      </c>
    </row>
    <row r="36" spans="1:9">
      <c r="A36" s="5">
        <v>36</v>
      </c>
      <c r="B36" s="6" t="s">
        <v>99</v>
      </c>
      <c r="C36" s="7" t="s">
        <v>100</v>
      </c>
      <c r="D36" s="5" t="s">
        <v>954</v>
      </c>
      <c r="E36" s="9" t="s">
        <v>77</v>
      </c>
      <c r="F36" s="9" t="s">
        <v>76</v>
      </c>
      <c r="G36" s="5">
        <v>0</v>
      </c>
      <c r="H36" s="5"/>
      <c r="I36" s="7" t="s">
        <v>98</v>
      </c>
    </row>
    <row r="37" spans="1:9">
      <c r="A37" s="5">
        <v>37</v>
      </c>
      <c r="B37" s="6" t="s">
        <v>101</v>
      </c>
      <c r="C37" s="7" t="s">
        <v>102</v>
      </c>
      <c r="D37" s="5" t="s">
        <v>954</v>
      </c>
      <c r="E37" s="9" t="s">
        <v>77</v>
      </c>
      <c r="F37" s="9" t="s">
        <v>76</v>
      </c>
      <c r="G37" s="5">
        <v>0</v>
      </c>
      <c r="H37" s="5"/>
      <c r="I37" s="7" t="s">
        <v>98</v>
      </c>
    </row>
    <row r="38" spans="1:9">
      <c r="A38" s="5">
        <v>38</v>
      </c>
      <c r="B38" s="6" t="s">
        <v>103</v>
      </c>
      <c r="C38" s="7" t="s">
        <v>104</v>
      </c>
      <c r="D38" s="5" t="s">
        <v>954</v>
      </c>
      <c r="E38" s="9" t="s">
        <v>77</v>
      </c>
      <c r="F38" s="9" t="s">
        <v>76</v>
      </c>
      <c r="G38" s="5">
        <v>0</v>
      </c>
      <c r="H38" s="5"/>
      <c r="I38" s="7" t="s">
        <v>98</v>
      </c>
    </row>
    <row r="39" spans="1:9">
      <c r="A39" s="5">
        <v>39</v>
      </c>
      <c r="B39" s="6" t="s">
        <v>105</v>
      </c>
      <c r="C39" s="7" t="s">
        <v>106</v>
      </c>
      <c r="D39" s="5" t="s">
        <v>954</v>
      </c>
      <c r="E39" s="9" t="s">
        <v>77</v>
      </c>
      <c r="F39" s="9" t="s">
        <v>76</v>
      </c>
      <c r="G39" s="5">
        <v>0</v>
      </c>
      <c r="H39" s="5"/>
      <c r="I39" s="7" t="s">
        <v>98</v>
      </c>
    </row>
    <row r="40" spans="1:9">
      <c r="A40" s="5">
        <v>40</v>
      </c>
      <c r="B40" s="6" t="s">
        <v>107</v>
      </c>
      <c r="C40" s="7" t="s">
        <v>108</v>
      </c>
      <c r="D40" s="5" t="s">
        <v>954</v>
      </c>
      <c r="E40" s="9" t="s">
        <v>77</v>
      </c>
      <c r="F40" s="9" t="s">
        <v>76</v>
      </c>
      <c r="G40" s="5">
        <v>0</v>
      </c>
      <c r="H40" s="5"/>
      <c r="I40" s="7" t="s">
        <v>109</v>
      </c>
    </row>
    <row r="41" spans="1:9">
      <c r="A41" s="5">
        <v>41</v>
      </c>
      <c r="B41" s="6" t="s">
        <v>110</v>
      </c>
      <c r="C41" s="7" t="s">
        <v>111</v>
      </c>
      <c r="D41" s="5" t="s">
        <v>954</v>
      </c>
      <c r="E41" s="9" t="s">
        <v>77</v>
      </c>
      <c r="F41" s="9" t="s">
        <v>76</v>
      </c>
      <c r="G41" s="5">
        <v>0</v>
      </c>
      <c r="H41" s="5"/>
      <c r="I41" s="7" t="s">
        <v>109</v>
      </c>
    </row>
    <row r="42" spans="1:9">
      <c r="A42" s="5">
        <v>42</v>
      </c>
      <c r="B42" s="6" t="s">
        <v>112</v>
      </c>
      <c r="C42" s="7" t="s">
        <v>113</v>
      </c>
      <c r="D42" s="5" t="s">
        <v>954</v>
      </c>
      <c r="E42" s="9" t="s">
        <v>77</v>
      </c>
      <c r="F42" s="9" t="s">
        <v>76</v>
      </c>
      <c r="G42" s="5">
        <v>0</v>
      </c>
      <c r="H42" s="5"/>
      <c r="I42" s="7" t="s">
        <v>114</v>
      </c>
    </row>
    <row r="43" spans="1:9">
      <c r="A43" s="5">
        <v>43</v>
      </c>
      <c r="B43" s="6" t="s">
        <v>115</v>
      </c>
      <c r="C43" s="7" t="s">
        <v>116</v>
      </c>
      <c r="D43" s="5" t="s">
        <v>954</v>
      </c>
      <c r="E43" s="9" t="s">
        <v>77</v>
      </c>
      <c r="F43" s="9" t="s">
        <v>76</v>
      </c>
      <c r="G43" s="5">
        <v>0</v>
      </c>
      <c r="H43" s="5"/>
      <c r="I43" s="7" t="s">
        <v>114</v>
      </c>
    </row>
    <row r="44" spans="1:9">
      <c r="A44" s="5">
        <v>44</v>
      </c>
      <c r="B44" s="6" t="s">
        <v>117</v>
      </c>
      <c r="C44" s="7" t="s">
        <v>118</v>
      </c>
      <c r="D44" s="5" t="s">
        <v>954</v>
      </c>
      <c r="E44" s="9" t="s">
        <v>77</v>
      </c>
      <c r="F44" s="9" t="s">
        <v>76</v>
      </c>
      <c r="G44" s="5">
        <v>0</v>
      </c>
      <c r="H44" s="5"/>
      <c r="I44" s="7" t="s">
        <v>114</v>
      </c>
    </row>
    <row r="45" spans="1:9">
      <c r="A45" s="5">
        <v>45</v>
      </c>
      <c r="B45" s="6" t="s">
        <v>119</v>
      </c>
      <c r="C45" s="7" t="s">
        <v>120</v>
      </c>
      <c r="D45" s="5" t="s">
        <v>954</v>
      </c>
      <c r="E45" s="9" t="s">
        <v>77</v>
      </c>
      <c r="F45" s="9" t="s">
        <v>76</v>
      </c>
      <c r="G45" s="5">
        <v>0</v>
      </c>
      <c r="H45" s="5"/>
      <c r="I45" s="7" t="s">
        <v>114</v>
      </c>
    </row>
    <row r="46" spans="1:9">
      <c r="A46" s="5">
        <v>46</v>
      </c>
      <c r="B46" s="6" t="s">
        <v>121</v>
      </c>
      <c r="C46" s="7" t="s">
        <v>122</v>
      </c>
      <c r="D46" s="5" t="s">
        <v>954</v>
      </c>
      <c r="E46" s="9" t="s">
        <v>77</v>
      </c>
      <c r="F46" s="9" t="s">
        <v>76</v>
      </c>
      <c r="G46" s="5">
        <v>0</v>
      </c>
      <c r="H46" s="5"/>
      <c r="I46" s="7" t="s">
        <v>123</v>
      </c>
    </row>
    <row r="47" spans="1:9">
      <c r="A47" s="5">
        <v>47</v>
      </c>
      <c r="B47" s="6" t="s">
        <v>124</v>
      </c>
      <c r="C47" s="7" t="s">
        <v>125</v>
      </c>
      <c r="D47" s="5" t="s">
        <v>954</v>
      </c>
      <c r="E47" s="9" t="s">
        <v>77</v>
      </c>
      <c r="F47" s="9" t="s">
        <v>76</v>
      </c>
      <c r="G47" s="5">
        <v>0</v>
      </c>
      <c r="H47" s="5"/>
      <c r="I47" s="7" t="s">
        <v>126</v>
      </c>
    </row>
    <row r="48" spans="1:9">
      <c r="A48" s="5">
        <v>48</v>
      </c>
      <c r="B48" s="6" t="s">
        <v>127</v>
      </c>
      <c r="C48" s="7" t="s">
        <v>128</v>
      </c>
      <c r="D48" s="5" t="s">
        <v>954</v>
      </c>
      <c r="E48" s="9" t="s">
        <v>77</v>
      </c>
      <c r="F48" s="9" t="s">
        <v>76</v>
      </c>
      <c r="G48" s="5">
        <v>0</v>
      </c>
      <c r="H48" s="5"/>
      <c r="I48" s="7" t="s">
        <v>126</v>
      </c>
    </row>
    <row r="49" spans="1:9">
      <c r="A49" s="5">
        <v>49</v>
      </c>
      <c r="B49" s="6" t="s">
        <v>129</v>
      </c>
      <c r="C49" s="7" t="s">
        <v>130</v>
      </c>
      <c r="D49" s="5" t="s">
        <v>954</v>
      </c>
      <c r="E49" s="9" t="s">
        <v>77</v>
      </c>
      <c r="F49" s="9" t="s">
        <v>76</v>
      </c>
      <c r="G49" s="5">
        <v>0</v>
      </c>
      <c r="H49" s="5"/>
      <c r="I49" s="7" t="s">
        <v>131</v>
      </c>
    </row>
    <row r="50" spans="1:9">
      <c r="A50" s="5">
        <v>50</v>
      </c>
      <c r="B50" s="6" t="s">
        <v>132</v>
      </c>
      <c r="C50" s="7" t="s">
        <v>133</v>
      </c>
      <c r="D50" s="5" t="s">
        <v>954</v>
      </c>
      <c r="E50" s="9" t="s">
        <v>77</v>
      </c>
      <c r="F50" s="9" t="s">
        <v>76</v>
      </c>
      <c r="G50" s="5">
        <v>0</v>
      </c>
      <c r="H50" s="5"/>
      <c r="I50" s="7" t="s">
        <v>131</v>
      </c>
    </row>
    <row r="51" spans="1:9">
      <c r="A51" s="5">
        <v>51</v>
      </c>
      <c r="B51" s="6" t="s">
        <v>134</v>
      </c>
      <c r="C51" s="7" t="s">
        <v>135</v>
      </c>
      <c r="D51" s="5" t="s">
        <v>954</v>
      </c>
      <c r="E51" s="9" t="s">
        <v>77</v>
      </c>
      <c r="F51" s="9" t="s">
        <v>76</v>
      </c>
      <c r="G51" s="5">
        <v>0</v>
      </c>
      <c r="H51" s="5"/>
      <c r="I51" s="7" t="s">
        <v>131</v>
      </c>
    </row>
    <row r="52" spans="1:9">
      <c r="A52" s="5">
        <v>52</v>
      </c>
      <c r="B52" s="6" t="s">
        <v>136</v>
      </c>
      <c r="C52" s="7" t="s">
        <v>137</v>
      </c>
      <c r="D52" s="5" t="s">
        <v>954</v>
      </c>
      <c r="E52" s="9" t="s">
        <v>77</v>
      </c>
      <c r="F52" s="9" t="s">
        <v>76</v>
      </c>
      <c r="G52" s="5">
        <v>0</v>
      </c>
      <c r="H52" s="5"/>
      <c r="I52" s="7" t="s">
        <v>138</v>
      </c>
    </row>
    <row r="53" spans="1:9">
      <c r="A53" s="5">
        <v>53</v>
      </c>
      <c r="B53" s="6" t="s">
        <v>139</v>
      </c>
      <c r="C53" s="7" t="s">
        <v>140</v>
      </c>
      <c r="D53" s="5" t="s">
        <v>954</v>
      </c>
      <c r="E53" s="9" t="s">
        <v>77</v>
      </c>
      <c r="F53" s="9" t="s">
        <v>76</v>
      </c>
      <c r="G53" s="5">
        <v>0</v>
      </c>
      <c r="H53" s="5"/>
      <c r="I53" s="7" t="s">
        <v>141</v>
      </c>
    </row>
    <row r="54" spans="1:9">
      <c r="A54" s="5">
        <v>54</v>
      </c>
      <c r="B54" s="6" t="s">
        <v>142</v>
      </c>
      <c r="C54" s="7" t="s">
        <v>143</v>
      </c>
      <c r="D54" s="5" t="s">
        <v>954</v>
      </c>
      <c r="E54" s="9" t="s">
        <v>77</v>
      </c>
      <c r="F54" s="9" t="s">
        <v>76</v>
      </c>
      <c r="G54" s="5">
        <v>0</v>
      </c>
      <c r="H54" s="5"/>
      <c r="I54" s="7" t="s">
        <v>141</v>
      </c>
    </row>
    <row r="55" spans="1:9">
      <c r="A55" s="5">
        <v>55</v>
      </c>
      <c r="B55" s="6" t="s">
        <v>144</v>
      </c>
      <c r="C55" s="7" t="s">
        <v>145</v>
      </c>
      <c r="D55" s="5" t="s">
        <v>954</v>
      </c>
      <c r="E55" s="9" t="s">
        <v>77</v>
      </c>
      <c r="F55" s="9" t="s">
        <v>76</v>
      </c>
      <c r="G55" s="5">
        <v>0</v>
      </c>
      <c r="H55" s="5"/>
      <c r="I55" s="7" t="s">
        <v>146</v>
      </c>
    </row>
    <row r="56" spans="1:9">
      <c r="A56" s="5">
        <v>56</v>
      </c>
      <c r="B56" s="6" t="s">
        <v>147</v>
      </c>
      <c r="C56" s="7" t="s">
        <v>148</v>
      </c>
      <c r="D56" s="5" t="s">
        <v>954</v>
      </c>
      <c r="E56" s="9" t="s">
        <v>77</v>
      </c>
      <c r="F56" s="9" t="s">
        <v>76</v>
      </c>
      <c r="G56" s="5">
        <v>0</v>
      </c>
      <c r="H56" s="5"/>
      <c r="I56" s="7" t="s">
        <v>149</v>
      </c>
    </row>
    <row r="57" spans="1:9">
      <c r="A57" s="5">
        <v>57</v>
      </c>
      <c r="B57" s="6" t="s">
        <v>150</v>
      </c>
      <c r="C57" s="7" t="s">
        <v>151</v>
      </c>
      <c r="D57" s="5" t="s">
        <v>954</v>
      </c>
      <c r="E57" s="9" t="s">
        <v>77</v>
      </c>
      <c r="F57" s="9" t="s">
        <v>76</v>
      </c>
      <c r="G57" s="5">
        <v>0</v>
      </c>
      <c r="H57" s="5"/>
      <c r="I57" s="7" t="s">
        <v>152</v>
      </c>
    </row>
    <row r="58" spans="1:9">
      <c r="A58" s="5">
        <v>58</v>
      </c>
      <c r="B58" s="6" t="s">
        <v>153</v>
      </c>
      <c r="C58" s="7" t="s">
        <v>154</v>
      </c>
      <c r="D58" s="5" t="s">
        <v>954</v>
      </c>
      <c r="E58" s="9" t="s">
        <v>77</v>
      </c>
      <c r="F58" s="9" t="s">
        <v>76</v>
      </c>
      <c r="G58" s="5">
        <v>0</v>
      </c>
      <c r="H58" s="5"/>
      <c r="I58" s="7" t="s">
        <v>155</v>
      </c>
    </row>
    <row r="59" spans="1:9">
      <c r="A59" s="5">
        <v>59</v>
      </c>
      <c r="B59" s="6" t="s">
        <v>156</v>
      </c>
      <c r="C59" s="7" t="s">
        <v>157</v>
      </c>
      <c r="D59" s="5" t="s">
        <v>954</v>
      </c>
      <c r="E59" s="9" t="s">
        <v>77</v>
      </c>
      <c r="F59" s="9" t="s">
        <v>76</v>
      </c>
      <c r="G59" s="5">
        <v>0</v>
      </c>
      <c r="H59" s="5"/>
      <c r="I59" s="7" t="s">
        <v>158</v>
      </c>
    </row>
    <row r="60" spans="1:9">
      <c r="A60" s="5">
        <v>60</v>
      </c>
      <c r="B60" s="6" t="s">
        <v>159</v>
      </c>
      <c r="C60" s="7" t="s">
        <v>160</v>
      </c>
      <c r="D60" s="5" t="s">
        <v>954</v>
      </c>
      <c r="E60" s="9" t="s">
        <v>77</v>
      </c>
      <c r="F60" s="9" t="s">
        <v>76</v>
      </c>
      <c r="G60" s="5">
        <v>0</v>
      </c>
      <c r="H60" s="5"/>
      <c r="I60" s="7" t="s">
        <v>158</v>
      </c>
    </row>
    <row r="61" spans="1:9">
      <c r="A61" s="5">
        <v>61</v>
      </c>
      <c r="B61" s="6" t="s">
        <v>161</v>
      </c>
      <c r="C61" s="7" t="s">
        <v>162</v>
      </c>
      <c r="D61" s="5" t="s">
        <v>954</v>
      </c>
      <c r="E61" s="9" t="s">
        <v>77</v>
      </c>
      <c r="F61" s="9" t="s">
        <v>76</v>
      </c>
      <c r="G61" s="5">
        <v>0</v>
      </c>
      <c r="H61" s="5"/>
      <c r="I61" s="7" t="s">
        <v>163</v>
      </c>
    </row>
    <row r="62" spans="1:9">
      <c r="A62" s="5">
        <v>62</v>
      </c>
      <c r="B62" s="6" t="s">
        <v>164</v>
      </c>
      <c r="C62" s="7" t="s">
        <v>165</v>
      </c>
      <c r="D62" s="5" t="s">
        <v>954</v>
      </c>
      <c r="E62" s="9" t="s">
        <v>77</v>
      </c>
      <c r="F62" s="9" t="s">
        <v>76</v>
      </c>
      <c r="G62" s="5">
        <v>0</v>
      </c>
      <c r="H62" s="5"/>
      <c r="I62" s="7" t="s">
        <v>163</v>
      </c>
    </row>
    <row r="63" spans="1:9">
      <c r="A63" s="5">
        <v>63</v>
      </c>
      <c r="B63" s="6" t="s">
        <v>166</v>
      </c>
      <c r="C63" s="7" t="s">
        <v>167</v>
      </c>
      <c r="D63" s="5" t="s">
        <v>954</v>
      </c>
      <c r="E63" s="9" t="s">
        <v>77</v>
      </c>
      <c r="F63" s="9" t="s">
        <v>76</v>
      </c>
      <c r="G63" s="5">
        <v>0</v>
      </c>
      <c r="H63" s="5"/>
      <c r="I63" s="7" t="s">
        <v>168</v>
      </c>
    </row>
    <row r="64" spans="1:9">
      <c r="A64" s="5">
        <v>64</v>
      </c>
      <c r="B64" s="6" t="s">
        <v>169</v>
      </c>
      <c r="C64" s="7" t="s">
        <v>170</v>
      </c>
      <c r="D64" s="5" t="s">
        <v>954</v>
      </c>
      <c r="E64" s="9" t="s">
        <v>77</v>
      </c>
      <c r="F64" s="9" t="s">
        <v>76</v>
      </c>
      <c r="G64" s="5">
        <v>0</v>
      </c>
      <c r="H64" s="5"/>
      <c r="I64" s="7" t="s">
        <v>171</v>
      </c>
    </row>
    <row r="65" spans="1:9">
      <c r="A65" s="5">
        <v>65</v>
      </c>
      <c r="B65" s="6" t="s">
        <v>172</v>
      </c>
      <c r="C65" s="7" t="s">
        <v>173</v>
      </c>
      <c r="D65" s="5" t="s">
        <v>954</v>
      </c>
      <c r="E65" s="9" t="s">
        <v>77</v>
      </c>
      <c r="F65" s="9" t="s">
        <v>76</v>
      </c>
      <c r="G65" s="5">
        <v>0</v>
      </c>
      <c r="H65" s="5"/>
      <c r="I65" s="7" t="s">
        <v>171</v>
      </c>
    </row>
    <row r="66" spans="1:9">
      <c r="A66" s="5">
        <v>66</v>
      </c>
      <c r="B66" s="6" t="s">
        <v>174</v>
      </c>
      <c r="C66" s="7" t="s">
        <v>175</v>
      </c>
      <c r="D66" s="5" t="s">
        <v>954</v>
      </c>
      <c r="E66" s="9" t="s">
        <v>77</v>
      </c>
      <c r="F66" s="9" t="s">
        <v>76</v>
      </c>
      <c r="G66" s="5">
        <v>0</v>
      </c>
      <c r="H66" s="5"/>
      <c r="I66" s="7" t="s">
        <v>176</v>
      </c>
    </row>
    <row r="67" spans="1:9">
      <c r="A67" s="5">
        <v>67</v>
      </c>
      <c r="B67" s="6" t="s">
        <v>177</v>
      </c>
      <c r="C67" s="7" t="s">
        <v>178</v>
      </c>
      <c r="D67" s="5" t="s">
        <v>954</v>
      </c>
      <c r="E67" s="9" t="s">
        <v>77</v>
      </c>
      <c r="F67" s="9" t="s">
        <v>76</v>
      </c>
      <c r="G67" s="5">
        <v>0</v>
      </c>
      <c r="H67" s="5"/>
      <c r="I67" s="7" t="s">
        <v>176</v>
      </c>
    </row>
    <row r="68" spans="1:9">
      <c r="A68" s="5">
        <v>68</v>
      </c>
      <c r="B68" s="6" t="s">
        <v>179</v>
      </c>
      <c r="C68" s="7" t="s">
        <v>180</v>
      </c>
      <c r="D68" s="5" t="s">
        <v>954</v>
      </c>
      <c r="E68" s="9" t="s">
        <v>77</v>
      </c>
      <c r="F68" s="9" t="s">
        <v>76</v>
      </c>
      <c r="G68" s="5">
        <v>0</v>
      </c>
      <c r="H68" s="5"/>
      <c r="I68" s="7" t="s">
        <v>181</v>
      </c>
    </row>
    <row r="69" spans="1:9">
      <c r="A69" s="5">
        <v>69</v>
      </c>
      <c r="B69" s="6" t="s">
        <v>182</v>
      </c>
      <c r="C69" s="7" t="s">
        <v>183</v>
      </c>
      <c r="D69" s="5" t="s">
        <v>954</v>
      </c>
      <c r="E69" s="9" t="s">
        <v>77</v>
      </c>
      <c r="F69" s="9" t="s">
        <v>76</v>
      </c>
      <c r="G69" s="5">
        <v>0</v>
      </c>
      <c r="H69" s="5"/>
      <c r="I69" s="7" t="s">
        <v>181</v>
      </c>
    </row>
    <row r="70" spans="1:9">
      <c r="A70" s="5">
        <v>70</v>
      </c>
      <c r="B70" s="6" t="s">
        <v>184</v>
      </c>
      <c r="C70" s="7" t="s">
        <v>185</v>
      </c>
      <c r="D70" s="5" t="s">
        <v>954</v>
      </c>
      <c r="E70" s="9" t="s">
        <v>77</v>
      </c>
      <c r="F70" s="9" t="s">
        <v>76</v>
      </c>
      <c r="G70" s="5">
        <v>0</v>
      </c>
      <c r="H70" s="5"/>
      <c r="I70" s="7" t="s">
        <v>181</v>
      </c>
    </row>
    <row r="71" spans="1:9">
      <c r="A71" s="5">
        <v>71</v>
      </c>
      <c r="B71" s="6" t="s">
        <v>186</v>
      </c>
      <c r="C71" s="7" t="s">
        <v>187</v>
      </c>
      <c r="D71" s="5" t="s">
        <v>954</v>
      </c>
      <c r="E71" s="9" t="s">
        <v>77</v>
      </c>
      <c r="F71" s="9" t="s">
        <v>76</v>
      </c>
      <c r="G71" s="5">
        <v>0</v>
      </c>
      <c r="H71" s="5"/>
      <c r="I71" s="7" t="s">
        <v>188</v>
      </c>
    </row>
    <row r="72" spans="1:9">
      <c r="A72" s="5">
        <v>72</v>
      </c>
      <c r="B72" s="6" t="s">
        <v>189</v>
      </c>
      <c r="C72" s="7" t="s">
        <v>190</v>
      </c>
      <c r="D72" s="5" t="s">
        <v>954</v>
      </c>
      <c r="E72" s="9" t="s">
        <v>77</v>
      </c>
      <c r="F72" s="9" t="s">
        <v>76</v>
      </c>
      <c r="G72" s="5">
        <v>0</v>
      </c>
      <c r="H72" s="5"/>
      <c r="I72" s="7" t="s">
        <v>188</v>
      </c>
    </row>
    <row r="73" spans="1:9">
      <c r="A73" s="5">
        <v>73</v>
      </c>
      <c r="B73" s="6" t="s">
        <v>191</v>
      </c>
      <c r="C73" s="7" t="s">
        <v>192</v>
      </c>
      <c r="D73" s="5" t="s">
        <v>954</v>
      </c>
      <c r="E73" s="9" t="s">
        <v>77</v>
      </c>
      <c r="F73" s="9" t="s">
        <v>76</v>
      </c>
      <c r="G73" s="5">
        <v>0</v>
      </c>
      <c r="H73" s="5"/>
      <c r="I73" s="7" t="s">
        <v>188</v>
      </c>
    </row>
    <row r="74" spans="1:9">
      <c r="A74" s="5">
        <v>74</v>
      </c>
      <c r="B74" s="6" t="s">
        <v>193</v>
      </c>
      <c r="C74" s="7" t="s">
        <v>194</v>
      </c>
      <c r="D74" s="5" t="s">
        <v>954</v>
      </c>
      <c r="E74" s="9" t="s">
        <v>77</v>
      </c>
      <c r="F74" s="9" t="s">
        <v>76</v>
      </c>
      <c r="G74" s="5">
        <v>0</v>
      </c>
      <c r="H74" s="5"/>
      <c r="I74" s="7" t="s">
        <v>188</v>
      </c>
    </row>
    <row r="75" spans="1:9">
      <c r="A75" s="5">
        <v>75</v>
      </c>
      <c r="B75" s="6" t="s">
        <v>195</v>
      </c>
      <c r="C75" s="7" t="s">
        <v>196</v>
      </c>
      <c r="D75" s="5" t="s">
        <v>954</v>
      </c>
      <c r="E75" s="9" t="s">
        <v>77</v>
      </c>
      <c r="F75" s="9" t="s">
        <v>76</v>
      </c>
      <c r="G75" s="5">
        <v>0</v>
      </c>
      <c r="H75" s="5"/>
      <c r="I75" s="7" t="s">
        <v>188</v>
      </c>
    </row>
    <row r="76" spans="1:9">
      <c r="A76" s="5">
        <v>76</v>
      </c>
      <c r="B76" s="6" t="s">
        <v>197</v>
      </c>
      <c r="C76" s="7" t="s">
        <v>198</v>
      </c>
      <c r="D76" s="5" t="s">
        <v>954</v>
      </c>
      <c r="E76" s="9" t="s">
        <v>77</v>
      </c>
      <c r="F76" s="9" t="s">
        <v>76</v>
      </c>
      <c r="G76" s="5">
        <v>0</v>
      </c>
      <c r="H76" s="5"/>
      <c r="I76" s="7" t="s">
        <v>188</v>
      </c>
    </row>
    <row r="77" spans="1:9">
      <c r="A77" s="5">
        <v>77</v>
      </c>
      <c r="B77" s="6" t="s">
        <v>199</v>
      </c>
      <c r="C77" s="7" t="s">
        <v>200</v>
      </c>
      <c r="D77" s="5" t="s">
        <v>954</v>
      </c>
      <c r="E77" s="9" t="s">
        <v>77</v>
      </c>
      <c r="F77" s="9" t="s">
        <v>76</v>
      </c>
      <c r="G77" s="5">
        <v>0</v>
      </c>
      <c r="H77" s="5"/>
      <c r="I77" s="7" t="s">
        <v>201</v>
      </c>
    </row>
    <row r="78" spans="1:9">
      <c r="A78" s="5">
        <v>78</v>
      </c>
      <c r="B78" s="6" t="s">
        <v>202</v>
      </c>
      <c r="C78" s="7" t="s">
        <v>203</v>
      </c>
      <c r="D78" s="5" t="s">
        <v>954</v>
      </c>
      <c r="E78" s="9" t="s">
        <v>77</v>
      </c>
      <c r="F78" s="9" t="s">
        <v>76</v>
      </c>
      <c r="G78" s="5">
        <v>0</v>
      </c>
      <c r="H78" s="5"/>
      <c r="I78" s="7" t="s">
        <v>204</v>
      </c>
    </row>
    <row r="79" spans="1:9">
      <c r="A79" s="5">
        <v>79</v>
      </c>
      <c r="B79" s="6" t="s">
        <v>205</v>
      </c>
      <c r="C79" s="7" t="s">
        <v>206</v>
      </c>
      <c r="D79" s="5" t="s">
        <v>954</v>
      </c>
      <c r="E79" s="9" t="s">
        <v>77</v>
      </c>
      <c r="F79" s="9" t="s">
        <v>76</v>
      </c>
      <c r="G79" s="5">
        <v>0</v>
      </c>
      <c r="H79" s="5"/>
      <c r="I79" s="7" t="s">
        <v>207</v>
      </c>
    </row>
    <row r="80" spans="1:9">
      <c r="A80" s="5">
        <v>80</v>
      </c>
      <c r="B80" s="6" t="s">
        <v>208</v>
      </c>
      <c r="C80" s="7" t="s">
        <v>209</v>
      </c>
      <c r="D80" s="5" t="s">
        <v>954</v>
      </c>
      <c r="E80" s="9" t="s">
        <v>77</v>
      </c>
      <c r="F80" s="9" t="s">
        <v>76</v>
      </c>
      <c r="G80" s="5">
        <v>0</v>
      </c>
      <c r="H80" s="5"/>
      <c r="I80" s="7" t="s">
        <v>210</v>
      </c>
    </row>
    <row r="81" spans="1:9">
      <c r="A81" s="5">
        <v>81</v>
      </c>
      <c r="B81" s="6" t="s">
        <v>211</v>
      </c>
      <c r="C81" s="7" t="s">
        <v>212</v>
      </c>
      <c r="D81" s="5" t="s">
        <v>954</v>
      </c>
      <c r="E81" s="9" t="s">
        <v>77</v>
      </c>
      <c r="F81" s="9" t="s">
        <v>76</v>
      </c>
      <c r="G81" s="5">
        <v>0</v>
      </c>
      <c r="H81" s="5"/>
      <c r="I81" s="7" t="s">
        <v>210</v>
      </c>
    </row>
    <row r="82" spans="1:9">
      <c r="A82" s="5">
        <v>82</v>
      </c>
      <c r="B82" s="6" t="s">
        <v>213</v>
      </c>
      <c r="C82" s="7" t="s">
        <v>214</v>
      </c>
      <c r="D82" s="5" t="s">
        <v>954</v>
      </c>
      <c r="E82" s="9" t="s">
        <v>77</v>
      </c>
      <c r="F82" s="9" t="s">
        <v>76</v>
      </c>
      <c r="G82" s="5">
        <v>0</v>
      </c>
      <c r="H82" s="5"/>
      <c r="I82" s="7" t="s">
        <v>215</v>
      </c>
    </row>
    <row r="83" spans="1:9">
      <c r="A83" s="5">
        <v>83</v>
      </c>
      <c r="B83" s="6" t="s">
        <v>216</v>
      </c>
      <c r="C83" s="7" t="s">
        <v>217</v>
      </c>
      <c r="D83" s="5" t="s">
        <v>954</v>
      </c>
      <c r="E83" s="9" t="s">
        <v>77</v>
      </c>
      <c r="F83" s="9" t="s">
        <v>76</v>
      </c>
      <c r="G83" s="5">
        <v>0</v>
      </c>
      <c r="H83" s="5"/>
      <c r="I83" s="7" t="s">
        <v>218</v>
      </c>
    </row>
    <row r="84" spans="1:9">
      <c r="A84" s="5">
        <v>84</v>
      </c>
      <c r="B84" s="6" t="s">
        <v>219</v>
      </c>
      <c r="C84" s="7" t="s">
        <v>220</v>
      </c>
      <c r="D84" s="5" t="s">
        <v>954</v>
      </c>
      <c r="E84" s="9" t="s">
        <v>77</v>
      </c>
      <c r="F84" s="9" t="s">
        <v>76</v>
      </c>
      <c r="G84" s="5">
        <v>0</v>
      </c>
      <c r="H84" s="5"/>
      <c r="I84" s="7" t="s">
        <v>221</v>
      </c>
    </row>
    <row r="85" spans="1:9">
      <c r="A85" s="5">
        <v>85</v>
      </c>
      <c r="B85" s="6" t="s">
        <v>222</v>
      </c>
      <c r="C85" s="7" t="s">
        <v>223</v>
      </c>
      <c r="D85" s="5" t="s">
        <v>954</v>
      </c>
      <c r="E85" s="9" t="s">
        <v>77</v>
      </c>
      <c r="F85" s="9" t="s">
        <v>76</v>
      </c>
      <c r="G85" s="5">
        <v>0</v>
      </c>
      <c r="H85" s="5"/>
      <c r="I85" s="7" t="s">
        <v>224</v>
      </c>
    </row>
    <row r="86" spans="1:9">
      <c r="A86" s="5">
        <v>86</v>
      </c>
      <c r="B86" s="6" t="s">
        <v>225</v>
      </c>
      <c r="C86" s="7" t="s">
        <v>226</v>
      </c>
      <c r="D86" s="5" t="s">
        <v>954</v>
      </c>
      <c r="E86" s="9" t="s">
        <v>77</v>
      </c>
      <c r="F86" s="9" t="s">
        <v>76</v>
      </c>
      <c r="G86" s="5">
        <v>0</v>
      </c>
      <c r="H86" s="5"/>
      <c r="I86" s="7" t="s">
        <v>221</v>
      </c>
    </row>
    <row r="87" spans="1:9">
      <c r="A87" s="5">
        <v>87</v>
      </c>
      <c r="B87" s="6" t="s">
        <v>227</v>
      </c>
      <c r="C87" s="7" t="s">
        <v>228</v>
      </c>
      <c r="D87" s="5" t="s">
        <v>954</v>
      </c>
      <c r="E87" s="9" t="s">
        <v>77</v>
      </c>
      <c r="F87" s="9" t="s">
        <v>76</v>
      </c>
      <c r="G87" s="5">
        <v>0</v>
      </c>
      <c r="H87" s="5"/>
      <c r="I87" s="7" t="s">
        <v>221</v>
      </c>
    </row>
    <row r="88" spans="1:9">
      <c r="A88" s="5">
        <v>88</v>
      </c>
      <c r="B88" s="6" t="s">
        <v>229</v>
      </c>
      <c r="C88" s="7" t="s">
        <v>230</v>
      </c>
      <c r="D88" s="5" t="s">
        <v>954</v>
      </c>
      <c r="E88" s="9" t="s">
        <v>77</v>
      </c>
      <c r="F88" s="9" t="s">
        <v>76</v>
      </c>
      <c r="G88" s="5">
        <v>0</v>
      </c>
      <c r="H88" s="5"/>
      <c r="I88" s="7" t="s">
        <v>221</v>
      </c>
    </row>
    <row r="89" spans="1:9">
      <c r="A89" s="5">
        <v>89</v>
      </c>
      <c r="B89" s="6" t="s">
        <v>231</v>
      </c>
      <c r="C89" s="7" t="s">
        <v>232</v>
      </c>
      <c r="D89" s="5" t="s">
        <v>954</v>
      </c>
      <c r="E89" s="9" t="s">
        <v>77</v>
      </c>
      <c r="F89" s="9" t="s">
        <v>76</v>
      </c>
      <c r="G89" s="5">
        <v>0</v>
      </c>
      <c r="H89" s="5"/>
      <c r="I89" s="7" t="s">
        <v>233</v>
      </c>
    </row>
    <row r="90" spans="1:9">
      <c r="A90" s="5">
        <v>90</v>
      </c>
      <c r="B90" s="6" t="s">
        <v>234</v>
      </c>
      <c r="C90" s="7" t="s">
        <v>235</v>
      </c>
      <c r="D90" s="5" t="s">
        <v>954</v>
      </c>
      <c r="E90" s="9" t="s">
        <v>77</v>
      </c>
      <c r="F90" s="9" t="s">
        <v>76</v>
      </c>
      <c r="G90" s="5">
        <v>0</v>
      </c>
      <c r="H90" s="5"/>
      <c r="I90" s="7" t="s">
        <v>236</v>
      </c>
    </row>
    <row r="91" spans="1:9">
      <c r="A91" s="5">
        <v>91</v>
      </c>
      <c r="B91" s="6" t="s">
        <v>237</v>
      </c>
      <c r="C91" s="7" t="s">
        <v>238</v>
      </c>
      <c r="D91" s="5" t="s">
        <v>954</v>
      </c>
      <c r="E91" s="9" t="s">
        <v>77</v>
      </c>
      <c r="F91" s="9" t="s">
        <v>76</v>
      </c>
      <c r="G91" s="5">
        <v>0</v>
      </c>
      <c r="H91" s="5"/>
      <c r="I91" s="7" t="s">
        <v>239</v>
      </c>
    </row>
    <row r="92" spans="1:9">
      <c r="A92" s="5">
        <v>92</v>
      </c>
      <c r="B92" s="6" t="s">
        <v>240</v>
      </c>
      <c r="C92" s="7" t="s">
        <v>241</v>
      </c>
      <c r="D92" s="5" t="s">
        <v>954</v>
      </c>
      <c r="E92" s="9" t="s">
        <v>77</v>
      </c>
      <c r="F92" s="9" t="s">
        <v>76</v>
      </c>
      <c r="G92" s="5">
        <v>0</v>
      </c>
      <c r="H92" s="5"/>
      <c r="I92" s="7" t="s">
        <v>242</v>
      </c>
    </row>
    <row r="93" spans="1:9">
      <c r="A93" s="5">
        <v>93</v>
      </c>
      <c r="B93" s="6" t="s">
        <v>243</v>
      </c>
      <c r="C93" s="7" t="s">
        <v>244</v>
      </c>
      <c r="D93" s="5" t="s">
        <v>954</v>
      </c>
      <c r="E93" s="9" t="s">
        <v>77</v>
      </c>
      <c r="F93" s="9" t="s">
        <v>76</v>
      </c>
      <c r="G93" s="5">
        <v>0</v>
      </c>
      <c r="H93" s="5"/>
      <c r="I93" s="7" t="s">
        <v>245</v>
      </c>
    </row>
    <row r="94" spans="1:9">
      <c r="A94" s="5">
        <v>94</v>
      </c>
      <c r="B94" s="6" t="s">
        <v>246</v>
      </c>
      <c r="C94" s="7" t="s">
        <v>247</v>
      </c>
      <c r="D94" s="5" t="s">
        <v>954</v>
      </c>
      <c r="E94" s="9" t="s">
        <v>77</v>
      </c>
      <c r="F94" s="9" t="s">
        <v>76</v>
      </c>
      <c r="G94" s="5">
        <v>0</v>
      </c>
      <c r="H94" s="5"/>
      <c r="I94" s="7" t="s">
        <v>248</v>
      </c>
    </row>
    <row r="95" spans="1:9">
      <c r="A95" s="5">
        <v>95</v>
      </c>
      <c r="B95" s="6" t="s">
        <v>249</v>
      </c>
      <c r="C95" s="7" t="s">
        <v>250</v>
      </c>
      <c r="D95" s="5" t="s">
        <v>954</v>
      </c>
      <c r="E95" s="9" t="s">
        <v>77</v>
      </c>
      <c r="F95" s="9" t="s">
        <v>76</v>
      </c>
      <c r="G95" s="5">
        <v>0</v>
      </c>
      <c r="H95" s="5"/>
      <c r="I95" s="7" t="s">
        <v>251</v>
      </c>
    </row>
    <row r="96" spans="1:9">
      <c r="A96" s="5">
        <v>96</v>
      </c>
      <c r="B96" s="6" t="s">
        <v>252</v>
      </c>
      <c r="C96" s="7" t="s">
        <v>253</v>
      </c>
      <c r="D96" s="5" t="s">
        <v>954</v>
      </c>
      <c r="E96" s="9" t="s">
        <v>77</v>
      </c>
      <c r="F96" s="9" t="s">
        <v>76</v>
      </c>
      <c r="G96" s="5">
        <v>0</v>
      </c>
      <c r="H96" s="5"/>
      <c r="I96" s="7" t="s">
        <v>254</v>
      </c>
    </row>
    <row r="97" spans="1:9">
      <c r="A97" s="5">
        <v>97</v>
      </c>
      <c r="B97" s="6" t="s">
        <v>255</v>
      </c>
      <c r="C97" s="7" t="s">
        <v>256</v>
      </c>
      <c r="D97" s="5" t="s">
        <v>954</v>
      </c>
      <c r="E97" s="9" t="s">
        <v>77</v>
      </c>
      <c r="F97" s="9" t="s">
        <v>76</v>
      </c>
      <c r="G97" s="5">
        <v>0</v>
      </c>
      <c r="H97" s="5"/>
      <c r="I97" s="7" t="s">
        <v>257</v>
      </c>
    </row>
    <row r="98" spans="1:9">
      <c r="A98" s="5">
        <v>98</v>
      </c>
      <c r="B98" s="6" t="s">
        <v>258</v>
      </c>
      <c r="C98" s="7" t="s">
        <v>259</v>
      </c>
      <c r="D98" s="5" t="s">
        <v>954</v>
      </c>
      <c r="E98" s="9" t="s">
        <v>77</v>
      </c>
      <c r="F98" s="9" t="s">
        <v>76</v>
      </c>
      <c r="G98" s="5">
        <v>0</v>
      </c>
      <c r="H98" s="5"/>
      <c r="I98" s="7" t="s">
        <v>260</v>
      </c>
    </row>
    <row r="99" spans="1:9">
      <c r="A99" s="5">
        <v>99</v>
      </c>
      <c r="B99" s="6" t="s">
        <v>261</v>
      </c>
      <c r="C99" s="7" t="s">
        <v>262</v>
      </c>
      <c r="D99" s="5" t="s">
        <v>954</v>
      </c>
      <c r="E99" s="9" t="s">
        <v>77</v>
      </c>
      <c r="F99" s="9" t="s">
        <v>76</v>
      </c>
      <c r="G99" s="5">
        <v>0</v>
      </c>
      <c r="H99" s="5"/>
      <c r="I99" s="7" t="s">
        <v>263</v>
      </c>
    </row>
    <row r="100" spans="1:9">
      <c r="A100" s="5">
        <v>100</v>
      </c>
      <c r="B100" s="6" t="s">
        <v>264</v>
      </c>
      <c r="C100" s="7" t="s">
        <v>265</v>
      </c>
      <c r="D100" s="5" t="s">
        <v>954</v>
      </c>
      <c r="E100" s="9" t="s">
        <v>77</v>
      </c>
      <c r="F100" s="9" t="s">
        <v>76</v>
      </c>
      <c r="G100" s="5">
        <v>0</v>
      </c>
      <c r="H100" s="5"/>
      <c r="I100" s="7" t="s">
        <v>266</v>
      </c>
    </row>
    <row r="101" spans="1:9">
      <c r="A101" s="5">
        <v>101</v>
      </c>
      <c r="B101" s="6" t="s">
        <v>267</v>
      </c>
      <c r="C101" s="7" t="s">
        <v>268</v>
      </c>
      <c r="D101" s="5" t="s">
        <v>954</v>
      </c>
      <c r="E101" s="9" t="s">
        <v>77</v>
      </c>
      <c r="F101" s="9" t="s">
        <v>76</v>
      </c>
      <c r="G101" s="5">
        <v>0</v>
      </c>
      <c r="H101" s="5"/>
      <c r="I101" s="7" t="s">
        <v>269</v>
      </c>
    </row>
    <row r="102" spans="1:9">
      <c r="A102" s="5">
        <v>102</v>
      </c>
      <c r="B102" s="6" t="s">
        <v>270</v>
      </c>
      <c r="C102" s="7" t="s">
        <v>271</v>
      </c>
      <c r="D102" s="5" t="s">
        <v>954</v>
      </c>
      <c r="E102" s="9" t="s">
        <v>77</v>
      </c>
      <c r="F102" s="9" t="s">
        <v>76</v>
      </c>
      <c r="G102" s="5">
        <v>0</v>
      </c>
      <c r="H102" s="5"/>
      <c r="I102" s="7" t="s">
        <v>245</v>
      </c>
    </row>
    <row r="103" spans="1:9">
      <c r="A103" s="5">
        <v>103</v>
      </c>
      <c r="B103" s="6" t="s">
        <v>272</v>
      </c>
      <c r="C103" s="7" t="s">
        <v>273</v>
      </c>
      <c r="D103" s="5" t="s">
        <v>954</v>
      </c>
      <c r="E103" s="9" t="s">
        <v>77</v>
      </c>
      <c r="F103" s="9" t="s">
        <v>76</v>
      </c>
      <c r="G103" s="5">
        <v>0</v>
      </c>
      <c r="H103" s="5"/>
      <c r="I103" s="7" t="s">
        <v>248</v>
      </c>
    </row>
    <row r="104" spans="1:9">
      <c r="A104" s="5">
        <v>104</v>
      </c>
      <c r="B104" s="6" t="s">
        <v>274</v>
      </c>
      <c r="C104" s="7" t="s">
        <v>275</v>
      </c>
      <c r="D104" s="5" t="s">
        <v>954</v>
      </c>
      <c r="E104" s="9" t="s">
        <v>77</v>
      </c>
      <c r="F104" s="9" t="s">
        <v>76</v>
      </c>
      <c r="G104" s="5">
        <v>0</v>
      </c>
      <c r="H104" s="5"/>
      <c r="I104" s="7" t="s">
        <v>257</v>
      </c>
    </row>
    <row r="105" spans="1:9">
      <c r="A105" s="5">
        <v>105</v>
      </c>
      <c r="B105" s="6" t="s">
        <v>276</v>
      </c>
      <c r="C105" s="7" t="s">
        <v>277</v>
      </c>
      <c r="D105" s="5" t="s">
        <v>954</v>
      </c>
      <c r="E105" s="9" t="s">
        <v>77</v>
      </c>
      <c r="F105" s="9" t="s">
        <v>76</v>
      </c>
      <c r="G105" s="5">
        <v>0</v>
      </c>
      <c r="H105" s="5"/>
      <c r="I105" s="7" t="s">
        <v>260</v>
      </c>
    </row>
    <row r="106" spans="1:9">
      <c r="A106" s="5">
        <v>106</v>
      </c>
      <c r="B106" s="6" t="s">
        <v>278</v>
      </c>
      <c r="C106" s="7" t="s">
        <v>279</v>
      </c>
      <c r="D106" s="5" t="s">
        <v>954</v>
      </c>
      <c r="E106" s="9" t="s">
        <v>77</v>
      </c>
      <c r="F106" s="9" t="s">
        <v>76</v>
      </c>
      <c r="G106" s="5">
        <v>0</v>
      </c>
      <c r="H106" s="5"/>
      <c r="I106" s="7" t="s">
        <v>263</v>
      </c>
    </row>
    <row r="107" spans="1:9">
      <c r="A107" s="5">
        <v>107</v>
      </c>
      <c r="B107" s="6" t="s">
        <v>280</v>
      </c>
      <c r="C107" s="7" t="s">
        <v>281</v>
      </c>
      <c r="D107" s="5" t="s">
        <v>954</v>
      </c>
      <c r="E107" s="9" t="s">
        <v>77</v>
      </c>
      <c r="F107" s="9" t="s">
        <v>76</v>
      </c>
      <c r="G107" s="5">
        <v>0</v>
      </c>
      <c r="H107" s="5"/>
      <c r="I107" s="7" t="s">
        <v>245</v>
      </c>
    </row>
    <row r="108" spans="1:9">
      <c r="A108" s="5">
        <v>108</v>
      </c>
      <c r="B108" s="6" t="s">
        <v>282</v>
      </c>
      <c r="C108" s="7" t="s">
        <v>283</v>
      </c>
      <c r="D108" s="5" t="s">
        <v>954</v>
      </c>
      <c r="E108" s="9" t="s">
        <v>77</v>
      </c>
      <c r="F108" s="9" t="s">
        <v>76</v>
      </c>
      <c r="G108" s="5">
        <v>0</v>
      </c>
      <c r="H108" s="5"/>
      <c r="I108" s="7" t="s">
        <v>284</v>
      </c>
    </row>
    <row r="109" spans="1:9">
      <c r="A109" s="5">
        <v>109</v>
      </c>
      <c r="B109" s="6" t="s">
        <v>285</v>
      </c>
      <c r="C109" s="7" t="s">
        <v>286</v>
      </c>
      <c r="D109" s="5" t="s">
        <v>954</v>
      </c>
      <c r="E109" s="9" t="s">
        <v>77</v>
      </c>
      <c r="F109" s="9" t="s">
        <v>76</v>
      </c>
      <c r="G109" s="5">
        <v>0</v>
      </c>
      <c r="H109" s="5"/>
      <c r="I109" s="7" t="s">
        <v>257</v>
      </c>
    </row>
    <row r="110" spans="1:9">
      <c r="A110" s="5">
        <v>110</v>
      </c>
      <c r="B110" s="6" t="s">
        <v>287</v>
      </c>
      <c r="C110" s="7" t="s">
        <v>288</v>
      </c>
      <c r="D110" s="5" t="s">
        <v>954</v>
      </c>
      <c r="E110" s="9" t="s">
        <v>77</v>
      </c>
      <c r="F110" s="9" t="s">
        <v>76</v>
      </c>
      <c r="G110" s="5">
        <v>0</v>
      </c>
      <c r="H110" s="5"/>
      <c r="I110" s="7" t="s">
        <v>260</v>
      </c>
    </row>
    <row r="111" spans="1:9">
      <c r="A111" s="5">
        <v>111</v>
      </c>
      <c r="B111" s="6" t="s">
        <v>289</v>
      </c>
      <c r="C111" s="7" t="s">
        <v>290</v>
      </c>
      <c r="D111" s="5" t="s">
        <v>954</v>
      </c>
      <c r="E111" s="9" t="s">
        <v>77</v>
      </c>
      <c r="F111" s="9" t="s">
        <v>76</v>
      </c>
      <c r="G111" s="5">
        <v>0</v>
      </c>
      <c r="H111" s="5"/>
      <c r="I111" s="7" t="s">
        <v>263</v>
      </c>
    </row>
    <row r="112" spans="1:9">
      <c r="A112" s="5">
        <v>112</v>
      </c>
      <c r="B112" s="6" t="s">
        <v>291</v>
      </c>
      <c r="C112" s="7" t="s">
        <v>292</v>
      </c>
      <c r="D112" s="5" t="s">
        <v>954</v>
      </c>
      <c r="E112" s="9" t="s">
        <v>77</v>
      </c>
      <c r="F112" s="9" t="s">
        <v>76</v>
      </c>
      <c r="G112" s="5">
        <v>0</v>
      </c>
      <c r="H112" s="5"/>
      <c r="I112" s="7" t="s">
        <v>293</v>
      </c>
    </row>
    <row r="113" spans="1:9">
      <c r="A113" s="5">
        <v>113</v>
      </c>
      <c r="B113" s="6" t="s">
        <v>294</v>
      </c>
      <c r="C113" s="7" t="s">
        <v>295</v>
      </c>
      <c r="D113" s="5" t="s">
        <v>954</v>
      </c>
      <c r="E113" s="9" t="s">
        <v>77</v>
      </c>
      <c r="F113" s="9" t="s">
        <v>76</v>
      </c>
      <c r="G113" s="5">
        <v>0</v>
      </c>
      <c r="H113" s="5"/>
      <c r="I113" s="7" t="s">
        <v>257</v>
      </c>
    </row>
    <row r="114" spans="1:9">
      <c r="A114" s="5">
        <v>114</v>
      </c>
      <c r="B114" s="6" t="s">
        <v>296</v>
      </c>
      <c r="C114" s="7" t="s">
        <v>297</v>
      </c>
      <c r="D114" s="5" t="s">
        <v>954</v>
      </c>
      <c r="E114" s="9" t="s">
        <v>77</v>
      </c>
      <c r="F114" s="9" t="s">
        <v>76</v>
      </c>
      <c r="G114" s="5">
        <v>0</v>
      </c>
      <c r="H114" s="5"/>
      <c r="I114" s="7" t="s">
        <v>260</v>
      </c>
    </row>
    <row r="115" spans="1:9">
      <c r="A115" s="5">
        <v>115</v>
      </c>
      <c r="B115" s="6" t="s">
        <v>298</v>
      </c>
      <c r="C115" s="7" t="s">
        <v>299</v>
      </c>
      <c r="D115" s="5" t="s">
        <v>954</v>
      </c>
      <c r="E115" s="9" t="s">
        <v>77</v>
      </c>
      <c r="F115" s="9" t="s">
        <v>76</v>
      </c>
      <c r="G115" s="5">
        <v>0</v>
      </c>
      <c r="H115" s="5"/>
      <c r="I115" s="7" t="s">
        <v>263</v>
      </c>
    </row>
    <row r="116" spans="1:9">
      <c r="A116" s="5">
        <v>116</v>
      </c>
      <c r="B116" s="6" t="s">
        <v>300</v>
      </c>
      <c r="C116" s="7" t="s">
        <v>301</v>
      </c>
      <c r="D116" s="5" t="s">
        <v>954</v>
      </c>
      <c r="E116" s="9" t="s">
        <v>77</v>
      </c>
      <c r="F116" s="9" t="s">
        <v>76</v>
      </c>
      <c r="G116" s="5">
        <v>0</v>
      </c>
      <c r="H116" s="5"/>
      <c r="I116" s="7" t="s">
        <v>257</v>
      </c>
    </row>
    <row r="117" spans="1:9">
      <c r="A117" s="5">
        <v>117</v>
      </c>
      <c r="B117" s="6" t="s">
        <v>302</v>
      </c>
      <c r="C117" s="7" t="s">
        <v>303</v>
      </c>
      <c r="D117" s="5" t="s">
        <v>954</v>
      </c>
      <c r="E117" s="9" t="s">
        <v>77</v>
      </c>
      <c r="F117" s="9" t="s">
        <v>76</v>
      </c>
      <c r="G117" s="5">
        <v>0</v>
      </c>
      <c r="H117" s="5"/>
      <c r="I117" s="7" t="s">
        <v>257</v>
      </c>
    </row>
    <row r="118" spans="1:9">
      <c r="A118" s="5">
        <v>118</v>
      </c>
      <c r="B118" s="6" t="s">
        <v>304</v>
      </c>
      <c r="C118" s="7" t="s">
        <v>305</v>
      </c>
      <c r="D118" s="5" t="s">
        <v>954</v>
      </c>
      <c r="E118" s="9" t="s">
        <v>77</v>
      </c>
      <c r="F118" s="9" t="s">
        <v>76</v>
      </c>
      <c r="G118" s="5">
        <v>0</v>
      </c>
      <c r="H118" s="5"/>
      <c r="I118" s="7" t="s">
        <v>306</v>
      </c>
    </row>
    <row r="119" spans="1:9">
      <c r="A119" s="5">
        <v>119</v>
      </c>
      <c r="B119" s="6" t="s">
        <v>307</v>
      </c>
      <c r="C119" s="7" t="s">
        <v>308</v>
      </c>
      <c r="D119" s="5" t="s">
        <v>954</v>
      </c>
      <c r="E119" s="9" t="s">
        <v>77</v>
      </c>
      <c r="F119" s="9" t="s">
        <v>76</v>
      </c>
      <c r="G119" s="5">
        <v>0</v>
      </c>
      <c r="H119" s="5"/>
      <c r="I119" s="7" t="s">
        <v>306</v>
      </c>
    </row>
    <row r="120" spans="1:9">
      <c r="A120" s="5">
        <v>120</v>
      </c>
      <c r="B120" s="6" t="s">
        <v>309</v>
      </c>
      <c r="C120" s="7" t="s">
        <v>310</v>
      </c>
      <c r="D120" s="5" t="s">
        <v>954</v>
      </c>
      <c r="E120" s="9" t="s">
        <v>77</v>
      </c>
      <c r="F120" s="9" t="s">
        <v>76</v>
      </c>
      <c r="G120" s="5">
        <v>0</v>
      </c>
      <c r="H120" s="5"/>
      <c r="I120" s="7" t="s">
        <v>306</v>
      </c>
    </row>
    <row r="121" spans="1:9">
      <c r="A121" s="5">
        <v>121</v>
      </c>
      <c r="B121" s="6" t="s">
        <v>311</v>
      </c>
      <c r="C121" s="7" t="s">
        <v>312</v>
      </c>
      <c r="D121" s="5" t="s">
        <v>954</v>
      </c>
      <c r="E121" s="9" t="s">
        <v>77</v>
      </c>
      <c r="F121" s="9" t="s">
        <v>76</v>
      </c>
      <c r="G121" s="5">
        <v>0</v>
      </c>
      <c r="H121" s="5"/>
      <c r="I121" s="7" t="s">
        <v>306</v>
      </c>
    </row>
    <row r="122" spans="1:9">
      <c r="A122" s="5">
        <v>122</v>
      </c>
      <c r="B122" s="6" t="s">
        <v>313</v>
      </c>
      <c r="C122" s="7" t="s">
        <v>314</v>
      </c>
      <c r="D122" s="5" t="s">
        <v>954</v>
      </c>
      <c r="E122" s="9" t="s">
        <v>77</v>
      </c>
      <c r="F122" s="9" t="s">
        <v>76</v>
      </c>
      <c r="G122" s="5">
        <v>0</v>
      </c>
      <c r="H122" s="5"/>
      <c r="I122" s="7" t="s">
        <v>315</v>
      </c>
    </row>
    <row r="123" spans="1:9">
      <c r="A123" s="5">
        <v>123</v>
      </c>
      <c r="B123" s="6" t="s">
        <v>316</v>
      </c>
      <c r="C123" s="7" t="s">
        <v>317</v>
      </c>
      <c r="D123" s="5" t="s">
        <v>954</v>
      </c>
      <c r="E123" s="9" t="s">
        <v>77</v>
      </c>
      <c r="F123" s="9" t="s">
        <v>76</v>
      </c>
      <c r="G123" s="5">
        <v>0</v>
      </c>
      <c r="H123" s="5"/>
      <c r="I123" s="7" t="s">
        <v>318</v>
      </c>
    </row>
    <row r="124" spans="1:9">
      <c r="A124" s="5">
        <v>124</v>
      </c>
      <c r="B124" s="6" t="s">
        <v>319</v>
      </c>
      <c r="C124" s="7" t="s">
        <v>320</v>
      </c>
      <c r="D124" s="5" t="s">
        <v>954</v>
      </c>
      <c r="E124" s="9" t="s">
        <v>77</v>
      </c>
      <c r="F124" s="9" t="s">
        <v>76</v>
      </c>
      <c r="G124" s="5">
        <v>0</v>
      </c>
      <c r="H124" s="5"/>
      <c r="I124" s="7" t="s">
        <v>318</v>
      </c>
    </row>
    <row r="125" spans="1:9">
      <c r="A125" s="5">
        <v>125</v>
      </c>
      <c r="B125" s="6" t="s">
        <v>321</v>
      </c>
      <c r="C125" s="7" t="s">
        <v>322</v>
      </c>
      <c r="D125" s="5" t="s">
        <v>954</v>
      </c>
      <c r="E125" s="9" t="s">
        <v>77</v>
      </c>
      <c r="F125" s="9" t="s">
        <v>76</v>
      </c>
      <c r="G125" s="5">
        <v>0</v>
      </c>
      <c r="H125" s="5"/>
      <c r="I125" s="7" t="s">
        <v>318</v>
      </c>
    </row>
    <row r="126" spans="1:9">
      <c r="A126" s="5">
        <v>126</v>
      </c>
      <c r="B126" s="6" t="s">
        <v>323</v>
      </c>
      <c r="C126" s="7" t="s">
        <v>324</v>
      </c>
      <c r="D126" s="5" t="s">
        <v>954</v>
      </c>
      <c r="E126" s="9" t="s">
        <v>77</v>
      </c>
      <c r="F126" s="9" t="s">
        <v>76</v>
      </c>
      <c r="G126" s="5">
        <v>0</v>
      </c>
      <c r="H126" s="5"/>
      <c r="I126" s="7" t="s">
        <v>325</v>
      </c>
    </row>
    <row r="127" spans="1:9">
      <c r="A127" s="5">
        <v>127</v>
      </c>
      <c r="B127" s="6" t="s">
        <v>326</v>
      </c>
      <c r="C127" s="7" t="s">
        <v>327</v>
      </c>
      <c r="D127" s="5" t="s">
        <v>954</v>
      </c>
      <c r="E127" s="9" t="s">
        <v>77</v>
      </c>
      <c r="F127" s="9" t="s">
        <v>76</v>
      </c>
      <c r="G127" s="5">
        <v>0</v>
      </c>
      <c r="H127" s="5"/>
      <c r="I127" s="7" t="s">
        <v>325</v>
      </c>
    </row>
    <row r="128" spans="1:9">
      <c r="A128" s="5">
        <v>128</v>
      </c>
      <c r="B128" s="6" t="s">
        <v>328</v>
      </c>
      <c r="C128" s="7" t="s">
        <v>329</v>
      </c>
      <c r="D128" s="5" t="s">
        <v>954</v>
      </c>
      <c r="E128" s="9" t="s">
        <v>77</v>
      </c>
      <c r="F128" s="9" t="s">
        <v>76</v>
      </c>
      <c r="G128" s="5">
        <v>0</v>
      </c>
      <c r="H128" s="5"/>
      <c r="I128" s="7" t="s">
        <v>325</v>
      </c>
    </row>
    <row r="129" spans="1:9">
      <c r="A129" s="5">
        <v>129</v>
      </c>
      <c r="B129" s="6" t="s">
        <v>330</v>
      </c>
      <c r="C129" s="7" t="s">
        <v>331</v>
      </c>
      <c r="D129" s="5" t="s">
        <v>954</v>
      </c>
      <c r="E129" s="9" t="s">
        <v>77</v>
      </c>
      <c r="F129" s="9" t="s">
        <v>76</v>
      </c>
      <c r="G129" s="5">
        <v>0</v>
      </c>
      <c r="H129" s="5"/>
      <c r="I129" s="7" t="s">
        <v>325</v>
      </c>
    </row>
    <row r="130" spans="1:9">
      <c r="A130" s="5">
        <v>130</v>
      </c>
      <c r="B130" s="6" t="s">
        <v>332</v>
      </c>
      <c r="C130" s="7" t="s">
        <v>333</v>
      </c>
      <c r="D130" s="5" t="s">
        <v>954</v>
      </c>
      <c r="E130" s="9" t="s">
        <v>77</v>
      </c>
      <c r="F130" s="9" t="s">
        <v>334</v>
      </c>
      <c r="G130" s="5">
        <v>0</v>
      </c>
      <c r="H130" s="5"/>
      <c r="I130" s="7" t="s">
        <v>80</v>
      </c>
    </row>
    <row r="131" spans="1:9">
      <c r="A131" s="5">
        <v>131</v>
      </c>
      <c r="B131" s="6" t="s">
        <v>335</v>
      </c>
      <c r="C131" s="7" t="s">
        <v>336</v>
      </c>
      <c r="D131" s="5" t="s">
        <v>954</v>
      </c>
      <c r="E131" s="9" t="s">
        <v>77</v>
      </c>
      <c r="F131" s="9" t="s">
        <v>334</v>
      </c>
      <c r="G131" s="5">
        <v>0</v>
      </c>
      <c r="H131" s="5"/>
      <c r="I131" s="7" t="s">
        <v>131</v>
      </c>
    </row>
    <row r="132" spans="1:9">
      <c r="A132" s="5">
        <v>132</v>
      </c>
      <c r="B132" s="6" t="s">
        <v>337</v>
      </c>
      <c r="C132" s="7" t="s">
        <v>338</v>
      </c>
      <c r="D132" s="5" t="s">
        <v>954</v>
      </c>
      <c r="E132" s="9" t="s">
        <v>77</v>
      </c>
      <c r="F132" s="9" t="s">
        <v>334</v>
      </c>
      <c r="G132" s="5">
        <v>0</v>
      </c>
      <c r="H132" s="5"/>
      <c r="I132" s="7" t="s">
        <v>123</v>
      </c>
    </row>
    <row r="133" spans="1:9">
      <c r="A133" s="5">
        <v>133</v>
      </c>
      <c r="B133" s="6" t="s">
        <v>339</v>
      </c>
      <c r="C133" s="7" t="s">
        <v>340</v>
      </c>
      <c r="D133" s="5" t="s">
        <v>954</v>
      </c>
      <c r="E133" s="9" t="s">
        <v>77</v>
      </c>
      <c r="F133" s="9" t="s">
        <v>334</v>
      </c>
      <c r="G133" s="5">
        <v>0</v>
      </c>
      <c r="H133" s="5"/>
      <c r="I133" s="7" t="s">
        <v>123</v>
      </c>
    </row>
    <row r="134" spans="1:9">
      <c r="A134" s="5">
        <v>134</v>
      </c>
      <c r="B134" s="6" t="s">
        <v>341</v>
      </c>
      <c r="C134" s="7" t="s">
        <v>342</v>
      </c>
      <c r="D134" s="5" t="s">
        <v>954</v>
      </c>
      <c r="E134" s="9" t="s">
        <v>77</v>
      </c>
      <c r="F134" s="9" t="s">
        <v>334</v>
      </c>
      <c r="G134" s="5">
        <v>0</v>
      </c>
      <c r="H134" s="5"/>
      <c r="I134" s="7" t="s">
        <v>126</v>
      </c>
    </row>
    <row r="135" spans="1:9">
      <c r="A135" s="5">
        <v>135</v>
      </c>
      <c r="B135" s="6" t="s">
        <v>343</v>
      </c>
      <c r="C135" s="7" t="s">
        <v>344</v>
      </c>
      <c r="D135" s="5" t="s">
        <v>954</v>
      </c>
      <c r="E135" s="9" t="s">
        <v>77</v>
      </c>
      <c r="F135" s="9" t="s">
        <v>334</v>
      </c>
      <c r="G135" s="5">
        <v>0</v>
      </c>
      <c r="H135" s="5"/>
      <c r="I135" s="7" t="s">
        <v>126</v>
      </c>
    </row>
    <row r="136" spans="1:9">
      <c r="A136" s="5">
        <v>136</v>
      </c>
      <c r="B136" s="6" t="s">
        <v>345</v>
      </c>
      <c r="C136" s="7" t="s">
        <v>346</v>
      </c>
      <c r="D136" s="5" t="s">
        <v>954</v>
      </c>
      <c r="E136" s="9" t="s">
        <v>77</v>
      </c>
      <c r="F136" s="9" t="s">
        <v>334</v>
      </c>
      <c r="G136" s="5">
        <v>0</v>
      </c>
      <c r="H136" s="5"/>
      <c r="I136" s="7" t="s">
        <v>138</v>
      </c>
    </row>
    <row r="137" spans="1:9">
      <c r="A137" s="5">
        <v>137</v>
      </c>
      <c r="B137" s="6" t="s">
        <v>347</v>
      </c>
      <c r="C137" s="7" t="s">
        <v>348</v>
      </c>
      <c r="D137" s="5" t="s">
        <v>954</v>
      </c>
      <c r="E137" s="9" t="s">
        <v>77</v>
      </c>
      <c r="F137" s="9" t="s">
        <v>334</v>
      </c>
      <c r="G137" s="5">
        <v>0</v>
      </c>
      <c r="H137" s="5"/>
      <c r="I137" s="7" t="s">
        <v>146</v>
      </c>
    </row>
    <row r="138" spans="1:9">
      <c r="A138" s="5">
        <v>138</v>
      </c>
      <c r="B138" s="6" t="s">
        <v>349</v>
      </c>
      <c r="C138" s="7" t="s">
        <v>350</v>
      </c>
      <c r="D138" s="5" t="s">
        <v>954</v>
      </c>
      <c r="E138" s="9" t="s">
        <v>77</v>
      </c>
      <c r="F138" s="9" t="s">
        <v>334</v>
      </c>
      <c r="G138" s="5">
        <v>0</v>
      </c>
      <c r="H138" s="5"/>
      <c r="I138" s="7" t="s">
        <v>168</v>
      </c>
    </row>
    <row r="139" spans="1:9">
      <c r="A139" s="5">
        <v>139</v>
      </c>
      <c r="B139" s="6" t="s">
        <v>351</v>
      </c>
      <c r="C139" s="7" t="s">
        <v>352</v>
      </c>
      <c r="D139" s="5" t="s">
        <v>954</v>
      </c>
      <c r="E139" s="9" t="s">
        <v>77</v>
      </c>
      <c r="F139" s="9" t="s">
        <v>334</v>
      </c>
      <c r="G139" s="5">
        <v>0</v>
      </c>
      <c r="H139" s="5"/>
      <c r="I139" s="7" t="s">
        <v>171</v>
      </c>
    </row>
    <row r="140" spans="1:9">
      <c r="A140" s="5">
        <v>140</v>
      </c>
      <c r="B140" s="6" t="s">
        <v>353</v>
      </c>
      <c r="C140" s="7" t="s">
        <v>354</v>
      </c>
      <c r="D140" s="5" t="s">
        <v>954</v>
      </c>
      <c r="E140" s="9" t="s">
        <v>77</v>
      </c>
      <c r="F140" s="9" t="s">
        <v>334</v>
      </c>
      <c r="G140" s="5">
        <v>0</v>
      </c>
      <c r="H140" s="5"/>
      <c r="I140" s="7" t="s">
        <v>176</v>
      </c>
    </row>
    <row r="141" spans="1:9">
      <c r="A141" s="5">
        <v>141</v>
      </c>
      <c r="B141" s="6" t="s">
        <v>355</v>
      </c>
      <c r="C141" s="7" t="s">
        <v>356</v>
      </c>
      <c r="D141" s="5" t="s">
        <v>954</v>
      </c>
      <c r="E141" s="9" t="s">
        <v>77</v>
      </c>
      <c r="F141" s="9" t="s">
        <v>334</v>
      </c>
      <c r="G141" s="5">
        <v>0</v>
      </c>
      <c r="H141" s="5"/>
      <c r="I141" s="7" t="s">
        <v>233</v>
      </c>
    </row>
    <row r="142" spans="1:9">
      <c r="A142" s="5">
        <v>142</v>
      </c>
      <c r="B142" s="6" t="s">
        <v>357</v>
      </c>
      <c r="C142" s="7" t="s">
        <v>358</v>
      </c>
      <c r="D142" s="5" t="s">
        <v>954</v>
      </c>
      <c r="E142" s="9" t="s">
        <v>77</v>
      </c>
      <c r="F142" s="9" t="s">
        <v>334</v>
      </c>
      <c r="G142" s="5">
        <v>0</v>
      </c>
      <c r="H142" s="5"/>
      <c r="I142" s="7" t="s">
        <v>236</v>
      </c>
    </row>
    <row r="143" spans="1:9">
      <c r="A143" s="5">
        <v>143</v>
      </c>
      <c r="B143" s="6" t="s">
        <v>359</v>
      </c>
      <c r="C143" s="7" t="s">
        <v>360</v>
      </c>
      <c r="D143" s="5" t="s">
        <v>954</v>
      </c>
      <c r="E143" s="9" t="s">
        <v>77</v>
      </c>
      <c r="F143" s="9" t="s">
        <v>334</v>
      </c>
      <c r="G143" s="5">
        <v>0</v>
      </c>
      <c r="H143" s="5"/>
      <c r="I143" s="7" t="s">
        <v>239</v>
      </c>
    </row>
    <row r="144" spans="1:9">
      <c r="A144" s="5">
        <v>144</v>
      </c>
      <c r="B144" s="6" t="s">
        <v>361</v>
      </c>
      <c r="C144" s="7" t="s">
        <v>362</v>
      </c>
      <c r="D144" s="5" t="s">
        <v>954</v>
      </c>
      <c r="E144" s="9" t="s">
        <v>77</v>
      </c>
      <c r="F144" s="9" t="s">
        <v>334</v>
      </c>
      <c r="G144" s="5">
        <v>0</v>
      </c>
      <c r="H144" s="5"/>
      <c r="I144" s="7" t="s">
        <v>266</v>
      </c>
    </row>
    <row r="145" spans="1:9">
      <c r="A145" s="5">
        <v>145</v>
      </c>
      <c r="B145" s="6" t="s">
        <v>363</v>
      </c>
      <c r="C145" s="7" t="s">
        <v>364</v>
      </c>
      <c r="D145" s="5" t="s">
        <v>954</v>
      </c>
      <c r="E145" s="9" t="s">
        <v>77</v>
      </c>
      <c r="F145" s="9" t="s">
        <v>334</v>
      </c>
      <c r="G145" s="5">
        <v>0</v>
      </c>
      <c r="H145" s="5"/>
      <c r="I145" s="7" t="s">
        <v>269</v>
      </c>
    </row>
    <row r="146" spans="1:9">
      <c r="A146" s="5">
        <v>146</v>
      </c>
      <c r="B146" s="6" t="s">
        <v>365</v>
      </c>
      <c r="C146" s="7" t="s">
        <v>366</v>
      </c>
      <c r="D146" s="5" t="s">
        <v>954</v>
      </c>
      <c r="E146" s="9" t="s">
        <v>77</v>
      </c>
      <c r="F146" s="9" t="s">
        <v>334</v>
      </c>
      <c r="G146" s="5">
        <v>0</v>
      </c>
      <c r="H146" s="5"/>
      <c r="I146" s="7" t="s">
        <v>236</v>
      </c>
    </row>
    <row r="147" spans="1:9">
      <c r="A147" s="5">
        <v>147</v>
      </c>
      <c r="B147" s="6" t="s">
        <v>367</v>
      </c>
      <c r="C147" s="7" t="s">
        <v>368</v>
      </c>
      <c r="D147" s="5" t="s">
        <v>954</v>
      </c>
      <c r="E147" s="9" t="s">
        <v>77</v>
      </c>
      <c r="F147" s="9" t="s">
        <v>334</v>
      </c>
      <c r="G147" s="5">
        <v>0</v>
      </c>
      <c r="H147" s="5"/>
      <c r="I147" s="7" t="s">
        <v>266</v>
      </c>
    </row>
    <row r="148" spans="1:9">
      <c r="A148" s="5">
        <v>148</v>
      </c>
      <c r="B148" s="6" t="s">
        <v>369</v>
      </c>
      <c r="C148" s="7" t="s">
        <v>370</v>
      </c>
      <c r="D148" s="5" t="s">
        <v>954</v>
      </c>
      <c r="E148" s="9" t="s">
        <v>77</v>
      </c>
      <c r="F148" s="9" t="s">
        <v>334</v>
      </c>
      <c r="G148" s="5">
        <v>0</v>
      </c>
      <c r="H148" s="5"/>
      <c r="I148" s="7" t="s">
        <v>269</v>
      </c>
    </row>
    <row r="149" spans="1:9">
      <c r="A149" s="5">
        <v>149</v>
      </c>
      <c r="B149" s="6" t="s">
        <v>371</v>
      </c>
      <c r="C149" s="7" t="s">
        <v>372</v>
      </c>
      <c r="D149" s="5" t="s">
        <v>954</v>
      </c>
      <c r="E149" s="9" t="s">
        <v>77</v>
      </c>
      <c r="F149" s="9" t="s">
        <v>334</v>
      </c>
      <c r="G149" s="5">
        <v>0</v>
      </c>
      <c r="H149" s="5"/>
      <c r="I149" s="7" t="s">
        <v>245</v>
      </c>
    </row>
    <row r="150" spans="1:9">
      <c r="A150" s="5">
        <v>526</v>
      </c>
      <c r="B150" s="6" t="s">
        <v>373</v>
      </c>
      <c r="C150" s="7" t="s">
        <v>374</v>
      </c>
      <c r="D150" s="9" t="s">
        <v>28</v>
      </c>
      <c r="E150" s="9" t="s">
        <v>11</v>
      </c>
      <c r="F150" s="9" t="s">
        <v>376</v>
      </c>
      <c r="G150" s="5">
        <v>19</v>
      </c>
      <c r="H150" s="5"/>
      <c r="I150" s="7" t="s">
        <v>375</v>
      </c>
    </row>
    <row r="151" spans="1:9">
      <c r="A151" s="5">
        <v>527</v>
      </c>
      <c r="B151" s="6" t="s">
        <v>377</v>
      </c>
      <c r="C151" s="7" t="s">
        <v>378</v>
      </c>
      <c r="D151" s="9" t="s">
        <v>9</v>
      </c>
      <c r="E151" s="9" t="s">
        <v>11</v>
      </c>
      <c r="F151" s="9" t="s">
        <v>376</v>
      </c>
      <c r="G151" s="5">
        <v>99</v>
      </c>
      <c r="H151" s="5"/>
      <c r="I151" s="7" t="s">
        <v>379</v>
      </c>
    </row>
    <row r="152" spans="1:9">
      <c r="A152" s="5">
        <v>528</v>
      </c>
      <c r="B152" s="6" t="s">
        <v>380</v>
      </c>
      <c r="C152" s="7" t="s">
        <v>381</v>
      </c>
      <c r="D152" s="9" t="s">
        <v>9</v>
      </c>
      <c r="E152" s="9" t="s">
        <v>11</v>
      </c>
      <c r="F152" s="9" t="s">
        <v>376</v>
      </c>
      <c r="G152" s="5">
        <v>0</v>
      </c>
      <c r="H152" s="5"/>
      <c r="I152" s="7" t="s">
        <v>382</v>
      </c>
    </row>
    <row r="153" spans="1:9">
      <c r="A153" s="5">
        <v>529</v>
      </c>
      <c r="B153" s="6" t="s">
        <v>383</v>
      </c>
      <c r="C153" s="7" t="s">
        <v>384</v>
      </c>
      <c r="D153" s="9" t="s">
        <v>37</v>
      </c>
      <c r="E153" s="9" t="s">
        <v>11</v>
      </c>
      <c r="F153" s="9" t="s">
        <v>376</v>
      </c>
      <c r="G153" s="5">
        <v>90</v>
      </c>
      <c r="H153" s="5"/>
      <c r="I153" s="7" t="s">
        <v>385</v>
      </c>
    </row>
    <row r="154" spans="1:9">
      <c r="A154" s="5">
        <v>530</v>
      </c>
      <c r="B154" s="6" t="s">
        <v>386</v>
      </c>
      <c r="C154" s="7" t="s">
        <v>387</v>
      </c>
      <c r="D154" s="9" t="s">
        <v>9</v>
      </c>
      <c r="E154" s="9" t="s">
        <v>11</v>
      </c>
      <c r="F154" s="9" t="s">
        <v>376</v>
      </c>
      <c r="G154" s="5">
        <v>99</v>
      </c>
      <c r="H154" s="5"/>
      <c r="I154" s="7" t="s">
        <v>388</v>
      </c>
    </row>
    <row r="155" spans="1:9">
      <c r="A155" s="5">
        <v>531</v>
      </c>
      <c r="B155" s="6" t="s">
        <v>389</v>
      </c>
      <c r="C155" s="7" t="s">
        <v>390</v>
      </c>
      <c r="D155" s="9" t="s">
        <v>9</v>
      </c>
      <c r="E155" s="9" t="s">
        <v>11</v>
      </c>
      <c r="F155" s="9" t="s">
        <v>376</v>
      </c>
      <c r="G155" s="5">
        <v>85</v>
      </c>
      <c r="H155" s="5"/>
      <c r="I155" s="7" t="s">
        <v>391</v>
      </c>
    </row>
    <row r="156" spans="1:9">
      <c r="A156" s="5">
        <v>532</v>
      </c>
      <c r="B156" s="6" t="s">
        <v>392</v>
      </c>
      <c r="C156" s="7" t="s">
        <v>393</v>
      </c>
      <c r="D156" s="9" t="s">
        <v>28</v>
      </c>
      <c r="E156" s="9" t="s">
        <v>11</v>
      </c>
      <c r="F156" s="9" t="s">
        <v>376</v>
      </c>
      <c r="G156" s="5">
        <v>61</v>
      </c>
      <c r="H156" s="5"/>
      <c r="I156" s="7" t="s">
        <v>221</v>
      </c>
    </row>
    <row r="157" spans="1:9">
      <c r="A157" s="5">
        <v>533</v>
      </c>
      <c r="B157" s="6" t="s">
        <v>394</v>
      </c>
      <c r="C157" s="7" t="s">
        <v>395</v>
      </c>
      <c r="D157" s="9" t="s">
        <v>37</v>
      </c>
      <c r="E157" s="9" t="s">
        <v>11</v>
      </c>
      <c r="F157" s="9" t="s">
        <v>376</v>
      </c>
      <c r="G157" s="5">
        <v>70</v>
      </c>
      <c r="H157" s="5"/>
      <c r="I157" s="7" t="s">
        <v>181</v>
      </c>
    </row>
    <row r="158" spans="1:9">
      <c r="A158" s="5">
        <v>534</v>
      </c>
      <c r="B158" s="6" t="s">
        <v>396</v>
      </c>
      <c r="C158" s="7" t="s">
        <v>397</v>
      </c>
      <c r="D158" s="9" t="s">
        <v>28</v>
      </c>
      <c r="E158" s="9" t="s">
        <v>11</v>
      </c>
      <c r="F158" s="9" t="s">
        <v>376</v>
      </c>
      <c r="G158" s="5">
        <v>61</v>
      </c>
      <c r="H158" s="5"/>
      <c r="I158" s="7" t="s">
        <v>221</v>
      </c>
    </row>
    <row r="159" spans="1:9">
      <c r="A159" s="5">
        <v>535</v>
      </c>
      <c r="B159" s="6" t="s">
        <v>398</v>
      </c>
      <c r="C159" s="7" t="s">
        <v>399</v>
      </c>
      <c r="D159" s="9" t="s">
        <v>9</v>
      </c>
      <c r="E159" s="9" t="s">
        <v>11</v>
      </c>
      <c r="F159" s="9" t="s">
        <v>376</v>
      </c>
      <c r="G159" s="5">
        <v>0</v>
      </c>
      <c r="H159" s="5"/>
      <c r="I159" s="7" t="s">
        <v>141</v>
      </c>
    </row>
    <row r="160" spans="1:9">
      <c r="A160" s="5">
        <v>536</v>
      </c>
      <c r="B160" s="6" t="s">
        <v>400</v>
      </c>
      <c r="C160" s="7" t="s">
        <v>401</v>
      </c>
      <c r="D160" s="9" t="s">
        <v>9</v>
      </c>
      <c r="E160" s="9" t="s">
        <v>11</v>
      </c>
      <c r="F160" s="9" t="s">
        <v>376</v>
      </c>
      <c r="G160" s="5">
        <v>85</v>
      </c>
      <c r="H160" s="5"/>
      <c r="I160" s="7" t="s">
        <v>248</v>
      </c>
    </row>
    <row r="161" spans="1:9">
      <c r="A161" s="5">
        <v>537</v>
      </c>
      <c r="B161" s="6" t="s">
        <v>402</v>
      </c>
      <c r="C161" s="7" t="s">
        <v>403</v>
      </c>
      <c r="D161" s="9" t="s">
        <v>9</v>
      </c>
      <c r="E161" s="9" t="s">
        <v>11</v>
      </c>
      <c r="F161" s="9" t="s">
        <v>376</v>
      </c>
      <c r="G161" s="5">
        <v>79</v>
      </c>
      <c r="H161" s="5"/>
      <c r="I161" s="7" t="s">
        <v>404</v>
      </c>
    </row>
    <row r="162" spans="1:9">
      <c r="A162" s="5">
        <v>538</v>
      </c>
      <c r="B162" s="6" t="s">
        <v>405</v>
      </c>
      <c r="C162" s="7" t="s">
        <v>406</v>
      </c>
      <c r="D162" s="9" t="s">
        <v>37</v>
      </c>
      <c r="E162" s="9" t="s">
        <v>11</v>
      </c>
      <c r="F162" s="9" t="s">
        <v>376</v>
      </c>
      <c r="G162" s="5">
        <v>95</v>
      </c>
      <c r="H162" s="5"/>
      <c r="I162" s="7" t="s">
        <v>86</v>
      </c>
    </row>
    <row r="163" spans="1:9">
      <c r="A163" s="5">
        <v>539</v>
      </c>
      <c r="B163" s="6" t="s">
        <v>407</v>
      </c>
      <c r="C163" s="7" t="s">
        <v>408</v>
      </c>
      <c r="D163" s="9" t="s">
        <v>9</v>
      </c>
      <c r="E163" s="9" t="s">
        <v>11</v>
      </c>
      <c r="F163" s="9" t="s">
        <v>376</v>
      </c>
      <c r="G163" s="5">
        <v>86</v>
      </c>
      <c r="H163" s="5"/>
      <c r="I163" s="7" t="s">
        <v>284</v>
      </c>
    </row>
    <row r="164" spans="1:9">
      <c r="A164" s="5">
        <v>540</v>
      </c>
      <c r="B164" s="6" t="s">
        <v>409</v>
      </c>
      <c r="C164" s="7" t="s">
        <v>410</v>
      </c>
      <c r="D164" s="9" t="s">
        <v>9</v>
      </c>
      <c r="E164" s="9" t="s">
        <v>11</v>
      </c>
      <c r="F164" s="9" t="s">
        <v>376</v>
      </c>
      <c r="G164" s="5">
        <v>0</v>
      </c>
      <c r="H164" s="5"/>
      <c r="I164" s="7" t="s">
        <v>109</v>
      </c>
    </row>
    <row r="165" spans="1:9">
      <c r="A165" s="5">
        <v>541</v>
      </c>
      <c r="B165" s="6" t="s">
        <v>411</v>
      </c>
      <c r="C165" s="7" t="s">
        <v>412</v>
      </c>
      <c r="D165" s="9" t="s">
        <v>9</v>
      </c>
      <c r="E165" s="9" t="s">
        <v>11</v>
      </c>
      <c r="F165" s="9" t="s">
        <v>376</v>
      </c>
      <c r="G165" s="5">
        <v>63</v>
      </c>
      <c r="H165" s="5"/>
      <c r="I165" s="7" t="s">
        <v>293</v>
      </c>
    </row>
    <row r="166" spans="1:9">
      <c r="A166" s="5">
        <v>542</v>
      </c>
      <c r="B166" s="6" t="s">
        <v>413</v>
      </c>
      <c r="C166" s="7" t="s">
        <v>414</v>
      </c>
      <c r="D166" s="9" t="s">
        <v>28</v>
      </c>
      <c r="E166" s="9" t="s">
        <v>11</v>
      </c>
      <c r="F166" s="9" t="s">
        <v>376</v>
      </c>
      <c r="G166" s="5">
        <v>0</v>
      </c>
      <c r="H166" s="5"/>
      <c r="I166" s="7" t="s">
        <v>131</v>
      </c>
    </row>
    <row r="167" spans="1:9">
      <c r="A167" s="5">
        <v>543</v>
      </c>
      <c r="B167" s="6" t="s">
        <v>415</v>
      </c>
      <c r="C167" s="7" t="s">
        <v>416</v>
      </c>
      <c r="D167" s="9" t="s">
        <v>28</v>
      </c>
      <c r="E167" s="9" t="s">
        <v>11</v>
      </c>
      <c r="F167" s="9" t="s">
        <v>376</v>
      </c>
      <c r="G167" s="5">
        <v>0</v>
      </c>
      <c r="H167" s="5"/>
      <c r="I167" s="7" t="s">
        <v>114</v>
      </c>
    </row>
    <row r="168" spans="1:9">
      <c r="A168" s="5">
        <v>544</v>
      </c>
      <c r="B168" s="6" t="s">
        <v>417</v>
      </c>
      <c r="C168" s="7" t="s">
        <v>418</v>
      </c>
      <c r="D168" s="9" t="s">
        <v>9</v>
      </c>
      <c r="E168" s="9" t="s">
        <v>11</v>
      </c>
      <c r="F168" s="9" t="s">
        <v>376</v>
      </c>
      <c r="G168" s="5">
        <v>0</v>
      </c>
      <c r="H168" s="5"/>
      <c r="I168" s="7" t="s">
        <v>158</v>
      </c>
    </row>
    <row r="169" spans="1:9">
      <c r="A169" s="5">
        <v>545</v>
      </c>
      <c r="B169" s="6" t="s">
        <v>419</v>
      </c>
      <c r="C169" s="7" t="s">
        <v>420</v>
      </c>
      <c r="D169" s="9" t="s">
        <v>421</v>
      </c>
      <c r="E169" s="9" t="s">
        <v>11</v>
      </c>
      <c r="F169" s="9" t="s">
        <v>376</v>
      </c>
      <c r="G169" s="5">
        <v>0</v>
      </c>
      <c r="H169" s="5"/>
      <c r="I169" s="7" t="s">
        <v>224</v>
      </c>
    </row>
    <row r="170" spans="1:9">
      <c r="A170" s="5">
        <v>546</v>
      </c>
      <c r="B170" s="6" t="s">
        <v>422</v>
      </c>
      <c r="C170" s="7" t="s">
        <v>423</v>
      </c>
      <c r="D170" s="9" t="s">
        <v>9</v>
      </c>
      <c r="E170" s="9" t="s">
        <v>11</v>
      </c>
      <c r="F170" s="9" t="s">
        <v>424</v>
      </c>
      <c r="G170" s="5">
        <v>0</v>
      </c>
      <c r="H170" s="5"/>
      <c r="I170" s="8"/>
    </row>
    <row r="171" spans="1:9">
      <c r="A171" s="5">
        <v>547</v>
      </c>
      <c r="B171" s="6" t="s">
        <v>425</v>
      </c>
      <c r="C171" s="7" t="s">
        <v>426</v>
      </c>
      <c r="D171" s="9" t="s">
        <v>9</v>
      </c>
      <c r="E171" s="9" t="s">
        <v>11</v>
      </c>
      <c r="F171" s="9" t="s">
        <v>424</v>
      </c>
      <c r="G171" s="5">
        <v>0</v>
      </c>
      <c r="H171" s="5"/>
      <c r="I171" s="7" t="s">
        <v>427</v>
      </c>
    </row>
    <row r="172" spans="1:9">
      <c r="A172" s="5">
        <v>548</v>
      </c>
      <c r="B172" s="6" t="s">
        <v>428</v>
      </c>
      <c r="C172" s="7" t="s">
        <v>429</v>
      </c>
      <c r="D172" s="9" t="s">
        <v>9</v>
      </c>
      <c r="E172" s="9" t="s">
        <v>11</v>
      </c>
      <c r="F172" s="9" t="s">
        <v>424</v>
      </c>
      <c r="G172" s="5">
        <v>0</v>
      </c>
      <c r="H172" s="5"/>
      <c r="I172" s="7" t="s">
        <v>430</v>
      </c>
    </row>
    <row r="173" spans="1:9">
      <c r="A173" s="5">
        <v>549</v>
      </c>
      <c r="B173" s="6" t="s">
        <v>431</v>
      </c>
      <c r="C173" s="7" t="s">
        <v>432</v>
      </c>
      <c r="D173" s="9" t="s">
        <v>9</v>
      </c>
      <c r="E173" s="9" t="s">
        <v>11</v>
      </c>
      <c r="F173" s="9" t="s">
        <v>424</v>
      </c>
      <c r="G173" s="5">
        <v>0</v>
      </c>
      <c r="H173" s="5"/>
      <c r="I173" s="7" t="s">
        <v>433</v>
      </c>
    </row>
    <row r="174" spans="1:9">
      <c r="A174" s="5">
        <v>550</v>
      </c>
      <c r="B174" s="6" t="s">
        <v>434</v>
      </c>
      <c r="C174" s="7" t="s">
        <v>435</v>
      </c>
      <c r="D174" s="9" t="s">
        <v>9</v>
      </c>
      <c r="E174" s="9" t="s">
        <v>11</v>
      </c>
      <c r="F174" s="9" t="s">
        <v>424</v>
      </c>
      <c r="G174" s="5">
        <v>0</v>
      </c>
      <c r="H174" s="5"/>
      <c r="I174" s="7" t="s">
        <v>436</v>
      </c>
    </row>
    <row r="175" spans="1:9">
      <c r="A175" s="5">
        <v>551</v>
      </c>
      <c r="B175" s="6" t="s">
        <v>437</v>
      </c>
      <c r="C175" s="7" t="s">
        <v>438</v>
      </c>
      <c r="D175" s="9" t="s">
        <v>9</v>
      </c>
      <c r="E175" s="9" t="s">
        <v>11</v>
      </c>
      <c r="F175" s="9" t="s">
        <v>424</v>
      </c>
      <c r="G175" s="5">
        <v>0</v>
      </c>
      <c r="H175" s="5"/>
      <c r="I175" s="7" t="s">
        <v>439</v>
      </c>
    </row>
    <row r="176" spans="1:9">
      <c r="A176" s="5">
        <v>552</v>
      </c>
      <c r="B176" s="6" t="s">
        <v>440</v>
      </c>
      <c r="C176" s="7" t="s">
        <v>441</v>
      </c>
      <c r="D176" s="9" t="s">
        <v>9</v>
      </c>
      <c r="E176" s="9" t="s">
        <v>11</v>
      </c>
      <c r="F176" s="9" t="s">
        <v>424</v>
      </c>
      <c r="G176" s="5">
        <v>0</v>
      </c>
      <c r="H176" s="5"/>
      <c r="I176" s="7" t="s">
        <v>442</v>
      </c>
    </row>
    <row r="177" spans="1:9">
      <c r="A177" s="5">
        <v>553</v>
      </c>
      <c r="B177" s="6" t="s">
        <v>443</v>
      </c>
      <c r="C177" s="7" t="s">
        <v>444</v>
      </c>
      <c r="D177" s="9" t="s">
        <v>9</v>
      </c>
      <c r="E177" s="9" t="s">
        <v>11</v>
      </c>
      <c r="F177" s="9" t="s">
        <v>424</v>
      </c>
      <c r="G177" s="5">
        <v>0</v>
      </c>
      <c r="H177" s="5"/>
      <c r="I177" s="7" t="s">
        <v>445</v>
      </c>
    </row>
    <row r="178" spans="1:9">
      <c r="A178" s="5">
        <v>554</v>
      </c>
      <c r="B178" s="6" t="s">
        <v>446</v>
      </c>
      <c r="C178" s="7" t="s">
        <v>447</v>
      </c>
      <c r="D178" s="9" t="s">
        <v>449</v>
      </c>
      <c r="E178" s="9" t="s">
        <v>11</v>
      </c>
      <c r="F178" s="9" t="s">
        <v>424</v>
      </c>
      <c r="G178" s="5">
        <v>0</v>
      </c>
      <c r="H178" s="5"/>
      <c r="I178" s="7" t="s">
        <v>448</v>
      </c>
    </row>
    <row r="179" spans="1:9">
      <c r="A179" s="5">
        <v>555</v>
      </c>
      <c r="B179" s="6" t="s">
        <v>450</v>
      </c>
      <c r="C179" s="7" t="s">
        <v>451</v>
      </c>
      <c r="D179" s="9" t="s">
        <v>449</v>
      </c>
      <c r="E179" s="9" t="s">
        <v>11</v>
      </c>
      <c r="F179" s="9" t="s">
        <v>424</v>
      </c>
      <c r="G179" s="5">
        <v>0</v>
      </c>
      <c r="H179" s="5"/>
      <c r="I179" s="7" t="s">
        <v>452</v>
      </c>
    </row>
    <row r="180" spans="1:9">
      <c r="A180" s="5">
        <v>556</v>
      </c>
      <c r="B180" s="6" t="s">
        <v>453</v>
      </c>
      <c r="C180" s="7" t="s">
        <v>454</v>
      </c>
      <c r="D180" s="9" t="s">
        <v>449</v>
      </c>
      <c r="E180" s="9" t="s">
        <v>11</v>
      </c>
      <c r="F180" s="9" t="s">
        <v>424</v>
      </c>
      <c r="G180" s="5">
        <v>0</v>
      </c>
      <c r="H180" s="5"/>
      <c r="I180" s="7" t="s">
        <v>455</v>
      </c>
    </row>
    <row r="181" spans="1:9">
      <c r="A181" s="5">
        <v>557</v>
      </c>
      <c r="B181" s="6" t="s">
        <v>456</v>
      </c>
      <c r="C181" s="7" t="s">
        <v>457</v>
      </c>
      <c r="D181" s="9" t="s">
        <v>9</v>
      </c>
      <c r="E181" s="9" t="s">
        <v>11</v>
      </c>
      <c r="F181" s="9" t="s">
        <v>424</v>
      </c>
      <c r="G181" s="5">
        <v>0</v>
      </c>
      <c r="H181" s="5"/>
      <c r="I181" s="7" t="s">
        <v>458</v>
      </c>
    </row>
    <row r="182" spans="1:9">
      <c r="A182" s="5">
        <v>558</v>
      </c>
      <c r="B182" s="6" t="s">
        <v>459</v>
      </c>
      <c r="C182" s="7" t="s">
        <v>460</v>
      </c>
      <c r="D182" s="9" t="s">
        <v>9</v>
      </c>
      <c r="E182" s="9" t="s">
        <v>11</v>
      </c>
      <c r="F182" s="9" t="s">
        <v>424</v>
      </c>
      <c r="G182" s="5">
        <v>0</v>
      </c>
      <c r="H182" s="5"/>
      <c r="I182" s="7" t="s">
        <v>461</v>
      </c>
    </row>
    <row r="183" spans="1:9">
      <c r="A183" s="5">
        <v>559</v>
      </c>
      <c r="B183" s="6" t="s">
        <v>462</v>
      </c>
      <c r="C183" s="7" t="s">
        <v>463</v>
      </c>
      <c r="D183" s="9" t="s">
        <v>449</v>
      </c>
      <c r="E183" s="9" t="s">
        <v>11</v>
      </c>
      <c r="F183" s="9" t="s">
        <v>424</v>
      </c>
      <c r="G183" s="5">
        <v>0</v>
      </c>
      <c r="H183" s="5"/>
      <c r="I183" s="7" t="s">
        <v>464</v>
      </c>
    </row>
    <row r="184" spans="1:9">
      <c r="A184" s="5">
        <v>560</v>
      </c>
      <c r="B184" s="6" t="s">
        <v>465</v>
      </c>
      <c r="C184" s="7" t="s">
        <v>466</v>
      </c>
      <c r="D184" s="9" t="s">
        <v>449</v>
      </c>
      <c r="E184" s="9" t="s">
        <v>11</v>
      </c>
      <c r="F184" s="9" t="s">
        <v>424</v>
      </c>
      <c r="G184" s="5">
        <v>0</v>
      </c>
      <c r="H184" s="5"/>
      <c r="I184" s="7" t="s">
        <v>467</v>
      </c>
    </row>
    <row r="185" spans="1:9">
      <c r="A185" s="5">
        <v>561</v>
      </c>
      <c r="B185" s="6" t="s">
        <v>468</v>
      </c>
      <c r="C185" s="7" t="s">
        <v>469</v>
      </c>
      <c r="D185" s="9" t="s">
        <v>449</v>
      </c>
      <c r="E185" s="9" t="s">
        <v>11</v>
      </c>
      <c r="F185" s="9" t="s">
        <v>424</v>
      </c>
      <c r="G185" s="5">
        <v>0</v>
      </c>
      <c r="H185" s="5"/>
      <c r="I185" s="7" t="s">
        <v>470</v>
      </c>
    </row>
    <row r="186" spans="1:9">
      <c r="A186" s="5">
        <v>562</v>
      </c>
      <c r="B186" s="6" t="s">
        <v>471</v>
      </c>
      <c r="C186" s="7" t="s">
        <v>472</v>
      </c>
      <c r="D186" s="9" t="s">
        <v>449</v>
      </c>
      <c r="E186" s="9" t="s">
        <v>11</v>
      </c>
      <c r="F186" s="9" t="s">
        <v>424</v>
      </c>
      <c r="G186" s="5">
        <v>100</v>
      </c>
      <c r="H186" s="5"/>
      <c r="I186" s="7" t="s">
        <v>473</v>
      </c>
    </row>
    <row r="187" spans="1:9">
      <c r="A187" s="5">
        <v>563</v>
      </c>
      <c r="B187" s="6" t="s">
        <v>474</v>
      </c>
      <c r="C187" s="7" t="s">
        <v>475</v>
      </c>
      <c r="D187" s="9" t="s">
        <v>449</v>
      </c>
      <c r="E187" s="9" t="s">
        <v>11</v>
      </c>
      <c r="F187" s="9" t="s">
        <v>424</v>
      </c>
      <c r="G187" s="5">
        <v>0</v>
      </c>
      <c r="H187" s="5"/>
      <c r="I187" s="7" t="s">
        <v>476</v>
      </c>
    </row>
    <row r="188" spans="1:9">
      <c r="A188" s="5">
        <v>564</v>
      </c>
      <c r="B188" s="6" t="s">
        <v>477</v>
      </c>
      <c r="C188" s="7" t="s">
        <v>478</v>
      </c>
      <c r="D188" s="9" t="s">
        <v>449</v>
      </c>
      <c r="E188" s="9" t="s">
        <v>11</v>
      </c>
      <c r="F188" s="9" t="s">
        <v>424</v>
      </c>
      <c r="G188" s="5">
        <v>0</v>
      </c>
      <c r="H188" s="5"/>
      <c r="I188" s="7" t="s">
        <v>479</v>
      </c>
    </row>
    <row r="189" spans="1:9">
      <c r="A189" s="5">
        <v>565</v>
      </c>
      <c r="B189" s="6" t="s">
        <v>480</v>
      </c>
      <c r="C189" s="7" t="s">
        <v>481</v>
      </c>
      <c r="D189" s="9" t="s">
        <v>449</v>
      </c>
      <c r="E189" s="9" t="s">
        <v>11</v>
      </c>
      <c r="F189" s="9" t="s">
        <v>424</v>
      </c>
      <c r="G189" s="5">
        <v>0</v>
      </c>
      <c r="H189" s="5"/>
      <c r="I189" s="7" t="s">
        <v>482</v>
      </c>
    </row>
    <row r="190" spans="1:9">
      <c r="A190" s="5">
        <v>566</v>
      </c>
      <c r="B190" s="6" t="s">
        <v>483</v>
      </c>
      <c r="C190" s="7" t="s">
        <v>484</v>
      </c>
      <c r="D190" s="9" t="s">
        <v>9</v>
      </c>
      <c r="E190" s="9" t="s">
        <v>11</v>
      </c>
      <c r="F190" s="9" t="s">
        <v>424</v>
      </c>
      <c r="G190" s="5">
        <v>0</v>
      </c>
      <c r="H190" s="5"/>
      <c r="I190" s="7" t="s">
        <v>485</v>
      </c>
    </row>
    <row r="191" spans="1:9">
      <c r="A191" s="5">
        <v>567</v>
      </c>
      <c r="B191" s="6" t="s">
        <v>486</v>
      </c>
      <c r="C191" s="7" t="s">
        <v>487</v>
      </c>
      <c r="D191" s="9" t="s">
        <v>449</v>
      </c>
      <c r="E191" s="9" t="s">
        <v>11</v>
      </c>
      <c r="F191" s="9" t="s">
        <v>424</v>
      </c>
      <c r="G191" s="5">
        <v>0</v>
      </c>
      <c r="H191" s="5"/>
      <c r="I191" s="7" t="s">
        <v>488</v>
      </c>
    </row>
    <row r="192" spans="1:9">
      <c r="A192" s="5">
        <v>568</v>
      </c>
      <c r="B192" s="6" t="s">
        <v>489</v>
      </c>
      <c r="C192" s="7" t="s">
        <v>490</v>
      </c>
      <c r="D192" s="9" t="s">
        <v>449</v>
      </c>
      <c r="E192" s="9" t="s">
        <v>11</v>
      </c>
      <c r="F192" s="9" t="s">
        <v>424</v>
      </c>
      <c r="G192" s="5">
        <v>95</v>
      </c>
      <c r="H192" s="5"/>
      <c r="I192" s="7" t="s">
        <v>491</v>
      </c>
    </row>
    <row r="193" spans="1:9">
      <c r="A193" s="5">
        <v>569</v>
      </c>
      <c r="B193" s="6" t="s">
        <v>492</v>
      </c>
      <c r="C193" s="7" t="s">
        <v>493</v>
      </c>
      <c r="D193" s="9" t="s">
        <v>28</v>
      </c>
      <c r="E193" s="9" t="s">
        <v>11</v>
      </c>
      <c r="F193" s="9" t="s">
        <v>424</v>
      </c>
      <c r="G193" s="5">
        <v>0</v>
      </c>
      <c r="H193" s="5"/>
      <c r="I193" s="7" t="s">
        <v>494</v>
      </c>
    </row>
    <row r="194" spans="1:9">
      <c r="A194" s="5">
        <v>570</v>
      </c>
      <c r="B194" s="6" t="s">
        <v>495</v>
      </c>
      <c r="C194" s="7" t="s">
        <v>496</v>
      </c>
      <c r="D194" s="9" t="s">
        <v>42</v>
      </c>
      <c r="E194" s="9" t="s">
        <v>11</v>
      </c>
      <c r="F194" s="9" t="s">
        <v>424</v>
      </c>
      <c r="G194" s="5">
        <v>0</v>
      </c>
      <c r="H194" s="5"/>
      <c r="I194" s="7" t="s">
        <v>497</v>
      </c>
    </row>
    <row r="195" spans="1:9">
      <c r="A195" s="5">
        <v>571</v>
      </c>
      <c r="B195" s="6" t="s">
        <v>498</v>
      </c>
      <c r="C195" s="7" t="s">
        <v>499</v>
      </c>
      <c r="D195" s="9" t="s">
        <v>9</v>
      </c>
      <c r="E195" s="9" t="s">
        <v>11</v>
      </c>
      <c r="F195" s="9" t="s">
        <v>424</v>
      </c>
      <c r="G195" s="5">
        <v>73</v>
      </c>
      <c r="H195" s="5"/>
      <c r="I195" s="7" t="s">
        <v>500</v>
      </c>
    </row>
    <row r="196" spans="1:9">
      <c r="A196" s="5">
        <v>572</v>
      </c>
      <c r="B196" s="6" t="s">
        <v>501</v>
      </c>
      <c r="C196" s="7" t="s">
        <v>502</v>
      </c>
      <c r="D196" s="9" t="s">
        <v>449</v>
      </c>
      <c r="E196" s="9" t="s">
        <v>11</v>
      </c>
      <c r="F196" s="9" t="s">
        <v>424</v>
      </c>
      <c r="G196" s="5">
        <v>87</v>
      </c>
      <c r="H196" s="5"/>
      <c r="I196" s="7" t="s">
        <v>503</v>
      </c>
    </row>
    <row r="197" spans="1:9">
      <c r="A197" s="5">
        <v>573</v>
      </c>
      <c r="B197" s="6" t="s">
        <v>504</v>
      </c>
      <c r="C197" s="7" t="s">
        <v>505</v>
      </c>
      <c r="D197" s="9" t="s">
        <v>9</v>
      </c>
      <c r="E197" s="9" t="s">
        <v>11</v>
      </c>
      <c r="F197" s="9" t="s">
        <v>424</v>
      </c>
      <c r="G197" s="5">
        <v>70</v>
      </c>
      <c r="H197" s="5"/>
      <c r="I197" s="7" t="s">
        <v>168</v>
      </c>
    </row>
    <row r="198" spans="1:9">
      <c r="A198" s="5">
        <v>574</v>
      </c>
      <c r="B198" s="6" t="s">
        <v>506</v>
      </c>
      <c r="C198" s="7" t="s">
        <v>507</v>
      </c>
      <c r="D198" s="9" t="s">
        <v>9</v>
      </c>
      <c r="E198" s="9" t="s">
        <v>11</v>
      </c>
      <c r="F198" s="9" t="s">
        <v>424</v>
      </c>
      <c r="G198" s="5">
        <v>15</v>
      </c>
      <c r="H198" s="5"/>
      <c r="I198" s="7" t="s">
        <v>163</v>
      </c>
    </row>
    <row r="199" spans="1:9">
      <c r="A199" s="5">
        <v>575</v>
      </c>
      <c r="B199" s="6" t="s">
        <v>508</v>
      </c>
      <c r="C199" s="7" t="s">
        <v>509</v>
      </c>
      <c r="D199" s="9" t="s">
        <v>449</v>
      </c>
      <c r="E199" s="9" t="s">
        <v>11</v>
      </c>
      <c r="F199" s="9" t="s">
        <v>424</v>
      </c>
      <c r="G199" s="5">
        <v>0</v>
      </c>
      <c r="H199" s="5"/>
      <c r="I199" s="7" t="s">
        <v>510</v>
      </c>
    </row>
    <row r="200" spans="1:9">
      <c r="A200" s="5">
        <v>576</v>
      </c>
      <c r="B200" s="6" t="s">
        <v>511</v>
      </c>
      <c r="C200" s="7" t="s">
        <v>512</v>
      </c>
      <c r="D200" s="9" t="s">
        <v>449</v>
      </c>
      <c r="E200" s="9" t="s">
        <v>11</v>
      </c>
      <c r="F200" s="9" t="s">
        <v>424</v>
      </c>
      <c r="G200" s="5">
        <v>72</v>
      </c>
      <c r="H200" s="5"/>
      <c r="I200" s="7" t="s">
        <v>513</v>
      </c>
    </row>
    <row r="201" spans="1:9">
      <c r="A201" s="5">
        <v>577</v>
      </c>
      <c r="B201" s="6" t="s">
        <v>514</v>
      </c>
      <c r="C201" s="7" t="s">
        <v>515</v>
      </c>
      <c r="D201" s="9" t="s">
        <v>449</v>
      </c>
      <c r="E201" s="9" t="s">
        <v>11</v>
      </c>
      <c r="F201" s="9" t="s">
        <v>424</v>
      </c>
      <c r="G201" s="5">
        <v>73</v>
      </c>
      <c r="H201" s="5"/>
      <c r="I201" s="7" t="s">
        <v>516</v>
      </c>
    </row>
    <row r="202" spans="1:9">
      <c r="A202" s="5">
        <v>578</v>
      </c>
      <c r="B202" s="6" t="s">
        <v>517</v>
      </c>
      <c r="C202" s="7" t="s">
        <v>518</v>
      </c>
      <c r="D202" s="9" t="s">
        <v>37</v>
      </c>
      <c r="E202" s="9" t="s">
        <v>11</v>
      </c>
      <c r="F202" s="9" t="s">
        <v>424</v>
      </c>
      <c r="G202" s="5">
        <v>81</v>
      </c>
      <c r="H202" s="5"/>
      <c r="I202" s="7" t="s">
        <v>519</v>
      </c>
    </row>
    <row r="203" spans="1:9">
      <c r="A203" s="5">
        <v>579</v>
      </c>
      <c r="B203" s="6" t="s">
        <v>520</v>
      </c>
      <c r="C203" s="7" t="s">
        <v>521</v>
      </c>
      <c r="D203" s="9" t="s">
        <v>9</v>
      </c>
      <c r="E203" s="9" t="s">
        <v>11</v>
      </c>
      <c r="F203" s="9" t="s">
        <v>424</v>
      </c>
      <c r="G203" s="5">
        <v>67</v>
      </c>
      <c r="H203" s="5"/>
      <c r="I203" s="7" t="s">
        <v>522</v>
      </c>
    </row>
    <row r="204" spans="1:9">
      <c r="A204" s="5">
        <v>580</v>
      </c>
      <c r="B204" s="6" t="s">
        <v>523</v>
      </c>
      <c r="C204" s="7" t="s">
        <v>524</v>
      </c>
      <c r="D204" s="9" t="s">
        <v>449</v>
      </c>
      <c r="E204" s="9" t="s">
        <v>11</v>
      </c>
      <c r="F204" s="9" t="s">
        <v>424</v>
      </c>
      <c r="G204" s="5">
        <v>0</v>
      </c>
      <c r="H204" s="5"/>
      <c r="I204" s="7" t="s">
        <v>207</v>
      </c>
    </row>
    <row r="205" spans="1:9">
      <c r="A205" s="5">
        <v>581</v>
      </c>
      <c r="B205" s="6" t="s">
        <v>525</v>
      </c>
      <c r="C205" s="7" t="s">
        <v>526</v>
      </c>
      <c r="D205" s="9" t="s">
        <v>9</v>
      </c>
      <c r="E205" s="9" t="s">
        <v>11</v>
      </c>
      <c r="F205" s="9" t="s">
        <v>424</v>
      </c>
      <c r="G205" s="5">
        <v>0</v>
      </c>
      <c r="H205" s="5"/>
      <c r="I205" s="7" t="s">
        <v>146</v>
      </c>
    </row>
    <row r="206" spans="1:9">
      <c r="A206" s="5">
        <v>582</v>
      </c>
      <c r="B206" s="6" t="s">
        <v>527</v>
      </c>
      <c r="C206" s="7" t="s">
        <v>528</v>
      </c>
      <c r="D206" s="9" t="s">
        <v>449</v>
      </c>
      <c r="E206" s="9" t="s">
        <v>11</v>
      </c>
      <c r="F206" s="9" t="s">
        <v>424</v>
      </c>
      <c r="G206" s="5">
        <v>77</v>
      </c>
      <c r="H206" s="5"/>
      <c r="I206" s="7" t="s">
        <v>155</v>
      </c>
    </row>
    <row r="207" spans="1:9">
      <c r="A207" s="5">
        <v>583</v>
      </c>
      <c r="B207" s="6" t="s">
        <v>529</v>
      </c>
      <c r="C207" s="7" t="s">
        <v>530</v>
      </c>
      <c r="D207" s="9" t="s">
        <v>28</v>
      </c>
      <c r="E207" s="9" t="s">
        <v>11</v>
      </c>
      <c r="F207" s="9" t="s">
        <v>424</v>
      </c>
      <c r="G207" s="5">
        <v>94</v>
      </c>
      <c r="H207" s="5"/>
      <c r="I207" s="7" t="s">
        <v>126</v>
      </c>
    </row>
    <row r="208" spans="1:9">
      <c r="A208" s="5">
        <v>584</v>
      </c>
      <c r="B208" s="6" t="s">
        <v>531</v>
      </c>
      <c r="C208" s="7" t="s">
        <v>532</v>
      </c>
      <c r="D208" s="9" t="s">
        <v>42</v>
      </c>
      <c r="E208" s="9" t="s">
        <v>11</v>
      </c>
      <c r="F208" s="9" t="s">
        <v>424</v>
      </c>
      <c r="G208" s="5">
        <v>0</v>
      </c>
      <c r="H208" s="5"/>
      <c r="I208" s="7" t="s">
        <v>188</v>
      </c>
    </row>
    <row r="209" spans="1:9">
      <c r="A209" s="5">
        <v>585</v>
      </c>
      <c r="B209" s="6" t="s">
        <v>533</v>
      </c>
      <c r="C209" s="7" t="s">
        <v>534</v>
      </c>
      <c r="D209" s="9" t="s">
        <v>9</v>
      </c>
      <c r="E209" s="9" t="s">
        <v>11</v>
      </c>
      <c r="F209" s="9" t="s">
        <v>424</v>
      </c>
      <c r="G209" s="5">
        <v>4</v>
      </c>
      <c r="H209" s="5"/>
      <c r="I209" s="7" t="s">
        <v>138</v>
      </c>
    </row>
    <row r="210" spans="1:9">
      <c r="A210" s="5">
        <v>586</v>
      </c>
      <c r="B210" s="6" t="s">
        <v>535</v>
      </c>
      <c r="C210" s="7" t="s">
        <v>536</v>
      </c>
      <c r="D210" s="9" t="s">
        <v>449</v>
      </c>
      <c r="E210" s="9" t="s">
        <v>11</v>
      </c>
      <c r="F210" s="9" t="s">
        <v>424</v>
      </c>
      <c r="G210" s="5">
        <v>0</v>
      </c>
      <c r="H210" s="5"/>
      <c r="I210" s="7" t="s">
        <v>242</v>
      </c>
    </row>
    <row r="211" spans="1:9">
      <c r="A211" s="5">
        <v>587</v>
      </c>
      <c r="B211" s="6" t="s">
        <v>537</v>
      </c>
      <c r="C211" s="7" t="s">
        <v>538</v>
      </c>
      <c r="D211" s="9" t="s">
        <v>9</v>
      </c>
      <c r="E211" s="9" t="s">
        <v>11</v>
      </c>
      <c r="F211" s="9" t="s">
        <v>424</v>
      </c>
      <c r="G211" s="5">
        <v>0</v>
      </c>
      <c r="H211" s="5"/>
      <c r="I211" s="7" t="s">
        <v>539</v>
      </c>
    </row>
    <row r="212" spans="1:9">
      <c r="A212" s="5">
        <v>588</v>
      </c>
      <c r="B212" s="6" t="s">
        <v>540</v>
      </c>
      <c r="C212" s="7" t="s">
        <v>541</v>
      </c>
      <c r="D212" s="9" t="s">
        <v>449</v>
      </c>
      <c r="E212" s="9" t="s">
        <v>11</v>
      </c>
      <c r="F212" s="9" t="s">
        <v>424</v>
      </c>
      <c r="G212" s="5">
        <v>96</v>
      </c>
      <c r="H212" s="5"/>
      <c r="I212" s="7" t="s">
        <v>83</v>
      </c>
    </row>
    <row r="213" spans="1:9">
      <c r="A213" s="5">
        <v>589</v>
      </c>
      <c r="B213" s="6" t="s">
        <v>542</v>
      </c>
      <c r="C213" s="7" t="s">
        <v>543</v>
      </c>
      <c r="D213" s="9" t="s">
        <v>28</v>
      </c>
      <c r="E213" s="9" t="s">
        <v>11</v>
      </c>
      <c r="F213" s="9" t="s">
        <v>424</v>
      </c>
      <c r="G213" s="5">
        <v>0</v>
      </c>
      <c r="H213" s="5"/>
      <c r="I213" s="7" t="s">
        <v>245</v>
      </c>
    </row>
    <row r="214" spans="1:9">
      <c r="A214" s="5">
        <v>590</v>
      </c>
      <c r="B214" s="6" t="s">
        <v>544</v>
      </c>
      <c r="C214" s="7" t="s">
        <v>545</v>
      </c>
      <c r="D214" s="9" t="s">
        <v>449</v>
      </c>
      <c r="E214" s="9" t="s">
        <v>11</v>
      </c>
      <c r="F214" s="9" t="s">
        <v>424</v>
      </c>
      <c r="G214" s="5">
        <v>88</v>
      </c>
      <c r="H214" s="5"/>
      <c r="I214" s="7" t="s">
        <v>201</v>
      </c>
    </row>
    <row r="215" spans="1:9">
      <c r="A215" s="5">
        <v>591</v>
      </c>
      <c r="B215" s="6" t="s">
        <v>546</v>
      </c>
      <c r="C215" s="7" t="s">
        <v>547</v>
      </c>
      <c r="D215" s="9" t="s">
        <v>449</v>
      </c>
      <c r="E215" s="9" t="s">
        <v>11</v>
      </c>
      <c r="F215" s="9" t="s">
        <v>424</v>
      </c>
      <c r="G215" s="5">
        <v>82</v>
      </c>
      <c r="H215" s="5"/>
      <c r="I215" s="7" t="s">
        <v>548</v>
      </c>
    </row>
    <row r="216" spans="1:9">
      <c r="A216" s="5">
        <v>592</v>
      </c>
      <c r="B216" s="6" t="s">
        <v>549</v>
      </c>
      <c r="C216" s="7" t="s">
        <v>550</v>
      </c>
      <c r="D216" s="9" t="s">
        <v>9</v>
      </c>
      <c r="E216" s="9" t="s">
        <v>11</v>
      </c>
      <c r="F216" s="9" t="s">
        <v>424</v>
      </c>
      <c r="G216" s="5">
        <v>0</v>
      </c>
      <c r="H216" s="5"/>
      <c r="I216" s="7" t="s">
        <v>210</v>
      </c>
    </row>
    <row r="217" spans="1:9">
      <c r="A217" s="5">
        <v>593</v>
      </c>
      <c r="B217" s="6" t="s">
        <v>551</v>
      </c>
      <c r="C217" s="7" t="s">
        <v>552</v>
      </c>
      <c r="D217" s="9" t="s">
        <v>47</v>
      </c>
      <c r="E217" s="9" t="s">
        <v>11</v>
      </c>
      <c r="F217" s="9" t="s">
        <v>424</v>
      </c>
      <c r="G217" s="5">
        <v>0</v>
      </c>
      <c r="H217" s="5"/>
      <c r="I217" s="7" t="s">
        <v>98</v>
      </c>
    </row>
    <row r="218" spans="1:9">
      <c r="A218" s="5">
        <v>594</v>
      </c>
      <c r="B218" s="6" t="s">
        <v>553</v>
      </c>
      <c r="C218" s="7" t="s">
        <v>554</v>
      </c>
      <c r="D218" s="9" t="s">
        <v>9</v>
      </c>
      <c r="E218" s="9" t="s">
        <v>11</v>
      </c>
      <c r="F218" s="9" t="s">
        <v>424</v>
      </c>
      <c r="G218" s="5">
        <v>95</v>
      </c>
      <c r="H218" s="5"/>
      <c r="I218" s="7" t="s">
        <v>555</v>
      </c>
    </row>
    <row r="219" spans="1:9">
      <c r="A219" s="5">
        <v>595</v>
      </c>
      <c r="B219" s="6" t="s">
        <v>556</v>
      </c>
      <c r="C219" s="7" t="s">
        <v>557</v>
      </c>
      <c r="D219" s="9" t="s">
        <v>449</v>
      </c>
      <c r="E219" s="9" t="s">
        <v>11</v>
      </c>
      <c r="F219" s="9" t="s">
        <v>424</v>
      </c>
      <c r="G219" s="5">
        <v>0</v>
      </c>
      <c r="H219" s="5"/>
      <c r="I219" s="7" t="s">
        <v>251</v>
      </c>
    </row>
    <row r="220" spans="1:9">
      <c r="A220" s="5">
        <v>596</v>
      </c>
      <c r="B220" s="6" t="s">
        <v>558</v>
      </c>
      <c r="C220" s="7" t="s">
        <v>559</v>
      </c>
      <c r="D220" s="9" t="s">
        <v>9</v>
      </c>
      <c r="E220" s="9" t="s">
        <v>11</v>
      </c>
      <c r="F220" s="9" t="s">
        <v>424</v>
      </c>
      <c r="G220" s="5">
        <v>99</v>
      </c>
      <c r="H220" s="5"/>
      <c r="I220" s="7" t="s">
        <v>560</v>
      </c>
    </row>
    <row r="221" spans="1:9">
      <c r="A221" s="5">
        <v>597</v>
      </c>
      <c r="B221" s="6" t="s">
        <v>561</v>
      </c>
      <c r="C221" s="7" t="s">
        <v>562</v>
      </c>
      <c r="D221" s="9" t="s">
        <v>9</v>
      </c>
      <c r="E221" s="9" t="s">
        <v>11</v>
      </c>
      <c r="F221" s="9" t="s">
        <v>424</v>
      </c>
      <c r="G221" s="5">
        <v>0</v>
      </c>
      <c r="H221" s="5"/>
      <c r="I221" s="7" t="s">
        <v>93</v>
      </c>
    </row>
    <row r="222" spans="1:9">
      <c r="A222" s="5">
        <v>598</v>
      </c>
      <c r="B222" s="6" t="s">
        <v>563</v>
      </c>
      <c r="C222" s="7" t="s">
        <v>564</v>
      </c>
      <c r="D222" s="9" t="s">
        <v>449</v>
      </c>
      <c r="E222" s="9" t="s">
        <v>11</v>
      </c>
      <c r="F222" s="9" t="s">
        <v>424</v>
      </c>
      <c r="G222" s="5">
        <v>90</v>
      </c>
      <c r="H222" s="5"/>
      <c r="I222" s="7" t="s">
        <v>565</v>
      </c>
    </row>
    <row r="223" spans="1:9">
      <c r="A223" s="5">
        <v>599</v>
      </c>
      <c r="B223" s="6" t="s">
        <v>566</v>
      </c>
      <c r="C223" s="7" t="s">
        <v>567</v>
      </c>
      <c r="D223" s="9" t="s">
        <v>449</v>
      </c>
      <c r="E223" s="9" t="s">
        <v>11</v>
      </c>
      <c r="F223" s="9" t="s">
        <v>424</v>
      </c>
      <c r="G223" s="5">
        <v>78</v>
      </c>
      <c r="H223" s="5"/>
      <c r="I223" s="7" t="s">
        <v>568</v>
      </c>
    </row>
    <row r="224" spans="1:9">
      <c r="A224" s="5">
        <v>600</v>
      </c>
      <c r="B224" s="6" t="s">
        <v>569</v>
      </c>
      <c r="C224" s="7" t="s">
        <v>570</v>
      </c>
      <c r="D224" s="9" t="s">
        <v>449</v>
      </c>
      <c r="E224" s="9" t="s">
        <v>11</v>
      </c>
      <c r="F224" s="9" t="s">
        <v>424</v>
      </c>
      <c r="G224" s="5">
        <v>0</v>
      </c>
      <c r="H224" s="5"/>
      <c r="I224" s="7" t="s">
        <v>149</v>
      </c>
    </row>
    <row r="225" spans="1:9">
      <c r="A225" s="5">
        <v>601</v>
      </c>
      <c r="B225" s="6" t="s">
        <v>571</v>
      </c>
      <c r="C225" s="7" t="s">
        <v>572</v>
      </c>
      <c r="D225" s="9" t="s">
        <v>449</v>
      </c>
      <c r="E225" s="9" t="s">
        <v>11</v>
      </c>
      <c r="F225" s="9" t="s">
        <v>424</v>
      </c>
      <c r="G225" s="5">
        <v>0</v>
      </c>
      <c r="H225" s="5"/>
      <c r="I225" s="7" t="s">
        <v>204</v>
      </c>
    </row>
    <row r="226" spans="1:9">
      <c r="A226" s="5">
        <v>602</v>
      </c>
      <c r="B226" s="6" t="s">
        <v>573</v>
      </c>
      <c r="C226" s="7" t="s">
        <v>574</v>
      </c>
      <c r="D226" s="9" t="s">
        <v>449</v>
      </c>
      <c r="E226" s="9" t="s">
        <v>11</v>
      </c>
      <c r="F226" s="9" t="s">
        <v>424</v>
      </c>
      <c r="G226" s="5">
        <v>0</v>
      </c>
      <c r="H226" s="5"/>
      <c r="I226" s="7" t="s">
        <v>204</v>
      </c>
    </row>
    <row r="227" spans="1:9">
      <c r="A227" s="5">
        <v>603</v>
      </c>
      <c r="B227" s="6" t="s">
        <v>575</v>
      </c>
      <c r="C227" s="7" t="s">
        <v>576</v>
      </c>
      <c r="D227" s="9" t="s">
        <v>449</v>
      </c>
      <c r="E227" s="9" t="s">
        <v>11</v>
      </c>
      <c r="F227" s="9" t="s">
        <v>424</v>
      </c>
      <c r="G227" s="5">
        <v>0</v>
      </c>
      <c r="H227" s="5"/>
      <c r="I227" s="7" t="s">
        <v>215</v>
      </c>
    </row>
    <row r="228" spans="1:9">
      <c r="A228" s="5">
        <v>604</v>
      </c>
      <c r="B228" s="6" t="s">
        <v>577</v>
      </c>
      <c r="C228" s="7" t="s">
        <v>578</v>
      </c>
      <c r="D228" s="9" t="s">
        <v>449</v>
      </c>
      <c r="E228" s="9" t="s">
        <v>11</v>
      </c>
      <c r="F228" s="9" t="s">
        <v>424</v>
      </c>
      <c r="G228" s="5">
        <v>86</v>
      </c>
      <c r="H228" s="5"/>
      <c r="I228" s="7" t="s">
        <v>579</v>
      </c>
    </row>
    <row r="229" spans="1:9">
      <c r="A229" s="5">
        <v>605</v>
      </c>
      <c r="B229" s="6" t="s">
        <v>580</v>
      </c>
      <c r="C229" s="7" t="s">
        <v>581</v>
      </c>
      <c r="D229" s="9" t="s">
        <v>449</v>
      </c>
      <c r="E229" s="9" t="s">
        <v>11</v>
      </c>
      <c r="F229" s="9" t="s">
        <v>424</v>
      </c>
      <c r="G229" s="5">
        <v>85</v>
      </c>
      <c r="H229" s="5"/>
      <c r="I229" s="7" t="s">
        <v>218</v>
      </c>
    </row>
    <row r="230" spans="1:9">
      <c r="A230" s="5">
        <v>606</v>
      </c>
      <c r="B230" s="6" t="s">
        <v>582</v>
      </c>
      <c r="C230" s="7" t="s">
        <v>583</v>
      </c>
      <c r="D230" s="9" t="s">
        <v>42</v>
      </c>
      <c r="E230" s="9" t="s">
        <v>11</v>
      </c>
      <c r="F230" s="9" t="s">
        <v>424</v>
      </c>
      <c r="G230" s="5">
        <v>43</v>
      </c>
      <c r="H230" s="5"/>
      <c r="I230" s="7" t="s">
        <v>257</v>
      </c>
    </row>
    <row r="231" spans="1:9">
      <c r="A231" s="5">
        <v>607</v>
      </c>
      <c r="B231" s="6" t="s">
        <v>584</v>
      </c>
      <c r="C231" s="7" t="s">
        <v>585</v>
      </c>
      <c r="D231" s="9" t="s">
        <v>28</v>
      </c>
      <c r="E231" s="9" t="s">
        <v>11</v>
      </c>
      <c r="F231" s="9" t="s">
        <v>424</v>
      </c>
      <c r="G231" s="5">
        <v>72</v>
      </c>
      <c r="H231" s="5"/>
      <c r="I231" s="7" t="s">
        <v>260</v>
      </c>
    </row>
    <row r="232" spans="1:9">
      <c r="A232" s="5">
        <v>608</v>
      </c>
      <c r="B232" s="6" t="s">
        <v>586</v>
      </c>
      <c r="C232" s="7" t="s">
        <v>587</v>
      </c>
      <c r="D232" s="9" t="s">
        <v>28</v>
      </c>
      <c r="E232" s="9" t="s">
        <v>11</v>
      </c>
      <c r="F232" s="9" t="s">
        <v>424</v>
      </c>
      <c r="G232" s="5">
        <v>77</v>
      </c>
      <c r="H232" s="5"/>
      <c r="I232" s="7" t="s">
        <v>263</v>
      </c>
    </row>
    <row r="233" spans="1:9">
      <c r="A233" s="5">
        <v>609</v>
      </c>
      <c r="B233" s="6" t="s">
        <v>588</v>
      </c>
      <c r="C233" s="7" t="s">
        <v>589</v>
      </c>
      <c r="D233" s="9" t="s">
        <v>9</v>
      </c>
      <c r="E233" s="9" t="s">
        <v>11</v>
      </c>
      <c r="F233" s="9" t="s">
        <v>424</v>
      </c>
      <c r="G233" s="5">
        <v>89</v>
      </c>
      <c r="H233" s="5"/>
      <c r="I233" s="7" t="s">
        <v>171</v>
      </c>
    </row>
    <row r="234" spans="1:9">
      <c r="A234" s="5">
        <v>610</v>
      </c>
      <c r="B234" s="6" t="s">
        <v>590</v>
      </c>
      <c r="C234" s="7" t="s">
        <v>591</v>
      </c>
      <c r="D234" s="9" t="s">
        <v>449</v>
      </c>
      <c r="E234" s="9" t="s">
        <v>11</v>
      </c>
      <c r="F234" s="9" t="s">
        <v>424</v>
      </c>
      <c r="G234" s="5">
        <v>87</v>
      </c>
      <c r="H234" s="5"/>
      <c r="I234" s="7" t="s">
        <v>254</v>
      </c>
    </row>
    <row r="235" spans="1:9">
      <c r="A235" s="5">
        <v>611</v>
      </c>
      <c r="B235" s="6" t="s">
        <v>592</v>
      </c>
      <c r="C235" s="7" t="s">
        <v>593</v>
      </c>
      <c r="D235" s="9" t="s">
        <v>37</v>
      </c>
      <c r="E235" s="9" t="s">
        <v>11</v>
      </c>
      <c r="F235" s="9" t="s">
        <v>424</v>
      </c>
      <c r="G235" s="5">
        <v>74</v>
      </c>
      <c r="H235" s="5"/>
      <c r="I235" s="7" t="s">
        <v>318</v>
      </c>
    </row>
    <row r="236" spans="1:9">
      <c r="A236" s="5">
        <v>612</v>
      </c>
      <c r="B236" s="6" t="s">
        <v>594</v>
      </c>
      <c r="C236" s="7" t="s">
        <v>595</v>
      </c>
      <c r="D236" s="9" t="s">
        <v>9</v>
      </c>
      <c r="E236" s="9" t="s">
        <v>11</v>
      </c>
      <c r="F236" s="9" t="s">
        <v>424</v>
      </c>
      <c r="G236" s="5">
        <v>0</v>
      </c>
      <c r="H236" s="5"/>
      <c r="I236" s="7" t="s">
        <v>176</v>
      </c>
    </row>
    <row r="237" spans="1:9">
      <c r="A237" s="5">
        <v>613</v>
      </c>
      <c r="B237" s="6" t="s">
        <v>596</v>
      </c>
      <c r="C237" s="7" t="s">
        <v>597</v>
      </c>
      <c r="D237" s="9" t="s">
        <v>28</v>
      </c>
      <c r="E237" s="9" t="s">
        <v>11</v>
      </c>
      <c r="F237" s="9" t="s">
        <v>424</v>
      </c>
      <c r="G237" s="5">
        <v>65</v>
      </c>
      <c r="H237" s="5"/>
      <c r="I237" s="7" t="s">
        <v>325</v>
      </c>
    </row>
    <row r="238" spans="1:9">
      <c r="A238" s="5">
        <v>614</v>
      </c>
      <c r="B238" s="6" t="s">
        <v>598</v>
      </c>
      <c r="C238" s="7" t="s">
        <v>599</v>
      </c>
      <c r="D238" s="9" t="s">
        <v>449</v>
      </c>
      <c r="E238" s="9" t="s">
        <v>11</v>
      </c>
      <c r="F238" s="9" t="s">
        <v>424</v>
      </c>
      <c r="G238" s="5">
        <v>84</v>
      </c>
      <c r="H238" s="5"/>
      <c r="I238" s="7" t="s">
        <v>600</v>
      </c>
    </row>
    <row r="239" spans="1:9">
      <c r="A239" s="5">
        <v>615</v>
      </c>
      <c r="B239" s="6" t="s">
        <v>601</v>
      </c>
      <c r="C239" s="7" t="s">
        <v>602</v>
      </c>
      <c r="D239" s="5" t="s">
        <v>954</v>
      </c>
      <c r="E239" s="9" t="s">
        <v>11</v>
      </c>
      <c r="F239" s="9" t="s">
        <v>424</v>
      </c>
      <c r="G239" s="5">
        <v>84</v>
      </c>
      <c r="H239" s="5"/>
      <c r="I239" s="7" t="s">
        <v>603</v>
      </c>
    </row>
    <row r="240" spans="1:9">
      <c r="A240" s="5">
        <v>616</v>
      </c>
      <c r="B240" s="6" t="s">
        <v>604</v>
      </c>
      <c r="C240" s="7" t="s">
        <v>605</v>
      </c>
      <c r="D240" s="9" t="s">
        <v>449</v>
      </c>
      <c r="E240" s="9" t="s">
        <v>11</v>
      </c>
      <c r="F240" s="9" t="s">
        <v>424</v>
      </c>
      <c r="G240" s="5">
        <v>0</v>
      </c>
      <c r="H240" s="5"/>
      <c r="I240" s="7" t="s">
        <v>603</v>
      </c>
    </row>
    <row r="241" spans="1:9">
      <c r="A241" s="5">
        <v>617</v>
      </c>
      <c r="B241" s="6" t="s">
        <v>606</v>
      </c>
      <c r="C241" s="7" t="s">
        <v>607</v>
      </c>
      <c r="D241" s="9" t="s">
        <v>609</v>
      </c>
      <c r="E241" s="9" t="s">
        <v>11</v>
      </c>
      <c r="F241" s="9" t="s">
        <v>610</v>
      </c>
      <c r="G241" s="5">
        <v>0</v>
      </c>
      <c r="H241" s="5"/>
      <c r="I241" s="7" t="s">
        <v>608</v>
      </c>
    </row>
    <row r="242" spans="1:9">
      <c r="A242" s="5">
        <v>618</v>
      </c>
      <c r="B242" s="6" t="s">
        <v>611</v>
      </c>
      <c r="C242" s="7" t="s">
        <v>612</v>
      </c>
      <c r="D242" s="9" t="s">
        <v>609</v>
      </c>
      <c r="E242" s="9" t="s">
        <v>11</v>
      </c>
      <c r="F242" s="9" t="s">
        <v>610</v>
      </c>
      <c r="G242" s="5">
        <v>0</v>
      </c>
      <c r="H242" s="5"/>
      <c r="I242" s="7" t="s">
        <v>613</v>
      </c>
    </row>
    <row r="243" spans="1:9">
      <c r="A243" s="5">
        <v>619</v>
      </c>
      <c r="B243" s="6" t="s">
        <v>614</v>
      </c>
      <c r="C243" s="7" t="s">
        <v>615</v>
      </c>
      <c r="D243" s="9" t="s">
        <v>449</v>
      </c>
      <c r="E243" s="9" t="s">
        <v>11</v>
      </c>
      <c r="F243" s="9" t="s">
        <v>610</v>
      </c>
      <c r="G243" s="5">
        <v>0</v>
      </c>
      <c r="H243" s="5"/>
      <c r="I243" s="7" t="s">
        <v>616</v>
      </c>
    </row>
    <row r="244" spans="1:9">
      <c r="A244" s="5">
        <v>620</v>
      </c>
      <c r="B244" s="6" t="s">
        <v>617</v>
      </c>
      <c r="C244" s="7" t="s">
        <v>618</v>
      </c>
      <c r="D244" s="9" t="s">
        <v>449</v>
      </c>
      <c r="E244" s="9" t="s">
        <v>11</v>
      </c>
      <c r="F244" s="9" t="s">
        <v>610</v>
      </c>
      <c r="G244" s="5">
        <v>0</v>
      </c>
      <c r="H244" s="5"/>
      <c r="I244" s="7" t="s">
        <v>619</v>
      </c>
    </row>
    <row r="245" spans="1:9">
      <c r="A245" s="5">
        <v>621</v>
      </c>
      <c r="B245" s="6" t="s">
        <v>620</v>
      </c>
      <c r="C245" s="7" t="s">
        <v>621</v>
      </c>
      <c r="D245" s="9" t="s">
        <v>609</v>
      </c>
      <c r="E245" s="9" t="s">
        <v>11</v>
      </c>
      <c r="F245" s="9" t="s">
        <v>610</v>
      </c>
      <c r="G245" s="5">
        <v>4</v>
      </c>
      <c r="H245" s="5"/>
      <c r="I245" s="7" t="s">
        <v>622</v>
      </c>
    </row>
    <row r="246" spans="1:9">
      <c r="A246" s="5">
        <v>622</v>
      </c>
      <c r="B246" s="6" t="s">
        <v>623</v>
      </c>
      <c r="C246" s="7" t="s">
        <v>624</v>
      </c>
      <c r="D246" s="9" t="s">
        <v>449</v>
      </c>
      <c r="E246" s="9" t="s">
        <v>11</v>
      </c>
      <c r="F246" s="9" t="s">
        <v>610</v>
      </c>
      <c r="G246" s="5">
        <v>0</v>
      </c>
      <c r="H246" s="5"/>
      <c r="I246" s="7" t="s">
        <v>625</v>
      </c>
    </row>
    <row r="247" spans="1:9">
      <c r="A247" s="5">
        <v>623</v>
      </c>
      <c r="B247" s="6" t="s">
        <v>626</v>
      </c>
      <c r="C247" s="7" t="s">
        <v>627</v>
      </c>
      <c r="D247" s="9" t="s">
        <v>449</v>
      </c>
      <c r="E247" s="9" t="s">
        <v>11</v>
      </c>
      <c r="F247" s="9" t="s">
        <v>610</v>
      </c>
      <c r="G247" s="5">
        <v>0</v>
      </c>
      <c r="H247" s="5"/>
      <c r="I247" s="7" t="s">
        <v>628</v>
      </c>
    </row>
    <row r="248" spans="1:9">
      <c r="A248" s="5">
        <v>624</v>
      </c>
      <c r="B248" s="6" t="s">
        <v>629</v>
      </c>
      <c r="C248" s="7" t="s">
        <v>630</v>
      </c>
      <c r="D248" s="9" t="s">
        <v>9</v>
      </c>
      <c r="E248" s="9" t="s">
        <v>11</v>
      </c>
      <c r="F248" s="9" t="s">
        <v>610</v>
      </c>
      <c r="G248" s="5">
        <v>86</v>
      </c>
      <c r="H248" s="5"/>
      <c r="I248" s="7" t="s">
        <v>80</v>
      </c>
    </row>
    <row r="249" spans="1:9">
      <c r="A249" s="5">
        <v>625</v>
      </c>
      <c r="B249" s="6" t="s">
        <v>631</v>
      </c>
      <c r="C249" s="7" t="s">
        <v>632</v>
      </c>
      <c r="D249" s="9" t="s">
        <v>37</v>
      </c>
      <c r="E249" s="9" t="s">
        <v>11</v>
      </c>
      <c r="F249" s="9" t="s">
        <v>610</v>
      </c>
      <c r="G249" s="5">
        <v>84</v>
      </c>
      <c r="H249" s="5"/>
      <c r="I249" s="7" t="s">
        <v>123</v>
      </c>
    </row>
    <row r="250" spans="1:9">
      <c r="A250" s="5">
        <v>626</v>
      </c>
      <c r="B250" s="6" t="s">
        <v>633</v>
      </c>
      <c r="C250" s="7" t="s">
        <v>634</v>
      </c>
      <c r="D250" s="9" t="s">
        <v>609</v>
      </c>
      <c r="E250" s="9" t="s">
        <v>11</v>
      </c>
      <c r="F250" s="9" t="s">
        <v>610</v>
      </c>
      <c r="G250" s="5">
        <v>0</v>
      </c>
      <c r="H250" s="5"/>
      <c r="I250" s="7" t="s">
        <v>635</v>
      </c>
    </row>
    <row r="251" spans="1:9">
      <c r="A251" s="5">
        <v>627</v>
      </c>
      <c r="B251" s="6" t="s">
        <v>636</v>
      </c>
      <c r="C251" s="7" t="s">
        <v>637</v>
      </c>
      <c r="D251" s="9" t="s">
        <v>9</v>
      </c>
      <c r="E251" s="9" t="s">
        <v>11</v>
      </c>
      <c r="F251" s="9" t="s">
        <v>610</v>
      </c>
      <c r="G251" s="5">
        <v>85</v>
      </c>
      <c r="H251" s="5"/>
      <c r="I251" s="7" t="s">
        <v>638</v>
      </c>
    </row>
    <row r="252" spans="1:9">
      <c r="A252" s="5">
        <v>628</v>
      </c>
      <c r="B252" s="6" t="s">
        <v>639</v>
      </c>
      <c r="C252" s="7" t="s">
        <v>640</v>
      </c>
      <c r="D252" s="9" t="s">
        <v>9</v>
      </c>
      <c r="E252" s="9" t="s">
        <v>11</v>
      </c>
      <c r="F252" s="9" t="s">
        <v>610</v>
      </c>
      <c r="G252" s="5">
        <v>98</v>
      </c>
      <c r="H252" s="5"/>
      <c r="I252" s="7" t="s">
        <v>233</v>
      </c>
    </row>
    <row r="253" spans="1:9">
      <c r="A253" s="5">
        <v>629</v>
      </c>
      <c r="B253" s="6" t="s">
        <v>641</v>
      </c>
      <c r="C253" s="7" t="s">
        <v>642</v>
      </c>
      <c r="D253" s="9" t="s">
        <v>37</v>
      </c>
      <c r="E253" s="9" t="s">
        <v>11</v>
      </c>
      <c r="F253" s="9" t="s">
        <v>610</v>
      </c>
      <c r="G253" s="5">
        <v>77</v>
      </c>
      <c r="H253" s="5"/>
      <c r="I253" s="7" t="s">
        <v>236</v>
      </c>
    </row>
    <row r="254" spans="1:9">
      <c r="A254" s="5">
        <v>630</v>
      </c>
      <c r="B254" s="6" t="s">
        <v>643</v>
      </c>
      <c r="C254" s="7" t="s">
        <v>644</v>
      </c>
      <c r="D254" s="9" t="s">
        <v>9</v>
      </c>
      <c r="E254" s="9" t="s">
        <v>11</v>
      </c>
      <c r="F254" s="9" t="s">
        <v>610</v>
      </c>
      <c r="G254" s="5">
        <v>86</v>
      </c>
      <c r="H254" s="5"/>
      <c r="I254" s="7" t="s">
        <v>315</v>
      </c>
    </row>
    <row r="255" spans="1:9">
      <c r="A255" s="5">
        <v>631</v>
      </c>
      <c r="B255" s="6" t="s">
        <v>645</v>
      </c>
      <c r="C255" s="7" t="s">
        <v>646</v>
      </c>
      <c r="D255" s="9" t="s">
        <v>37</v>
      </c>
      <c r="E255" s="9" t="s">
        <v>11</v>
      </c>
      <c r="F255" s="9" t="s">
        <v>610</v>
      </c>
      <c r="G255" s="5">
        <v>0</v>
      </c>
      <c r="H255" s="5"/>
      <c r="I255" s="7" t="s">
        <v>266</v>
      </c>
    </row>
    <row r="256" spans="1:9">
      <c r="A256" s="5">
        <v>632</v>
      </c>
      <c r="B256" s="6" t="s">
        <v>647</v>
      </c>
      <c r="C256" s="7" t="s">
        <v>648</v>
      </c>
      <c r="D256" s="9" t="s">
        <v>37</v>
      </c>
      <c r="E256" s="9" t="s">
        <v>11</v>
      </c>
      <c r="F256" s="9" t="s">
        <v>610</v>
      </c>
      <c r="G256" s="5">
        <v>88</v>
      </c>
      <c r="H256" s="5"/>
      <c r="I256" s="7" t="s">
        <v>649</v>
      </c>
    </row>
    <row r="257" spans="1:9">
      <c r="A257" s="5">
        <v>633</v>
      </c>
      <c r="B257" s="6" t="s">
        <v>650</v>
      </c>
      <c r="C257" s="7" t="s">
        <v>651</v>
      </c>
      <c r="D257" s="9" t="s">
        <v>28</v>
      </c>
      <c r="E257" s="9" t="s">
        <v>11</v>
      </c>
      <c r="F257" s="9" t="s">
        <v>610</v>
      </c>
      <c r="G257" s="5">
        <v>9</v>
      </c>
      <c r="H257" s="5"/>
      <c r="I257" s="7" t="s">
        <v>306</v>
      </c>
    </row>
    <row r="258" spans="1:9">
      <c r="A258" s="5">
        <v>634</v>
      </c>
      <c r="B258" s="6" t="s">
        <v>652</v>
      </c>
      <c r="C258" s="7" t="s">
        <v>653</v>
      </c>
      <c r="D258" s="9" t="s">
        <v>449</v>
      </c>
      <c r="E258" s="9" t="s">
        <v>11</v>
      </c>
      <c r="F258" s="9" t="s">
        <v>610</v>
      </c>
      <c r="G258" s="5">
        <v>78</v>
      </c>
      <c r="H258" s="5"/>
      <c r="I258" s="7" t="s">
        <v>315</v>
      </c>
    </row>
    <row r="259" spans="1:9">
      <c r="A259" s="5">
        <v>635</v>
      </c>
      <c r="B259" s="6" t="s">
        <v>654</v>
      </c>
      <c r="C259" s="7" t="s">
        <v>655</v>
      </c>
      <c r="D259" s="5" t="s">
        <v>954</v>
      </c>
      <c r="E259" s="9" t="s">
        <v>11</v>
      </c>
      <c r="F259" s="9" t="s">
        <v>610</v>
      </c>
      <c r="G259" s="5">
        <v>95</v>
      </c>
      <c r="H259" s="5"/>
      <c r="I259" s="7" t="s">
        <v>656</v>
      </c>
    </row>
    <row r="260" spans="1:9">
      <c r="A260" s="5">
        <v>636</v>
      </c>
      <c r="B260" s="6" t="s">
        <v>657</v>
      </c>
      <c r="C260" s="7" t="s">
        <v>658</v>
      </c>
      <c r="D260" s="5" t="s">
        <v>954</v>
      </c>
      <c r="E260" s="9" t="s">
        <v>661</v>
      </c>
      <c r="F260" s="9" t="s">
        <v>660</v>
      </c>
      <c r="G260" s="5">
        <v>756</v>
      </c>
      <c r="H260" s="5"/>
      <c r="I260" s="7" t="s">
        <v>659</v>
      </c>
    </row>
    <row r="261" spans="1:9">
      <c r="A261" s="5">
        <v>637</v>
      </c>
      <c r="B261" s="6" t="s">
        <v>662</v>
      </c>
      <c r="C261" s="7" t="s">
        <v>663</v>
      </c>
      <c r="D261" s="5" t="s">
        <v>954</v>
      </c>
      <c r="E261" s="9" t="s">
        <v>661</v>
      </c>
      <c r="F261" s="9" t="s">
        <v>660</v>
      </c>
      <c r="G261" s="5">
        <v>1937</v>
      </c>
      <c r="H261" s="5"/>
      <c r="I261" s="7" t="s">
        <v>664</v>
      </c>
    </row>
    <row r="262" spans="1:9">
      <c r="A262" s="5">
        <v>638</v>
      </c>
      <c r="B262" s="6" t="s">
        <v>665</v>
      </c>
      <c r="C262" s="7" t="s">
        <v>666</v>
      </c>
      <c r="D262" s="5" t="s">
        <v>954</v>
      </c>
      <c r="E262" s="9" t="s">
        <v>661</v>
      </c>
      <c r="F262" s="9" t="s">
        <v>660</v>
      </c>
      <c r="G262" s="5">
        <v>523</v>
      </c>
      <c r="H262" s="5"/>
      <c r="I262" s="7" t="s">
        <v>667</v>
      </c>
    </row>
    <row r="263" spans="1:9">
      <c r="A263" s="5">
        <v>639</v>
      </c>
      <c r="B263" s="6" t="s">
        <v>668</v>
      </c>
      <c r="C263" s="7" t="s">
        <v>669</v>
      </c>
      <c r="D263" s="5" t="s">
        <v>954</v>
      </c>
      <c r="E263" s="9" t="s">
        <v>661</v>
      </c>
      <c r="F263" s="9" t="s">
        <v>660</v>
      </c>
      <c r="G263" s="5">
        <v>223</v>
      </c>
      <c r="H263" s="5"/>
      <c r="I263" s="7" t="s">
        <v>670</v>
      </c>
    </row>
    <row r="264" spans="1:9">
      <c r="A264" s="5">
        <v>640</v>
      </c>
      <c r="B264" s="6" t="s">
        <v>671</v>
      </c>
      <c r="C264" s="7" t="s">
        <v>672</v>
      </c>
      <c r="D264" s="5" t="s">
        <v>954</v>
      </c>
      <c r="E264" s="9" t="s">
        <v>661</v>
      </c>
      <c r="F264" s="9" t="s">
        <v>660</v>
      </c>
      <c r="G264" s="5">
        <v>479</v>
      </c>
      <c r="H264" s="5"/>
      <c r="I264" s="7" t="s">
        <v>673</v>
      </c>
    </row>
    <row r="265" spans="1:9">
      <c r="A265" s="5">
        <v>641</v>
      </c>
      <c r="B265" s="6" t="s">
        <v>674</v>
      </c>
      <c r="C265" s="7" t="s">
        <v>675</v>
      </c>
      <c r="D265" s="5" t="s">
        <v>954</v>
      </c>
      <c r="E265" s="9" t="s">
        <v>661</v>
      </c>
      <c r="F265" s="9" t="s">
        <v>660</v>
      </c>
      <c r="G265" s="5">
        <v>2695</v>
      </c>
      <c r="H265" s="5"/>
      <c r="I265" s="7" t="s">
        <v>676</v>
      </c>
    </row>
    <row r="266" spans="1:9">
      <c r="A266" s="5">
        <v>642</v>
      </c>
      <c r="B266" s="6" t="s">
        <v>677</v>
      </c>
      <c r="C266" s="7" t="s">
        <v>678</v>
      </c>
      <c r="D266" s="5" t="s">
        <v>954</v>
      </c>
      <c r="E266" s="9" t="s">
        <v>11</v>
      </c>
      <c r="F266" s="9" t="s">
        <v>660</v>
      </c>
      <c r="G266" s="5">
        <v>35</v>
      </c>
      <c r="H266" s="5"/>
      <c r="I266" s="7" t="s">
        <v>679</v>
      </c>
    </row>
    <row r="267" spans="1:9">
      <c r="A267" s="5">
        <v>643</v>
      </c>
      <c r="B267" s="6" t="s">
        <v>680</v>
      </c>
      <c r="C267" s="7" t="s">
        <v>681</v>
      </c>
      <c r="D267" s="5" t="s">
        <v>954</v>
      </c>
      <c r="E267" s="9" t="s">
        <v>661</v>
      </c>
      <c r="F267" s="9" t="s">
        <v>660</v>
      </c>
      <c r="G267" s="5">
        <v>570</v>
      </c>
      <c r="H267" s="5"/>
      <c r="I267" s="7" t="s">
        <v>682</v>
      </c>
    </row>
    <row r="268" spans="1:9">
      <c r="A268" s="5">
        <v>644</v>
      </c>
      <c r="B268" s="6" t="s">
        <v>683</v>
      </c>
      <c r="C268" s="7" t="s">
        <v>684</v>
      </c>
      <c r="D268" s="5" t="s">
        <v>954</v>
      </c>
      <c r="E268" s="9" t="s">
        <v>661</v>
      </c>
      <c r="F268" s="9" t="s">
        <v>660</v>
      </c>
      <c r="G268" s="5">
        <v>419</v>
      </c>
      <c r="H268" s="5"/>
      <c r="I268" s="7" t="s">
        <v>685</v>
      </c>
    </row>
    <row r="269" spans="1:9">
      <c r="A269" s="5">
        <v>645</v>
      </c>
      <c r="B269" s="6" t="s">
        <v>686</v>
      </c>
      <c r="C269" s="7" t="s">
        <v>687</v>
      </c>
      <c r="D269" s="5" t="s">
        <v>954</v>
      </c>
      <c r="E269" s="9" t="s">
        <v>661</v>
      </c>
      <c r="F269" s="9" t="s">
        <v>660</v>
      </c>
      <c r="G269" s="5">
        <v>1423</v>
      </c>
      <c r="H269" s="5"/>
      <c r="I269" s="7" t="s">
        <v>688</v>
      </c>
    </row>
    <row r="270" spans="1:9">
      <c r="A270" s="5">
        <v>646</v>
      </c>
      <c r="B270" s="6" t="s">
        <v>689</v>
      </c>
      <c r="C270" s="7" t="s">
        <v>690</v>
      </c>
      <c r="D270" s="5" t="s">
        <v>954</v>
      </c>
      <c r="E270" s="9" t="s">
        <v>661</v>
      </c>
      <c r="F270" s="9" t="s">
        <v>660</v>
      </c>
      <c r="G270" s="5">
        <v>619</v>
      </c>
      <c r="H270" s="5"/>
      <c r="I270" s="7" t="s">
        <v>691</v>
      </c>
    </row>
    <row r="271" spans="1:9">
      <c r="A271" s="5">
        <v>647</v>
      </c>
      <c r="B271" s="6" t="s">
        <v>692</v>
      </c>
      <c r="C271" s="7" t="s">
        <v>693</v>
      </c>
      <c r="D271" s="5" t="s">
        <v>954</v>
      </c>
      <c r="E271" s="9" t="s">
        <v>661</v>
      </c>
      <c r="F271" s="9" t="s">
        <v>660</v>
      </c>
      <c r="G271" s="5">
        <v>382</v>
      </c>
      <c r="H271" s="5"/>
      <c r="I271" s="7" t="s">
        <v>694</v>
      </c>
    </row>
    <row r="272" spans="1:9">
      <c r="A272" s="5">
        <v>648</v>
      </c>
      <c r="B272" s="6" t="s">
        <v>695</v>
      </c>
      <c r="C272" s="7" t="s">
        <v>696</v>
      </c>
      <c r="D272" s="5" t="s">
        <v>954</v>
      </c>
      <c r="E272" s="9" t="s">
        <v>661</v>
      </c>
      <c r="F272" s="9" t="s">
        <v>660</v>
      </c>
      <c r="G272" s="5">
        <v>19</v>
      </c>
      <c r="H272" s="5"/>
      <c r="I272" s="7" t="s">
        <v>697</v>
      </c>
    </row>
    <row r="273" spans="1:9">
      <c r="A273" s="5">
        <v>649</v>
      </c>
      <c r="B273" s="6" t="s">
        <v>698</v>
      </c>
      <c r="C273" s="7" t="s">
        <v>699</v>
      </c>
      <c r="D273" s="5" t="s">
        <v>954</v>
      </c>
      <c r="E273" s="9" t="s">
        <v>661</v>
      </c>
      <c r="F273" s="9" t="s">
        <v>660</v>
      </c>
      <c r="G273" s="5">
        <v>4577</v>
      </c>
      <c r="H273" s="5"/>
      <c r="I273" s="7" t="s">
        <v>700</v>
      </c>
    </row>
    <row r="274" spans="1:9">
      <c r="A274" s="5">
        <v>650</v>
      </c>
      <c r="B274" s="6" t="s">
        <v>701</v>
      </c>
      <c r="C274" s="7" t="s">
        <v>702</v>
      </c>
      <c r="D274" s="5" t="s">
        <v>954</v>
      </c>
      <c r="E274" s="9" t="s">
        <v>661</v>
      </c>
      <c r="F274" s="9" t="s">
        <v>660</v>
      </c>
      <c r="G274" s="5">
        <v>538</v>
      </c>
      <c r="H274" s="5"/>
      <c r="I274" s="7" t="s">
        <v>703</v>
      </c>
    </row>
    <row r="275" spans="1:9">
      <c r="A275" s="5">
        <v>651</v>
      </c>
      <c r="B275" s="6" t="s">
        <v>704</v>
      </c>
      <c r="C275" s="7" t="s">
        <v>705</v>
      </c>
      <c r="D275" s="5" t="s">
        <v>954</v>
      </c>
      <c r="E275" s="9" t="s">
        <v>661</v>
      </c>
      <c r="F275" s="9" t="s">
        <v>660</v>
      </c>
      <c r="G275" s="5">
        <v>311</v>
      </c>
      <c r="H275" s="5"/>
      <c r="I275" s="7" t="s">
        <v>706</v>
      </c>
    </row>
    <row r="276" spans="1:9">
      <c r="A276" s="5">
        <v>652</v>
      </c>
      <c r="B276" s="6" t="s">
        <v>707</v>
      </c>
      <c r="C276" s="7" t="s">
        <v>708</v>
      </c>
      <c r="D276" s="5" t="s">
        <v>954</v>
      </c>
      <c r="E276" s="9" t="s">
        <v>661</v>
      </c>
      <c r="F276" s="9" t="s">
        <v>660</v>
      </c>
      <c r="G276" s="5">
        <v>292</v>
      </c>
      <c r="H276" s="5"/>
      <c r="I276" s="7" t="s">
        <v>709</v>
      </c>
    </row>
    <row r="277" spans="1:9">
      <c r="A277" s="5">
        <v>653</v>
      </c>
      <c r="B277" s="6" t="s">
        <v>710</v>
      </c>
      <c r="C277" s="7" t="s">
        <v>711</v>
      </c>
      <c r="D277" s="5" t="s">
        <v>954</v>
      </c>
      <c r="E277" s="9" t="s">
        <v>661</v>
      </c>
      <c r="F277" s="9" t="s">
        <v>660</v>
      </c>
      <c r="G277" s="5">
        <v>985</v>
      </c>
      <c r="H277" s="5"/>
      <c r="I277" s="7" t="s">
        <v>712</v>
      </c>
    </row>
    <row r="278" spans="1:9">
      <c r="A278" s="5">
        <v>654</v>
      </c>
      <c r="B278" s="6" t="s">
        <v>713</v>
      </c>
      <c r="C278" s="7" t="s">
        <v>714</v>
      </c>
      <c r="D278" s="5" t="s">
        <v>954</v>
      </c>
      <c r="E278" s="9" t="s">
        <v>661</v>
      </c>
      <c r="F278" s="9" t="s">
        <v>660</v>
      </c>
      <c r="G278" s="5">
        <v>1966</v>
      </c>
      <c r="H278" s="5"/>
      <c r="I278" s="7" t="s">
        <v>715</v>
      </c>
    </row>
    <row r="279" spans="1:9">
      <c r="A279" s="5">
        <v>655</v>
      </c>
      <c r="B279" s="6" t="s">
        <v>716</v>
      </c>
      <c r="C279" s="7" t="s">
        <v>717</v>
      </c>
      <c r="D279" s="5" t="s">
        <v>954</v>
      </c>
      <c r="E279" s="9" t="s">
        <v>661</v>
      </c>
      <c r="F279" s="9" t="s">
        <v>660</v>
      </c>
      <c r="G279" s="5">
        <v>708</v>
      </c>
      <c r="H279" s="5"/>
      <c r="I279" s="7" t="s">
        <v>718</v>
      </c>
    </row>
    <row r="280" spans="1:9">
      <c r="A280" s="5">
        <v>656</v>
      </c>
      <c r="B280" s="6" t="s">
        <v>719</v>
      </c>
      <c r="C280" s="7" t="s">
        <v>720</v>
      </c>
      <c r="D280" s="5" t="s">
        <v>954</v>
      </c>
      <c r="E280" s="9" t="s">
        <v>661</v>
      </c>
      <c r="F280" s="9" t="s">
        <v>660</v>
      </c>
      <c r="G280" s="5">
        <v>956</v>
      </c>
      <c r="H280" s="5"/>
      <c r="I280" s="7" t="s">
        <v>721</v>
      </c>
    </row>
    <row r="281" spans="1:9">
      <c r="A281" s="5">
        <v>657</v>
      </c>
      <c r="B281" s="6" t="s">
        <v>722</v>
      </c>
      <c r="C281" s="7" t="s">
        <v>723</v>
      </c>
      <c r="D281" s="5" t="s">
        <v>954</v>
      </c>
      <c r="E281" s="9" t="s">
        <v>661</v>
      </c>
      <c r="F281" s="9" t="s">
        <v>660</v>
      </c>
      <c r="G281" s="5">
        <v>575</v>
      </c>
      <c r="H281" s="5"/>
      <c r="I281" s="7" t="s">
        <v>724</v>
      </c>
    </row>
    <row r="282" spans="1:9">
      <c r="A282" s="5">
        <v>658</v>
      </c>
      <c r="B282" s="6" t="s">
        <v>725</v>
      </c>
      <c r="C282" s="7" t="s">
        <v>726</v>
      </c>
      <c r="D282" s="5" t="s">
        <v>954</v>
      </c>
      <c r="E282" s="9" t="s">
        <v>661</v>
      </c>
      <c r="F282" s="9" t="s">
        <v>660</v>
      </c>
      <c r="G282" s="5">
        <v>1</v>
      </c>
      <c r="H282" s="5"/>
      <c r="I282" s="7" t="s">
        <v>727</v>
      </c>
    </row>
    <row r="283" spans="1:9">
      <c r="A283" s="5">
        <v>659</v>
      </c>
      <c r="B283" s="6" t="s">
        <v>728</v>
      </c>
      <c r="C283" s="7" t="s">
        <v>729</v>
      </c>
      <c r="D283" s="5" t="s">
        <v>954</v>
      </c>
      <c r="E283" s="9" t="s">
        <v>661</v>
      </c>
      <c r="F283" s="9" t="s">
        <v>660</v>
      </c>
      <c r="G283" s="5">
        <v>934</v>
      </c>
      <c r="H283" s="5"/>
      <c r="I283" s="7" t="s">
        <v>730</v>
      </c>
    </row>
    <row r="284" spans="1:9">
      <c r="A284" s="5">
        <v>660</v>
      </c>
      <c r="B284" s="6" t="s">
        <v>731</v>
      </c>
      <c r="C284" s="7" t="s">
        <v>732</v>
      </c>
      <c r="D284" s="5" t="s">
        <v>954</v>
      </c>
      <c r="E284" s="9" t="s">
        <v>661</v>
      </c>
      <c r="F284" s="9" t="s">
        <v>660</v>
      </c>
      <c r="G284" s="5">
        <v>454</v>
      </c>
      <c r="H284" s="5"/>
      <c r="I284" s="7" t="s">
        <v>733</v>
      </c>
    </row>
    <row r="285" spans="1:9">
      <c r="A285" s="5">
        <v>661</v>
      </c>
      <c r="B285" s="6" t="s">
        <v>734</v>
      </c>
      <c r="C285" s="7" t="s">
        <v>735</v>
      </c>
      <c r="D285" s="5" t="s">
        <v>954</v>
      </c>
      <c r="E285" s="9" t="s">
        <v>661</v>
      </c>
      <c r="F285" s="9" t="s">
        <v>660</v>
      </c>
      <c r="G285" s="5">
        <v>975</v>
      </c>
      <c r="H285" s="5"/>
      <c r="I285" s="7" t="s">
        <v>736</v>
      </c>
    </row>
    <row r="286" spans="1:9">
      <c r="A286" s="5">
        <v>662</v>
      </c>
      <c r="B286" s="6" t="s">
        <v>737</v>
      </c>
      <c r="C286" s="7" t="s">
        <v>738</v>
      </c>
      <c r="D286" s="5" t="s">
        <v>954</v>
      </c>
      <c r="E286" s="9" t="s">
        <v>661</v>
      </c>
      <c r="F286" s="9" t="s">
        <v>660</v>
      </c>
      <c r="G286" s="5">
        <v>2104</v>
      </c>
      <c r="H286" s="5"/>
      <c r="I286" s="7" t="s">
        <v>739</v>
      </c>
    </row>
    <row r="287" spans="1:9">
      <c r="A287" s="5">
        <v>663</v>
      </c>
      <c r="B287" s="6" t="s">
        <v>740</v>
      </c>
      <c r="C287" s="7" t="s">
        <v>741</v>
      </c>
      <c r="D287" s="5" t="s">
        <v>954</v>
      </c>
      <c r="E287" s="9" t="s">
        <v>661</v>
      </c>
      <c r="F287" s="9" t="s">
        <v>660</v>
      </c>
      <c r="G287" s="5">
        <v>595</v>
      </c>
      <c r="H287" s="5"/>
      <c r="I287" s="7" t="s">
        <v>742</v>
      </c>
    </row>
    <row r="288" spans="1:9">
      <c r="A288" s="5">
        <v>664</v>
      </c>
      <c r="B288" s="6" t="s">
        <v>743</v>
      </c>
      <c r="C288" s="7" t="s">
        <v>744</v>
      </c>
      <c r="D288" s="5" t="s">
        <v>954</v>
      </c>
      <c r="E288" s="9" t="s">
        <v>661</v>
      </c>
      <c r="F288" s="9" t="s">
        <v>660</v>
      </c>
      <c r="G288" s="5">
        <v>594</v>
      </c>
      <c r="H288" s="5"/>
      <c r="I288" s="7" t="s">
        <v>745</v>
      </c>
    </row>
    <row r="289" spans="1:9">
      <c r="A289" s="5">
        <v>665</v>
      </c>
      <c r="B289" s="6" t="s">
        <v>746</v>
      </c>
      <c r="C289" s="7" t="s">
        <v>747</v>
      </c>
      <c r="D289" s="5" t="s">
        <v>954</v>
      </c>
      <c r="E289" s="9" t="s">
        <v>661</v>
      </c>
      <c r="F289" s="9" t="s">
        <v>660</v>
      </c>
      <c r="G289" s="5">
        <v>1327</v>
      </c>
      <c r="H289" s="5"/>
      <c r="I289" s="7" t="s">
        <v>748</v>
      </c>
    </row>
    <row r="290" spans="1:9">
      <c r="A290" s="5">
        <v>666</v>
      </c>
      <c r="B290" s="6" t="s">
        <v>749</v>
      </c>
      <c r="C290" s="7" t="s">
        <v>750</v>
      </c>
      <c r="D290" s="5" t="s">
        <v>954</v>
      </c>
      <c r="E290" s="9" t="s">
        <v>661</v>
      </c>
      <c r="F290" s="9" t="s">
        <v>660</v>
      </c>
      <c r="G290" s="5">
        <v>606</v>
      </c>
      <c r="H290" s="5"/>
      <c r="I290" s="7" t="s">
        <v>751</v>
      </c>
    </row>
    <row r="291" spans="1:9">
      <c r="A291" s="5">
        <v>667</v>
      </c>
      <c r="B291" s="6" t="s">
        <v>752</v>
      </c>
      <c r="C291" s="7" t="s">
        <v>753</v>
      </c>
      <c r="D291" s="5" t="s">
        <v>954</v>
      </c>
      <c r="E291" s="9" t="s">
        <v>661</v>
      </c>
      <c r="F291" s="9" t="s">
        <v>660</v>
      </c>
      <c r="G291" s="5">
        <v>2338</v>
      </c>
      <c r="H291" s="5"/>
      <c r="I291" s="7" t="s">
        <v>754</v>
      </c>
    </row>
    <row r="292" spans="1:9">
      <c r="A292" s="5">
        <v>668</v>
      </c>
      <c r="B292" s="6" t="s">
        <v>755</v>
      </c>
      <c r="C292" s="7" t="s">
        <v>756</v>
      </c>
      <c r="D292" s="5" t="s">
        <v>954</v>
      </c>
      <c r="E292" s="9" t="s">
        <v>661</v>
      </c>
      <c r="F292" s="9" t="s">
        <v>660</v>
      </c>
      <c r="G292" s="5">
        <v>1483</v>
      </c>
      <c r="H292" s="5"/>
      <c r="I292" s="7" t="s">
        <v>757</v>
      </c>
    </row>
    <row r="293" spans="1:9">
      <c r="A293" s="5">
        <v>669</v>
      </c>
      <c r="B293" s="6" t="s">
        <v>758</v>
      </c>
      <c r="C293" s="7" t="s">
        <v>759</v>
      </c>
      <c r="D293" s="5" t="s">
        <v>954</v>
      </c>
      <c r="E293" s="9" t="s">
        <v>11</v>
      </c>
      <c r="F293" s="9" t="s">
        <v>660</v>
      </c>
      <c r="G293" s="5">
        <v>958</v>
      </c>
      <c r="H293" s="5"/>
      <c r="I293" s="7" t="s">
        <v>760</v>
      </c>
    </row>
    <row r="294" spans="1:9">
      <c r="A294" s="5">
        <v>670</v>
      </c>
      <c r="B294" s="6" t="s">
        <v>761</v>
      </c>
      <c r="C294" s="7" t="s">
        <v>762</v>
      </c>
      <c r="D294" s="5" t="s">
        <v>954</v>
      </c>
      <c r="E294" s="9" t="s">
        <v>661</v>
      </c>
      <c r="F294" s="9" t="s">
        <v>660</v>
      </c>
      <c r="G294" s="5">
        <v>703</v>
      </c>
      <c r="H294" s="5"/>
      <c r="I294" s="7" t="s">
        <v>763</v>
      </c>
    </row>
    <row r="295" spans="1:9">
      <c r="A295" s="5">
        <v>671</v>
      </c>
      <c r="B295" s="6" t="s">
        <v>764</v>
      </c>
      <c r="C295" s="7" t="s">
        <v>765</v>
      </c>
      <c r="D295" s="5" t="s">
        <v>954</v>
      </c>
      <c r="E295" s="9" t="s">
        <v>661</v>
      </c>
      <c r="F295" s="9" t="s">
        <v>660</v>
      </c>
      <c r="G295" s="5">
        <v>807</v>
      </c>
      <c r="H295" s="5"/>
      <c r="I295" s="7" t="s">
        <v>766</v>
      </c>
    </row>
    <row r="296" spans="1:9">
      <c r="A296" s="5">
        <v>672</v>
      </c>
      <c r="B296" s="6" t="s">
        <v>767</v>
      </c>
      <c r="C296" s="7" t="s">
        <v>768</v>
      </c>
      <c r="D296" s="5" t="s">
        <v>954</v>
      </c>
      <c r="E296" s="9" t="s">
        <v>661</v>
      </c>
      <c r="F296" s="9" t="s">
        <v>660</v>
      </c>
      <c r="G296" s="5">
        <v>1012</v>
      </c>
      <c r="H296" s="5"/>
      <c r="I296" s="7" t="s">
        <v>769</v>
      </c>
    </row>
    <row r="297" spans="1:9">
      <c r="A297" s="5">
        <v>673</v>
      </c>
      <c r="B297" s="6" t="s">
        <v>770</v>
      </c>
      <c r="C297" s="7" t="s">
        <v>771</v>
      </c>
      <c r="D297" s="5" t="s">
        <v>954</v>
      </c>
      <c r="E297" s="9" t="s">
        <v>661</v>
      </c>
      <c r="F297" s="9" t="s">
        <v>660</v>
      </c>
      <c r="G297" s="5">
        <v>719</v>
      </c>
      <c r="H297" s="5"/>
      <c r="I297" s="7" t="s">
        <v>772</v>
      </c>
    </row>
    <row r="298" spans="1:9">
      <c r="A298" s="5">
        <v>674</v>
      </c>
      <c r="B298" s="6" t="s">
        <v>773</v>
      </c>
      <c r="C298" s="7" t="s">
        <v>774</v>
      </c>
      <c r="D298" s="5" t="s">
        <v>954</v>
      </c>
      <c r="E298" s="9" t="s">
        <v>661</v>
      </c>
      <c r="F298" s="9" t="s">
        <v>660</v>
      </c>
      <c r="G298" s="5">
        <v>707</v>
      </c>
      <c r="H298" s="5"/>
      <c r="I298" s="7" t="s">
        <v>775</v>
      </c>
    </row>
    <row r="299" spans="1:9">
      <c r="A299" s="5">
        <v>675</v>
      </c>
      <c r="B299" s="6" t="s">
        <v>776</v>
      </c>
      <c r="C299" s="7" t="s">
        <v>777</v>
      </c>
      <c r="D299" s="5" t="s">
        <v>954</v>
      </c>
      <c r="E299" s="9" t="s">
        <v>661</v>
      </c>
      <c r="F299" s="9" t="s">
        <v>660</v>
      </c>
      <c r="G299" s="5">
        <v>463</v>
      </c>
      <c r="H299" s="5"/>
      <c r="I299" s="7" t="s">
        <v>778</v>
      </c>
    </row>
    <row r="300" spans="1:9">
      <c r="A300" s="5">
        <v>676</v>
      </c>
      <c r="B300" s="6" t="s">
        <v>779</v>
      </c>
      <c r="C300" s="7" t="s">
        <v>780</v>
      </c>
      <c r="D300" s="5" t="s">
        <v>954</v>
      </c>
      <c r="E300" s="9" t="s">
        <v>661</v>
      </c>
      <c r="F300" s="9" t="s">
        <v>660</v>
      </c>
      <c r="G300" s="5">
        <v>1412</v>
      </c>
      <c r="H300" s="5"/>
      <c r="I300" s="7" t="s">
        <v>781</v>
      </c>
    </row>
    <row r="301" spans="1:9" ht="15.6">
      <c r="A301" s="5">
        <v>677</v>
      </c>
      <c r="B301" s="6" t="s">
        <v>782</v>
      </c>
      <c r="C301" s="7" t="s">
        <v>783</v>
      </c>
      <c r="D301" s="5" t="s">
        <v>954</v>
      </c>
      <c r="E301" s="9" t="s">
        <v>661</v>
      </c>
      <c r="F301" s="9" t="s">
        <v>660</v>
      </c>
      <c r="G301" s="5">
        <v>8</v>
      </c>
      <c r="H301" s="5"/>
      <c r="I301" s="7" t="s">
        <v>784</v>
      </c>
    </row>
    <row r="302" spans="1:9" ht="15.6">
      <c r="A302" s="5">
        <v>678</v>
      </c>
      <c r="B302" s="6" t="s">
        <v>785</v>
      </c>
      <c r="C302" s="7" t="s">
        <v>786</v>
      </c>
      <c r="D302" s="5" t="s">
        <v>954</v>
      </c>
      <c r="E302" s="9" t="s">
        <v>661</v>
      </c>
      <c r="F302" s="9" t="s">
        <v>660</v>
      </c>
      <c r="G302" s="5">
        <v>1</v>
      </c>
      <c r="H302" s="5"/>
      <c r="I302" s="7" t="s">
        <v>787</v>
      </c>
    </row>
    <row r="303" spans="1:9" ht="15.6">
      <c r="A303" s="5">
        <v>679</v>
      </c>
      <c r="B303" s="6" t="s">
        <v>788</v>
      </c>
      <c r="C303" s="7" t="s">
        <v>789</v>
      </c>
      <c r="D303" s="5" t="s">
        <v>954</v>
      </c>
      <c r="E303" s="9" t="s">
        <v>661</v>
      </c>
      <c r="F303" s="9" t="s">
        <v>660</v>
      </c>
      <c r="G303" s="5">
        <v>11</v>
      </c>
      <c r="H303" s="5"/>
      <c r="I303" s="7" t="s">
        <v>790</v>
      </c>
    </row>
    <row r="304" spans="1:9" ht="15.6">
      <c r="A304" s="5">
        <v>680</v>
      </c>
      <c r="B304" s="6" t="s">
        <v>791</v>
      </c>
      <c r="C304" s="7" t="s">
        <v>792</v>
      </c>
      <c r="D304" s="5" t="s">
        <v>954</v>
      </c>
      <c r="E304" s="9" t="s">
        <v>661</v>
      </c>
      <c r="F304" s="9" t="s">
        <v>660</v>
      </c>
      <c r="G304" s="5">
        <v>15</v>
      </c>
      <c r="H304" s="5"/>
      <c r="I304" s="7" t="s">
        <v>793</v>
      </c>
    </row>
    <row r="305" spans="1:9" ht="15.6">
      <c r="A305" s="5">
        <v>681</v>
      </c>
      <c r="B305" s="6" t="s">
        <v>794</v>
      </c>
      <c r="C305" s="7" t="s">
        <v>795</v>
      </c>
      <c r="D305" s="5" t="s">
        <v>954</v>
      </c>
      <c r="E305" s="9" t="s">
        <v>661</v>
      </c>
      <c r="F305" s="9" t="s">
        <v>660</v>
      </c>
      <c r="G305" s="5">
        <v>30</v>
      </c>
      <c r="H305" s="5"/>
      <c r="I305" s="7" t="s">
        <v>796</v>
      </c>
    </row>
    <row r="306" spans="1:9" ht="15.6">
      <c r="A306" s="5">
        <v>682</v>
      </c>
      <c r="B306" s="6" t="s">
        <v>797</v>
      </c>
      <c r="C306" s="7" t="s">
        <v>798</v>
      </c>
      <c r="D306" s="5" t="s">
        <v>954</v>
      </c>
      <c r="E306" s="9" t="s">
        <v>661</v>
      </c>
      <c r="F306" s="9" t="s">
        <v>660</v>
      </c>
      <c r="G306" s="5">
        <v>570</v>
      </c>
      <c r="H306" s="5"/>
      <c r="I306" s="7" t="s">
        <v>799</v>
      </c>
    </row>
    <row r="307" spans="1:9" ht="15.6">
      <c r="A307" s="5">
        <v>683</v>
      </c>
      <c r="B307" s="6" t="s">
        <v>800</v>
      </c>
      <c r="C307" s="7" t="s">
        <v>801</v>
      </c>
      <c r="D307" s="5" t="s">
        <v>954</v>
      </c>
      <c r="E307" s="9" t="s">
        <v>661</v>
      </c>
      <c r="F307" s="9" t="s">
        <v>660</v>
      </c>
      <c r="G307" s="5">
        <v>517</v>
      </c>
      <c r="H307" s="5"/>
      <c r="I307" s="7" t="s">
        <v>802</v>
      </c>
    </row>
    <row r="308" spans="1:9" ht="15.6">
      <c r="A308" s="5">
        <v>684</v>
      </c>
      <c r="B308" s="6" t="s">
        <v>803</v>
      </c>
      <c r="C308" s="7" t="s">
        <v>804</v>
      </c>
      <c r="D308" s="5" t="s">
        <v>954</v>
      </c>
      <c r="E308" s="9" t="s">
        <v>661</v>
      </c>
      <c r="F308" s="9" t="s">
        <v>660</v>
      </c>
      <c r="G308" s="5">
        <v>454</v>
      </c>
      <c r="H308" s="5"/>
      <c r="I308" s="7" t="s">
        <v>805</v>
      </c>
    </row>
    <row r="309" spans="1:9" ht="15.6">
      <c r="A309" s="5">
        <v>685</v>
      </c>
      <c r="B309" s="6" t="s">
        <v>806</v>
      </c>
      <c r="C309" s="7" t="s">
        <v>807</v>
      </c>
      <c r="D309" s="5" t="s">
        <v>954</v>
      </c>
      <c r="E309" s="9" t="s">
        <v>661</v>
      </c>
      <c r="F309" s="9" t="s">
        <v>660</v>
      </c>
      <c r="G309" s="5">
        <v>508</v>
      </c>
      <c r="H309" s="5"/>
      <c r="I309" s="7" t="s">
        <v>808</v>
      </c>
    </row>
    <row r="310" spans="1:9">
      <c r="A310" s="5">
        <v>686</v>
      </c>
      <c r="B310" s="6">
        <v>9090001</v>
      </c>
      <c r="C310" s="7" t="s">
        <v>809</v>
      </c>
      <c r="D310" s="5" t="s">
        <v>954</v>
      </c>
      <c r="E310" s="9" t="s">
        <v>71</v>
      </c>
      <c r="F310" s="9" t="s">
        <v>810</v>
      </c>
      <c r="G310" s="5">
        <v>0</v>
      </c>
      <c r="H310" s="5"/>
      <c r="I310" s="7"/>
    </row>
    <row r="311" spans="1:9" ht="15.6">
      <c r="A311" s="5">
        <v>687</v>
      </c>
      <c r="B311" s="6">
        <v>9090002</v>
      </c>
      <c r="C311" s="8" t="s">
        <v>923</v>
      </c>
      <c r="D311" s="5" t="s">
        <v>954</v>
      </c>
      <c r="E311" s="9" t="s">
        <v>661</v>
      </c>
      <c r="F311" s="9" t="s">
        <v>660</v>
      </c>
      <c r="G311" s="5">
        <v>0</v>
      </c>
      <c r="H311" s="5"/>
      <c r="I311" s="7" t="s">
        <v>811</v>
      </c>
    </row>
    <row r="312" spans="1:9" ht="15.6">
      <c r="A312" s="5">
        <v>688</v>
      </c>
      <c r="B312" s="6">
        <v>9090003</v>
      </c>
      <c r="C312" s="7" t="s">
        <v>812</v>
      </c>
      <c r="D312" s="5" t="s">
        <v>954</v>
      </c>
      <c r="E312" s="9" t="s">
        <v>11</v>
      </c>
      <c r="F312" s="5" t="s">
        <v>424</v>
      </c>
      <c r="G312" s="5">
        <v>0</v>
      </c>
      <c r="H312" s="5"/>
      <c r="I312" s="7"/>
    </row>
    <row r="313" spans="1:9" ht="15.6">
      <c r="A313" s="5">
        <v>689</v>
      </c>
      <c r="B313" s="10" t="s">
        <v>813</v>
      </c>
      <c r="C313" s="8" t="s">
        <v>814</v>
      </c>
      <c r="D313" s="5" t="s">
        <v>954</v>
      </c>
      <c r="E313" s="9" t="s">
        <v>11</v>
      </c>
      <c r="F313" s="9" t="s">
        <v>376</v>
      </c>
      <c r="G313" s="5">
        <v>96</v>
      </c>
      <c r="H313" s="5"/>
      <c r="I313" s="8" t="s">
        <v>815</v>
      </c>
    </row>
    <row r="314" spans="1:9" ht="15.6">
      <c r="A314" s="5">
        <v>690</v>
      </c>
      <c r="B314" s="10" t="s">
        <v>816</v>
      </c>
      <c r="C314" s="8" t="s">
        <v>817</v>
      </c>
      <c r="D314" s="5" t="s">
        <v>954</v>
      </c>
      <c r="E314" s="9" t="s">
        <v>11</v>
      </c>
      <c r="F314" s="5" t="s">
        <v>610</v>
      </c>
      <c r="G314" s="5">
        <v>96</v>
      </c>
      <c r="H314" s="5"/>
      <c r="I314" s="8" t="s">
        <v>818</v>
      </c>
    </row>
    <row r="315" spans="1:9" ht="15.6">
      <c r="A315" s="5">
        <v>691</v>
      </c>
      <c r="B315" s="10" t="s">
        <v>471</v>
      </c>
      <c r="C315" s="8" t="s">
        <v>819</v>
      </c>
      <c r="D315" s="5" t="s">
        <v>954</v>
      </c>
      <c r="E315" s="9" t="s">
        <v>11</v>
      </c>
      <c r="F315" s="5" t="s">
        <v>424</v>
      </c>
      <c r="G315" s="5">
        <v>100</v>
      </c>
      <c r="H315" s="5"/>
      <c r="I315" s="8" t="s">
        <v>820</v>
      </c>
    </row>
    <row r="316" spans="1:9">
      <c r="A316" s="5">
        <v>692</v>
      </c>
      <c r="B316" s="11" t="s">
        <v>821</v>
      </c>
      <c r="C316" s="8" t="s">
        <v>822</v>
      </c>
      <c r="D316" s="5" t="s">
        <v>954</v>
      </c>
      <c r="E316" s="9" t="s">
        <v>11</v>
      </c>
      <c r="F316" s="5" t="s">
        <v>955</v>
      </c>
      <c r="G316" s="5"/>
      <c r="H316" s="5"/>
      <c r="I316" s="8"/>
    </row>
    <row r="317" spans="1:9">
      <c r="A317" s="5">
        <v>693</v>
      </c>
      <c r="B317" s="11" t="s">
        <v>823</v>
      </c>
      <c r="C317" s="8" t="s">
        <v>824</v>
      </c>
      <c r="D317" s="5" t="s">
        <v>954</v>
      </c>
      <c r="E317" s="9" t="s">
        <v>11</v>
      </c>
      <c r="F317" s="5" t="s">
        <v>424</v>
      </c>
      <c r="G317" s="5"/>
      <c r="H317" s="5"/>
      <c r="I317" s="8"/>
    </row>
    <row r="318" spans="1:9" ht="15.6">
      <c r="A318" s="5">
        <v>694</v>
      </c>
      <c r="B318" s="1" t="s">
        <v>825</v>
      </c>
      <c r="C318" s="8" t="s">
        <v>826</v>
      </c>
      <c r="D318" s="5" t="s">
        <v>954</v>
      </c>
      <c r="E318" s="9" t="s">
        <v>661</v>
      </c>
      <c r="F318" s="5" t="s">
        <v>424</v>
      </c>
      <c r="G318" s="5"/>
      <c r="H318" s="5"/>
      <c r="I318" s="8"/>
    </row>
    <row r="319" spans="1:9" ht="15.6">
      <c r="A319" s="5">
        <v>695</v>
      </c>
      <c r="B319" s="1" t="s">
        <v>827</v>
      </c>
      <c r="C319" s="8" t="s">
        <v>828</v>
      </c>
      <c r="D319" s="5" t="s">
        <v>954</v>
      </c>
      <c r="E319" s="9" t="s">
        <v>661</v>
      </c>
      <c r="F319" s="9" t="s">
        <v>660</v>
      </c>
      <c r="G319" s="5"/>
      <c r="H319" s="5"/>
      <c r="I319" s="8"/>
    </row>
    <row r="320" spans="1:9">
      <c r="A320" s="5">
        <v>696</v>
      </c>
      <c r="B320" s="11" t="s">
        <v>829</v>
      </c>
      <c r="C320" s="8" t="s">
        <v>830</v>
      </c>
      <c r="D320" s="5" t="s">
        <v>954</v>
      </c>
      <c r="E320" s="9" t="s">
        <v>661</v>
      </c>
      <c r="F320" s="9" t="s">
        <v>660</v>
      </c>
      <c r="G320" s="5"/>
      <c r="H320" s="5"/>
      <c r="I320" s="8"/>
    </row>
  </sheetData>
  <autoFilter ref="A1:H320">
    <filterColumn colId="4"/>
  </autoFilter>
  <phoneticPr fontId="3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O33"/>
  <sheetViews>
    <sheetView workbookViewId="0">
      <selection activeCell="J13" sqref="J13"/>
    </sheetView>
  </sheetViews>
  <sheetFormatPr defaultRowHeight="14.4"/>
  <cols>
    <col min="1" max="1" width="7.33203125" customWidth="1"/>
    <col min="16383" max="16383" width="20.44140625" bestFit="1" customWidth="1"/>
  </cols>
  <sheetData>
    <row r="1" spans="1:15">
      <c r="A1" t="s">
        <v>926</v>
      </c>
    </row>
    <row r="2" spans="1:15">
      <c r="B2" t="s">
        <v>925</v>
      </c>
    </row>
    <row r="3" spans="1:15">
      <c r="B3" t="s">
        <v>924</v>
      </c>
    </row>
    <row r="4" spans="1:15">
      <c r="A4" t="s">
        <v>927</v>
      </c>
    </row>
    <row r="5" spans="1:15">
      <c r="A5" t="s">
        <v>928</v>
      </c>
    </row>
    <row r="6" spans="1:15">
      <c r="B6" t="s">
        <v>950</v>
      </c>
    </row>
    <row r="7" spans="1:15">
      <c r="A7" t="s">
        <v>934</v>
      </c>
    </row>
    <row r="8" spans="1:15" ht="15.6">
      <c r="A8" s="15">
        <v>42679</v>
      </c>
      <c r="B8" s="17" t="s">
        <v>920</v>
      </c>
      <c r="D8" s="20">
        <v>621</v>
      </c>
      <c r="E8" s="21" t="str">
        <f>VLOOKUP($D:$D,基础资料!$A:B,2,0)</f>
        <v>0703000024</v>
      </c>
      <c r="F8" s="21" t="str">
        <f>VLOOKUP($D:$D,基础资料!$A:C,3,0)</f>
        <v>蓝卡愤怒的小鸟1BD+1DVD</v>
      </c>
      <c r="G8" s="21" t="str">
        <f>VLOOKUP($D:$D,基础资料!$A:D,4,0)</f>
        <v>1BD+1DVD</v>
      </c>
      <c r="H8" s="21" t="str">
        <f>VLOOKUP($D:$D,基础资料!$A:F,5,0)</f>
        <v>套</v>
      </c>
      <c r="I8" s="21" t="str">
        <f>VLOOKUP($D:$D,基础资料!$A:F,6,0)</f>
        <v>蓝光卡通</v>
      </c>
      <c r="J8">
        <v>500</v>
      </c>
      <c r="M8" s="21">
        <f>SUMIF($D:$D,D8,$L:$L)+SUMIF($D:$D,D8,$J:$J)-SUMIF($D:$D,D8,$K:$K)</f>
        <v>500</v>
      </c>
      <c r="N8" t="e">
        <f>VLOOKUP(D:D,#REF!,10,0)</f>
        <v>#REF!</v>
      </c>
      <c r="O8" t="e">
        <f>M8-N8</f>
        <v>#REF!</v>
      </c>
    </row>
    <row r="9" spans="1:15">
      <c r="A9" t="s">
        <v>944</v>
      </c>
    </row>
    <row r="10" spans="1:15">
      <c r="B10" t="s">
        <v>945</v>
      </c>
    </row>
    <row r="11" spans="1:15">
      <c r="B11" t="s">
        <v>946</v>
      </c>
    </row>
    <row r="12" spans="1:15">
      <c r="B12" t="s">
        <v>947</v>
      </c>
    </row>
    <row r="13" spans="1:15">
      <c r="A13" t="s">
        <v>948</v>
      </c>
    </row>
    <row r="14" spans="1:15">
      <c r="B14" t="s">
        <v>949</v>
      </c>
    </row>
    <row r="15" spans="1:15">
      <c r="A15" t="s">
        <v>951</v>
      </c>
    </row>
    <row r="16" spans="1:15">
      <c r="B16" t="s">
        <v>952</v>
      </c>
    </row>
    <row r="18" spans="1:3" ht="15.6">
      <c r="A18" s="41" t="s">
        <v>967</v>
      </c>
    </row>
    <row r="19" spans="1:3" ht="15.6">
      <c r="B19" s="41" t="s">
        <v>964</v>
      </c>
    </row>
    <row r="20" spans="1:3" ht="15.6">
      <c r="B20" s="41" t="s">
        <v>965</v>
      </c>
    </row>
    <row r="21" spans="1:3" ht="15.6">
      <c r="B21" s="41" t="s">
        <v>966</v>
      </c>
    </row>
    <row r="22" spans="1:3">
      <c r="C22" t="s">
        <v>970</v>
      </c>
    </row>
    <row r="23" spans="1:3">
      <c r="B23" t="s">
        <v>969</v>
      </c>
    </row>
    <row r="24" spans="1:3">
      <c r="A24" t="s">
        <v>973</v>
      </c>
    </row>
    <row r="25" spans="1:3">
      <c r="B25" t="s">
        <v>974</v>
      </c>
    </row>
    <row r="27" spans="1:3">
      <c r="A27" t="s">
        <v>975</v>
      </c>
    </row>
    <row r="28" spans="1:3">
      <c r="B28" t="s">
        <v>976</v>
      </c>
    </row>
    <row r="30" spans="1:3">
      <c r="A30" t="s">
        <v>977</v>
      </c>
    </row>
    <row r="31" spans="1:3">
      <c r="B31" t="s">
        <v>978</v>
      </c>
    </row>
    <row r="32" spans="1:3">
      <c r="B32" t="s">
        <v>979</v>
      </c>
    </row>
    <row r="33" spans="2:2">
      <c r="B33" t="s">
        <v>980</v>
      </c>
    </row>
  </sheetData>
  <phoneticPr fontId="3" type="noConversion"/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K119"/>
  <sheetViews>
    <sheetView view="pageBreakPreview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6" sqref="M6"/>
    </sheetView>
  </sheetViews>
  <sheetFormatPr defaultColWidth="8.88671875" defaultRowHeight="18.600000000000001" customHeight="1"/>
  <cols>
    <col min="1" max="1" width="6.44140625" style="34" customWidth="1"/>
    <col min="2" max="2" width="10.6640625" style="34" customWidth="1"/>
    <col min="3" max="3" width="31.33203125" style="34" customWidth="1"/>
    <col min="4" max="4" width="5.88671875" style="34" customWidth="1"/>
    <col min="5" max="5" width="5.44140625" style="34" customWidth="1"/>
    <col min="6" max="6" width="10.6640625" style="34" customWidth="1"/>
    <col min="7" max="11" width="5.77734375" style="34" customWidth="1"/>
    <col min="12" max="16384" width="8.88671875" style="34"/>
  </cols>
  <sheetData>
    <row r="1" spans="1:11" ht="18.600000000000001" customHeight="1">
      <c r="A1" s="36" t="s">
        <v>932</v>
      </c>
      <c r="B1" s="36" t="s">
        <v>933</v>
      </c>
      <c r="C1" s="36" t="s">
        <v>1</v>
      </c>
      <c r="D1" s="36" t="s">
        <v>3</v>
      </c>
      <c r="E1" s="36" t="s">
        <v>0</v>
      </c>
      <c r="F1" s="36" t="s">
        <v>4</v>
      </c>
      <c r="G1" s="37" t="s">
        <v>837</v>
      </c>
      <c r="H1" s="37" t="s">
        <v>835</v>
      </c>
      <c r="I1" s="37" t="s">
        <v>836</v>
      </c>
      <c r="J1" s="37" t="s">
        <v>942</v>
      </c>
      <c r="K1" s="37" t="s">
        <v>943</v>
      </c>
    </row>
    <row r="2" spans="1:11" ht="18.600000000000001" customHeight="1">
      <c r="A2" s="35">
        <v>692</v>
      </c>
      <c r="B2" s="35" t="s">
        <v>821</v>
      </c>
      <c r="C2" s="35" t="s">
        <v>822</v>
      </c>
      <c r="D2" s="35" t="s">
        <v>953</v>
      </c>
      <c r="E2" s="35" t="s">
        <v>11</v>
      </c>
      <c r="F2" s="35" t="s">
        <v>55</v>
      </c>
      <c r="G2" s="35"/>
      <c r="H2" s="35">
        <v>98</v>
      </c>
      <c r="I2" s="35">
        <v>70</v>
      </c>
      <c r="J2" s="35">
        <f t="shared" ref="J2:J33" si="0">G2+H2-I2</f>
        <v>28</v>
      </c>
      <c r="K2" s="35"/>
    </row>
    <row r="3" spans="1:11" ht="18.600000000000001" customHeight="1">
      <c r="A3" s="35">
        <v>22</v>
      </c>
      <c r="B3" s="35" t="s">
        <v>62</v>
      </c>
      <c r="C3" s="35" t="s">
        <v>63</v>
      </c>
      <c r="D3" s="35" t="s">
        <v>953</v>
      </c>
      <c r="E3" s="35" t="s">
        <v>11</v>
      </c>
      <c r="F3" s="35" t="s">
        <v>55</v>
      </c>
      <c r="G3" s="35"/>
      <c r="H3" s="35">
        <v>20</v>
      </c>
      <c r="I3" s="35">
        <v>9</v>
      </c>
      <c r="J3" s="35">
        <f t="shared" si="0"/>
        <v>11</v>
      </c>
      <c r="K3" s="35"/>
    </row>
    <row r="4" spans="1:11" ht="18.600000000000001" customHeight="1">
      <c r="A4" s="35">
        <v>689</v>
      </c>
      <c r="B4" s="35" t="s">
        <v>871</v>
      </c>
      <c r="C4" s="35" t="s">
        <v>814</v>
      </c>
      <c r="D4" s="35" t="s">
        <v>953</v>
      </c>
      <c r="E4" s="35" t="s">
        <v>11</v>
      </c>
      <c r="F4" s="35" t="s">
        <v>376</v>
      </c>
      <c r="G4" s="35"/>
      <c r="H4" s="35">
        <v>98</v>
      </c>
      <c r="I4" s="35">
        <v>2</v>
      </c>
      <c r="J4" s="35">
        <f t="shared" si="0"/>
        <v>96</v>
      </c>
      <c r="K4" s="35"/>
    </row>
    <row r="5" spans="1:11" ht="18.600000000000001" customHeight="1">
      <c r="A5" s="35">
        <v>533</v>
      </c>
      <c r="B5" s="35" t="s">
        <v>394</v>
      </c>
      <c r="C5" s="35" t="s">
        <v>395</v>
      </c>
      <c r="D5" s="35" t="s">
        <v>37</v>
      </c>
      <c r="E5" s="35" t="s">
        <v>11</v>
      </c>
      <c r="F5" s="35" t="s">
        <v>376</v>
      </c>
      <c r="G5" s="35">
        <v>72</v>
      </c>
      <c r="H5" s="35"/>
      <c r="I5" s="35">
        <v>2</v>
      </c>
      <c r="J5" s="35">
        <f t="shared" si="0"/>
        <v>70</v>
      </c>
      <c r="K5" s="35"/>
    </row>
    <row r="6" spans="1:11" ht="18.600000000000001" customHeight="1">
      <c r="A6" s="35">
        <v>529</v>
      </c>
      <c r="B6" s="35" t="s">
        <v>383</v>
      </c>
      <c r="C6" s="35" t="s">
        <v>384</v>
      </c>
      <c r="D6" s="35" t="s">
        <v>37</v>
      </c>
      <c r="E6" s="35" t="s">
        <v>11</v>
      </c>
      <c r="F6" s="35" t="s">
        <v>376</v>
      </c>
      <c r="G6" s="35"/>
      <c r="H6" s="35">
        <v>96</v>
      </c>
      <c r="I6" s="35">
        <v>6</v>
      </c>
      <c r="J6" s="35">
        <f t="shared" si="0"/>
        <v>90</v>
      </c>
      <c r="K6" s="35"/>
    </row>
    <row r="7" spans="1:11" ht="18.600000000000001" customHeight="1">
      <c r="A7" s="35">
        <v>538</v>
      </c>
      <c r="B7" s="35" t="s">
        <v>405</v>
      </c>
      <c r="C7" s="35" t="s">
        <v>406</v>
      </c>
      <c r="D7" s="35" t="s">
        <v>37</v>
      </c>
      <c r="E7" s="35" t="s">
        <v>11</v>
      </c>
      <c r="F7" s="35" t="s">
        <v>376</v>
      </c>
      <c r="G7" s="35">
        <v>95</v>
      </c>
      <c r="H7" s="35"/>
      <c r="I7" s="35"/>
      <c r="J7" s="35">
        <f t="shared" si="0"/>
        <v>95</v>
      </c>
      <c r="K7" s="35"/>
    </row>
    <row r="8" spans="1:11" ht="18.600000000000001" customHeight="1">
      <c r="A8" s="35">
        <v>526</v>
      </c>
      <c r="B8" s="35" t="s">
        <v>373</v>
      </c>
      <c r="C8" s="35" t="s">
        <v>374</v>
      </c>
      <c r="D8" s="35" t="s">
        <v>28</v>
      </c>
      <c r="E8" s="35" t="s">
        <v>11</v>
      </c>
      <c r="F8" s="35" t="s">
        <v>376</v>
      </c>
      <c r="G8" s="35">
        <v>21</v>
      </c>
      <c r="H8" s="35"/>
      <c r="I8" s="35">
        <v>2</v>
      </c>
      <c r="J8" s="35">
        <f t="shared" si="0"/>
        <v>19</v>
      </c>
      <c r="K8" s="35"/>
    </row>
    <row r="9" spans="1:11" ht="18.600000000000001" customHeight="1">
      <c r="A9" s="35">
        <v>536</v>
      </c>
      <c r="B9" s="35" t="s">
        <v>400</v>
      </c>
      <c r="C9" s="35" t="s">
        <v>401</v>
      </c>
      <c r="D9" s="35" t="s">
        <v>9</v>
      </c>
      <c r="E9" s="35" t="s">
        <v>11</v>
      </c>
      <c r="F9" s="35" t="s">
        <v>376</v>
      </c>
      <c r="G9" s="35">
        <v>86</v>
      </c>
      <c r="H9" s="35"/>
      <c r="I9" s="35">
        <v>1</v>
      </c>
      <c r="J9" s="35">
        <f t="shared" si="0"/>
        <v>85</v>
      </c>
      <c r="K9" s="35"/>
    </row>
    <row r="10" spans="1:11" ht="18.600000000000001" customHeight="1">
      <c r="A10" s="35">
        <v>537</v>
      </c>
      <c r="B10" s="35" t="s">
        <v>402</v>
      </c>
      <c r="C10" s="35" t="s">
        <v>403</v>
      </c>
      <c r="D10" s="35" t="s">
        <v>9</v>
      </c>
      <c r="E10" s="35" t="s">
        <v>11</v>
      </c>
      <c r="F10" s="35" t="s">
        <v>376</v>
      </c>
      <c r="G10" s="35">
        <v>85</v>
      </c>
      <c r="H10" s="35"/>
      <c r="I10" s="35">
        <v>6</v>
      </c>
      <c r="J10" s="35">
        <f t="shared" si="0"/>
        <v>79</v>
      </c>
      <c r="K10" s="35"/>
    </row>
    <row r="11" spans="1:11" ht="18.600000000000001" customHeight="1">
      <c r="A11" s="35">
        <v>539</v>
      </c>
      <c r="B11" s="35" t="s">
        <v>407</v>
      </c>
      <c r="C11" s="35" t="s">
        <v>408</v>
      </c>
      <c r="D11" s="35" t="s">
        <v>9</v>
      </c>
      <c r="E11" s="35" t="s">
        <v>11</v>
      </c>
      <c r="F11" s="35" t="s">
        <v>376</v>
      </c>
      <c r="G11" s="35">
        <v>83</v>
      </c>
      <c r="H11" s="35">
        <v>4</v>
      </c>
      <c r="I11" s="35">
        <v>1</v>
      </c>
      <c r="J11" s="35">
        <f t="shared" si="0"/>
        <v>86</v>
      </c>
      <c r="K11" s="35"/>
    </row>
    <row r="12" spans="1:11" ht="18.600000000000001" customHeight="1">
      <c r="A12" s="35">
        <v>541</v>
      </c>
      <c r="B12" s="35" t="s">
        <v>411</v>
      </c>
      <c r="C12" s="35" t="s">
        <v>412</v>
      </c>
      <c r="D12" s="35" t="s">
        <v>9</v>
      </c>
      <c r="E12" s="35" t="s">
        <v>11</v>
      </c>
      <c r="F12" s="35" t="s">
        <v>376</v>
      </c>
      <c r="G12" s="35">
        <v>74</v>
      </c>
      <c r="H12" s="35"/>
      <c r="I12" s="35">
        <v>11</v>
      </c>
      <c r="J12" s="35">
        <f t="shared" si="0"/>
        <v>63</v>
      </c>
      <c r="K12" s="35"/>
    </row>
    <row r="13" spans="1:11" ht="18.600000000000001" customHeight="1">
      <c r="A13" s="35">
        <v>527</v>
      </c>
      <c r="B13" s="35" t="s">
        <v>377</v>
      </c>
      <c r="C13" s="35" t="s">
        <v>378</v>
      </c>
      <c r="D13" s="35" t="s">
        <v>9</v>
      </c>
      <c r="E13" s="35" t="s">
        <v>11</v>
      </c>
      <c r="F13" s="35" t="s">
        <v>376</v>
      </c>
      <c r="G13" s="35">
        <v>99</v>
      </c>
      <c r="H13" s="35"/>
      <c r="I13" s="35"/>
      <c r="J13" s="35">
        <f t="shared" si="0"/>
        <v>99</v>
      </c>
      <c r="K13" s="35"/>
    </row>
    <row r="14" spans="1:11" ht="18.600000000000001" customHeight="1">
      <c r="A14" s="35">
        <v>530</v>
      </c>
      <c r="B14" s="35" t="s">
        <v>386</v>
      </c>
      <c r="C14" s="35" t="s">
        <v>387</v>
      </c>
      <c r="D14" s="35" t="s">
        <v>9</v>
      </c>
      <c r="E14" s="35" t="s">
        <v>11</v>
      </c>
      <c r="F14" s="35" t="s">
        <v>376</v>
      </c>
      <c r="G14" s="35">
        <v>99</v>
      </c>
      <c r="H14" s="35"/>
      <c r="I14" s="35"/>
      <c r="J14" s="35">
        <f t="shared" si="0"/>
        <v>99</v>
      </c>
      <c r="K14" s="35"/>
    </row>
    <row r="15" spans="1:11" ht="18.600000000000001" customHeight="1">
      <c r="A15" s="35">
        <v>531</v>
      </c>
      <c r="B15" s="35" t="s">
        <v>389</v>
      </c>
      <c r="C15" s="35" t="s">
        <v>390</v>
      </c>
      <c r="D15" s="35" t="s">
        <v>9</v>
      </c>
      <c r="E15" s="35" t="s">
        <v>11</v>
      </c>
      <c r="F15" s="35" t="s">
        <v>376</v>
      </c>
      <c r="G15" s="35">
        <v>85</v>
      </c>
      <c r="H15" s="35"/>
      <c r="I15" s="35"/>
      <c r="J15" s="35">
        <f t="shared" si="0"/>
        <v>85</v>
      </c>
      <c r="K15" s="35"/>
    </row>
    <row r="16" spans="1:11" ht="18.600000000000001" customHeight="1">
      <c r="A16" s="35">
        <v>532</v>
      </c>
      <c r="B16" s="35" t="s">
        <v>392</v>
      </c>
      <c r="C16" s="35" t="s">
        <v>393</v>
      </c>
      <c r="D16" s="35" t="s">
        <v>28</v>
      </c>
      <c r="E16" s="35" t="s">
        <v>11</v>
      </c>
      <c r="F16" s="35" t="s">
        <v>376</v>
      </c>
      <c r="G16" s="35">
        <v>61</v>
      </c>
      <c r="H16" s="35"/>
      <c r="I16" s="35">
        <v>6</v>
      </c>
      <c r="J16" s="35">
        <f t="shared" si="0"/>
        <v>55</v>
      </c>
      <c r="K16" s="35"/>
    </row>
    <row r="17" spans="1:11" ht="18.600000000000001" customHeight="1">
      <c r="A17" s="35">
        <v>534</v>
      </c>
      <c r="B17" s="35" t="s">
        <v>396</v>
      </c>
      <c r="C17" s="35" t="s">
        <v>397</v>
      </c>
      <c r="D17" s="35" t="s">
        <v>28</v>
      </c>
      <c r="E17" s="35" t="s">
        <v>11</v>
      </c>
      <c r="F17" s="35" t="s">
        <v>376</v>
      </c>
      <c r="G17" s="35">
        <v>61</v>
      </c>
      <c r="H17" s="35"/>
      <c r="I17" s="35"/>
      <c r="J17" s="35">
        <f t="shared" si="0"/>
        <v>61</v>
      </c>
      <c r="K17" s="35"/>
    </row>
    <row r="18" spans="1:11" ht="18.600000000000001" customHeight="1">
      <c r="A18" s="35">
        <v>694</v>
      </c>
      <c r="B18" s="35" t="s">
        <v>825</v>
      </c>
      <c r="C18" s="35" t="s">
        <v>913</v>
      </c>
      <c r="D18" s="35" t="s">
        <v>953</v>
      </c>
      <c r="E18" s="35" t="s">
        <v>661</v>
      </c>
      <c r="F18" s="35" t="s">
        <v>424</v>
      </c>
      <c r="G18" s="35"/>
      <c r="H18" s="35">
        <v>20</v>
      </c>
      <c r="I18" s="35">
        <v>20</v>
      </c>
      <c r="J18" s="35">
        <f t="shared" si="0"/>
        <v>0</v>
      </c>
      <c r="K18" s="35"/>
    </row>
    <row r="19" spans="1:11" ht="18.600000000000001" customHeight="1">
      <c r="A19" s="35">
        <v>688</v>
      </c>
      <c r="B19" s="35">
        <v>9090003</v>
      </c>
      <c r="C19" s="35" t="s">
        <v>856</v>
      </c>
      <c r="D19" s="35" t="s">
        <v>953</v>
      </c>
      <c r="E19" s="35" t="s">
        <v>11</v>
      </c>
      <c r="F19" s="35" t="s">
        <v>424</v>
      </c>
      <c r="G19" s="35"/>
      <c r="H19" s="35">
        <v>1</v>
      </c>
      <c r="I19" s="35">
        <v>1</v>
      </c>
      <c r="J19" s="35">
        <f t="shared" si="0"/>
        <v>0</v>
      </c>
      <c r="K19" s="35"/>
    </row>
    <row r="20" spans="1:11" ht="18.600000000000001" customHeight="1">
      <c r="A20" s="35">
        <v>604</v>
      </c>
      <c r="B20" s="35" t="s">
        <v>577</v>
      </c>
      <c r="C20" s="35" t="s">
        <v>578</v>
      </c>
      <c r="D20" s="35" t="s">
        <v>449</v>
      </c>
      <c r="E20" s="35" t="s">
        <v>11</v>
      </c>
      <c r="F20" s="35" t="s">
        <v>424</v>
      </c>
      <c r="G20" s="35">
        <v>86</v>
      </c>
      <c r="H20" s="35"/>
      <c r="I20" s="35"/>
      <c r="J20" s="35">
        <f t="shared" si="0"/>
        <v>86</v>
      </c>
      <c r="K20" s="35"/>
    </row>
    <row r="21" spans="1:11" ht="18.600000000000001" customHeight="1">
      <c r="A21" s="35">
        <v>572</v>
      </c>
      <c r="B21" s="35" t="s">
        <v>501</v>
      </c>
      <c r="C21" s="35" t="s">
        <v>502</v>
      </c>
      <c r="D21" s="35" t="s">
        <v>449</v>
      </c>
      <c r="E21" s="35" t="s">
        <v>11</v>
      </c>
      <c r="F21" s="35" t="s">
        <v>424</v>
      </c>
      <c r="G21" s="35">
        <v>87</v>
      </c>
      <c r="H21" s="35"/>
      <c r="I21" s="35"/>
      <c r="J21" s="35">
        <f t="shared" si="0"/>
        <v>87</v>
      </c>
      <c r="K21" s="35"/>
    </row>
    <row r="22" spans="1:11" ht="18.600000000000001" customHeight="1">
      <c r="A22" s="35">
        <v>582</v>
      </c>
      <c r="B22" s="35" t="s">
        <v>527</v>
      </c>
      <c r="C22" s="35" t="s">
        <v>528</v>
      </c>
      <c r="D22" s="35" t="s">
        <v>449</v>
      </c>
      <c r="E22" s="35" t="s">
        <v>11</v>
      </c>
      <c r="F22" s="35" t="s">
        <v>424</v>
      </c>
      <c r="G22" s="35">
        <v>77</v>
      </c>
      <c r="H22" s="35"/>
      <c r="I22" s="35"/>
      <c r="J22" s="35">
        <f t="shared" si="0"/>
        <v>77</v>
      </c>
      <c r="K22" s="35"/>
    </row>
    <row r="23" spans="1:11" ht="18.600000000000001" customHeight="1">
      <c r="A23" s="35">
        <v>584</v>
      </c>
      <c r="B23" s="35" t="s">
        <v>531</v>
      </c>
      <c r="C23" s="35" t="s">
        <v>532</v>
      </c>
      <c r="D23" s="35" t="s">
        <v>42</v>
      </c>
      <c r="E23" s="35" t="s">
        <v>11</v>
      </c>
      <c r="F23" s="35" t="s">
        <v>424</v>
      </c>
      <c r="G23" s="35"/>
      <c r="H23" s="35">
        <v>10</v>
      </c>
      <c r="I23" s="35">
        <v>10</v>
      </c>
      <c r="J23" s="35">
        <f t="shared" si="0"/>
        <v>0</v>
      </c>
      <c r="K23" s="35"/>
    </row>
    <row r="24" spans="1:11" ht="18.600000000000001" customHeight="1">
      <c r="A24" s="35">
        <v>577</v>
      </c>
      <c r="B24" s="35" t="s">
        <v>514</v>
      </c>
      <c r="C24" s="35" t="s">
        <v>515</v>
      </c>
      <c r="D24" s="35" t="s">
        <v>449</v>
      </c>
      <c r="E24" s="35" t="s">
        <v>11</v>
      </c>
      <c r="F24" s="35" t="s">
        <v>424</v>
      </c>
      <c r="G24" s="35">
        <v>73</v>
      </c>
      <c r="H24" s="35"/>
      <c r="I24" s="35"/>
      <c r="J24" s="35">
        <f t="shared" si="0"/>
        <v>73</v>
      </c>
      <c r="K24" s="35"/>
    </row>
    <row r="25" spans="1:11" ht="18.600000000000001" customHeight="1">
      <c r="A25" s="35">
        <v>607</v>
      </c>
      <c r="B25" s="35" t="s">
        <v>584</v>
      </c>
      <c r="C25" s="35" t="s">
        <v>585</v>
      </c>
      <c r="D25" s="35" t="s">
        <v>28</v>
      </c>
      <c r="E25" s="35" t="s">
        <v>11</v>
      </c>
      <c r="F25" s="35" t="s">
        <v>424</v>
      </c>
      <c r="G25" s="35">
        <v>88</v>
      </c>
      <c r="H25" s="35"/>
      <c r="I25" s="35">
        <v>16</v>
      </c>
      <c r="J25" s="35">
        <f t="shared" si="0"/>
        <v>72</v>
      </c>
      <c r="K25" s="35"/>
    </row>
    <row r="26" spans="1:11" ht="18.600000000000001" customHeight="1">
      <c r="A26" s="35">
        <v>608</v>
      </c>
      <c r="B26" s="35" t="s">
        <v>586</v>
      </c>
      <c r="C26" s="35" t="s">
        <v>587</v>
      </c>
      <c r="D26" s="35" t="s">
        <v>28</v>
      </c>
      <c r="E26" s="35" t="s">
        <v>11</v>
      </c>
      <c r="F26" s="35" t="s">
        <v>424</v>
      </c>
      <c r="G26" s="35">
        <v>86</v>
      </c>
      <c r="H26" s="35"/>
      <c r="I26" s="35">
        <v>9</v>
      </c>
      <c r="J26" s="35">
        <f t="shared" si="0"/>
        <v>77</v>
      </c>
      <c r="K26" s="35"/>
    </row>
    <row r="27" spans="1:11" ht="18.600000000000001" customHeight="1">
      <c r="A27" s="35">
        <v>606</v>
      </c>
      <c r="B27" s="35" t="s">
        <v>582</v>
      </c>
      <c r="C27" s="35" t="s">
        <v>583</v>
      </c>
      <c r="D27" s="35" t="s">
        <v>42</v>
      </c>
      <c r="E27" s="35" t="s">
        <v>11</v>
      </c>
      <c r="F27" s="35" t="s">
        <v>424</v>
      </c>
      <c r="G27" s="35">
        <v>43</v>
      </c>
      <c r="H27" s="35"/>
      <c r="I27" s="35"/>
      <c r="J27" s="35">
        <f t="shared" si="0"/>
        <v>43</v>
      </c>
      <c r="K27" s="35"/>
    </row>
    <row r="28" spans="1:11" ht="18.600000000000001" customHeight="1">
      <c r="A28" s="35">
        <v>578</v>
      </c>
      <c r="B28" s="35" t="s">
        <v>517</v>
      </c>
      <c r="C28" s="35" t="s">
        <v>518</v>
      </c>
      <c r="D28" s="35" t="s">
        <v>37</v>
      </c>
      <c r="E28" s="35" t="s">
        <v>11</v>
      </c>
      <c r="F28" s="35" t="s">
        <v>424</v>
      </c>
      <c r="G28" s="35">
        <v>89</v>
      </c>
      <c r="H28" s="35"/>
      <c r="I28" s="35">
        <v>8</v>
      </c>
      <c r="J28" s="35">
        <f t="shared" si="0"/>
        <v>81</v>
      </c>
      <c r="K28" s="35"/>
    </row>
    <row r="29" spans="1:11" ht="18.600000000000001" customHeight="1">
      <c r="A29" s="35">
        <v>579</v>
      </c>
      <c r="B29" s="35" t="s">
        <v>520</v>
      </c>
      <c r="C29" s="35" t="s">
        <v>521</v>
      </c>
      <c r="D29" s="35" t="s">
        <v>9</v>
      </c>
      <c r="E29" s="35" t="s">
        <v>11</v>
      </c>
      <c r="F29" s="35" t="s">
        <v>424</v>
      </c>
      <c r="G29" s="35">
        <v>75</v>
      </c>
      <c r="H29" s="35"/>
      <c r="I29" s="35">
        <v>8</v>
      </c>
      <c r="J29" s="35">
        <f t="shared" si="0"/>
        <v>67</v>
      </c>
      <c r="K29" s="35"/>
    </row>
    <row r="30" spans="1:11" ht="18.600000000000001" customHeight="1">
      <c r="A30" s="35">
        <v>609</v>
      </c>
      <c r="B30" s="35" t="s">
        <v>588</v>
      </c>
      <c r="C30" s="35" t="s">
        <v>589</v>
      </c>
      <c r="D30" s="35" t="s">
        <v>9</v>
      </c>
      <c r="E30" s="35" t="s">
        <v>11</v>
      </c>
      <c r="F30" s="35" t="s">
        <v>424</v>
      </c>
      <c r="G30" s="35">
        <v>89</v>
      </c>
      <c r="H30" s="35"/>
      <c r="I30" s="35"/>
      <c r="J30" s="35">
        <f t="shared" si="0"/>
        <v>89</v>
      </c>
      <c r="K30" s="35"/>
    </row>
    <row r="31" spans="1:11" ht="18.600000000000001" customHeight="1">
      <c r="A31" s="35">
        <v>598</v>
      </c>
      <c r="B31" s="35" t="s">
        <v>563</v>
      </c>
      <c r="C31" s="35" t="s">
        <v>564</v>
      </c>
      <c r="D31" s="35" t="s">
        <v>449</v>
      </c>
      <c r="E31" s="35" t="s">
        <v>11</v>
      </c>
      <c r="F31" s="35" t="s">
        <v>424</v>
      </c>
      <c r="G31" s="35">
        <v>90</v>
      </c>
      <c r="H31" s="35"/>
      <c r="I31" s="35"/>
      <c r="J31" s="35">
        <f t="shared" si="0"/>
        <v>90</v>
      </c>
      <c r="K31" s="35"/>
    </row>
    <row r="32" spans="1:11" ht="18.600000000000001" customHeight="1">
      <c r="A32" s="35">
        <v>614</v>
      </c>
      <c r="B32" s="35" t="s">
        <v>598</v>
      </c>
      <c r="C32" s="35" t="s">
        <v>599</v>
      </c>
      <c r="D32" s="35" t="s">
        <v>449</v>
      </c>
      <c r="E32" s="35" t="s">
        <v>11</v>
      </c>
      <c r="F32" s="35" t="s">
        <v>424</v>
      </c>
      <c r="G32" s="35">
        <v>84</v>
      </c>
      <c r="H32" s="35"/>
      <c r="I32" s="35"/>
      <c r="J32" s="35">
        <f t="shared" si="0"/>
        <v>84</v>
      </c>
      <c r="K32" s="35"/>
    </row>
    <row r="33" spans="1:11" ht="18.600000000000001" customHeight="1">
      <c r="A33" s="35">
        <v>610</v>
      </c>
      <c r="B33" s="35" t="s">
        <v>590</v>
      </c>
      <c r="C33" s="35" t="s">
        <v>591</v>
      </c>
      <c r="D33" s="35" t="s">
        <v>449</v>
      </c>
      <c r="E33" s="35" t="s">
        <v>11</v>
      </c>
      <c r="F33" s="35" t="s">
        <v>424</v>
      </c>
      <c r="G33" s="35">
        <v>87</v>
      </c>
      <c r="H33" s="35"/>
      <c r="I33" s="35"/>
      <c r="J33" s="35">
        <f t="shared" si="0"/>
        <v>87</v>
      </c>
      <c r="K33" s="35"/>
    </row>
    <row r="34" spans="1:11" ht="18.600000000000001" customHeight="1">
      <c r="A34" s="35">
        <v>611</v>
      </c>
      <c r="B34" s="35" t="s">
        <v>592</v>
      </c>
      <c r="C34" s="35" t="s">
        <v>593</v>
      </c>
      <c r="D34" s="35" t="s">
        <v>37</v>
      </c>
      <c r="E34" s="35" t="s">
        <v>11</v>
      </c>
      <c r="F34" s="35" t="s">
        <v>424</v>
      </c>
      <c r="G34" s="35">
        <v>75</v>
      </c>
      <c r="H34" s="35"/>
      <c r="I34" s="35">
        <v>1</v>
      </c>
      <c r="J34" s="35">
        <f t="shared" ref="J34:J65" si="1">G34+H34-I34</f>
        <v>74</v>
      </c>
      <c r="K34" s="35"/>
    </row>
    <row r="35" spans="1:11" ht="18.600000000000001" customHeight="1">
      <c r="A35" s="35">
        <v>613</v>
      </c>
      <c r="B35" s="35" t="s">
        <v>596</v>
      </c>
      <c r="C35" s="35" t="s">
        <v>597</v>
      </c>
      <c r="D35" s="35" t="s">
        <v>28</v>
      </c>
      <c r="E35" s="35" t="s">
        <v>11</v>
      </c>
      <c r="F35" s="35" t="s">
        <v>424</v>
      </c>
      <c r="G35" s="35">
        <v>65</v>
      </c>
      <c r="H35" s="35"/>
      <c r="I35" s="35"/>
      <c r="J35" s="35">
        <f t="shared" si="1"/>
        <v>65</v>
      </c>
      <c r="K35" s="35"/>
    </row>
    <row r="36" spans="1:11" ht="18.600000000000001" customHeight="1">
      <c r="A36" s="35">
        <v>605</v>
      </c>
      <c r="B36" s="35" t="s">
        <v>580</v>
      </c>
      <c r="C36" s="35" t="s">
        <v>581</v>
      </c>
      <c r="D36" s="35" t="s">
        <v>449</v>
      </c>
      <c r="E36" s="35" t="s">
        <v>11</v>
      </c>
      <c r="F36" s="35" t="s">
        <v>424</v>
      </c>
      <c r="G36" s="35">
        <v>85</v>
      </c>
      <c r="H36" s="35"/>
      <c r="I36" s="35"/>
      <c r="J36" s="35">
        <f t="shared" si="1"/>
        <v>85</v>
      </c>
      <c r="K36" s="35"/>
    </row>
    <row r="37" spans="1:11" ht="18.600000000000001" customHeight="1">
      <c r="A37" s="35">
        <v>591</v>
      </c>
      <c r="B37" s="35" t="s">
        <v>546</v>
      </c>
      <c r="C37" s="35" t="s">
        <v>547</v>
      </c>
      <c r="D37" s="35" t="s">
        <v>449</v>
      </c>
      <c r="E37" s="35" t="s">
        <v>11</v>
      </c>
      <c r="F37" s="35" t="s">
        <v>424</v>
      </c>
      <c r="G37" s="35">
        <v>82</v>
      </c>
      <c r="H37" s="35"/>
      <c r="I37" s="35"/>
      <c r="J37" s="35">
        <f t="shared" si="1"/>
        <v>82</v>
      </c>
      <c r="K37" s="35"/>
    </row>
    <row r="38" spans="1:11" ht="18.600000000000001" customHeight="1">
      <c r="A38" s="35">
        <v>573</v>
      </c>
      <c r="B38" s="35" t="s">
        <v>504</v>
      </c>
      <c r="C38" s="35" t="s">
        <v>505</v>
      </c>
      <c r="D38" s="35" t="s">
        <v>9</v>
      </c>
      <c r="E38" s="35" t="s">
        <v>11</v>
      </c>
      <c r="F38" s="35" t="s">
        <v>424</v>
      </c>
      <c r="G38" s="35">
        <v>85</v>
      </c>
      <c r="H38" s="35"/>
      <c r="I38" s="35">
        <v>16</v>
      </c>
      <c r="J38" s="35">
        <f t="shared" si="1"/>
        <v>69</v>
      </c>
      <c r="K38" s="35"/>
    </row>
    <row r="39" spans="1:11" ht="18.600000000000001" customHeight="1">
      <c r="A39" s="35">
        <v>588</v>
      </c>
      <c r="B39" s="35" t="s">
        <v>540</v>
      </c>
      <c r="C39" s="35" t="s">
        <v>541</v>
      </c>
      <c r="D39" s="35" t="s">
        <v>449</v>
      </c>
      <c r="E39" s="35" t="s">
        <v>11</v>
      </c>
      <c r="F39" s="35" t="s">
        <v>424</v>
      </c>
      <c r="G39" s="35">
        <v>97</v>
      </c>
      <c r="H39" s="35"/>
      <c r="I39" s="35">
        <v>1</v>
      </c>
      <c r="J39" s="35">
        <f t="shared" si="1"/>
        <v>96</v>
      </c>
      <c r="K39" s="35"/>
    </row>
    <row r="40" spans="1:11" ht="18.600000000000001" customHeight="1">
      <c r="A40" s="35">
        <v>590</v>
      </c>
      <c r="B40" s="35" t="s">
        <v>544</v>
      </c>
      <c r="C40" s="35" t="s">
        <v>545</v>
      </c>
      <c r="D40" s="35" t="s">
        <v>449</v>
      </c>
      <c r="E40" s="35" t="s">
        <v>11</v>
      </c>
      <c r="F40" s="35" t="s">
        <v>424</v>
      </c>
      <c r="G40" s="35">
        <v>89</v>
      </c>
      <c r="H40" s="35"/>
      <c r="I40" s="35">
        <v>1</v>
      </c>
      <c r="J40" s="35">
        <f t="shared" si="1"/>
        <v>88</v>
      </c>
      <c r="K40" s="35"/>
    </row>
    <row r="41" spans="1:11" ht="18.600000000000001" customHeight="1">
      <c r="A41" s="35">
        <v>596</v>
      </c>
      <c r="B41" s="35" t="s">
        <v>558</v>
      </c>
      <c r="C41" s="35" t="s">
        <v>559</v>
      </c>
      <c r="D41" s="35" t="s">
        <v>9</v>
      </c>
      <c r="E41" s="35" t="s">
        <v>11</v>
      </c>
      <c r="F41" s="35" t="s">
        <v>424</v>
      </c>
      <c r="G41" s="35">
        <v>99</v>
      </c>
      <c r="H41" s="35"/>
      <c r="I41" s="35"/>
      <c r="J41" s="35">
        <f t="shared" si="1"/>
        <v>99</v>
      </c>
      <c r="K41" s="35"/>
    </row>
    <row r="42" spans="1:11" ht="18.600000000000001" customHeight="1">
      <c r="A42" s="35">
        <v>594</v>
      </c>
      <c r="B42" s="35" t="s">
        <v>553</v>
      </c>
      <c r="C42" s="35" t="s">
        <v>554</v>
      </c>
      <c r="D42" s="35" t="s">
        <v>9</v>
      </c>
      <c r="E42" s="35" t="s">
        <v>11</v>
      </c>
      <c r="F42" s="35" t="s">
        <v>424</v>
      </c>
      <c r="G42" s="35"/>
      <c r="H42" s="35">
        <v>98</v>
      </c>
      <c r="I42" s="35">
        <v>3</v>
      </c>
      <c r="J42" s="35">
        <f t="shared" si="1"/>
        <v>95</v>
      </c>
      <c r="K42" s="35"/>
    </row>
    <row r="43" spans="1:11" ht="18.600000000000001" customHeight="1">
      <c r="A43" s="35">
        <v>568</v>
      </c>
      <c r="B43" s="35" t="s">
        <v>489</v>
      </c>
      <c r="C43" s="35" t="s">
        <v>490</v>
      </c>
      <c r="D43" s="35" t="s">
        <v>449</v>
      </c>
      <c r="E43" s="35" t="s">
        <v>11</v>
      </c>
      <c r="F43" s="35" t="s">
        <v>424</v>
      </c>
      <c r="G43" s="35"/>
      <c r="H43" s="35">
        <v>99</v>
      </c>
      <c r="I43" s="35">
        <v>4</v>
      </c>
      <c r="J43" s="35">
        <f t="shared" si="1"/>
        <v>95</v>
      </c>
      <c r="K43" s="35"/>
    </row>
    <row r="44" spans="1:11" ht="18.600000000000001" customHeight="1">
      <c r="A44" s="35">
        <v>563</v>
      </c>
      <c r="B44" s="35" t="s">
        <v>474</v>
      </c>
      <c r="C44" s="35" t="s">
        <v>475</v>
      </c>
      <c r="D44" s="35" t="s">
        <v>449</v>
      </c>
      <c r="E44" s="35" t="s">
        <v>11</v>
      </c>
      <c r="F44" s="35" t="s">
        <v>424</v>
      </c>
      <c r="G44" s="35"/>
      <c r="H44" s="35">
        <v>2</v>
      </c>
      <c r="I44" s="35">
        <v>2</v>
      </c>
      <c r="J44" s="35">
        <f t="shared" si="1"/>
        <v>0</v>
      </c>
      <c r="K44" s="35"/>
    </row>
    <row r="45" spans="1:11" ht="18.600000000000001" customHeight="1">
      <c r="A45" s="35">
        <v>576</v>
      </c>
      <c r="B45" s="35" t="s">
        <v>511</v>
      </c>
      <c r="C45" s="35" t="s">
        <v>512</v>
      </c>
      <c r="D45" s="35" t="s">
        <v>449</v>
      </c>
      <c r="E45" s="35" t="s">
        <v>11</v>
      </c>
      <c r="F45" s="35" t="s">
        <v>424</v>
      </c>
      <c r="G45" s="35">
        <v>72</v>
      </c>
      <c r="H45" s="35"/>
      <c r="I45" s="35"/>
      <c r="J45" s="35">
        <f t="shared" si="1"/>
        <v>72</v>
      </c>
      <c r="K45" s="35"/>
    </row>
    <row r="46" spans="1:11" ht="18.600000000000001" customHeight="1">
      <c r="A46" s="35">
        <v>599</v>
      </c>
      <c r="B46" s="35" t="s">
        <v>566</v>
      </c>
      <c r="C46" s="35" t="s">
        <v>567</v>
      </c>
      <c r="D46" s="35" t="s">
        <v>449</v>
      </c>
      <c r="E46" s="35" t="s">
        <v>11</v>
      </c>
      <c r="F46" s="35" t="s">
        <v>424</v>
      </c>
      <c r="G46" s="35">
        <v>79</v>
      </c>
      <c r="H46" s="35"/>
      <c r="I46" s="35">
        <v>1</v>
      </c>
      <c r="J46" s="35">
        <f t="shared" si="1"/>
        <v>78</v>
      </c>
      <c r="K46" s="35"/>
    </row>
    <row r="47" spans="1:11" ht="18.600000000000001" customHeight="1">
      <c r="A47" s="35">
        <v>562</v>
      </c>
      <c r="B47" s="35" t="s">
        <v>471</v>
      </c>
      <c r="C47" s="35" t="s">
        <v>472</v>
      </c>
      <c r="D47" s="35" t="s">
        <v>449</v>
      </c>
      <c r="E47" s="35" t="s">
        <v>11</v>
      </c>
      <c r="F47" s="35" t="s">
        <v>424</v>
      </c>
      <c r="G47" s="35"/>
      <c r="H47" s="35">
        <v>98</v>
      </c>
      <c r="I47" s="35"/>
      <c r="J47" s="35">
        <f t="shared" si="1"/>
        <v>98</v>
      </c>
      <c r="K47" s="35"/>
    </row>
    <row r="48" spans="1:11" ht="18.600000000000001" customHeight="1">
      <c r="A48" s="35">
        <v>615</v>
      </c>
      <c r="B48" s="35" t="s">
        <v>601</v>
      </c>
      <c r="C48" s="35" t="s">
        <v>602</v>
      </c>
      <c r="D48" s="35" t="s">
        <v>953</v>
      </c>
      <c r="E48" s="35" t="s">
        <v>11</v>
      </c>
      <c r="F48" s="35" t="s">
        <v>424</v>
      </c>
      <c r="G48" s="35">
        <v>84</v>
      </c>
      <c r="H48" s="35"/>
      <c r="I48" s="35"/>
      <c r="J48" s="35">
        <f t="shared" si="1"/>
        <v>84</v>
      </c>
      <c r="K48" s="35"/>
    </row>
    <row r="49" spans="1:11" ht="18.600000000000001" customHeight="1">
      <c r="A49" s="35">
        <v>574</v>
      </c>
      <c r="B49" s="35" t="s">
        <v>506</v>
      </c>
      <c r="C49" s="35" t="s">
        <v>507</v>
      </c>
      <c r="D49" s="35" t="s">
        <v>9</v>
      </c>
      <c r="E49" s="35" t="s">
        <v>11</v>
      </c>
      <c r="F49" s="35" t="s">
        <v>424</v>
      </c>
      <c r="G49" s="35">
        <v>15</v>
      </c>
      <c r="H49" s="35"/>
      <c r="I49" s="35"/>
      <c r="J49" s="35">
        <f t="shared" si="1"/>
        <v>15</v>
      </c>
      <c r="K49" s="35"/>
    </row>
    <row r="50" spans="1:11" ht="18.600000000000001" customHeight="1">
      <c r="A50" s="35">
        <v>585</v>
      </c>
      <c r="B50" s="35" t="s">
        <v>533</v>
      </c>
      <c r="C50" s="35" t="s">
        <v>534</v>
      </c>
      <c r="D50" s="35" t="s">
        <v>9</v>
      </c>
      <c r="E50" s="35" t="s">
        <v>11</v>
      </c>
      <c r="F50" s="35" t="s">
        <v>424</v>
      </c>
      <c r="G50" s="35">
        <v>4</v>
      </c>
      <c r="H50" s="35"/>
      <c r="I50" s="35"/>
      <c r="J50" s="35">
        <f t="shared" si="1"/>
        <v>4</v>
      </c>
      <c r="K50" s="35"/>
    </row>
    <row r="51" spans="1:11" ht="18.600000000000001" customHeight="1">
      <c r="A51" s="35">
        <v>571</v>
      </c>
      <c r="B51" s="35" t="s">
        <v>498</v>
      </c>
      <c r="C51" s="35" t="s">
        <v>499</v>
      </c>
      <c r="D51" s="35" t="s">
        <v>9</v>
      </c>
      <c r="E51" s="35" t="s">
        <v>11</v>
      </c>
      <c r="F51" s="35" t="s">
        <v>424</v>
      </c>
      <c r="G51" s="35">
        <v>73</v>
      </c>
      <c r="H51" s="35"/>
      <c r="I51" s="35"/>
      <c r="J51" s="35">
        <f t="shared" si="1"/>
        <v>73</v>
      </c>
      <c r="K51" s="35"/>
    </row>
    <row r="52" spans="1:11" ht="18.600000000000001" customHeight="1">
      <c r="A52" s="35">
        <v>583</v>
      </c>
      <c r="B52" s="35" t="s">
        <v>529</v>
      </c>
      <c r="C52" s="35" t="s">
        <v>530</v>
      </c>
      <c r="D52" s="35" t="s">
        <v>28</v>
      </c>
      <c r="E52" s="35" t="s">
        <v>11</v>
      </c>
      <c r="F52" s="35" t="s">
        <v>424</v>
      </c>
      <c r="G52" s="35">
        <v>98</v>
      </c>
      <c r="H52" s="35"/>
      <c r="I52" s="35">
        <v>4</v>
      </c>
      <c r="J52" s="35">
        <f t="shared" si="1"/>
        <v>94</v>
      </c>
      <c r="K52" s="35"/>
    </row>
    <row r="53" spans="1:11" ht="18.600000000000001" customHeight="1">
      <c r="A53" s="35">
        <v>693</v>
      </c>
      <c r="B53" s="35" t="s">
        <v>823</v>
      </c>
      <c r="C53" s="35" t="s">
        <v>824</v>
      </c>
      <c r="D53" s="35" t="s">
        <v>953</v>
      </c>
      <c r="E53" s="35" t="s">
        <v>11</v>
      </c>
      <c r="F53" s="35" t="s">
        <v>424</v>
      </c>
      <c r="G53" s="35"/>
      <c r="H53" s="35">
        <v>99</v>
      </c>
      <c r="I53" s="35">
        <v>82</v>
      </c>
      <c r="J53" s="35">
        <f t="shared" si="1"/>
        <v>17</v>
      </c>
      <c r="K53" s="35"/>
    </row>
    <row r="54" spans="1:11" ht="18.600000000000001" customHeight="1">
      <c r="A54" s="35">
        <v>629</v>
      </c>
      <c r="B54" s="35" t="s">
        <v>641</v>
      </c>
      <c r="C54" s="35" t="s">
        <v>642</v>
      </c>
      <c r="D54" s="35" t="s">
        <v>37</v>
      </c>
      <c r="E54" s="35" t="s">
        <v>11</v>
      </c>
      <c r="F54" s="35" t="s">
        <v>610</v>
      </c>
      <c r="G54" s="35">
        <v>77</v>
      </c>
      <c r="H54" s="35"/>
      <c r="I54" s="35"/>
      <c r="J54" s="35">
        <f t="shared" si="1"/>
        <v>77</v>
      </c>
      <c r="K54" s="35"/>
    </row>
    <row r="55" spans="1:11" ht="18.600000000000001" customHeight="1">
      <c r="A55" s="35">
        <v>630</v>
      </c>
      <c r="B55" s="35" t="s">
        <v>643</v>
      </c>
      <c r="C55" s="35" t="s">
        <v>644</v>
      </c>
      <c r="D55" s="35" t="s">
        <v>9</v>
      </c>
      <c r="E55" s="35" t="s">
        <v>11</v>
      </c>
      <c r="F55" s="35" t="s">
        <v>610</v>
      </c>
      <c r="G55" s="35">
        <v>86</v>
      </c>
      <c r="H55" s="35"/>
      <c r="I55" s="35"/>
      <c r="J55" s="35">
        <f t="shared" si="1"/>
        <v>86</v>
      </c>
      <c r="K55" s="35"/>
    </row>
    <row r="56" spans="1:11" ht="18.600000000000001" customHeight="1">
      <c r="A56" s="35">
        <v>621</v>
      </c>
      <c r="B56" s="35" t="s">
        <v>620</v>
      </c>
      <c r="C56" s="35" t="s">
        <v>621</v>
      </c>
      <c r="D56" s="35" t="s">
        <v>609</v>
      </c>
      <c r="E56" s="35" t="s">
        <v>11</v>
      </c>
      <c r="F56" s="35" t="s">
        <v>610</v>
      </c>
      <c r="G56" s="35">
        <v>22</v>
      </c>
      <c r="H56" s="35">
        <v>732</v>
      </c>
      <c r="I56" s="35">
        <v>269</v>
      </c>
      <c r="J56" s="35">
        <f t="shared" si="1"/>
        <v>485</v>
      </c>
      <c r="K56" s="35"/>
    </row>
    <row r="57" spans="1:11" ht="18.600000000000001" customHeight="1">
      <c r="A57" s="35">
        <v>628</v>
      </c>
      <c r="B57" s="35" t="s">
        <v>639</v>
      </c>
      <c r="C57" s="35" t="s">
        <v>640</v>
      </c>
      <c r="D57" s="35" t="s">
        <v>9</v>
      </c>
      <c r="E57" s="35" t="s">
        <v>11</v>
      </c>
      <c r="F57" s="35" t="s">
        <v>610</v>
      </c>
      <c r="G57" s="35">
        <v>98</v>
      </c>
      <c r="H57" s="35"/>
      <c r="I57" s="35"/>
      <c r="J57" s="35">
        <f t="shared" si="1"/>
        <v>98</v>
      </c>
      <c r="K57" s="35"/>
    </row>
    <row r="58" spans="1:11" ht="18.600000000000001" customHeight="1">
      <c r="A58" s="35">
        <v>627</v>
      </c>
      <c r="B58" s="35" t="s">
        <v>636</v>
      </c>
      <c r="C58" s="35" t="s">
        <v>637</v>
      </c>
      <c r="D58" s="35" t="s">
        <v>9</v>
      </c>
      <c r="E58" s="35" t="s">
        <v>11</v>
      </c>
      <c r="F58" s="35" t="s">
        <v>610</v>
      </c>
      <c r="G58" s="35">
        <v>85</v>
      </c>
      <c r="H58" s="35"/>
      <c r="I58" s="35"/>
      <c r="J58" s="35">
        <f t="shared" si="1"/>
        <v>85</v>
      </c>
      <c r="K58" s="35"/>
    </row>
    <row r="59" spans="1:11" ht="18.600000000000001" customHeight="1">
      <c r="A59" s="35">
        <v>625</v>
      </c>
      <c r="B59" s="35" t="s">
        <v>631</v>
      </c>
      <c r="C59" s="35" t="s">
        <v>632</v>
      </c>
      <c r="D59" s="35" t="s">
        <v>37</v>
      </c>
      <c r="E59" s="35" t="s">
        <v>11</v>
      </c>
      <c r="F59" s="35" t="s">
        <v>610</v>
      </c>
      <c r="G59" s="35">
        <v>84</v>
      </c>
      <c r="H59" s="35"/>
      <c r="I59" s="35"/>
      <c r="J59" s="35">
        <f t="shared" si="1"/>
        <v>84</v>
      </c>
      <c r="K59" s="35"/>
    </row>
    <row r="60" spans="1:11" ht="18.600000000000001" customHeight="1">
      <c r="A60" s="35">
        <v>635</v>
      </c>
      <c r="B60" s="35" t="s">
        <v>654</v>
      </c>
      <c r="C60" s="35" t="s">
        <v>655</v>
      </c>
      <c r="D60" s="35" t="s">
        <v>953</v>
      </c>
      <c r="E60" s="35" t="s">
        <v>11</v>
      </c>
      <c r="F60" s="35" t="s">
        <v>610</v>
      </c>
      <c r="G60" s="35"/>
      <c r="H60" s="35">
        <v>99</v>
      </c>
      <c r="I60" s="35">
        <v>4</v>
      </c>
      <c r="J60" s="35">
        <f t="shared" si="1"/>
        <v>95</v>
      </c>
      <c r="K60" s="35"/>
    </row>
    <row r="61" spans="1:11" ht="18.600000000000001" customHeight="1">
      <c r="A61" s="35">
        <v>632</v>
      </c>
      <c r="B61" s="35" t="s">
        <v>647</v>
      </c>
      <c r="C61" s="35" t="s">
        <v>648</v>
      </c>
      <c r="D61" s="35" t="s">
        <v>37</v>
      </c>
      <c r="E61" s="35" t="s">
        <v>11</v>
      </c>
      <c r="F61" s="35" t="s">
        <v>610</v>
      </c>
      <c r="G61" s="35">
        <v>88</v>
      </c>
      <c r="H61" s="35"/>
      <c r="I61" s="35"/>
      <c r="J61" s="35">
        <f t="shared" si="1"/>
        <v>88</v>
      </c>
      <c r="K61" s="35"/>
    </row>
    <row r="62" spans="1:11" ht="18.600000000000001" customHeight="1">
      <c r="A62" s="35">
        <v>633</v>
      </c>
      <c r="B62" s="35" t="s">
        <v>650</v>
      </c>
      <c r="C62" s="35" t="s">
        <v>651</v>
      </c>
      <c r="D62" s="35" t="s">
        <v>28</v>
      </c>
      <c r="E62" s="35" t="s">
        <v>11</v>
      </c>
      <c r="F62" s="35" t="s">
        <v>610</v>
      </c>
      <c r="G62" s="35">
        <v>19</v>
      </c>
      <c r="H62" s="35"/>
      <c r="I62" s="35">
        <v>10</v>
      </c>
      <c r="J62" s="35">
        <f t="shared" si="1"/>
        <v>9</v>
      </c>
      <c r="K62" s="35"/>
    </row>
    <row r="63" spans="1:11" ht="18.600000000000001" customHeight="1">
      <c r="A63" s="35">
        <v>634</v>
      </c>
      <c r="B63" s="35" t="s">
        <v>652</v>
      </c>
      <c r="C63" s="35" t="s">
        <v>653</v>
      </c>
      <c r="D63" s="35" t="s">
        <v>449</v>
      </c>
      <c r="E63" s="35" t="s">
        <v>11</v>
      </c>
      <c r="F63" s="35" t="s">
        <v>610</v>
      </c>
      <c r="G63" s="35">
        <v>78</v>
      </c>
      <c r="H63" s="35"/>
      <c r="I63" s="35"/>
      <c r="J63" s="35">
        <f t="shared" si="1"/>
        <v>78</v>
      </c>
      <c r="K63" s="35"/>
    </row>
    <row r="64" spans="1:11" ht="18.600000000000001" customHeight="1">
      <c r="A64" s="35">
        <v>624</v>
      </c>
      <c r="B64" s="35" t="s">
        <v>629</v>
      </c>
      <c r="C64" s="35" t="s">
        <v>630</v>
      </c>
      <c r="D64" s="35" t="s">
        <v>9</v>
      </c>
      <c r="E64" s="35" t="s">
        <v>11</v>
      </c>
      <c r="F64" s="35" t="s">
        <v>610</v>
      </c>
      <c r="G64" s="35">
        <v>86</v>
      </c>
      <c r="H64" s="35"/>
      <c r="I64" s="35"/>
      <c r="J64" s="35">
        <f t="shared" si="1"/>
        <v>86</v>
      </c>
      <c r="K64" s="35"/>
    </row>
    <row r="65" spans="1:11" ht="18.600000000000001" customHeight="1">
      <c r="A65" s="35">
        <v>690</v>
      </c>
      <c r="B65" s="35" t="s">
        <v>863</v>
      </c>
      <c r="C65" s="35" t="s">
        <v>817</v>
      </c>
      <c r="D65" s="35" t="s">
        <v>953</v>
      </c>
      <c r="E65" s="35" t="s">
        <v>11</v>
      </c>
      <c r="F65" s="35" t="s">
        <v>610</v>
      </c>
      <c r="G65" s="35"/>
      <c r="H65" s="35">
        <v>98</v>
      </c>
      <c r="I65" s="35">
        <v>2</v>
      </c>
      <c r="J65" s="35">
        <f t="shared" si="1"/>
        <v>96</v>
      </c>
      <c r="K65" s="35"/>
    </row>
    <row r="66" spans="1:11" ht="18.600000000000001" customHeight="1">
      <c r="A66" s="35">
        <v>676</v>
      </c>
      <c r="B66" s="35" t="s">
        <v>779</v>
      </c>
      <c r="C66" s="35" t="s">
        <v>780</v>
      </c>
      <c r="D66" s="35" t="s">
        <v>953</v>
      </c>
      <c r="E66" s="35" t="s">
        <v>661</v>
      </c>
      <c r="F66" s="35" t="s">
        <v>660</v>
      </c>
      <c r="G66" s="35">
        <v>1422</v>
      </c>
      <c r="H66" s="35"/>
      <c r="I66" s="35">
        <v>10</v>
      </c>
      <c r="J66" s="35">
        <f t="shared" ref="J66:J97" si="2">G66+H66-I66</f>
        <v>1412</v>
      </c>
      <c r="K66" s="35"/>
    </row>
    <row r="67" spans="1:11" ht="18.600000000000001" customHeight="1">
      <c r="A67" s="35">
        <v>648</v>
      </c>
      <c r="B67" s="35" t="s">
        <v>695</v>
      </c>
      <c r="C67" s="35" t="s">
        <v>696</v>
      </c>
      <c r="D67" s="35" t="s">
        <v>953</v>
      </c>
      <c r="E67" s="35" t="s">
        <v>661</v>
      </c>
      <c r="F67" s="35" t="s">
        <v>660</v>
      </c>
      <c r="G67" s="35">
        <v>94</v>
      </c>
      <c r="H67" s="35"/>
      <c r="I67" s="35">
        <v>75</v>
      </c>
      <c r="J67" s="35">
        <f t="shared" si="2"/>
        <v>19</v>
      </c>
      <c r="K67" s="35"/>
    </row>
    <row r="68" spans="1:11" ht="18.600000000000001" customHeight="1">
      <c r="A68" s="35">
        <v>639</v>
      </c>
      <c r="B68" s="35" t="s">
        <v>668</v>
      </c>
      <c r="C68" s="35" t="s">
        <v>669</v>
      </c>
      <c r="D68" s="35" t="s">
        <v>953</v>
      </c>
      <c r="E68" s="35" t="s">
        <v>661</v>
      </c>
      <c r="F68" s="35" t="s">
        <v>660</v>
      </c>
      <c r="G68" s="35">
        <v>258</v>
      </c>
      <c r="H68" s="35">
        <v>50</v>
      </c>
      <c r="I68" s="35">
        <v>85</v>
      </c>
      <c r="J68" s="35">
        <f t="shared" si="2"/>
        <v>223</v>
      </c>
      <c r="K68" s="35"/>
    </row>
    <row r="69" spans="1:11" ht="18.600000000000001" customHeight="1">
      <c r="A69" s="35">
        <v>673</v>
      </c>
      <c r="B69" s="35" t="s">
        <v>770</v>
      </c>
      <c r="C69" s="35" t="s">
        <v>771</v>
      </c>
      <c r="D69" s="35" t="s">
        <v>953</v>
      </c>
      <c r="E69" s="35" t="s">
        <v>661</v>
      </c>
      <c r="F69" s="35" t="s">
        <v>660</v>
      </c>
      <c r="G69" s="35">
        <v>719</v>
      </c>
      <c r="H69" s="35"/>
      <c r="I69" s="35"/>
      <c r="J69" s="35">
        <f t="shared" si="2"/>
        <v>719</v>
      </c>
      <c r="K69" s="35"/>
    </row>
    <row r="70" spans="1:11" ht="18.600000000000001" customHeight="1">
      <c r="A70" s="35">
        <v>643</v>
      </c>
      <c r="B70" s="35" t="s">
        <v>680</v>
      </c>
      <c r="C70" s="35" t="s">
        <v>681</v>
      </c>
      <c r="D70" s="35" t="s">
        <v>953</v>
      </c>
      <c r="E70" s="35" t="s">
        <v>661</v>
      </c>
      <c r="F70" s="35" t="s">
        <v>660</v>
      </c>
      <c r="G70" s="35">
        <v>570</v>
      </c>
      <c r="H70" s="35"/>
      <c r="I70" s="35"/>
      <c r="J70" s="35">
        <f t="shared" si="2"/>
        <v>570</v>
      </c>
      <c r="K70" s="35"/>
    </row>
    <row r="71" spans="1:11" ht="18.600000000000001" customHeight="1">
      <c r="A71" s="35">
        <v>672</v>
      </c>
      <c r="B71" s="35" t="s">
        <v>767</v>
      </c>
      <c r="C71" s="35" t="s">
        <v>768</v>
      </c>
      <c r="D71" s="35" t="s">
        <v>953</v>
      </c>
      <c r="E71" s="35" t="s">
        <v>661</v>
      </c>
      <c r="F71" s="35" t="s">
        <v>660</v>
      </c>
      <c r="G71" s="35">
        <v>0</v>
      </c>
      <c r="H71" s="35">
        <v>1012</v>
      </c>
      <c r="I71" s="35">
        <v>300</v>
      </c>
      <c r="J71" s="35">
        <f t="shared" si="2"/>
        <v>712</v>
      </c>
      <c r="K71" s="35"/>
    </row>
    <row r="72" spans="1:11" ht="18.600000000000001" customHeight="1">
      <c r="A72" s="35">
        <v>671</v>
      </c>
      <c r="B72" s="35" t="s">
        <v>764</v>
      </c>
      <c r="C72" s="35" t="s">
        <v>765</v>
      </c>
      <c r="D72" s="35" t="s">
        <v>953</v>
      </c>
      <c r="E72" s="35" t="s">
        <v>661</v>
      </c>
      <c r="F72" s="35" t="s">
        <v>660</v>
      </c>
      <c r="G72" s="35">
        <v>807</v>
      </c>
      <c r="H72" s="35"/>
      <c r="I72" s="35"/>
      <c r="J72" s="35">
        <f t="shared" si="2"/>
        <v>807</v>
      </c>
      <c r="K72" s="35"/>
    </row>
    <row r="73" spans="1:11" ht="18.600000000000001" customHeight="1">
      <c r="A73" s="35">
        <v>645</v>
      </c>
      <c r="B73" s="35" t="s">
        <v>686</v>
      </c>
      <c r="C73" s="35" t="s">
        <v>687</v>
      </c>
      <c r="D73" s="35" t="s">
        <v>953</v>
      </c>
      <c r="E73" s="35" t="s">
        <v>661</v>
      </c>
      <c r="F73" s="35" t="s">
        <v>660</v>
      </c>
      <c r="G73" s="35">
        <v>1461</v>
      </c>
      <c r="H73" s="35"/>
      <c r="I73" s="35">
        <v>58</v>
      </c>
      <c r="J73" s="35">
        <f t="shared" si="2"/>
        <v>1403</v>
      </c>
      <c r="K73" s="35"/>
    </row>
    <row r="74" spans="1:11" ht="18.600000000000001" customHeight="1">
      <c r="A74" s="35">
        <v>652</v>
      </c>
      <c r="B74" s="35" t="s">
        <v>707</v>
      </c>
      <c r="C74" s="35" t="s">
        <v>708</v>
      </c>
      <c r="D74" s="35" t="s">
        <v>953</v>
      </c>
      <c r="E74" s="35" t="s">
        <v>661</v>
      </c>
      <c r="F74" s="35" t="s">
        <v>660</v>
      </c>
      <c r="G74" s="35">
        <v>424</v>
      </c>
      <c r="H74" s="35"/>
      <c r="I74" s="35">
        <v>132</v>
      </c>
      <c r="J74" s="35">
        <f t="shared" si="2"/>
        <v>292</v>
      </c>
      <c r="K74" s="35"/>
    </row>
    <row r="75" spans="1:11" ht="18.600000000000001" customHeight="1">
      <c r="A75" s="35">
        <v>649</v>
      </c>
      <c r="B75" s="35" t="s">
        <v>698</v>
      </c>
      <c r="C75" s="35" t="s">
        <v>699</v>
      </c>
      <c r="D75" s="35" t="s">
        <v>953</v>
      </c>
      <c r="E75" s="35" t="s">
        <v>661</v>
      </c>
      <c r="F75" s="35" t="s">
        <v>660</v>
      </c>
      <c r="G75" s="35">
        <v>4620</v>
      </c>
      <c r="H75" s="35"/>
      <c r="I75" s="35">
        <v>43</v>
      </c>
      <c r="J75" s="35">
        <f t="shared" si="2"/>
        <v>4577</v>
      </c>
      <c r="K75" s="35"/>
    </row>
    <row r="76" spans="1:11" ht="18.600000000000001" customHeight="1">
      <c r="A76" s="35">
        <v>651</v>
      </c>
      <c r="B76" s="35" t="s">
        <v>704</v>
      </c>
      <c r="C76" s="35" t="s">
        <v>705</v>
      </c>
      <c r="D76" s="35" t="s">
        <v>953</v>
      </c>
      <c r="E76" s="35" t="s">
        <v>661</v>
      </c>
      <c r="F76" s="35" t="s">
        <v>660</v>
      </c>
      <c r="G76" s="35">
        <v>314</v>
      </c>
      <c r="H76" s="35"/>
      <c r="I76" s="35">
        <v>3</v>
      </c>
      <c r="J76" s="35">
        <f t="shared" si="2"/>
        <v>311</v>
      </c>
      <c r="K76" s="35"/>
    </row>
    <row r="77" spans="1:11" ht="18.600000000000001" customHeight="1">
      <c r="A77" s="35">
        <v>644</v>
      </c>
      <c r="B77" s="35" t="s">
        <v>683</v>
      </c>
      <c r="C77" s="35" t="s">
        <v>684</v>
      </c>
      <c r="D77" s="35" t="s">
        <v>953</v>
      </c>
      <c r="E77" s="35" t="s">
        <v>661</v>
      </c>
      <c r="F77" s="35" t="s">
        <v>660</v>
      </c>
      <c r="G77" s="35">
        <v>555</v>
      </c>
      <c r="H77" s="35"/>
      <c r="I77" s="35">
        <v>136</v>
      </c>
      <c r="J77" s="35">
        <f t="shared" si="2"/>
        <v>419</v>
      </c>
      <c r="K77" s="35"/>
    </row>
    <row r="78" spans="1:11" ht="18.600000000000001" customHeight="1">
      <c r="A78" s="35">
        <v>675</v>
      </c>
      <c r="B78" s="35" t="s">
        <v>776</v>
      </c>
      <c r="C78" s="35" t="s">
        <v>777</v>
      </c>
      <c r="D78" s="35" t="s">
        <v>953</v>
      </c>
      <c r="E78" s="35" t="s">
        <v>661</v>
      </c>
      <c r="F78" s="35" t="s">
        <v>660</v>
      </c>
      <c r="G78" s="35">
        <v>513</v>
      </c>
      <c r="H78" s="35"/>
      <c r="I78" s="35">
        <v>50</v>
      </c>
      <c r="J78" s="35">
        <f t="shared" si="2"/>
        <v>463</v>
      </c>
      <c r="K78" s="35"/>
    </row>
    <row r="79" spans="1:11" ht="18.600000000000001" customHeight="1">
      <c r="A79" s="35">
        <v>642</v>
      </c>
      <c r="B79" s="35" t="s">
        <v>677</v>
      </c>
      <c r="C79" s="35" t="s">
        <v>678</v>
      </c>
      <c r="D79" s="35" t="s">
        <v>953</v>
      </c>
      <c r="E79" s="35" t="s">
        <v>11</v>
      </c>
      <c r="F79" s="35" t="s">
        <v>660</v>
      </c>
      <c r="G79" s="35">
        <v>91</v>
      </c>
      <c r="H79" s="35"/>
      <c r="I79" s="35">
        <v>56</v>
      </c>
      <c r="J79" s="35">
        <f t="shared" si="2"/>
        <v>35</v>
      </c>
      <c r="K79" s="35"/>
    </row>
    <row r="80" spans="1:11" ht="18.600000000000001" customHeight="1">
      <c r="A80" s="35">
        <v>667</v>
      </c>
      <c r="B80" s="35" t="s">
        <v>752</v>
      </c>
      <c r="C80" s="35" t="s">
        <v>753</v>
      </c>
      <c r="D80" s="35" t="s">
        <v>953</v>
      </c>
      <c r="E80" s="35" t="s">
        <v>661</v>
      </c>
      <c r="F80" s="35" t="s">
        <v>660</v>
      </c>
      <c r="G80" s="35">
        <v>2358</v>
      </c>
      <c r="H80" s="35"/>
      <c r="I80" s="35">
        <v>20</v>
      </c>
      <c r="J80" s="35">
        <f t="shared" si="2"/>
        <v>2338</v>
      </c>
      <c r="K80" s="35"/>
    </row>
    <row r="81" spans="1:11" ht="18.600000000000001" customHeight="1">
      <c r="A81" s="35">
        <v>656</v>
      </c>
      <c r="B81" s="35" t="s">
        <v>719</v>
      </c>
      <c r="C81" s="35" t="s">
        <v>720</v>
      </c>
      <c r="D81" s="35" t="s">
        <v>953</v>
      </c>
      <c r="E81" s="35" t="s">
        <v>661</v>
      </c>
      <c r="F81" s="35" t="s">
        <v>660</v>
      </c>
      <c r="G81" s="35">
        <v>966</v>
      </c>
      <c r="H81" s="35"/>
      <c r="I81" s="35">
        <v>10</v>
      </c>
      <c r="J81" s="35">
        <f t="shared" si="2"/>
        <v>956</v>
      </c>
      <c r="K81" s="35"/>
    </row>
    <row r="82" spans="1:11" ht="18.600000000000001" customHeight="1">
      <c r="A82" s="35">
        <v>664</v>
      </c>
      <c r="B82" s="35" t="s">
        <v>743</v>
      </c>
      <c r="C82" s="35" t="s">
        <v>744</v>
      </c>
      <c r="D82" s="35" t="s">
        <v>953</v>
      </c>
      <c r="E82" s="35" t="s">
        <v>661</v>
      </c>
      <c r="F82" s="35" t="s">
        <v>660</v>
      </c>
      <c r="G82" s="35">
        <v>594</v>
      </c>
      <c r="H82" s="35"/>
      <c r="I82" s="35"/>
      <c r="J82" s="35">
        <f t="shared" si="2"/>
        <v>594</v>
      </c>
      <c r="K82" s="35"/>
    </row>
    <row r="83" spans="1:11" ht="18.600000000000001" customHeight="1">
      <c r="A83" s="35">
        <v>646</v>
      </c>
      <c r="B83" s="35" t="s">
        <v>689</v>
      </c>
      <c r="C83" s="35" t="s">
        <v>690</v>
      </c>
      <c r="D83" s="35" t="s">
        <v>953</v>
      </c>
      <c r="E83" s="35" t="s">
        <v>661</v>
      </c>
      <c r="F83" s="35" t="s">
        <v>660</v>
      </c>
      <c r="G83" s="35">
        <v>619</v>
      </c>
      <c r="H83" s="35"/>
      <c r="I83" s="35"/>
      <c r="J83" s="35">
        <f t="shared" si="2"/>
        <v>619</v>
      </c>
      <c r="K83" s="35"/>
    </row>
    <row r="84" spans="1:11" ht="18.600000000000001" customHeight="1">
      <c r="A84" s="35">
        <v>661</v>
      </c>
      <c r="B84" s="35" t="s">
        <v>734</v>
      </c>
      <c r="C84" s="35" t="s">
        <v>735</v>
      </c>
      <c r="D84" s="35" t="s">
        <v>953</v>
      </c>
      <c r="E84" s="35" t="s">
        <v>661</v>
      </c>
      <c r="F84" s="35" t="s">
        <v>660</v>
      </c>
      <c r="G84" s="35">
        <v>1029</v>
      </c>
      <c r="H84" s="35"/>
      <c r="I84" s="35">
        <v>54</v>
      </c>
      <c r="J84" s="35">
        <f t="shared" si="2"/>
        <v>975</v>
      </c>
      <c r="K84" s="35"/>
    </row>
    <row r="85" spans="1:11" ht="18.600000000000001" customHeight="1">
      <c r="A85" s="35">
        <v>663</v>
      </c>
      <c r="B85" s="35" t="s">
        <v>740</v>
      </c>
      <c r="C85" s="35" t="s">
        <v>741</v>
      </c>
      <c r="D85" s="35" t="s">
        <v>953</v>
      </c>
      <c r="E85" s="35" t="s">
        <v>661</v>
      </c>
      <c r="F85" s="35" t="s">
        <v>660</v>
      </c>
      <c r="G85" s="35">
        <v>615</v>
      </c>
      <c r="H85" s="35"/>
      <c r="I85" s="35">
        <v>20</v>
      </c>
      <c r="J85" s="35">
        <f t="shared" si="2"/>
        <v>595</v>
      </c>
      <c r="K85" s="35"/>
    </row>
    <row r="86" spans="1:11" ht="18.600000000000001" customHeight="1">
      <c r="A86" s="35">
        <v>674</v>
      </c>
      <c r="B86" s="35" t="s">
        <v>773</v>
      </c>
      <c r="C86" s="35" t="s">
        <v>774</v>
      </c>
      <c r="D86" s="35" t="s">
        <v>953</v>
      </c>
      <c r="E86" s="35" t="s">
        <v>661</v>
      </c>
      <c r="F86" s="35" t="s">
        <v>660</v>
      </c>
      <c r="G86" s="35">
        <v>710</v>
      </c>
      <c r="H86" s="35"/>
      <c r="I86" s="35">
        <v>3</v>
      </c>
      <c r="J86" s="35">
        <f t="shared" si="2"/>
        <v>707</v>
      </c>
      <c r="K86" s="35"/>
    </row>
    <row r="87" spans="1:11" ht="18.600000000000001" customHeight="1">
      <c r="A87" s="35">
        <v>660</v>
      </c>
      <c r="B87" s="35" t="s">
        <v>731</v>
      </c>
      <c r="C87" s="35" t="s">
        <v>732</v>
      </c>
      <c r="D87" s="35" t="s">
        <v>953</v>
      </c>
      <c r="E87" s="35" t="s">
        <v>661</v>
      </c>
      <c r="F87" s="35" t="s">
        <v>660</v>
      </c>
      <c r="G87" s="35">
        <v>454</v>
      </c>
      <c r="H87" s="35"/>
      <c r="I87" s="35"/>
      <c r="J87" s="35">
        <f t="shared" si="2"/>
        <v>454</v>
      </c>
      <c r="K87" s="35"/>
    </row>
    <row r="88" spans="1:11" ht="18.600000000000001" customHeight="1">
      <c r="A88" s="35">
        <v>636</v>
      </c>
      <c r="B88" s="35" t="s">
        <v>657</v>
      </c>
      <c r="C88" s="35" t="s">
        <v>658</v>
      </c>
      <c r="D88" s="35" t="s">
        <v>953</v>
      </c>
      <c r="E88" s="35" t="s">
        <v>661</v>
      </c>
      <c r="F88" s="35" t="s">
        <v>660</v>
      </c>
      <c r="G88" s="35">
        <v>979</v>
      </c>
      <c r="H88" s="35"/>
      <c r="I88" s="35">
        <v>323</v>
      </c>
      <c r="J88" s="35">
        <f t="shared" si="2"/>
        <v>656</v>
      </c>
      <c r="K88" s="35"/>
    </row>
    <row r="89" spans="1:11" ht="18.600000000000001" customHeight="1">
      <c r="A89" s="35">
        <v>638</v>
      </c>
      <c r="B89" s="35" t="s">
        <v>665</v>
      </c>
      <c r="C89" s="35" t="s">
        <v>666</v>
      </c>
      <c r="D89" s="35" t="s">
        <v>953</v>
      </c>
      <c r="E89" s="35" t="s">
        <v>661</v>
      </c>
      <c r="F89" s="35" t="s">
        <v>660</v>
      </c>
      <c r="G89" s="35">
        <v>586</v>
      </c>
      <c r="H89" s="35"/>
      <c r="I89" s="35">
        <v>63</v>
      </c>
      <c r="J89" s="35">
        <f t="shared" si="2"/>
        <v>523</v>
      </c>
      <c r="K89" s="35"/>
    </row>
    <row r="90" spans="1:11" ht="18.600000000000001" customHeight="1">
      <c r="A90" s="35">
        <v>640</v>
      </c>
      <c r="B90" s="35" t="s">
        <v>671</v>
      </c>
      <c r="C90" s="35" t="s">
        <v>672</v>
      </c>
      <c r="D90" s="35" t="s">
        <v>953</v>
      </c>
      <c r="E90" s="35" t="s">
        <v>661</v>
      </c>
      <c r="F90" s="35" t="s">
        <v>660</v>
      </c>
      <c r="G90" s="35">
        <v>527</v>
      </c>
      <c r="H90" s="35"/>
      <c r="I90" s="35">
        <v>53</v>
      </c>
      <c r="J90" s="35">
        <f t="shared" si="2"/>
        <v>474</v>
      </c>
      <c r="K90" s="35"/>
    </row>
    <row r="91" spans="1:11" ht="18.600000000000001" customHeight="1">
      <c r="A91" s="35">
        <v>670</v>
      </c>
      <c r="B91" s="35" t="s">
        <v>761</v>
      </c>
      <c r="C91" s="35" t="s">
        <v>762</v>
      </c>
      <c r="D91" s="35" t="s">
        <v>953</v>
      </c>
      <c r="E91" s="35" t="s">
        <v>661</v>
      </c>
      <c r="F91" s="35" t="s">
        <v>660</v>
      </c>
      <c r="G91" s="35">
        <v>703</v>
      </c>
      <c r="H91" s="35"/>
      <c r="I91" s="35"/>
      <c r="J91" s="35">
        <f t="shared" si="2"/>
        <v>703</v>
      </c>
      <c r="K91" s="35"/>
    </row>
    <row r="92" spans="1:11" ht="18.600000000000001" customHeight="1">
      <c r="A92" s="35">
        <v>666</v>
      </c>
      <c r="B92" s="35" t="s">
        <v>749</v>
      </c>
      <c r="C92" s="35" t="s">
        <v>750</v>
      </c>
      <c r="D92" s="35" t="s">
        <v>953</v>
      </c>
      <c r="E92" s="35" t="s">
        <v>661</v>
      </c>
      <c r="F92" s="35" t="s">
        <v>660</v>
      </c>
      <c r="G92" s="35">
        <v>606</v>
      </c>
      <c r="H92" s="35"/>
      <c r="I92" s="35"/>
      <c r="J92" s="35">
        <f t="shared" si="2"/>
        <v>606</v>
      </c>
      <c r="K92" s="35"/>
    </row>
    <row r="93" spans="1:11" ht="18.600000000000001" customHeight="1">
      <c r="A93" s="35">
        <v>654</v>
      </c>
      <c r="B93" s="35" t="s">
        <v>713</v>
      </c>
      <c r="C93" s="35" t="s">
        <v>714</v>
      </c>
      <c r="D93" s="35" t="s">
        <v>953</v>
      </c>
      <c r="E93" s="35" t="s">
        <v>661</v>
      </c>
      <c r="F93" s="35" t="s">
        <v>660</v>
      </c>
      <c r="G93" s="35">
        <v>2002</v>
      </c>
      <c r="H93" s="35"/>
      <c r="I93" s="35">
        <v>36</v>
      </c>
      <c r="J93" s="35">
        <f t="shared" si="2"/>
        <v>1966</v>
      </c>
      <c r="K93" s="35"/>
    </row>
    <row r="94" spans="1:11" ht="18.600000000000001" customHeight="1">
      <c r="A94" s="35">
        <v>659</v>
      </c>
      <c r="B94" s="35" t="s">
        <v>728</v>
      </c>
      <c r="C94" s="35" t="s">
        <v>729</v>
      </c>
      <c r="D94" s="35" t="s">
        <v>953</v>
      </c>
      <c r="E94" s="35" t="s">
        <v>661</v>
      </c>
      <c r="F94" s="35" t="s">
        <v>660</v>
      </c>
      <c r="G94" s="35">
        <v>934</v>
      </c>
      <c r="H94" s="35"/>
      <c r="I94" s="35"/>
      <c r="J94" s="35">
        <f t="shared" si="2"/>
        <v>934</v>
      </c>
      <c r="K94" s="35"/>
    </row>
    <row r="95" spans="1:11" ht="18.600000000000001" customHeight="1">
      <c r="A95" s="35">
        <v>653</v>
      </c>
      <c r="B95" s="35" t="s">
        <v>710</v>
      </c>
      <c r="C95" s="35" t="s">
        <v>711</v>
      </c>
      <c r="D95" s="35" t="s">
        <v>953</v>
      </c>
      <c r="E95" s="35" t="s">
        <v>661</v>
      </c>
      <c r="F95" s="35" t="s">
        <v>660</v>
      </c>
      <c r="G95" s="35">
        <v>985</v>
      </c>
      <c r="H95" s="35"/>
      <c r="I95" s="35"/>
      <c r="J95" s="35">
        <f t="shared" si="2"/>
        <v>985</v>
      </c>
      <c r="K95" s="35"/>
    </row>
    <row r="96" spans="1:11" ht="18.600000000000001" customHeight="1">
      <c r="A96" s="35">
        <v>662</v>
      </c>
      <c r="B96" s="35" t="s">
        <v>737</v>
      </c>
      <c r="C96" s="35" t="s">
        <v>738</v>
      </c>
      <c r="D96" s="35" t="s">
        <v>953</v>
      </c>
      <c r="E96" s="35" t="s">
        <v>661</v>
      </c>
      <c r="F96" s="35" t="s">
        <v>660</v>
      </c>
      <c r="G96" s="35">
        <v>2144</v>
      </c>
      <c r="H96" s="35"/>
      <c r="I96" s="35">
        <v>40</v>
      </c>
      <c r="J96" s="35">
        <f t="shared" si="2"/>
        <v>2104</v>
      </c>
      <c r="K96" s="35"/>
    </row>
    <row r="97" spans="1:11" ht="18.600000000000001" customHeight="1">
      <c r="A97" s="35">
        <v>658</v>
      </c>
      <c r="B97" s="35" t="s">
        <v>725</v>
      </c>
      <c r="C97" s="35" t="s">
        <v>726</v>
      </c>
      <c r="D97" s="35" t="s">
        <v>953</v>
      </c>
      <c r="E97" s="35" t="s">
        <v>661</v>
      </c>
      <c r="F97" s="35" t="s">
        <v>660</v>
      </c>
      <c r="G97" s="35">
        <v>251</v>
      </c>
      <c r="H97" s="35"/>
      <c r="I97" s="35">
        <v>250</v>
      </c>
      <c r="J97" s="35">
        <f t="shared" si="2"/>
        <v>1</v>
      </c>
      <c r="K97" s="35"/>
    </row>
    <row r="98" spans="1:11" ht="18.600000000000001" customHeight="1">
      <c r="A98" s="35">
        <v>650</v>
      </c>
      <c r="B98" s="35" t="s">
        <v>701</v>
      </c>
      <c r="C98" s="35" t="s">
        <v>702</v>
      </c>
      <c r="D98" s="35" t="s">
        <v>953</v>
      </c>
      <c r="E98" s="35" t="s">
        <v>661</v>
      </c>
      <c r="F98" s="35" t="s">
        <v>660</v>
      </c>
      <c r="G98" s="35">
        <v>678</v>
      </c>
      <c r="H98" s="35"/>
      <c r="I98" s="35">
        <v>140</v>
      </c>
      <c r="J98" s="35">
        <f t="shared" ref="J98:J119" si="3">G98+H98-I98</f>
        <v>538</v>
      </c>
      <c r="K98" s="35"/>
    </row>
    <row r="99" spans="1:11" ht="18.600000000000001" customHeight="1">
      <c r="A99" s="35">
        <v>668</v>
      </c>
      <c r="B99" s="35" t="s">
        <v>755</v>
      </c>
      <c r="C99" s="35" t="s">
        <v>756</v>
      </c>
      <c r="D99" s="35" t="s">
        <v>953</v>
      </c>
      <c r="E99" s="35" t="s">
        <v>661</v>
      </c>
      <c r="F99" s="35" t="s">
        <v>660</v>
      </c>
      <c r="G99" s="35">
        <v>1522</v>
      </c>
      <c r="H99" s="35">
        <v>1</v>
      </c>
      <c r="I99" s="35">
        <v>50</v>
      </c>
      <c r="J99" s="35">
        <f t="shared" si="3"/>
        <v>1473</v>
      </c>
      <c r="K99" s="35"/>
    </row>
    <row r="100" spans="1:11" ht="18.600000000000001" customHeight="1">
      <c r="A100" s="35">
        <v>641</v>
      </c>
      <c r="B100" s="35" t="s">
        <v>674</v>
      </c>
      <c r="C100" s="35" t="s">
        <v>675</v>
      </c>
      <c r="D100" s="35" t="s">
        <v>953</v>
      </c>
      <c r="E100" s="35" t="s">
        <v>661</v>
      </c>
      <c r="F100" s="35" t="s">
        <v>660</v>
      </c>
      <c r="G100" s="35">
        <v>2745</v>
      </c>
      <c r="H100" s="35"/>
      <c r="I100" s="35">
        <v>60</v>
      </c>
      <c r="J100" s="35">
        <f t="shared" si="3"/>
        <v>2685</v>
      </c>
      <c r="K100" s="35"/>
    </row>
    <row r="101" spans="1:11" ht="18.600000000000001" customHeight="1">
      <c r="A101" s="35">
        <v>637</v>
      </c>
      <c r="B101" s="35" t="s">
        <v>662</v>
      </c>
      <c r="C101" s="35" t="s">
        <v>663</v>
      </c>
      <c r="D101" s="35" t="s">
        <v>953</v>
      </c>
      <c r="E101" s="35" t="s">
        <v>661</v>
      </c>
      <c r="F101" s="35" t="s">
        <v>660</v>
      </c>
      <c r="G101" s="35">
        <v>45</v>
      </c>
      <c r="H101" s="35">
        <v>2021</v>
      </c>
      <c r="I101" s="35">
        <v>189</v>
      </c>
      <c r="J101" s="35">
        <f t="shared" si="3"/>
        <v>1877</v>
      </c>
      <c r="K101" s="35"/>
    </row>
    <row r="102" spans="1:11" ht="18.600000000000001" customHeight="1">
      <c r="A102" s="35">
        <v>677</v>
      </c>
      <c r="B102" s="35" t="s">
        <v>782</v>
      </c>
      <c r="C102" s="35" t="s">
        <v>838</v>
      </c>
      <c r="D102" s="35" t="s">
        <v>953</v>
      </c>
      <c r="E102" s="35" t="s">
        <v>661</v>
      </c>
      <c r="F102" s="35" t="s">
        <v>660</v>
      </c>
      <c r="G102" s="35">
        <v>8</v>
      </c>
      <c r="H102" s="35"/>
      <c r="I102" s="35"/>
      <c r="J102" s="35">
        <f t="shared" si="3"/>
        <v>8</v>
      </c>
      <c r="K102" s="35"/>
    </row>
    <row r="103" spans="1:11" ht="18.600000000000001" customHeight="1">
      <c r="A103" s="35">
        <v>678</v>
      </c>
      <c r="B103" s="35" t="s">
        <v>785</v>
      </c>
      <c r="C103" s="35" t="s">
        <v>839</v>
      </c>
      <c r="D103" s="35" t="s">
        <v>953</v>
      </c>
      <c r="E103" s="35" t="s">
        <v>661</v>
      </c>
      <c r="F103" s="35" t="s">
        <v>660</v>
      </c>
      <c r="G103" s="35">
        <v>1</v>
      </c>
      <c r="H103" s="35"/>
      <c r="I103" s="35"/>
      <c r="J103" s="35">
        <f t="shared" si="3"/>
        <v>1</v>
      </c>
      <c r="K103" s="35"/>
    </row>
    <row r="104" spans="1:11" ht="18.600000000000001" customHeight="1">
      <c r="A104" s="35">
        <v>679</v>
      </c>
      <c r="B104" s="35" t="s">
        <v>788</v>
      </c>
      <c r="C104" s="35" t="s">
        <v>840</v>
      </c>
      <c r="D104" s="35" t="s">
        <v>953</v>
      </c>
      <c r="E104" s="35" t="s">
        <v>661</v>
      </c>
      <c r="F104" s="35" t="s">
        <v>660</v>
      </c>
      <c r="G104" s="35">
        <v>11</v>
      </c>
      <c r="H104" s="35"/>
      <c r="I104" s="35"/>
      <c r="J104" s="35">
        <f t="shared" si="3"/>
        <v>11</v>
      </c>
      <c r="K104" s="35"/>
    </row>
    <row r="105" spans="1:11" ht="18.600000000000001" customHeight="1">
      <c r="A105" s="35">
        <v>680</v>
      </c>
      <c r="B105" s="35" t="s">
        <v>791</v>
      </c>
      <c r="C105" s="35" t="s">
        <v>841</v>
      </c>
      <c r="D105" s="35" t="s">
        <v>953</v>
      </c>
      <c r="E105" s="35" t="s">
        <v>661</v>
      </c>
      <c r="F105" s="35" t="s">
        <v>660</v>
      </c>
      <c r="G105" s="35">
        <v>15</v>
      </c>
      <c r="H105" s="35"/>
      <c r="I105" s="35"/>
      <c r="J105" s="35">
        <f t="shared" si="3"/>
        <v>15</v>
      </c>
      <c r="K105" s="35"/>
    </row>
    <row r="106" spans="1:11" ht="18.600000000000001" customHeight="1">
      <c r="A106" s="35">
        <v>681</v>
      </c>
      <c r="B106" s="35" t="s">
        <v>794</v>
      </c>
      <c r="C106" s="35" t="s">
        <v>842</v>
      </c>
      <c r="D106" s="35" t="s">
        <v>953</v>
      </c>
      <c r="E106" s="35" t="s">
        <v>661</v>
      </c>
      <c r="F106" s="35" t="s">
        <v>660</v>
      </c>
      <c r="G106" s="35">
        <v>30</v>
      </c>
      <c r="H106" s="35"/>
      <c r="I106" s="35"/>
      <c r="J106" s="35">
        <f t="shared" si="3"/>
        <v>30</v>
      </c>
      <c r="K106" s="35"/>
    </row>
    <row r="107" spans="1:11" ht="18.600000000000001" customHeight="1">
      <c r="A107" s="35">
        <v>682</v>
      </c>
      <c r="B107" s="35" t="s">
        <v>797</v>
      </c>
      <c r="C107" s="35" t="s">
        <v>843</v>
      </c>
      <c r="D107" s="35" t="s">
        <v>953</v>
      </c>
      <c r="E107" s="35" t="s">
        <v>661</v>
      </c>
      <c r="F107" s="35" t="s">
        <v>660</v>
      </c>
      <c r="G107" s="35">
        <v>570</v>
      </c>
      <c r="H107" s="35"/>
      <c r="I107" s="35"/>
      <c r="J107" s="35">
        <f t="shared" si="3"/>
        <v>570</v>
      </c>
      <c r="K107" s="35"/>
    </row>
    <row r="108" spans="1:11" ht="18.600000000000001" customHeight="1">
      <c r="A108" s="35">
        <v>683</v>
      </c>
      <c r="B108" s="35" t="s">
        <v>800</v>
      </c>
      <c r="C108" s="35" t="s">
        <v>844</v>
      </c>
      <c r="D108" s="35" t="s">
        <v>953</v>
      </c>
      <c r="E108" s="35" t="s">
        <v>661</v>
      </c>
      <c r="F108" s="35" t="s">
        <v>660</v>
      </c>
      <c r="G108" s="35">
        <v>517</v>
      </c>
      <c r="H108" s="35"/>
      <c r="I108" s="35"/>
      <c r="J108" s="35">
        <f t="shared" si="3"/>
        <v>517</v>
      </c>
      <c r="K108" s="35"/>
    </row>
    <row r="109" spans="1:11" ht="18.600000000000001" customHeight="1">
      <c r="A109" s="35">
        <v>684</v>
      </c>
      <c r="B109" s="35" t="s">
        <v>803</v>
      </c>
      <c r="C109" s="35" t="s">
        <v>845</v>
      </c>
      <c r="D109" s="35" t="s">
        <v>953</v>
      </c>
      <c r="E109" s="35" t="s">
        <v>661</v>
      </c>
      <c r="F109" s="35" t="s">
        <v>660</v>
      </c>
      <c r="G109" s="35">
        <v>454</v>
      </c>
      <c r="H109" s="35"/>
      <c r="I109" s="35"/>
      <c r="J109" s="35">
        <f t="shared" si="3"/>
        <v>454</v>
      </c>
      <c r="K109" s="35"/>
    </row>
    <row r="110" spans="1:11" ht="18.600000000000001" customHeight="1">
      <c r="A110" s="35">
        <v>685</v>
      </c>
      <c r="B110" s="35" t="s">
        <v>806</v>
      </c>
      <c r="C110" s="35" t="s">
        <v>846</v>
      </c>
      <c r="D110" s="35" t="s">
        <v>953</v>
      </c>
      <c r="E110" s="35" t="s">
        <v>661</v>
      </c>
      <c r="F110" s="35" t="s">
        <v>660</v>
      </c>
      <c r="G110" s="35">
        <v>508</v>
      </c>
      <c r="H110" s="35"/>
      <c r="I110" s="35"/>
      <c r="J110" s="35">
        <f t="shared" si="3"/>
        <v>508</v>
      </c>
      <c r="K110" s="35"/>
    </row>
    <row r="111" spans="1:11" ht="18.600000000000001" customHeight="1">
      <c r="A111" s="35">
        <v>669</v>
      </c>
      <c r="B111" s="35" t="s">
        <v>758</v>
      </c>
      <c r="C111" s="35" t="s">
        <v>759</v>
      </c>
      <c r="D111" s="35" t="s">
        <v>953</v>
      </c>
      <c r="E111" s="35" t="s">
        <v>11</v>
      </c>
      <c r="F111" s="35" t="s">
        <v>660</v>
      </c>
      <c r="G111" s="35">
        <v>963</v>
      </c>
      <c r="H111" s="35"/>
      <c r="I111" s="35">
        <v>5</v>
      </c>
      <c r="J111" s="35">
        <f t="shared" si="3"/>
        <v>958</v>
      </c>
      <c r="K111" s="35"/>
    </row>
    <row r="112" spans="1:11" ht="18.600000000000001" customHeight="1">
      <c r="A112" s="35">
        <v>655</v>
      </c>
      <c r="B112" s="35" t="s">
        <v>716</v>
      </c>
      <c r="C112" s="35" t="s">
        <v>717</v>
      </c>
      <c r="D112" s="35" t="s">
        <v>953</v>
      </c>
      <c r="E112" s="35" t="s">
        <v>661</v>
      </c>
      <c r="F112" s="35" t="s">
        <v>660</v>
      </c>
      <c r="G112" s="35">
        <v>768</v>
      </c>
      <c r="H112" s="35"/>
      <c r="I112" s="35">
        <v>70</v>
      </c>
      <c r="J112" s="35">
        <f t="shared" si="3"/>
        <v>698</v>
      </c>
      <c r="K112" s="35"/>
    </row>
    <row r="113" spans="1:11" ht="18.600000000000001" customHeight="1">
      <c r="A113" s="35">
        <v>657</v>
      </c>
      <c r="B113" s="35" t="s">
        <v>722</v>
      </c>
      <c r="C113" s="35" t="s">
        <v>723</v>
      </c>
      <c r="D113" s="35" t="s">
        <v>953</v>
      </c>
      <c r="E113" s="35" t="s">
        <v>661</v>
      </c>
      <c r="F113" s="35" t="s">
        <v>660</v>
      </c>
      <c r="G113" s="35">
        <v>575</v>
      </c>
      <c r="H113" s="35"/>
      <c r="I113" s="35"/>
      <c r="J113" s="35">
        <f t="shared" si="3"/>
        <v>575</v>
      </c>
      <c r="K113" s="35"/>
    </row>
    <row r="114" spans="1:11" ht="18.600000000000001" customHeight="1">
      <c r="A114" s="35">
        <v>665</v>
      </c>
      <c r="B114" s="35" t="s">
        <v>746</v>
      </c>
      <c r="C114" s="35" t="s">
        <v>747</v>
      </c>
      <c r="D114" s="35" t="s">
        <v>953</v>
      </c>
      <c r="E114" s="35" t="s">
        <v>661</v>
      </c>
      <c r="F114" s="35" t="s">
        <v>660</v>
      </c>
      <c r="G114" s="35">
        <v>1327</v>
      </c>
      <c r="H114" s="35"/>
      <c r="I114" s="35"/>
      <c r="J114" s="35">
        <f t="shared" si="3"/>
        <v>1327</v>
      </c>
      <c r="K114" s="35"/>
    </row>
    <row r="115" spans="1:11" ht="18.600000000000001" customHeight="1">
      <c r="A115" s="35">
        <v>647</v>
      </c>
      <c r="B115" s="35" t="s">
        <v>692</v>
      </c>
      <c r="C115" s="35" t="s">
        <v>693</v>
      </c>
      <c r="D115" s="35" t="s">
        <v>953</v>
      </c>
      <c r="E115" s="35" t="s">
        <v>661</v>
      </c>
      <c r="F115" s="35" t="s">
        <v>660</v>
      </c>
      <c r="G115" s="35">
        <v>382</v>
      </c>
      <c r="H115" s="35"/>
      <c r="I115" s="35"/>
      <c r="J115" s="35">
        <f t="shared" si="3"/>
        <v>382</v>
      </c>
      <c r="K115" s="35"/>
    </row>
    <row r="116" spans="1:11" ht="18.600000000000001" customHeight="1">
      <c r="A116" s="35">
        <v>696</v>
      </c>
      <c r="B116" s="35" t="s">
        <v>829</v>
      </c>
      <c r="C116" s="35" t="s">
        <v>830</v>
      </c>
      <c r="D116" s="35" t="s">
        <v>953</v>
      </c>
      <c r="E116" s="35" t="s">
        <v>661</v>
      </c>
      <c r="F116" s="35" t="s">
        <v>660</v>
      </c>
      <c r="G116" s="35"/>
      <c r="H116" s="35">
        <v>72</v>
      </c>
      <c r="I116" s="35">
        <v>40</v>
      </c>
      <c r="J116" s="35">
        <f t="shared" si="3"/>
        <v>32</v>
      </c>
      <c r="K116" s="35"/>
    </row>
    <row r="117" spans="1:11" ht="18.600000000000001" customHeight="1">
      <c r="A117" s="35">
        <v>695</v>
      </c>
      <c r="B117" s="35" t="s">
        <v>827</v>
      </c>
      <c r="C117" s="35" t="s">
        <v>828</v>
      </c>
      <c r="D117" s="35" t="s">
        <v>953</v>
      </c>
      <c r="E117" s="35" t="s">
        <v>661</v>
      </c>
      <c r="F117" s="35" t="s">
        <v>660</v>
      </c>
      <c r="G117" s="35"/>
      <c r="H117" s="35">
        <v>600</v>
      </c>
      <c r="I117" s="35">
        <v>40</v>
      </c>
      <c r="J117" s="35">
        <f t="shared" si="3"/>
        <v>560</v>
      </c>
      <c r="K117" s="35"/>
    </row>
    <row r="118" spans="1:11" ht="18.600000000000001" customHeight="1">
      <c r="A118" s="35">
        <v>2</v>
      </c>
      <c r="B118" s="35" t="s">
        <v>12</v>
      </c>
      <c r="C118" s="35" t="s">
        <v>13</v>
      </c>
      <c r="D118" s="35" t="s">
        <v>9</v>
      </c>
      <c r="E118" s="35" t="s">
        <v>11</v>
      </c>
      <c r="F118" s="35" t="s">
        <v>10</v>
      </c>
      <c r="G118" s="35"/>
      <c r="H118" s="35">
        <v>22</v>
      </c>
      <c r="I118" s="35"/>
      <c r="J118" s="35">
        <f t="shared" si="3"/>
        <v>22</v>
      </c>
      <c r="K118" s="35"/>
    </row>
    <row r="119" spans="1:11" ht="18.600000000000001" customHeight="1">
      <c r="A119" s="35">
        <v>1</v>
      </c>
      <c r="B119" s="35" t="s">
        <v>7</v>
      </c>
      <c r="C119" s="35" t="s">
        <v>8</v>
      </c>
      <c r="D119" s="35" t="s">
        <v>9</v>
      </c>
      <c r="E119" s="35" t="s">
        <v>11</v>
      </c>
      <c r="F119" s="35" t="s">
        <v>10</v>
      </c>
      <c r="G119" s="35"/>
      <c r="H119" s="35">
        <v>12</v>
      </c>
      <c r="I119" s="35"/>
      <c r="J119" s="35">
        <f t="shared" si="3"/>
        <v>12</v>
      </c>
      <c r="K119" s="35"/>
    </row>
  </sheetData>
  <sortState ref="A2:K119">
    <sortCondition ref="F2:F120"/>
    <sortCondition ref="C2:C120"/>
    <sortCondition ref="D2:D120"/>
  </sortState>
  <phoneticPr fontId="3" type="noConversion"/>
  <pageMargins left="0.32" right="0.27" top="0.6" bottom="0.38" header="0.3" footer="0.3"/>
  <pageSetup paperSize="9" orientation="portrait" r:id="rId1"/>
  <headerFooter>
    <oddHeader>&amp;C物料库存表 &amp;D&amp;R&amp;P/&amp;N</oddHeader>
    <oddFooter>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结存</vt:lpstr>
      <vt:lpstr>000目录</vt:lpstr>
      <vt:lpstr>明细</vt:lpstr>
      <vt:lpstr>基础资料</vt:lpstr>
      <vt:lpstr>说明</vt:lpstr>
      <vt:lpstr>打印结存</vt:lpstr>
      <vt:lpstr>打印结存!Print_Titles</vt:lpstr>
    </vt:vector>
  </TitlesOfParts>
  <Company>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cp:lastPrinted>2018-01-22T12:39:39Z</cp:lastPrinted>
  <dcterms:created xsi:type="dcterms:W3CDTF">2018-01-20T14:40:16Z</dcterms:created>
  <dcterms:modified xsi:type="dcterms:W3CDTF">2019-02-20T05:23:17Z</dcterms:modified>
</cp:coreProperties>
</file>