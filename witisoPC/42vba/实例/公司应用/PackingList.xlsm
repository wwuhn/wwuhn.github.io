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5408" windowHeight="3156"/>
  </bookViews>
  <sheets>
    <sheet name="制单" sheetId="1" r:id="rId1"/>
    <sheet name="INVOICE" sheetId="2" r:id="rId2"/>
    <sheet name="PACKING LIST" sheetId="3" r:id="rId3"/>
    <sheet name="重量与单价数据" sheetId="4" r:id="rId4"/>
  </sheets>
  <externalReferences>
    <externalReference r:id="rId5"/>
    <externalReference r:id="rId6"/>
  </externalReferences>
  <calcPr calcId="124519"/>
</workbook>
</file>

<file path=xl/calcChain.xml><?xml version="1.0" encoding="utf-8"?>
<calcChain xmlns="http://schemas.openxmlformats.org/spreadsheetml/2006/main">
  <c r="M11" i="1"/>
  <c r="M10"/>
  <c r="M9"/>
  <c r="M8"/>
  <c r="M7"/>
  <c r="M6"/>
  <c r="M5"/>
  <c r="M4"/>
  <c r="M13"/>
  <c r="M14"/>
  <c r="M15"/>
  <c r="M16"/>
  <c r="M17"/>
  <c r="M18"/>
  <c r="M19"/>
  <c r="M20"/>
  <c r="M12"/>
  <c r="P5"/>
  <c r="P6"/>
  <c r="P7"/>
  <c r="P8"/>
  <c r="P9"/>
  <c r="P10"/>
  <c r="P11"/>
  <c r="P12"/>
  <c r="P13"/>
  <c r="P14"/>
  <c r="P15"/>
  <c r="P16"/>
  <c r="P17"/>
  <c r="P18"/>
  <c r="P19"/>
  <c r="P20"/>
  <c r="P4"/>
  <c r="I69" i="3"/>
  <c r="G69"/>
  <c r="Q65"/>
  <c r="O65"/>
  <c r="M65"/>
  <c r="K65"/>
  <c r="R65"/>
  <c r="B65"/>
  <c r="Q63"/>
  <c r="O63"/>
  <c r="M63"/>
  <c r="K63"/>
  <c r="R63"/>
  <c r="S63"/>
  <c r="T63"/>
  <c r="B63"/>
  <c r="Q61"/>
  <c r="O61"/>
  <c r="M61"/>
  <c r="K61"/>
  <c r="R61"/>
  <c r="B61"/>
  <c r="Q59"/>
  <c r="O59"/>
  <c r="M59"/>
  <c r="K59"/>
  <c r="R59"/>
  <c r="S59"/>
  <c r="T59"/>
  <c r="B59"/>
  <c r="Q57"/>
  <c r="O57"/>
  <c r="M57"/>
  <c r="K57"/>
  <c r="R57"/>
  <c r="S57"/>
  <c r="T57"/>
  <c r="B57"/>
  <c r="Q55"/>
  <c r="O55"/>
  <c r="M55"/>
  <c r="K55"/>
  <c r="R55"/>
  <c r="S55"/>
  <c r="T55"/>
  <c r="B55"/>
  <c r="Q53"/>
  <c r="O53"/>
  <c r="M53"/>
  <c r="K53"/>
  <c r="R53"/>
  <c r="B53"/>
  <c r="Q51"/>
  <c r="O51"/>
  <c r="M51"/>
  <c r="K51"/>
  <c r="R51"/>
  <c r="S51"/>
  <c r="T51"/>
  <c r="B51"/>
  <c r="Q49"/>
  <c r="O49"/>
  <c r="M49"/>
  <c r="K49"/>
  <c r="R49"/>
  <c r="S49"/>
  <c r="T49"/>
  <c r="B49"/>
  <c r="Q47"/>
  <c r="O47"/>
  <c r="M47"/>
  <c r="K47"/>
  <c r="R47"/>
  <c r="S47"/>
  <c r="T47"/>
  <c r="B47"/>
  <c r="Q45"/>
  <c r="O45"/>
  <c r="M45"/>
  <c r="K45"/>
  <c r="R45"/>
  <c r="B45"/>
  <c r="Q43"/>
  <c r="O43"/>
  <c r="M43"/>
  <c r="K43"/>
  <c r="R43"/>
  <c r="S43"/>
  <c r="T43"/>
  <c r="B43"/>
  <c r="Q41"/>
  <c r="O41"/>
  <c r="M41"/>
  <c r="K41"/>
  <c r="R41"/>
  <c r="B41"/>
  <c r="Q39"/>
  <c r="O39"/>
  <c r="M39"/>
  <c r="K39"/>
  <c r="R39"/>
  <c r="S39"/>
  <c r="T39"/>
  <c r="B39"/>
  <c r="Q37"/>
  <c r="O37"/>
  <c r="M37"/>
  <c r="K37"/>
  <c r="R37"/>
  <c r="S37"/>
  <c r="T37"/>
  <c r="B37"/>
  <c r="Q35"/>
  <c r="O35"/>
  <c r="M35"/>
  <c r="K35"/>
  <c r="R35"/>
  <c r="S35"/>
  <c r="T35"/>
  <c r="B35"/>
  <c r="Q33"/>
  <c r="O33"/>
  <c r="M33"/>
  <c r="K33"/>
  <c r="R33"/>
  <c r="B33"/>
  <c r="Q31"/>
  <c r="O31"/>
  <c r="M31"/>
  <c r="K31"/>
  <c r="R31"/>
  <c r="S31"/>
  <c r="T31"/>
  <c r="B31"/>
  <c r="Q29"/>
  <c r="O29"/>
  <c r="M29"/>
  <c r="K29"/>
  <c r="R29"/>
  <c r="S29"/>
  <c r="T29"/>
  <c r="B29"/>
  <c r="Q27"/>
  <c r="O27"/>
  <c r="M27"/>
  <c r="K27"/>
  <c r="R27"/>
  <c r="S27"/>
  <c r="T27"/>
  <c r="B27"/>
  <c r="Q25"/>
  <c r="O25"/>
  <c r="M25"/>
  <c r="K25"/>
  <c r="R25"/>
  <c r="B25"/>
  <c r="Q23"/>
  <c r="O23"/>
  <c r="M23"/>
  <c r="K23"/>
  <c r="R23"/>
  <c r="S23"/>
  <c r="T23"/>
  <c r="B23"/>
  <c r="Q21"/>
  <c r="O21"/>
  <c r="M21"/>
  <c r="K21"/>
  <c r="R21"/>
  <c r="S21"/>
  <c r="T21"/>
  <c r="B21"/>
  <c r="Q19"/>
  <c r="O19"/>
  <c r="M19"/>
  <c r="K19"/>
  <c r="R19"/>
  <c r="B19"/>
  <c r="Q17"/>
  <c r="O17"/>
  <c r="M17"/>
  <c r="K17"/>
  <c r="R17"/>
  <c r="S17"/>
  <c r="T17"/>
  <c r="B17"/>
  <c r="K51" i="2"/>
  <c r="K49"/>
  <c r="K47"/>
  <c r="K45"/>
  <c r="K43"/>
  <c r="K41"/>
  <c r="K39"/>
  <c r="K37"/>
  <c r="K35"/>
  <c r="K33"/>
  <c r="K31"/>
  <c r="K29"/>
  <c r="K27"/>
  <c r="K25"/>
  <c r="K23"/>
  <c r="K21"/>
  <c r="K19"/>
  <c r="H55"/>
  <c r="D55"/>
  <c r="H51"/>
  <c r="H49"/>
  <c r="H47"/>
  <c r="H45"/>
  <c r="H43"/>
  <c r="H41"/>
  <c r="H39"/>
  <c r="H37"/>
  <c r="H35"/>
  <c r="H33"/>
  <c r="H31"/>
  <c r="H29"/>
  <c r="H27"/>
  <c r="H25"/>
  <c r="H23"/>
  <c r="H21"/>
  <c r="H19"/>
  <c r="F51"/>
  <c r="F49"/>
  <c r="F47"/>
  <c r="F45"/>
  <c r="F43"/>
  <c r="F41"/>
  <c r="F39"/>
  <c r="F37"/>
  <c r="F35"/>
  <c r="F33"/>
  <c r="F31"/>
  <c r="F29"/>
  <c r="F27"/>
  <c r="F25"/>
  <c r="F23"/>
  <c r="F21"/>
  <c r="F19"/>
  <c r="G21" i="1"/>
  <c r="L13"/>
  <c r="K13"/>
  <c r="I13"/>
  <c r="H13"/>
  <c r="C13"/>
  <c r="N13" s="1"/>
  <c r="B13"/>
  <c r="L12"/>
  <c r="K12"/>
  <c r="I12"/>
  <c r="H12"/>
  <c r="C12"/>
  <c r="N12" s="1"/>
  <c r="B12"/>
  <c r="L11"/>
  <c r="K11"/>
  <c r="I11"/>
  <c r="H11"/>
  <c r="C11"/>
  <c r="N11" s="1"/>
  <c r="B11"/>
  <c r="L10"/>
  <c r="K10"/>
  <c r="I10"/>
  <c r="H10"/>
  <c r="C10"/>
  <c r="N10" s="1"/>
  <c r="B10"/>
  <c r="L9"/>
  <c r="K9"/>
  <c r="I9"/>
  <c r="H9"/>
  <c r="C9"/>
  <c r="N9" s="1"/>
  <c r="B9"/>
  <c r="L8"/>
  <c r="K8"/>
  <c r="I8"/>
  <c r="H8"/>
  <c r="C8"/>
  <c r="N8" s="1"/>
  <c r="B8"/>
  <c r="L7"/>
  <c r="K7"/>
  <c r="I7"/>
  <c r="H7"/>
  <c r="C7"/>
  <c r="N7" s="1"/>
  <c r="B7"/>
  <c r="L14"/>
  <c r="K14"/>
  <c r="I14"/>
  <c r="H14"/>
  <c r="C14"/>
  <c r="O14" s="1"/>
  <c r="B14"/>
  <c r="L6"/>
  <c r="K6"/>
  <c r="I6"/>
  <c r="H6"/>
  <c r="C6"/>
  <c r="O6" s="1"/>
  <c r="B6"/>
  <c r="L5"/>
  <c r="K5"/>
  <c r="I5"/>
  <c r="H5"/>
  <c r="C5"/>
  <c r="O5" s="1"/>
  <c r="B5"/>
  <c r="L20"/>
  <c r="K20"/>
  <c r="I20"/>
  <c r="H20"/>
  <c r="C20"/>
  <c r="O20" s="1"/>
  <c r="B20"/>
  <c r="L19"/>
  <c r="K19"/>
  <c r="I19"/>
  <c r="H19"/>
  <c r="C19"/>
  <c r="O19" s="1"/>
  <c r="B19"/>
  <c r="L18"/>
  <c r="K18"/>
  <c r="I18"/>
  <c r="H18"/>
  <c r="C18"/>
  <c r="O18" s="1"/>
  <c r="B18"/>
  <c r="L17"/>
  <c r="K17"/>
  <c r="I17"/>
  <c r="H17"/>
  <c r="C17"/>
  <c r="O17" s="1"/>
  <c r="B17"/>
  <c r="L16"/>
  <c r="K16"/>
  <c r="I16"/>
  <c r="H16"/>
  <c r="C16"/>
  <c r="O16" s="1"/>
  <c r="B16"/>
  <c r="L15"/>
  <c r="K15"/>
  <c r="I15"/>
  <c r="H15"/>
  <c r="C15"/>
  <c r="O15" s="1"/>
  <c r="B15"/>
  <c r="L4"/>
  <c r="K4"/>
  <c r="I4"/>
  <c r="H4"/>
  <c r="C4"/>
  <c r="O4" s="1"/>
  <c r="B4"/>
  <c r="J1"/>
  <c r="Q79" i="3"/>
  <c r="C78"/>
  <c r="Q72"/>
  <c r="Q71"/>
  <c r="Q70"/>
  <c r="Q69"/>
  <c r="U16"/>
  <c r="U15"/>
  <c r="U13"/>
  <c r="D13"/>
  <c r="V11"/>
  <c r="U11"/>
  <c r="O11"/>
  <c r="M11"/>
  <c r="K11"/>
  <c r="U7"/>
  <c r="N1351" i="4"/>
  <c r="N1336"/>
  <c r="N1315"/>
  <c r="N1287"/>
  <c r="N1132"/>
  <c r="N1125"/>
  <c r="N1122"/>
  <c r="N1094"/>
  <c r="N1043"/>
  <c r="N978"/>
  <c r="N928"/>
  <c r="N915"/>
  <c r="N776"/>
  <c r="N690"/>
  <c r="N670"/>
  <c r="N654"/>
  <c r="N634"/>
  <c r="N633"/>
  <c r="N627"/>
  <c r="N571"/>
  <c r="O8" i="1" l="1"/>
  <c r="O10"/>
  <c r="O12"/>
  <c r="O7"/>
  <c r="O9"/>
  <c r="O11"/>
  <c r="O13"/>
  <c r="N5"/>
  <c r="N6"/>
  <c r="N14"/>
  <c r="N4"/>
  <c r="N15"/>
  <c r="N16"/>
  <c r="N17"/>
  <c r="N18"/>
  <c r="N19"/>
  <c r="N20"/>
  <c r="N21" l="1"/>
</calcChain>
</file>

<file path=xl/comments1.xml><?xml version="1.0" encoding="utf-8"?>
<comments xmlns="http://schemas.openxmlformats.org/spreadsheetml/2006/main">
  <authors>
    <author>作者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wanqun:无485 486 654 635</t>
        </r>
      </text>
    </comment>
    <comment ref="A34" authorId="0">
      <text>
        <r>
          <rPr>
            <sz val="9"/>
            <color indexed="81"/>
            <rFont val="宋体"/>
            <family val="3"/>
            <charset val="134"/>
          </rPr>
          <t xml:space="preserve">
distinguish old &amp;new material and ping &amp;normal</t>
        </r>
      </text>
    </comment>
    <comment ref="A497" authorId="0">
      <text>
        <r>
          <rPr>
            <b/>
            <sz val="9"/>
            <color indexed="81"/>
            <rFont val="宋体"/>
            <family val="3"/>
            <charset val="134"/>
          </rPr>
          <t>1、L：表示左边
2、M：表示刀头的两面只喷了一面；
3、UP表示没有贴水印；</t>
        </r>
      </text>
    </comment>
    <comment ref="A574" authorId="0">
      <text>
        <r>
          <rPr>
            <b/>
            <sz val="9"/>
            <color indexed="81"/>
            <rFont val="宋体"/>
            <family val="3"/>
            <charset val="134"/>
          </rPr>
          <t>1、L：表示左边
2、M：表示刀头的两面只喷了一面；</t>
        </r>
      </text>
    </comment>
    <comment ref="A591" authorId="0">
      <text>
        <r>
          <rPr>
            <b/>
            <sz val="9"/>
            <color indexed="81"/>
            <rFont val="宋体"/>
            <family val="3"/>
            <charset val="134"/>
          </rPr>
          <t>1、L：表示左边
2、H：表示刀头两面都没有喷漆；</t>
        </r>
      </text>
    </comment>
  </commentList>
</comments>
</file>

<file path=xl/sharedStrings.xml><?xml version="1.0" encoding="utf-8"?>
<sst xmlns="http://schemas.openxmlformats.org/spreadsheetml/2006/main" count="6534" uniqueCount="1932">
  <si>
    <t>SKU</t>
    <phoneticPr fontId="4" type="noConversion"/>
  </si>
  <si>
    <t>Price</t>
    <phoneticPr fontId="4" type="noConversion"/>
  </si>
  <si>
    <t>Item weight(gross)</t>
    <phoneticPr fontId="4" type="noConversion"/>
  </si>
  <si>
    <t>packed qty</t>
    <phoneticPr fontId="4" type="noConversion"/>
  </si>
  <si>
    <t>gross weight</t>
    <phoneticPr fontId="4" type="noConversion"/>
  </si>
  <si>
    <t>company sp</t>
    <phoneticPr fontId="4" type="noConversion"/>
  </si>
  <si>
    <t>type</t>
    <phoneticPr fontId="4" type="noConversion"/>
  </si>
  <si>
    <t>carton size</t>
    <phoneticPr fontId="4" type="noConversion"/>
  </si>
  <si>
    <t>carton(length)</t>
    <phoneticPr fontId="4" type="noConversion"/>
  </si>
  <si>
    <t>carton(width)</t>
    <phoneticPr fontId="4" type="noConversion"/>
  </si>
  <si>
    <t>carton(height)</t>
    <phoneticPr fontId="4" type="noConversion"/>
  </si>
  <si>
    <t>engineer data</t>
    <phoneticPr fontId="4" type="noConversion"/>
  </si>
  <si>
    <t>on-hand QTY</t>
    <phoneticPr fontId="4" type="noConversion"/>
  </si>
  <si>
    <t>estimated weight</t>
    <phoneticPr fontId="4" type="noConversion"/>
  </si>
  <si>
    <t>Weight weighed</t>
    <phoneticPr fontId="4" type="noConversion"/>
  </si>
  <si>
    <t>AUCRULRLSIL-38</t>
  </si>
  <si>
    <t>golf</t>
    <phoneticPr fontId="4" type="noConversion"/>
  </si>
  <si>
    <t>122*15*10</t>
    <phoneticPr fontId="4" type="noConversion"/>
  </si>
  <si>
    <t>Y</t>
    <phoneticPr fontId="4" type="noConversion"/>
  </si>
  <si>
    <t>AUCRULRLSIM-40</t>
  </si>
  <si>
    <t>AUCRULRLSWL-44</t>
  </si>
  <si>
    <t>AUPL-76-WA-46</t>
  </si>
  <si>
    <t>59-65</t>
  </si>
  <si>
    <t>AUPL-76-WS-46</t>
  </si>
  <si>
    <r>
      <t>64</t>
    </r>
    <r>
      <rPr>
        <sz val="10"/>
        <rFont val="宋体"/>
        <family val="3"/>
        <charset val="134"/>
      </rPr>
      <t>－</t>
    </r>
    <r>
      <rPr>
        <sz val="10"/>
        <rFont val="Arial"/>
        <family val="2"/>
      </rPr>
      <t>70</t>
    </r>
    <phoneticPr fontId="4" type="noConversion"/>
  </si>
  <si>
    <t>I19A-55PA-03600</t>
  </si>
  <si>
    <t>67-71</t>
  </si>
  <si>
    <t>I19A-55PR-03600</t>
  </si>
  <si>
    <t>69-73</t>
  </si>
  <si>
    <t>I19A-55PS-03600</t>
  </si>
  <si>
    <t>71-75</t>
  </si>
  <si>
    <t>I19A-60PA-03600</t>
  </si>
  <si>
    <t>I19A-60PR-03600</t>
  </si>
  <si>
    <t>I19A-60PS-03600</t>
  </si>
  <si>
    <t>I19A-65PA-03600</t>
  </si>
  <si>
    <t>I19A-65PR-03600</t>
  </si>
  <si>
    <t>I19A-65PS-03600</t>
  </si>
  <si>
    <t>I19A-70PA-03600</t>
  </si>
  <si>
    <t>I19A-70PR-03600</t>
  </si>
  <si>
    <t>I19A-70PS-03600</t>
  </si>
  <si>
    <t>I19A-75PA-03600</t>
  </si>
  <si>
    <t>I19A-75PR-03600</t>
  </si>
  <si>
    <t>I19A-75PS-03600</t>
  </si>
  <si>
    <t>I19A-80PA-03600</t>
  </si>
  <si>
    <t>I19A-80PR-03600</t>
  </si>
  <si>
    <t>I19A-80PS-03600</t>
  </si>
  <si>
    <t>I19A-85PA-03600</t>
  </si>
  <si>
    <t>I19A-85PR-03600</t>
  </si>
  <si>
    <t>I19A-85PS-03600</t>
  </si>
  <si>
    <t>I19A-90PA-03600</t>
  </si>
  <si>
    <t>I19A-90PR-03600</t>
  </si>
  <si>
    <t>I19A-90PS-03600</t>
  </si>
  <si>
    <t>I19A-95PA-03600</t>
  </si>
  <si>
    <t>I19A-95PR-03600</t>
  </si>
  <si>
    <t>I19A-95PS-03600</t>
  </si>
  <si>
    <t>LAUNCHHYIA-41</t>
  </si>
  <si>
    <t>71-77</t>
  </si>
  <si>
    <t>LAUNCHHYIR-41</t>
  </si>
  <si>
    <t>77-83</t>
  </si>
  <si>
    <t>LAUNCHHYIS-41</t>
  </si>
  <si>
    <t>78-84</t>
  </si>
  <si>
    <t>LAUNCHHYIX-41</t>
  </si>
  <si>
    <t>79-85</t>
  </si>
  <si>
    <t>M18L-P-L-22745</t>
  </si>
  <si>
    <t>58-64</t>
  </si>
  <si>
    <t>MGBGA-45</t>
  </si>
  <si>
    <t>70-78</t>
  </si>
  <si>
    <t>MGBGL-45</t>
  </si>
  <si>
    <t>MGBGR3-45</t>
  </si>
  <si>
    <t>74-82</t>
  </si>
  <si>
    <t>OGWX-46</t>
  </si>
  <si>
    <t>SHR-ECL-08563</t>
  </si>
  <si>
    <t>Shaft</t>
  </si>
  <si>
    <t>183*29*16</t>
    <phoneticPr fontId="4" type="noConversion"/>
  </si>
  <si>
    <t>352-364</t>
  </si>
  <si>
    <t>SHR-ECL-09563</t>
  </si>
  <si>
    <t>363-375</t>
  </si>
  <si>
    <t>SHR-ECL-10563</t>
  </si>
  <si>
    <t>372-384</t>
  </si>
  <si>
    <t>SHR-TEN-TF</t>
  </si>
  <si>
    <t>tennon</t>
    <phoneticPr fontId="4" type="noConversion"/>
  </si>
  <si>
    <t>45*26*8</t>
    <phoneticPr fontId="4" type="noConversion"/>
  </si>
  <si>
    <t>SHR-TF-09552P</t>
  </si>
  <si>
    <t>145*29*16</t>
    <phoneticPr fontId="4" type="noConversion"/>
  </si>
  <si>
    <t>315-329</t>
  </si>
  <si>
    <t>SHR-TF-10552P</t>
  </si>
  <si>
    <t>325-339</t>
  </si>
  <si>
    <t>SHR-TF-11552P</t>
  </si>
  <si>
    <t>350-364</t>
  </si>
  <si>
    <t>TITUNPLFWR-44</t>
  </si>
  <si>
    <t>67-73</t>
  </si>
  <si>
    <t>TITUNPLFWS-44</t>
  </si>
  <si>
    <t>69-75</t>
  </si>
  <si>
    <t>TITUNPLFWX-44</t>
  </si>
  <si>
    <t>TITUNPLWR-46</t>
  </si>
  <si>
    <t>TITUNPLWS-46</t>
  </si>
  <si>
    <t>61-67</t>
  </si>
  <si>
    <t>TTSW-37</t>
  </si>
  <si>
    <t>104-108</t>
  </si>
  <si>
    <t>UACLIC-43</t>
  </si>
  <si>
    <t>77-85</t>
  </si>
  <si>
    <t>UACLIL-42</t>
  </si>
  <si>
    <t>76-84</t>
  </si>
  <si>
    <t>UACLWC-48</t>
  </si>
  <si>
    <t>130*15*10</t>
    <phoneticPr fontId="4" type="noConversion"/>
  </si>
  <si>
    <t>UACLWL-45</t>
  </si>
  <si>
    <t>UBEPRO6533WR-45</t>
  </si>
  <si>
    <t>66-72</t>
  </si>
  <si>
    <t>UBLU433WR-46</t>
  </si>
  <si>
    <t>40-46</t>
  </si>
  <si>
    <t>UBLU533WR-46</t>
  </si>
  <si>
    <t>53-59</t>
  </si>
  <si>
    <t>UBLU533WS-46</t>
  </si>
  <si>
    <t>54-60</t>
  </si>
  <si>
    <t>UBLU533WX-46</t>
  </si>
  <si>
    <t>55-61</t>
  </si>
  <si>
    <t>UBLU633WR-46</t>
  </si>
  <si>
    <t>UBLU633WS-46</t>
  </si>
  <si>
    <t>62-68</t>
  </si>
  <si>
    <t>UBLU633WX-46</t>
  </si>
  <si>
    <t>UBLU635WR-46</t>
  </si>
  <si>
    <t>64-70</t>
  </si>
  <si>
    <t>UBLU635WR-46-BT</t>
  </si>
  <si>
    <t>63-69</t>
  </si>
  <si>
    <t>UBLU635WS-46</t>
  </si>
  <si>
    <t>UBLU635WS-46-BT</t>
  </si>
  <si>
    <t>UBLU635WX-46</t>
  </si>
  <si>
    <t>UBLU635WX-46-BT</t>
  </si>
  <si>
    <t>UBLU733FPS-46</t>
  </si>
  <si>
    <t>72-78</t>
  </si>
  <si>
    <t>UBLU733WR-46</t>
  </si>
  <si>
    <t>70-76</t>
  </si>
  <si>
    <t>UBLU733WS-46</t>
  </si>
  <si>
    <t>UBLU733WX-46</t>
  </si>
  <si>
    <t>74-80</t>
  </si>
  <si>
    <t>UBLU735WR-46</t>
  </si>
  <si>
    <t>75-81</t>
  </si>
  <si>
    <t>UBLU735WS-46</t>
  </si>
  <si>
    <t>UBLU735WX-46</t>
  </si>
  <si>
    <t>76-82</t>
  </si>
  <si>
    <t>UBLU933WS-46</t>
  </si>
  <si>
    <t>90-96</t>
  </si>
  <si>
    <t>UBLU933WX-46</t>
  </si>
  <si>
    <t>UBLULD33-50-1X2X</t>
  </si>
  <si>
    <t>UBLULD33-50-2X3X</t>
  </si>
  <si>
    <t>UBLULD33-50-4X5X</t>
  </si>
  <si>
    <t>73-79</t>
  </si>
  <si>
    <t>UBLUTIT33WR-46</t>
  </si>
  <si>
    <t>UBLUTIT33WS-46</t>
  </si>
  <si>
    <t>UBLUTIT33WX-46</t>
  </si>
  <si>
    <t>UBLUTW33WX-46</t>
  </si>
  <si>
    <t>92-98</t>
  </si>
  <si>
    <t>UBROP6533WL-45</t>
  </si>
  <si>
    <t>UBROP6533WR-45</t>
  </si>
  <si>
    <t>UBROP6533WS-45</t>
  </si>
  <si>
    <t>68-74</t>
  </si>
  <si>
    <t>UBROP70IL-40</t>
  </si>
  <si>
    <t>UBROP70IR-40</t>
  </si>
  <si>
    <t>UBROP70IS-40</t>
  </si>
  <si>
    <t>UEI233WR-46</t>
  </si>
  <si>
    <t>UEI233WR-46-DG</t>
  </si>
  <si>
    <t>UEI233WS-46</t>
  </si>
  <si>
    <t>UEI233WS-46-DG</t>
  </si>
  <si>
    <t>UEI233WX-46</t>
  </si>
  <si>
    <t>UEI233WXX-46</t>
  </si>
  <si>
    <t>UEI235WR-46</t>
  </si>
  <si>
    <t>UEI235WS-46</t>
  </si>
  <si>
    <t>UEI235WX-46</t>
  </si>
  <si>
    <t>UGSAL33WA-45</t>
  </si>
  <si>
    <t>UGSAL33WL-45</t>
  </si>
  <si>
    <t>UGSAL33WR-45</t>
  </si>
  <si>
    <t>UGSAL33WS-45</t>
  </si>
  <si>
    <t>UGSAL37IA-40</t>
  </si>
  <si>
    <t>60-66</t>
  </si>
  <si>
    <t>UGSAL37IL-40</t>
  </si>
  <si>
    <t>UGSAL37IR-40</t>
  </si>
  <si>
    <t>UGSAL37IS-40</t>
  </si>
  <si>
    <t>UGSMX3IC-43</t>
  </si>
  <si>
    <t>UGSSA33WA-45</t>
  </si>
  <si>
    <t>UGSSA33WL-45</t>
  </si>
  <si>
    <t>UGSSA33WR-45</t>
  </si>
  <si>
    <t>UGSSA33WS-45</t>
  </si>
  <si>
    <t>UHBGS2IL-395</t>
  </si>
  <si>
    <t>y</t>
    <phoneticPr fontId="4" type="noConversion"/>
  </si>
  <si>
    <t>UHBGS2IM-41</t>
  </si>
  <si>
    <t>UHBGS2WM-465</t>
  </si>
  <si>
    <t>ULAUNCH433WA-46</t>
  </si>
  <si>
    <t>ULAUNCH433WL-46</t>
  </si>
  <si>
    <t>41-47</t>
  </si>
  <si>
    <t>ULAUNCH433WR-46</t>
  </si>
  <si>
    <t>ULAUNCH433WS-46</t>
  </si>
  <si>
    <t>45-51</t>
  </si>
  <si>
    <t>ULAUNCH435WA-46</t>
  </si>
  <si>
    <t>42-48</t>
  </si>
  <si>
    <t>ULAUNCH435WL-46</t>
  </si>
  <si>
    <t>ULAUNCH435WR-46</t>
  </si>
  <si>
    <t>ULAUNCH435WS-46</t>
  </si>
  <si>
    <t>ULAUNCH533WR-46</t>
  </si>
  <si>
    <t>ULAUNCH533WS-46</t>
  </si>
  <si>
    <t>ULAUNCH533WX-46</t>
  </si>
  <si>
    <t>ULAUNCH535WR-46</t>
  </si>
  <si>
    <t>ULAUNCH535WS-46</t>
  </si>
  <si>
    <t>56-62</t>
  </si>
  <si>
    <t>ULAUNCH535WX-46</t>
  </si>
  <si>
    <t>ULAUNCH5SEWR-46</t>
  </si>
  <si>
    <t>ULAUNCH633WR-46</t>
  </si>
  <si>
    <t>ULAUNCH633WS-46</t>
  </si>
  <si>
    <t>ULAUNCH633WX-46</t>
  </si>
  <si>
    <t>ULAUNCH635WR-46</t>
  </si>
  <si>
    <t>ULAUNCH635WS-46</t>
  </si>
  <si>
    <t>ULAUNCH635WX-46</t>
  </si>
  <si>
    <t>ULAUNCH733WR-46</t>
  </si>
  <si>
    <t>ULAUNCH733WS-46</t>
  </si>
  <si>
    <t>ULAUNCH733WX-46</t>
  </si>
  <si>
    <t>ULAUNCH735WR-46</t>
  </si>
  <si>
    <t>ULAUNCH735WS-46</t>
  </si>
  <si>
    <t>ULAUNCH735WX-46</t>
  </si>
  <si>
    <t>ULAUNCHHY33WA-41</t>
  </si>
  <si>
    <t>ULAUNCHHY33WR-41</t>
  </si>
  <si>
    <t>ULAUNCHHY33WS-41</t>
  </si>
  <si>
    <t>80-86</t>
  </si>
  <si>
    <t>ULAUNCHHY33WX-41</t>
  </si>
  <si>
    <t>ULAUNCHHYIA-41</t>
  </si>
  <si>
    <t>ULAUNCHHYIR-41</t>
  </si>
  <si>
    <t>ULAUNCHHYIS-41</t>
  </si>
  <si>
    <t>ULAUNCHHYIX-41</t>
  </si>
  <si>
    <t>ULAUNCHIA-41</t>
  </si>
  <si>
    <t>ULAUNCHIR-41</t>
  </si>
  <si>
    <t>ULAUNCHIS-41</t>
  </si>
  <si>
    <t>UMKIA2-40</t>
  </si>
  <si>
    <t>UMKIR2-40</t>
  </si>
  <si>
    <t>UMKIS2-40</t>
  </si>
  <si>
    <t>UPCGIAL-43</t>
  </si>
  <si>
    <t>UPCGIRS-43</t>
  </si>
  <si>
    <t>UPCGWAL-48</t>
  </si>
  <si>
    <t>65-71</t>
  </si>
  <si>
    <t>UPCGWRS-48</t>
  </si>
  <si>
    <t>UPGLAUNCH33WL-46</t>
  </si>
  <si>
    <t>UPGLAUNCH33WR-46</t>
  </si>
  <si>
    <t>UPGLAUNCH33WS-46</t>
  </si>
  <si>
    <t>UPRLT33WR-46-BLACK</t>
  </si>
  <si>
    <t>UPRLT33WR-46-BURG</t>
  </si>
  <si>
    <t>UPRLT33WS-46-BLACK</t>
  </si>
  <si>
    <t>UPRLT33WS-46-BURG</t>
  </si>
  <si>
    <t>UPRLT33WX-46-BLACK</t>
  </si>
  <si>
    <t>63-67</t>
  </si>
  <si>
    <t>UPRLT33WX-46-BURG</t>
  </si>
  <si>
    <t>UPRLT35WR-46-BLACK</t>
  </si>
  <si>
    <t>UPRLT35WR-46-BURG</t>
  </si>
  <si>
    <t>UPRLT35WS-46-BLACK</t>
  </si>
  <si>
    <t>UPRLT35WS-46-BURG</t>
  </si>
  <si>
    <t>UPRLT35WX-46-BLACK</t>
  </si>
  <si>
    <t>UPRLT35WX-46-BURG</t>
  </si>
  <si>
    <t>UPRLT433WA-46-BLACK</t>
  </si>
  <si>
    <t>UPRLT433WR-46-BLACK</t>
  </si>
  <si>
    <t>57-63</t>
  </si>
  <si>
    <t>UPRLT433WS-46-BLACK</t>
  </si>
  <si>
    <t>UPRLTF33WR-44-BLACK</t>
  </si>
  <si>
    <t>UPRLTF33WS-44-BLACK</t>
  </si>
  <si>
    <t>UPRLTF33WX-44-BLACK</t>
  </si>
  <si>
    <t>UPRLTF35WR-44-BLACK</t>
  </si>
  <si>
    <t>UPRLTF35WS-44-BLACK</t>
  </si>
  <si>
    <t>UPRLTF35WX-44-BLACK</t>
  </si>
  <si>
    <t>UPRLTIR-41</t>
  </si>
  <si>
    <t>UPRLTIS-41</t>
  </si>
  <si>
    <t>UQPWC-48</t>
  </si>
  <si>
    <t>UWFS440WR-45</t>
  </si>
  <si>
    <t>UWFS480WR-47</t>
  </si>
  <si>
    <t>UWSHG815WR-47</t>
  </si>
  <si>
    <t>UWSHG816WR-45</t>
  </si>
  <si>
    <t>UWST35DWA-46</t>
  </si>
  <si>
    <t>UWST35DWR-46</t>
  </si>
  <si>
    <t>UWST35DWS-46</t>
  </si>
  <si>
    <t>UWST35DWX-46</t>
  </si>
  <si>
    <t>UWST35FWA-44</t>
  </si>
  <si>
    <t>UWST35FWR-44</t>
  </si>
  <si>
    <t>UWST35FWS-44</t>
  </si>
  <si>
    <t>UWST35FWX-44</t>
  </si>
  <si>
    <t>UWST43DWA-47</t>
  </si>
  <si>
    <t>UWST43DWR-47</t>
  </si>
  <si>
    <t>62-69</t>
  </si>
  <si>
    <t>UWST43DWS-47</t>
  </si>
  <si>
    <t>UWST43DWX-47</t>
  </si>
  <si>
    <t>WWEFIR2-42</t>
  </si>
  <si>
    <t>WWEFWL2-47</t>
  </si>
  <si>
    <t>69-79</t>
  </si>
  <si>
    <t>WWPLWA-46</t>
  </si>
  <si>
    <t>59-63</t>
  </si>
  <si>
    <t>WWPLWR-46</t>
  </si>
  <si>
    <t>WWPLWS-46</t>
  </si>
  <si>
    <t>WWTPWIA-42</t>
  </si>
  <si>
    <t>WWTPWIL-42</t>
  </si>
  <si>
    <t>WWTPWIR-42</t>
  </si>
  <si>
    <t>WWTPWIS-42</t>
  </si>
  <si>
    <t>WWTPWIW-42</t>
  </si>
  <si>
    <t>WWTPWWA-47</t>
  </si>
  <si>
    <t>WWTPWWL-47</t>
  </si>
  <si>
    <t>WWTPWWR-47</t>
  </si>
  <si>
    <t>WWTPWWS-47</t>
  </si>
  <si>
    <t>74-84</t>
  </si>
  <si>
    <t>AUCRULRLSWM-46</t>
  </si>
  <si>
    <t>SHR-TEN-RF</t>
    <phoneticPr fontId="4" type="noConversion"/>
  </si>
  <si>
    <t>UBLUH633WR-46</t>
  </si>
  <si>
    <t>59－65</t>
  </si>
  <si>
    <t>UBLUH633WS-46</t>
  </si>
  <si>
    <t>UBLUPNT633WR-46</t>
  </si>
  <si>
    <t>UBLUPNT633WS-46</t>
  </si>
  <si>
    <t>UBLUPNT633WX-46</t>
  </si>
  <si>
    <t>UBLUPNT833WR-46</t>
  </si>
  <si>
    <t>81-87</t>
  </si>
  <si>
    <t>UBLUPNT833WS-46</t>
  </si>
  <si>
    <t>83-89</t>
  </si>
  <si>
    <t>UBLUPNT833WX-46</t>
  </si>
  <si>
    <t>82-88</t>
  </si>
  <si>
    <t>UBROP7033WL-45</t>
  </si>
  <si>
    <t>58－64</t>
  </si>
  <si>
    <t>UBROP7033WR-45</t>
  </si>
  <si>
    <t>63－69</t>
  </si>
  <si>
    <t>UBROP7033WS-45</t>
  </si>
  <si>
    <t>65－71</t>
  </si>
  <si>
    <t>UHPO35WR-46</t>
  </si>
  <si>
    <t>UHPO35WS-46</t>
  </si>
  <si>
    <t>ULAUNCHHY35WA-41</t>
  </si>
  <si>
    <t>75－81</t>
  </si>
  <si>
    <t>ULAUNCHHY35WR-41</t>
  </si>
  <si>
    <t>77－83</t>
  </si>
  <si>
    <t>UMK33FWA2-44</t>
  </si>
  <si>
    <t>71-79</t>
  </si>
  <si>
    <t>UMK33FWR2-44</t>
  </si>
  <si>
    <t>UMK33FWS2-44</t>
  </si>
  <si>
    <t>73-81</t>
  </si>
  <si>
    <t>UPGLAUNCH33WA-46</t>
  </si>
  <si>
    <t>UPKWA-46</t>
  </si>
  <si>
    <t>UPKWR-46</t>
  </si>
  <si>
    <t>UPKWS-46</t>
  </si>
  <si>
    <t>UQPIC-43</t>
  </si>
  <si>
    <t>UQPIL-42</t>
  </si>
  <si>
    <t>UQPWL-45</t>
  </si>
  <si>
    <t>USP33WR-46</t>
  </si>
  <si>
    <t>USPHYIC-43</t>
  </si>
  <si>
    <t>BLU85IR-365</t>
  </si>
  <si>
    <t>BLU85IR-37</t>
  </si>
  <si>
    <t>BLU85IR-375</t>
  </si>
  <si>
    <t>BLU85IR-38</t>
  </si>
  <si>
    <t>BLU85IR-385</t>
  </si>
  <si>
    <t>BLU85IR-39</t>
  </si>
  <si>
    <t>BLU85IR-395</t>
  </si>
  <si>
    <t>BLU85IR-40</t>
  </si>
  <si>
    <t>BLU85IS-375</t>
  </si>
  <si>
    <t>BLU85IS-38</t>
  </si>
  <si>
    <t>BLU85IS-385</t>
  </si>
  <si>
    <t>BLU85IS-39</t>
  </si>
  <si>
    <t>BLU85IX-40</t>
  </si>
  <si>
    <t>HEX-ELIAS-L-085</t>
  </si>
  <si>
    <t>N/A</t>
    <phoneticPr fontId="4" type="noConversion"/>
  </si>
  <si>
    <t>295-305</t>
  </si>
  <si>
    <t>HEX-ELIAS-L-085-G</t>
  </si>
  <si>
    <t>HEX-ELIAS-L-100</t>
  </si>
  <si>
    <t>HEX-ELIAS-L-100-G</t>
  </si>
  <si>
    <t>HEX-ELIAS-R-085</t>
  </si>
  <si>
    <t>HEX-ELIAS-R-085-G</t>
  </si>
  <si>
    <t>HEX-ELIAS-R-100</t>
  </si>
  <si>
    <t>HEX-ELIAS-R-100-G</t>
  </si>
  <si>
    <t>HEX-HATCH-L-085</t>
  </si>
  <si>
    <t>HEX-HATCH-L-085-G</t>
  </si>
  <si>
    <t>HEX-HATCH-L-100</t>
  </si>
  <si>
    <t>HEX-HATCH-L-100-G</t>
  </si>
  <si>
    <t>HEX-HATCH-R-085</t>
  </si>
  <si>
    <t>HEX-HATCH-R-085-G</t>
  </si>
  <si>
    <t>HEX-HATCH-R-100</t>
  </si>
  <si>
    <t>HEX-HATCH-R-100-G</t>
  </si>
  <si>
    <t>HEX-HEW-R-100</t>
  </si>
  <si>
    <t>shaft</t>
    <phoneticPr fontId="4" type="noConversion"/>
  </si>
  <si>
    <t>HEX-HULL-L-085</t>
  </si>
  <si>
    <t>HEX-HULL-L-085-G</t>
  </si>
  <si>
    <t>HEX-HULL-L-100</t>
  </si>
  <si>
    <t>HEX-HULL-R-085</t>
  </si>
  <si>
    <t>HEX-HULL-R-085-G</t>
  </si>
  <si>
    <t>HEX-HULL-R-100</t>
  </si>
  <si>
    <t>HEX-HULL-R-100-G</t>
  </si>
  <si>
    <t>HEX-NEW-L-085</t>
  </si>
  <si>
    <t>HEX-NEW-L-085-G</t>
  </si>
  <si>
    <t>HEX-NEW-L-100</t>
  </si>
  <si>
    <t>HEX-NEW-L-100-G</t>
  </si>
  <si>
    <t>HEX-NEW-R-085</t>
  </si>
  <si>
    <t>HEX-NEW-R-085-G</t>
  </si>
  <si>
    <t>HEX-NEW-R-100</t>
  </si>
  <si>
    <t>HEX-NEW-R-100-G</t>
  </si>
  <si>
    <t>MGUCMTIA-40</t>
  </si>
  <si>
    <t>65-73</t>
  </si>
  <si>
    <t>MGUCMTIL-40</t>
  </si>
  <si>
    <t>75－83</t>
  </si>
  <si>
    <t>MGUCMTIR-40</t>
  </si>
  <si>
    <t>66-74</t>
  </si>
  <si>
    <t>MGUCMTIS-40</t>
  </si>
  <si>
    <t>PG11-P06-34</t>
  </si>
  <si>
    <t>84-90</t>
  </si>
  <si>
    <t>PG11-P07-34</t>
  </si>
  <si>
    <t>PG11-P08-34</t>
  </si>
  <si>
    <t>SHR-FF3-10052P</t>
  </si>
  <si>
    <t>316-326</t>
  </si>
  <si>
    <t>SHR-FF3-11052P</t>
  </si>
  <si>
    <t>SHR-FF3-12052P</t>
  </si>
  <si>
    <t>305-315</t>
  </si>
  <si>
    <t>SHR-TF-08552</t>
  </si>
  <si>
    <t>318-332</t>
  </si>
  <si>
    <t>UBLUPNT635WR-46</t>
  </si>
  <si>
    <t>UBLUPNT635WS-46</t>
  </si>
  <si>
    <t>UBLUPNT635WX-46</t>
  </si>
  <si>
    <t>ULAUNCH145TS</t>
  </si>
  <si>
    <t>ULAUNCHHY35WS-41</t>
  </si>
  <si>
    <t>79－85</t>
  </si>
  <si>
    <t>ULAUNCHHY35WX-41</t>
  </si>
  <si>
    <t>81-88</t>
  </si>
  <si>
    <t>ULAUNCHSEJW-40</t>
  </si>
  <si>
    <t>UPRLT3833WL-45</t>
  </si>
  <si>
    <t>UPRLT3833WR-45</t>
  </si>
  <si>
    <t>UPRLT3833WS-45</t>
  </si>
  <si>
    <t>UPRLTMX2P33WR-46</t>
  </si>
  <si>
    <t>UPRLTMX2P33WS-46</t>
  </si>
  <si>
    <t>UPRLTMX33WR-46</t>
  </si>
  <si>
    <t>UPRLTMX33WS-46</t>
  </si>
  <si>
    <t>USP33LWS-46</t>
  </si>
  <si>
    <t>BLU85IS-365</t>
  </si>
  <si>
    <t>BLU85IS-37</t>
  </si>
  <si>
    <t>BLU85IS-395</t>
  </si>
  <si>
    <t>BLU85IS-40</t>
  </si>
  <si>
    <t>BLU85IX-365</t>
  </si>
  <si>
    <t>BLU85IX-37</t>
  </si>
  <si>
    <t>BLU85IX-375</t>
  </si>
  <si>
    <t>BLU85IX-38</t>
  </si>
  <si>
    <t>BLU85IX-385</t>
  </si>
  <si>
    <t>BLU85IX-39</t>
  </si>
  <si>
    <t>BLU85IX-395</t>
  </si>
  <si>
    <t>HEX-ELIAS-L-050</t>
  </si>
  <si>
    <t>232-248</t>
  </si>
  <si>
    <t>HEX-ELIAS-R-050</t>
  </si>
  <si>
    <t>HEX-HATCH-L-050</t>
  </si>
  <si>
    <t>HEX-HATCH-R-050</t>
  </si>
  <si>
    <t>SHR-FF3-09052P</t>
  </si>
  <si>
    <t>310-320</t>
  </si>
  <si>
    <t>TAQEL-1125-ST-OX-70044</t>
  </si>
  <si>
    <t>fork1</t>
    <phoneticPr fontId="4" type="noConversion"/>
  </si>
  <si>
    <t>89*14*9</t>
    <phoneticPr fontId="4" type="noConversion"/>
  </si>
  <si>
    <t>450g</t>
  </si>
  <si>
    <t>TAQEX-1125-ST-CB-70044</t>
  </si>
  <si>
    <t>fork</t>
    <phoneticPr fontId="4" type="noConversion"/>
  </si>
  <si>
    <t>430g</t>
  </si>
  <si>
    <t>ULAUNCH145TS-46</t>
  </si>
  <si>
    <t>93-99</t>
  </si>
  <si>
    <t>ULAUNCHSEJI-37</t>
  </si>
  <si>
    <t>UMK33FWX2-44</t>
  </si>
  <si>
    <t>80-88</t>
  </si>
  <si>
    <t>UPRLTMX2P33WC-46</t>
  </si>
  <si>
    <t>UPTM2TWA-46</t>
  </si>
  <si>
    <t>UPTM2TWR-46</t>
  </si>
  <si>
    <t>BAL-ULTRA-08052</t>
  </si>
  <si>
    <t>BAL-ULTRA-09052</t>
  </si>
  <si>
    <t>BAL-ULTRA-10052</t>
  </si>
  <si>
    <t>BAL-ULTRA-11052</t>
  </si>
  <si>
    <t>BLU85IS-405</t>
  </si>
  <si>
    <t>BLU85IX-405</t>
  </si>
  <si>
    <t>HEX-ELIAS-L-075</t>
  </si>
  <si>
    <t>268-282</t>
  </si>
  <si>
    <t>HEX-ELIAS-R-075</t>
  </si>
  <si>
    <t>HEX-HATCH-L-075</t>
  </si>
  <si>
    <t>HEX-HATCH-R-075</t>
  </si>
  <si>
    <t>HEX-HULL-L-050</t>
  </si>
  <si>
    <t>HEX-HULL-L-075</t>
  </si>
  <si>
    <t>HEX-HULL-R-050</t>
  </si>
  <si>
    <t>HEX-HULL-R-075</t>
  </si>
  <si>
    <t>SHR-CBY-11048P</t>
  </si>
  <si>
    <t>291-301</t>
  </si>
  <si>
    <t>UPTM2TWS-46</t>
  </si>
  <si>
    <t>BLU85IR-405</t>
  </si>
  <si>
    <t>TAQA-1125-ST-CB-70043</t>
  </si>
  <si>
    <t>480g</t>
  </si>
  <si>
    <t>TAQS3-1125-ST-CB-70044</t>
  </si>
  <si>
    <t>370g</t>
  </si>
  <si>
    <t>TAQZ-1125-ST-CB-70041</t>
  </si>
  <si>
    <t>waiting</t>
  </si>
  <si>
    <t>UAGT75WR-45</t>
  </si>
  <si>
    <t>ULAUNCH145MTR-46</t>
  </si>
  <si>
    <t>UW430PFR-44</t>
    <phoneticPr fontId="4" type="noConversion"/>
  </si>
  <si>
    <t>UAGT75WS-45</t>
  </si>
  <si>
    <t>UW430PFA-44</t>
  </si>
  <si>
    <t>AQTB1000-30</t>
  </si>
  <si>
    <t>steer tube</t>
    <phoneticPr fontId="4" type="noConversion"/>
  </si>
  <si>
    <t>AQTB1125-30</t>
  </si>
  <si>
    <t>AQTB1125-TAN</t>
  </si>
  <si>
    <t>CCM-VS-09052</t>
  </si>
  <si>
    <t>HEX-HULL-L-100-G</t>
  </si>
  <si>
    <t>TAQZ-1125-ST-CB-70044</t>
  </si>
  <si>
    <t>UBLUPNTHY33WR-44</t>
  </si>
  <si>
    <t>UBLUPNTHY33WS-44</t>
  </si>
  <si>
    <t>ULAUNCHADWS-46</t>
  </si>
  <si>
    <t>UWFS4WR-47</t>
  </si>
  <si>
    <t>BAL-SQGL-09052</t>
  </si>
  <si>
    <t>325-335</t>
  </si>
  <si>
    <t>BAL-SQGL-10052</t>
  </si>
  <si>
    <t>331-341</t>
  </si>
  <si>
    <t>BAL-SQRB-09052</t>
  </si>
  <si>
    <t>BAL-SQRB-10052</t>
  </si>
  <si>
    <t>BAL-SQRB-11052</t>
  </si>
  <si>
    <t>TAQ-1125-ST-CB-70041</t>
  </si>
  <si>
    <t>TAQ-1125-ST-CB-70044</t>
  </si>
  <si>
    <t>TAQ-PLSP-250</t>
  </si>
  <si>
    <t>Seat Post</t>
    <phoneticPr fontId="4" type="noConversion"/>
  </si>
  <si>
    <t>130 ± 5g</t>
  </si>
  <si>
    <t>TAQ-PLSP-350</t>
  </si>
  <si>
    <t>160 ± 5g</t>
  </si>
  <si>
    <t>TAQS3-100-ST-CB-70044</t>
  </si>
  <si>
    <t>TAQS3-1125-ST-CB-7004</t>
  </si>
  <si>
    <t>TAQS3-1125-ST-CB-70041</t>
  </si>
  <si>
    <t>ULAUNCHADWR-46</t>
  </si>
  <si>
    <t>AQTB1125-TANZ</t>
  </si>
  <si>
    <t>UDA05GWC-48</t>
  </si>
  <si>
    <t>TAQ-100-ST-CB-70044</t>
  </si>
  <si>
    <t>TAQ-1125-TN-CB-70041</t>
  </si>
  <si>
    <t>TAQ-1125-TN-CB-70044</t>
  </si>
  <si>
    <t>TAQEX-100-ST-CB-70044</t>
  </si>
  <si>
    <t>375g</t>
  </si>
  <si>
    <t>TAQS3-100-ST-CB-70044-UP</t>
  </si>
  <si>
    <t>77*52*32</t>
    <phoneticPr fontId="4" type="noConversion"/>
  </si>
  <si>
    <t>UDA05GIC-43</t>
  </si>
  <si>
    <t>BAL-SQGL-08052</t>
  </si>
  <si>
    <t>BAL-SQGL-11052</t>
  </si>
  <si>
    <t>TAQA-1125-ST-CB-70043-GL</t>
  </si>
  <si>
    <t>UBLUPNTHY33WX-44</t>
  </si>
  <si>
    <t>ULAUNCH145MTS-46</t>
  </si>
  <si>
    <t>TFC100IR-10-355</t>
  </si>
  <si>
    <t>105*25*11</t>
    <phoneticPr fontId="4" type="noConversion"/>
  </si>
  <si>
    <t>71.5-77.5</t>
  </si>
  <si>
    <t>TFC100IR-1-40</t>
  </si>
  <si>
    <t>81.2-87.2</t>
  </si>
  <si>
    <t>TFC100IR-2-395</t>
  </si>
  <si>
    <t>79.2-85.2</t>
  </si>
  <si>
    <t>TFC100IR-3-39</t>
  </si>
  <si>
    <t>79.1-85.1</t>
  </si>
  <si>
    <t>TFC100IR-4-385</t>
  </si>
  <si>
    <t>79.9-85.9</t>
  </si>
  <si>
    <t>TFC100IR-5-38</t>
  </si>
  <si>
    <t>TFC100IR-6-375</t>
  </si>
  <si>
    <t>75.3-81.3</t>
  </si>
  <si>
    <t>TFC100IR-7-37</t>
  </si>
  <si>
    <t>75.6-81.6</t>
  </si>
  <si>
    <t>TFC100IR-8-365</t>
  </si>
  <si>
    <t>73.2-79.2</t>
  </si>
  <si>
    <t>TFC100IR-9-36</t>
  </si>
  <si>
    <t>72.1-78.1</t>
  </si>
  <si>
    <t>TFC100IS-10-355</t>
  </si>
  <si>
    <t>TFC100IS-1-40</t>
  </si>
  <si>
    <t>90.1-96.1</t>
  </si>
  <si>
    <t>TFC100IS-2-395</t>
  </si>
  <si>
    <t>88.4-94.4</t>
  </si>
  <si>
    <t>TFC100IS-3-39</t>
  </si>
  <si>
    <t>87.5-93.5</t>
  </si>
  <si>
    <t>TFC100IS-4-385</t>
  </si>
  <si>
    <t>87.4-93.4</t>
  </si>
  <si>
    <t>TFC100IS-5-38</t>
  </si>
  <si>
    <t>85.9-91.9</t>
  </si>
  <si>
    <t>TFC100IS-6-375</t>
  </si>
  <si>
    <t>84.6-90.6</t>
  </si>
  <si>
    <t>TFC100IS-7-37</t>
  </si>
  <si>
    <t>83.5-89.5</t>
  </si>
  <si>
    <t>TFC100IS-8-365</t>
  </si>
  <si>
    <t>83.3-89.3</t>
  </si>
  <si>
    <t>TFC100IS-9-36</t>
  </si>
  <si>
    <t>UWTP480DWR-47</t>
  </si>
  <si>
    <t>TFC100IA-1-40</t>
  </si>
  <si>
    <t>SHR-COMP-09563</t>
  </si>
  <si>
    <t>309-323</t>
  </si>
  <si>
    <t>TAQA-1125-ST-CB-70043-UP</t>
  </si>
  <si>
    <t>UWNANO2635DWR-46</t>
  </si>
  <si>
    <t>UWNANO2635DWS-46</t>
  </si>
  <si>
    <t>UWNANO2FW3R-44</t>
  </si>
  <si>
    <t>UWNANO2FW3S-44</t>
  </si>
  <si>
    <t>UWTP428FWR-45</t>
  </si>
  <si>
    <t>UWNANO2635DWA-46</t>
  </si>
  <si>
    <t>UWNANO2FW3A-44</t>
  </si>
  <si>
    <t>UWNANO2FW579A-43</t>
  </si>
  <si>
    <t>UWNANO2FW579R-43</t>
  </si>
  <si>
    <t>TAQ-1125-TN-CB-70044-UP</t>
  </si>
  <si>
    <t>TAQS3-1125-IH-ST-CB-70044</t>
  </si>
  <si>
    <t>380g</t>
  </si>
  <si>
    <t>UWNANO2635DWX-46</t>
  </si>
  <si>
    <t>UWNANO2FW3X-44</t>
  </si>
  <si>
    <t>PASS-TI-09051</t>
  </si>
  <si>
    <t>301-315</t>
  </si>
  <si>
    <t>PASS-TI-10051</t>
    <phoneticPr fontId="4" type="noConversion"/>
  </si>
  <si>
    <t>PASS-TI-11051</t>
  </si>
  <si>
    <t>316-330</t>
  </si>
  <si>
    <t>PASS-TI-12051</t>
  </si>
  <si>
    <t>314-328</t>
  </si>
  <si>
    <t>TAQ-1125-IH-ST-CB-70044</t>
  </si>
  <si>
    <t>435g</t>
  </si>
  <si>
    <t>UWFS3WR-F-44</t>
  </si>
  <si>
    <t>UWFS3WS-F-44</t>
  </si>
  <si>
    <t>AUPL-76-WR-46</t>
  </si>
  <si>
    <t>MGBGS3-45</t>
  </si>
  <si>
    <t>71-81</t>
  </si>
  <si>
    <t>TAQEX-1125-IH-ST-CB-70044</t>
  </si>
  <si>
    <t>UW430PDR-47</t>
  </si>
  <si>
    <t>UW430PDS-47</t>
  </si>
  <si>
    <t>65-72</t>
  </si>
  <si>
    <t>UWFS3WA-47</t>
  </si>
  <si>
    <t>UWFS4WR-47-NC</t>
  </si>
  <si>
    <t>UWFS4WS-47</t>
  </si>
  <si>
    <t>UWNANO2FW579S-43</t>
  </si>
  <si>
    <t>UWNANO2FW579X-43</t>
  </si>
  <si>
    <t>UNZ633WR-46</t>
  </si>
  <si>
    <t>UNZ633WS-46</t>
  </si>
  <si>
    <t>UNZ633WX-46</t>
  </si>
  <si>
    <t>75-91</t>
  </si>
  <si>
    <t>UWFS4WS-47-NC</t>
  </si>
  <si>
    <t>UWFS3WS-47</t>
  </si>
  <si>
    <t>UTEJMQL33WL-46</t>
  </si>
  <si>
    <t>UTEJMQL33WR-46</t>
  </si>
  <si>
    <t>UTEJMQL33WS-46</t>
  </si>
  <si>
    <t>UADA2OSHYIR-42</t>
  </si>
  <si>
    <t>111*29*10</t>
    <phoneticPr fontId="4" type="noConversion"/>
  </si>
  <si>
    <t>UADA2OSHYIS-42</t>
  </si>
  <si>
    <t>UADA2OSIR-41</t>
  </si>
  <si>
    <t>UADA2OSIS-41</t>
  </si>
  <si>
    <t>UADA2OSIW-405</t>
  </si>
  <si>
    <t>UTEJMQL33WA-46</t>
  </si>
  <si>
    <t>UTEJMQL33WX-46</t>
  </si>
  <si>
    <t>UWFS3WR-47</t>
  </si>
  <si>
    <t>SHR-MOM-S03L</t>
  </si>
  <si>
    <t>blade</t>
  </si>
  <si>
    <t>45*26*8</t>
  </si>
  <si>
    <t>145-155</t>
  </si>
  <si>
    <t>SHR-MOM-S03R</t>
  </si>
  <si>
    <t>SHR-MOM-S04L</t>
  </si>
  <si>
    <t>SHR-MOM-S04R</t>
  </si>
  <si>
    <t>SHR-MOM-S07L</t>
  </si>
  <si>
    <t>SHR-MOM-S07R</t>
  </si>
  <si>
    <t>ULAUNCHMDWR-46</t>
  </si>
  <si>
    <t>ULAUNCHMDWS-46</t>
  </si>
  <si>
    <t>UMDPL65WR-46</t>
  </si>
  <si>
    <t>UMDPL65WS-46</t>
  </si>
  <si>
    <t>UPRLTWR-46-MD</t>
  </si>
  <si>
    <t>UPRLTWS-46-MD</t>
  </si>
  <si>
    <t>SHR-MOM-S05L</t>
  </si>
  <si>
    <t>SHR-MOM-S05R</t>
  </si>
  <si>
    <t>ULAUNCHHYMDIR-41</t>
  </si>
  <si>
    <t>ULAUNCHHYMDIS-41</t>
  </si>
  <si>
    <t>85-91</t>
  </si>
  <si>
    <t>QTS20-8-743</t>
  </si>
  <si>
    <t>483g</t>
  </si>
  <si>
    <t>SHR-MOM-S06L</t>
  </si>
  <si>
    <t>SHR-MOM-S06R</t>
  </si>
  <si>
    <t>BAL-ULTRA-S03L-M-UP</t>
  </si>
  <si>
    <t>72*52*32</t>
    <phoneticPr fontId="4" type="noConversion"/>
  </si>
  <si>
    <t>BAL-ULTRA-S03R-M-UP</t>
  </si>
  <si>
    <t>BAL-ULTRA-S05L-M-UP</t>
    <phoneticPr fontId="4" type="noConversion"/>
  </si>
  <si>
    <t>150-160</t>
  </si>
  <si>
    <t>BAL-ULTRA-S05R-M-UP</t>
  </si>
  <si>
    <t>BAL-ULTRA-S06L-H-08060</t>
  </si>
  <si>
    <t>hockey</t>
  </si>
  <si>
    <t>BAL-ULTRA-S06L-M-UP</t>
  </si>
  <si>
    <t>BAL-ULTRA-S06R-H-08060</t>
  </si>
  <si>
    <t>BAL-ULTRA-S06R-M-UP</t>
  </si>
  <si>
    <t>ULAUNCHHYMDIL-41</t>
  </si>
  <si>
    <t>ULAUNCH833WS-46</t>
  </si>
  <si>
    <t>HEX-ELIAS-L-050-G</t>
  </si>
  <si>
    <t>HEX-ELIAS-L-075-G</t>
  </si>
  <si>
    <t>HEX-HULL-L-050-G</t>
  </si>
  <si>
    <t>TTS-STDSQ-08548P</t>
  </si>
  <si>
    <t>281-291</t>
  </si>
  <si>
    <t>TTS-STDSQ-10048P</t>
  </si>
  <si>
    <t>TTS-STDSQ-11048P</t>
  </si>
  <si>
    <t>TTS-STDSQ-12048P</t>
  </si>
  <si>
    <t>TTS-STDSQ-14048P</t>
  </si>
  <si>
    <t>296-306</t>
  </si>
  <si>
    <t>BAL-ULTRA-S03L-H-08060</t>
  </si>
  <si>
    <t>BAL-ULTRA-S03R-H-08060</t>
  </si>
  <si>
    <t>BAL-ULTRA-S06L-H-09060</t>
  </si>
  <si>
    <t>BAL-ULTRA-S06R-H-09060</t>
  </si>
  <si>
    <t>BAL-ULTRA-S03R-H-09060</t>
  </si>
  <si>
    <t>BAL-ULTRA-S05L-H-08060</t>
  </si>
  <si>
    <t>BAL-ULTRA-S05R-H-08060</t>
  </si>
  <si>
    <t>BAL-ULTRA-S03L-H-09060</t>
  </si>
  <si>
    <t>BAL-ULTRA-S03L-H-10060</t>
  </si>
  <si>
    <t>BAL-ULTRA-S03L-H-11060</t>
  </si>
  <si>
    <t>BAL-ULTRA-S03L-M-08060</t>
  </si>
  <si>
    <t>BAL-ULTRA-S03L-M-09060</t>
  </si>
  <si>
    <t>BAL-ULTRA-S03L-M-10060</t>
  </si>
  <si>
    <t>BAL-ULTRA-S03L-M-11060</t>
  </si>
  <si>
    <t>BAL-ULTRA-S03R-H-10060</t>
  </si>
  <si>
    <t>BAL-ULTRA-S03R-H-11060</t>
  </si>
  <si>
    <t>BAL-ULTRA-S03R-M-08060</t>
  </si>
  <si>
    <t>BAL-ULTRA-S03R-M-09060</t>
  </si>
  <si>
    <t>BAL-ULTRA-S03R-M-10060</t>
  </si>
  <si>
    <t>BAL-ULTRA-S03R-M-11060</t>
  </si>
  <si>
    <t>BAL-ULTRA-S05L-H-09060</t>
  </si>
  <si>
    <t>BAL-ULTRA-S05L-H-10060</t>
  </si>
  <si>
    <t>BAL-ULTRA-S05L-H-11060</t>
  </si>
  <si>
    <t>BAL-ULTRA-S05L-M-08060</t>
  </si>
  <si>
    <t>BAL-ULTRA-S05L-M-09060</t>
  </si>
  <si>
    <t>BAL-ULTRA-S05L-M-10060</t>
  </si>
  <si>
    <t>BAL-ULTRA-S05L-M-11060</t>
  </si>
  <si>
    <t>BAL-ULTRA-S05R-H-09060</t>
  </si>
  <si>
    <t>BAL-ULTRA-S05R-H-10060</t>
  </si>
  <si>
    <t>BAL-ULTRA-S05R-H-11060</t>
  </si>
  <si>
    <t>BAL-ULTRA-S05R-M-08060</t>
  </si>
  <si>
    <t>BAL-ULTRA-S05R-M-09060</t>
  </si>
  <si>
    <t>BAL-ULTRA-S05R-M-10060</t>
  </si>
  <si>
    <t>BAL-ULTRA-S05R-M-11060</t>
  </si>
  <si>
    <t>BAL-ULTRA-S06L-H-10060</t>
  </si>
  <si>
    <t>BAL-ULTRA-S06L-H-11060</t>
  </si>
  <si>
    <t>BAL-ULTRA-S06L-M-08060</t>
  </si>
  <si>
    <t>BAL-ULTRA-S06L-M-09060</t>
  </si>
  <si>
    <t>BAL-ULTRA-S06L-M-10060</t>
  </si>
  <si>
    <t>BAL-ULTRA-S06L-M-11060</t>
  </si>
  <si>
    <t>BAL-ULTRA-S06R-H-10060</t>
  </si>
  <si>
    <t>BAL-ULTRA-S06R-H-11060</t>
  </si>
  <si>
    <t>BAL-ULTRA-S06R-M-08060</t>
  </si>
  <si>
    <t>BAL-ULTRA-S06R-M-09060</t>
  </si>
  <si>
    <t>BAL-ULTRA-S06R-M-10060</t>
  </si>
  <si>
    <t>BAL-ULTRA-S06R-M-11060</t>
  </si>
  <si>
    <t>BAL-ULTRA-SO3R-H-10060</t>
  </si>
  <si>
    <t>hockey</t>
    <phoneticPr fontId="4" type="noConversion"/>
  </si>
  <si>
    <t>BAL-ULTRA-SO6L-H-10060</t>
  </si>
  <si>
    <t>SHR-XD-10552P</t>
  </si>
  <si>
    <t>UBLUPNT835WR-46</t>
  </si>
  <si>
    <t>UPMP65WR-46</t>
  </si>
  <si>
    <t>UPMP65WS-46</t>
  </si>
  <si>
    <t>UPMTWS-46</t>
  </si>
  <si>
    <t>UPMTWX-46</t>
  </si>
  <si>
    <t>UPMXD60WR-46</t>
  </si>
  <si>
    <t>UPMXD60WS-46</t>
  </si>
  <si>
    <t>QZ-8-744</t>
  </si>
  <si>
    <t>535g</t>
  </si>
  <si>
    <t>SHR-XD-08552P</t>
  </si>
  <si>
    <t>SHR-XD-09552P</t>
  </si>
  <si>
    <t>BAL-ULTRA-S03L-M</t>
  </si>
  <si>
    <t>BAL-ULTRA-S03R-M</t>
  </si>
  <si>
    <t>BAL-ULTRA-S05L-M</t>
  </si>
  <si>
    <t>BAL-ULTRA-S05R-M</t>
  </si>
  <si>
    <t>BAL-ULTRA-S06L-M</t>
  </si>
  <si>
    <t>BAL-ULTRA-S06R-M</t>
  </si>
  <si>
    <t>QCOMPS10-8-744</t>
  </si>
  <si>
    <t>515g</t>
  </si>
  <si>
    <t>QGS10-8H-744</t>
  </si>
  <si>
    <t>382g</t>
  </si>
  <si>
    <t>RHN-EVO-S03L-H-10060-SB</t>
  </si>
  <si>
    <t>RHN-EVO-S03L-M</t>
  </si>
  <si>
    <t>RHN-EVO-S03L-M-10060-BY</t>
  </si>
  <si>
    <t>RHN-EVO-S03R-M-10060-BY</t>
  </si>
  <si>
    <t>RHN-EVO-S03R-M-10060-WB</t>
  </si>
  <si>
    <t>RHN-EVO-S07L-H-10060-SB</t>
  </si>
  <si>
    <t>RHN-EVO-S07L-M-10060-WB</t>
  </si>
  <si>
    <t>RHN-EVO-S07R-M-10060-WB</t>
  </si>
  <si>
    <t>SHR-COMP-10563</t>
  </si>
  <si>
    <t>BAL-ULTRA-S03L-H</t>
  </si>
  <si>
    <t>133-143</t>
  </si>
  <si>
    <t>BAL-ULTRA-S03R-H</t>
  </si>
  <si>
    <t>BAL-ULTRA-S05L-H</t>
  </si>
  <si>
    <t>137-147</t>
  </si>
  <si>
    <t>BAL-ULTRA-S05R-H</t>
  </si>
  <si>
    <t>BAL-ULTRA-S06L-H</t>
  </si>
  <si>
    <t>135-145</t>
  </si>
  <si>
    <t>BAL-ULTRA-S06R-H</t>
  </si>
  <si>
    <t>QCOMPS20-8H-744-KHS</t>
  </si>
  <si>
    <t>433g</t>
  </si>
  <si>
    <t>RHN-EVO-S03L-M-10060</t>
  </si>
  <si>
    <t>RHN-EVO-S03L-M-10060-WB</t>
  </si>
  <si>
    <t>RHN-EVO-S03R-M</t>
  </si>
  <si>
    <t>RHN-EVO-S03R-M-10060</t>
  </si>
  <si>
    <t>RHN-EVO-S05L-H-10060-SB</t>
  </si>
  <si>
    <t>RHN-EVO-S05L-M</t>
  </si>
  <si>
    <t>RHN-EVO-S05L-M-10060</t>
  </si>
  <si>
    <t>RHN-EVO-S05L-M-10060-WB</t>
  </si>
  <si>
    <t>RHN-EVO-S05R-M</t>
  </si>
  <si>
    <t>RHN-EVO-S05R-M-10060</t>
  </si>
  <si>
    <t>RHN-EVO-S06L-H-10060-SB</t>
  </si>
  <si>
    <t>RHN-EVO-S06L-M</t>
  </si>
  <si>
    <t>RHN-EVO-S06L-M-10060</t>
  </si>
  <si>
    <t>RHN-EVO-S06L-M-10060-BY</t>
  </si>
  <si>
    <t>RHN-EVO-S06L-M-10060-WB</t>
  </si>
  <si>
    <t>RHN-EVO-S06R-M</t>
  </si>
  <si>
    <t>RHN-EVO-S06R-M-10060</t>
  </si>
  <si>
    <t>RHN-EVO-S06R-M-10060-BY</t>
  </si>
  <si>
    <t>RHN-EVO-S06R-M-10060-WB</t>
  </si>
  <si>
    <t>RHN-EVO-S07L-M</t>
  </si>
  <si>
    <t>RHN-EVO-S07L-M-10060</t>
  </si>
  <si>
    <t>RHN-EVO-S07R-M</t>
  </si>
  <si>
    <t>RHN-EVO-S07R-M-10060</t>
  </si>
  <si>
    <t>UBLUCNOTEIX-41</t>
  </si>
  <si>
    <t>105-111</t>
  </si>
  <si>
    <t>UPRLTWL-46-MD</t>
  </si>
  <si>
    <t>AQTB1125LT-26</t>
    <phoneticPr fontId="4" type="noConversion"/>
  </si>
  <si>
    <t>QCOMPS10-8H-744</t>
  </si>
  <si>
    <t>525g</t>
  </si>
  <si>
    <t>RHN-EVO-S03R-H-10060-SB</t>
  </si>
  <si>
    <t>SHR-MOM-S07L-M</t>
  </si>
  <si>
    <t>QCOMPS20-1-744</t>
  </si>
  <si>
    <t>385g</t>
  </si>
  <si>
    <t>QCOMPS20-8-744</t>
  </si>
  <si>
    <t>423g</t>
  </si>
  <si>
    <t>RHN-EVO-H-SF-10060</t>
  </si>
  <si>
    <t>RHN-EVO-M-SF-10060</t>
  </si>
  <si>
    <t>RHN-EVO-M-SF-10060-BY</t>
  </si>
  <si>
    <t>QGS10-8-744</t>
  </si>
  <si>
    <t>367g</t>
  </si>
  <si>
    <t>QWOLFSL-8-743</t>
  </si>
  <si>
    <t>355g</t>
  </si>
  <si>
    <t>QGS10-1-744</t>
  </si>
  <si>
    <t>352g</t>
  </si>
  <si>
    <t>UBRX35DA-46</t>
  </si>
  <si>
    <t>UBRX35DR-46</t>
  </si>
  <si>
    <t>UBRX35DS-46</t>
  </si>
  <si>
    <t>UBRX35DX-46</t>
  </si>
  <si>
    <t>UBRX35FA-44</t>
  </si>
  <si>
    <t>UBRX35FR-44</t>
  </si>
  <si>
    <t>UBRX35FS-44</t>
  </si>
  <si>
    <t>UBRX35FX-44</t>
  </si>
  <si>
    <t>UBRX848DR-46</t>
  </si>
  <si>
    <t>UBRX848DS-46</t>
  </si>
  <si>
    <t>UBRXDA-46</t>
  </si>
  <si>
    <t>UBRXDS-46</t>
  </si>
  <si>
    <t>UBRXDX-46</t>
  </si>
  <si>
    <t>UBRXFA-44</t>
  </si>
  <si>
    <t>UBRXFX-44</t>
  </si>
  <si>
    <t>UBRXFX-46</t>
  </si>
  <si>
    <t>UPCCLUB35IR-42</t>
  </si>
  <si>
    <t>QZ-8-741</t>
  </si>
  <si>
    <t>UBLUPROTOJDWX-46</t>
  </si>
  <si>
    <t>QGS10-8-741</t>
  </si>
  <si>
    <t>QGS10-1-741</t>
  </si>
  <si>
    <t>SHR-MOM-095</t>
  </si>
  <si>
    <t>SHR-MOM-105</t>
  </si>
  <si>
    <t>307-321</t>
  </si>
  <si>
    <t>UPNSKRULIL-40</t>
  </si>
  <si>
    <t>QCOMPS20-8H-744</t>
  </si>
  <si>
    <t>UBLUPNT835WS-46</t>
  </si>
  <si>
    <t>UBLUPNT835WX-46</t>
  </si>
  <si>
    <t>86-92</t>
  </si>
  <si>
    <t>CCM-V10-TT-4056</t>
  </si>
  <si>
    <t>CCM-V8.9-TT-4056</t>
  </si>
  <si>
    <t>350-360</t>
  </si>
  <si>
    <t>QX2-8-741</t>
  </si>
  <si>
    <t>383g</t>
  </si>
  <si>
    <t>QX2-8-744</t>
  </si>
  <si>
    <t>SHR-MOM-085</t>
  </si>
  <si>
    <t>302-316</t>
  </si>
  <si>
    <t>BAL-SQ-08054-UP</t>
  </si>
  <si>
    <t>BAL-SQ-09054-UP</t>
  </si>
  <si>
    <t>CCM-V8-TT-4056</t>
  </si>
  <si>
    <t>QCOMPS20-8-741</t>
  </si>
  <si>
    <t>QCX-1-747</t>
  </si>
  <si>
    <t>510g</t>
  </si>
  <si>
    <t>UPGF33WR-45</t>
  </si>
  <si>
    <t>UPGF33WS-45</t>
  </si>
  <si>
    <t>SHR-MOM-S13R</t>
  </si>
  <si>
    <t>UBRX35DXX-46</t>
  </si>
  <si>
    <t>UBRX35FXX-44</t>
  </si>
  <si>
    <t>UBRXDR-46</t>
  </si>
  <si>
    <t>UBRXDXX-46</t>
  </si>
  <si>
    <t>UBRXFR-44</t>
  </si>
  <si>
    <t>UBRXFS-44</t>
  </si>
  <si>
    <t>UBRXFXX-44</t>
  </si>
  <si>
    <t>QWOLFCL-8-743</t>
  </si>
  <si>
    <t>UBRXDA-44</t>
  </si>
  <si>
    <t>USLAL33WR-45</t>
  </si>
  <si>
    <t>USLAL33WS-45</t>
  </si>
  <si>
    <t>USLAL37IR-40</t>
  </si>
  <si>
    <t>ULAUNCH6SEWR-46</t>
  </si>
  <si>
    <t>ULAUNCH6SEWS-46</t>
  </si>
  <si>
    <t>UPRLTRAM33WR-45</t>
  </si>
  <si>
    <t>QGS30-8-744</t>
  </si>
  <si>
    <t>322g</t>
  </si>
  <si>
    <t>UMGLL733WR-46</t>
  </si>
  <si>
    <t>ULAUNCHADFWR-44</t>
  </si>
  <si>
    <t>UPRLTRAM33WS-45</t>
  </si>
  <si>
    <t>UPRLTRAM33WL-45</t>
  </si>
  <si>
    <t>SHR-FF3-09052P-1</t>
  </si>
  <si>
    <t>SHR-TF-09552P-1</t>
  </si>
  <si>
    <t>ULAUNCHADFWS-44</t>
  </si>
  <si>
    <t>UMGMC60WR-45</t>
  </si>
  <si>
    <t>UMGMC60WS-45</t>
  </si>
  <si>
    <t>UMGMC60WA-45</t>
  </si>
  <si>
    <t>UMGMC60WL-45</t>
  </si>
  <si>
    <t>UPRLTPS35WR-46</t>
  </si>
  <si>
    <t>USKMXHYLIL-43</t>
  </si>
  <si>
    <t>UPRLTPS35WS-46</t>
  </si>
  <si>
    <t>USKMXPRLIL-43</t>
  </si>
  <si>
    <t>CCM-VS-10052</t>
  </si>
  <si>
    <t>USKMXPRLWL-48</t>
  </si>
  <si>
    <t>ULAUNCH833WX-46</t>
  </si>
  <si>
    <t>CCM-V8-SC-4554</t>
  </si>
  <si>
    <t>317-327</t>
  </si>
  <si>
    <t>CCM-V8-TC-4556</t>
    <phoneticPr fontId="4" type="noConversion"/>
  </si>
  <si>
    <t>332-342</t>
  </si>
  <si>
    <t>CCM-V8-TC-5056</t>
  </si>
  <si>
    <t>CCM-V10-TC-4556</t>
  </si>
  <si>
    <t>shaft</t>
  </si>
  <si>
    <t>145*29*16</t>
  </si>
  <si>
    <t>302-312</t>
  </si>
  <si>
    <t>CCM-V10-TC-5056</t>
  </si>
  <si>
    <t>BAL-ULTRA-S07L-H</t>
  </si>
  <si>
    <t>blade</t>
    <phoneticPr fontId="4" type="noConversion"/>
  </si>
  <si>
    <t>BAL-ULTRA-S07R-H</t>
  </si>
  <si>
    <t>UWBLUPNT635DWR-46</t>
    <phoneticPr fontId="4" type="noConversion"/>
  </si>
  <si>
    <t>SHR-MOM-S13L</t>
  </si>
  <si>
    <t>CCM-V8-SC-4054</t>
  </si>
  <si>
    <t>SHR-FF3-10052P-1</t>
  </si>
  <si>
    <t>SHR-FF3-12052P-1</t>
  </si>
  <si>
    <t>SHR-TF-10552P-1</t>
  </si>
  <si>
    <t>SHR-TF-08552P-1</t>
  </si>
  <si>
    <t>UWBLUPNT635DWA-46</t>
  </si>
  <si>
    <t>WWPLWX-46</t>
  </si>
  <si>
    <t>USKMXHYLIS-43</t>
  </si>
  <si>
    <t>golf</t>
  </si>
  <si>
    <t>URAMIAL-43</t>
  </si>
  <si>
    <t>CCM-V8-SC-5054</t>
  </si>
  <si>
    <t>FRX-WHT-10052</t>
  </si>
  <si>
    <t>FRX-WHT-12052</t>
  </si>
  <si>
    <t>UNZ6SEIR-41</t>
  </si>
  <si>
    <t>UNZ6SEIS-41</t>
  </si>
  <si>
    <t>UNZ633SEWS-46</t>
  </si>
  <si>
    <t>UNZ633SEWR-46</t>
  </si>
  <si>
    <t>CCM-V8-SC-5554</t>
  </si>
  <si>
    <t>URAM33WAL-48</t>
  </si>
  <si>
    <t>UW430PFL-45</t>
  </si>
  <si>
    <t>URAMIRS-43</t>
  </si>
  <si>
    <t>UW430PDA-47</t>
  </si>
  <si>
    <t>USKMXPRLWS-48</t>
  </si>
  <si>
    <t>URAM33WRS-48</t>
  </si>
  <si>
    <t>USKMXPRLIS-43</t>
  </si>
  <si>
    <t>PASS-EVO-07054</t>
  </si>
  <si>
    <t>PASS-EVO-09054</t>
  </si>
  <si>
    <t>PASS-EVO-10054</t>
    <phoneticPr fontId="4" type="noConversion"/>
  </si>
  <si>
    <t>PASS-EVO-11054</t>
  </si>
  <si>
    <t>PASS-EVO-12054</t>
  </si>
  <si>
    <t>PASS-COMP-SF-09052</t>
  </si>
  <si>
    <t>PASS-COMP-SF-10052</t>
  </si>
  <si>
    <t>PASS-COMP-SF-11052</t>
  </si>
  <si>
    <t>PASS-COMP-SF-12052</t>
  </si>
  <si>
    <t>301-311</t>
  </si>
  <si>
    <t>UBLKIS-41</t>
  </si>
  <si>
    <t>无本步骤</t>
  </si>
  <si>
    <t>QCS10-8-744</t>
  </si>
  <si>
    <t>CCM-V8-SC-4054-NG</t>
    <phoneticPr fontId="4" type="noConversion"/>
  </si>
  <si>
    <t>CCM-V8-SC-4554-NG</t>
  </si>
  <si>
    <t>CCM-V8-SC-5054-NG</t>
  </si>
  <si>
    <t>CCM-V8-SC-5554-NG</t>
  </si>
  <si>
    <t>GSAL355IR-40-T</t>
  </si>
  <si>
    <t>GSAL355IS-40-T</t>
  </si>
  <si>
    <t>CCM-V8-TT-4556</t>
  </si>
  <si>
    <t>CCM-V8-TT-5056</t>
  </si>
  <si>
    <t>CCM-V8-TT-5556</t>
  </si>
  <si>
    <t>UWBLUPNT635DWS-46</t>
  </si>
  <si>
    <t>ULAUNCH635WR-46-WIL</t>
  </si>
  <si>
    <t>ULAUNCH635WS-46-WIL</t>
  </si>
  <si>
    <t>CCM-V8-ST-4054</t>
  </si>
  <si>
    <t>CCM-V8-ST-4554</t>
  </si>
  <si>
    <t>CCM-V8-ST-5054</t>
  </si>
  <si>
    <t>CCM-V8-ST-5554</t>
    <phoneticPr fontId="4" type="noConversion"/>
  </si>
  <si>
    <t>CCM-V8-TC-4056</t>
  </si>
  <si>
    <t>CCM-V8-TC-5556</t>
  </si>
  <si>
    <t>FRX-WHT-S03R-H</t>
    <phoneticPr fontId="4" type="noConversion"/>
  </si>
  <si>
    <t>FRX-WHT-S03L-H</t>
  </si>
  <si>
    <t>CCM-V10-ST-4554</t>
  </si>
  <si>
    <t>CCM-V10-TC-4056</t>
  </si>
  <si>
    <t>CCM-V8.9-ST-4554</t>
  </si>
  <si>
    <t>QGS20-8-743</t>
  </si>
  <si>
    <t>342g</t>
  </si>
  <si>
    <t>UTE33V25WR-46</t>
  </si>
  <si>
    <t>UTE33V25WS-46</t>
  </si>
  <si>
    <t>CCM-V8.9-ST-5054</t>
  </si>
  <si>
    <t>335-345</t>
  </si>
  <si>
    <t>SHR-TF-11552P-1</t>
  </si>
  <si>
    <t>CCM-V8.9-ST-5554</t>
    <phoneticPr fontId="4" type="noConversion"/>
  </si>
  <si>
    <t>UBLULD733W1X-50</t>
  </si>
  <si>
    <t>UBLULD733W2X-50</t>
  </si>
  <si>
    <t>SHR-MOM-S53L</t>
  </si>
  <si>
    <t>140-150</t>
  </si>
  <si>
    <t>SHR-MOM-S53R</t>
  </si>
  <si>
    <t>SHR-MOM-S56L</t>
  </si>
  <si>
    <t>SHR-MOM-S56R</t>
  </si>
  <si>
    <t>ULAUNCH535WA-46</t>
  </si>
  <si>
    <t>SHR-FF3-11052P-1</t>
  </si>
  <si>
    <t>CCM-V10-TT-4556</t>
  </si>
  <si>
    <t>CCM-V10-TC-5556</t>
  </si>
  <si>
    <t>309-319</t>
  </si>
  <si>
    <t>CCM-V10-TC-6056</t>
  </si>
  <si>
    <t>CCM-V8-SC-6054-NG</t>
  </si>
  <si>
    <t>QGS30-8H-744</t>
  </si>
  <si>
    <t>332g</t>
  </si>
  <si>
    <t>CCM-V10-TT-5056</t>
  </si>
  <si>
    <t>CCM-VS-12052</t>
  </si>
  <si>
    <t>CCM-V8-SC-3551</t>
  </si>
  <si>
    <t>300-310</t>
  </si>
  <si>
    <t>UTE33V25WA-46</t>
  </si>
  <si>
    <t>UTE33V25WX-46</t>
  </si>
  <si>
    <t>122*15*10</t>
  </si>
  <si>
    <t>CCM-VP-ST-5052-NG</t>
    <phoneticPr fontId="4" type="noConversion"/>
  </si>
  <si>
    <t xml:space="preserve"> 145*29*16</t>
    <phoneticPr fontId="4" type="noConversion"/>
  </si>
  <si>
    <t>SHR-TF-07544P-1</t>
  </si>
  <si>
    <t>240-250</t>
  </si>
  <si>
    <t>UPNSKRULIR-40</t>
    <phoneticPr fontId="4" type="noConversion"/>
  </si>
  <si>
    <t>UBLULD33-48-X</t>
    <phoneticPr fontId="4" type="noConversion"/>
  </si>
  <si>
    <t>CCM-V8.9-TT-5056</t>
    <phoneticPr fontId="4" type="noConversion"/>
  </si>
  <si>
    <t>CCM-V8.9-TT-5556</t>
    <phoneticPr fontId="4" type="noConversion"/>
  </si>
  <si>
    <t>CCM-V10-TT-5556</t>
    <phoneticPr fontId="4" type="noConversion"/>
  </si>
  <si>
    <t>CCM-V8.9-SC-4554</t>
    <phoneticPr fontId="4" type="noConversion"/>
  </si>
  <si>
    <t>CCM-V8-SC-6054</t>
    <phoneticPr fontId="4" type="noConversion"/>
  </si>
  <si>
    <t>CCM-V10-TT-6056</t>
  </si>
  <si>
    <t>UPRLTPS35WX-46</t>
    <phoneticPr fontId="4" type="noConversion"/>
  </si>
  <si>
    <t>CCM-V10-TC-3553</t>
  </si>
  <si>
    <t>275-285</t>
  </si>
  <si>
    <t>CCM-V8.9-SC-3551</t>
    <phoneticPr fontId="4" type="noConversion"/>
  </si>
  <si>
    <t>CCM-V8.9-SC-6054</t>
  </si>
  <si>
    <t>CCM-V8.9-ST-4054</t>
    <phoneticPr fontId="4" type="noConversion"/>
  </si>
  <si>
    <t>CCM-V8-TT-3553</t>
  </si>
  <si>
    <t>315-325</t>
  </si>
  <si>
    <t>SHR-MOM-S63R</t>
  </si>
  <si>
    <t>SHR-MOM-S63L</t>
  </si>
  <si>
    <t>CCM-V8.9-TT-4556</t>
  </si>
  <si>
    <t>CCM-V8.9-SC-5554</t>
  </si>
  <si>
    <t>CCM-V8-TT-6056</t>
  </si>
  <si>
    <t>CCM-V8-ST-6054</t>
  </si>
  <si>
    <t>UNKSF65WR-45</t>
  </si>
  <si>
    <t>UNKSF85WR-44</t>
  </si>
  <si>
    <t>72-80</t>
  </si>
  <si>
    <t>CCM-V8-TC-6056</t>
  </si>
  <si>
    <t>UNKSF85HI-41</t>
  </si>
  <si>
    <t>UNKSF85WS-44</t>
  </si>
  <si>
    <t>ULTOUR33WR-46-RED</t>
    <phoneticPr fontId="4" type="noConversion"/>
  </si>
  <si>
    <t>ULTOUR33WS-46-RED</t>
    <phoneticPr fontId="4" type="noConversion"/>
  </si>
  <si>
    <t>64－70</t>
  </si>
  <si>
    <t>ULTOUR33WR-46-BLUE</t>
    <phoneticPr fontId="4" type="noConversion"/>
  </si>
  <si>
    <t>ULTOUR33WS-46-BLUE</t>
    <phoneticPr fontId="4" type="noConversion"/>
  </si>
  <si>
    <t>UNKSF65WS-45</t>
    <phoneticPr fontId="4" type="noConversion"/>
  </si>
  <si>
    <t>CCM-V8.9-TC-4556</t>
    <phoneticPr fontId="4" type="noConversion"/>
  </si>
  <si>
    <t>ULAUNCHADFWX-44</t>
    <phoneticPr fontId="4" type="noConversion"/>
  </si>
  <si>
    <t>UPCSPOON35IR-42</t>
    <phoneticPr fontId="4" type="noConversion"/>
  </si>
  <si>
    <t>PASS-TI-07051</t>
    <phoneticPr fontId="4" type="noConversion"/>
  </si>
  <si>
    <t>CCM-V8.9-SC-4056</t>
    <phoneticPr fontId="4" type="noConversion"/>
  </si>
  <si>
    <t>CCM-V8.9-TC-6056</t>
    <phoneticPr fontId="4" type="noConversion"/>
  </si>
  <si>
    <t>CCM-V8.9-TT-6056</t>
    <phoneticPr fontId="4" type="noConversion"/>
  </si>
  <si>
    <t>ULAUNCHRM633WS-46</t>
    <phoneticPr fontId="4" type="noConversion"/>
  </si>
  <si>
    <t>ULAUNCHRM633WR-46</t>
    <phoneticPr fontId="4" type="noConversion"/>
  </si>
  <si>
    <t>ULAUNCH533WA-46</t>
    <phoneticPr fontId="4" type="noConversion"/>
  </si>
  <si>
    <t>51-57</t>
  </si>
  <si>
    <t>UTCTRHLWR-46</t>
    <phoneticPr fontId="4" type="noConversion"/>
  </si>
  <si>
    <t>UTCTRHLWS-46</t>
    <phoneticPr fontId="4" type="noConversion"/>
  </si>
  <si>
    <t>UAMP33WR-46</t>
    <phoneticPr fontId="4" type="noConversion"/>
  </si>
  <si>
    <t>UAMP33WS-46</t>
    <phoneticPr fontId="4" type="noConversion"/>
  </si>
  <si>
    <t>UAMP33WA-46</t>
    <phoneticPr fontId="4" type="noConversion"/>
  </si>
  <si>
    <t>CCM-V8-TC-3551</t>
    <phoneticPr fontId="4" type="noConversion"/>
  </si>
  <si>
    <t>M66L-N6-S-03618</t>
    <phoneticPr fontId="4" type="noConversion"/>
  </si>
  <si>
    <t>WWTPWWA-47-P2</t>
    <phoneticPr fontId="4" type="noConversion"/>
  </si>
  <si>
    <t>WWTPWWL-47-P2</t>
    <phoneticPr fontId="4" type="noConversion"/>
  </si>
  <si>
    <t>WWTPWWR-47-P2</t>
    <phoneticPr fontId="4" type="noConversion"/>
  </si>
  <si>
    <t>MIS-STA-S56L-08560</t>
    <phoneticPr fontId="4" type="noConversion"/>
  </si>
  <si>
    <t>318-328</t>
  </si>
  <si>
    <t>WWTPWWS-47-P2</t>
    <phoneticPr fontId="4" type="noConversion"/>
  </si>
  <si>
    <t>CCM-V8-TC-3051</t>
    <phoneticPr fontId="4" type="noConversion"/>
  </si>
  <si>
    <t>UWFS4WL-45-NC</t>
    <phoneticPr fontId="4" type="noConversion"/>
  </si>
  <si>
    <t>46-52</t>
  </si>
  <si>
    <t>UTAIR-40</t>
    <phoneticPr fontId="4" type="noConversion"/>
  </si>
  <si>
    <t>UTAFWS-45</t>
    <phoneticPr fontId="4" type="noConversion"/>
  </si>
  <si>
    <t>UTADWS-46</t>
    <phoneticPr fontId="4" type="noConversion"/>
  </si>
  <si>
    <t>UTADWR-46</t>
    <phoneticPr fontId="4" type="noConversion"/>
  </si>
  <si>
    <t>UTAFWR-45</t>
    <phoneticPr fontId="4" type="noConversion"/>
  </si>
  <si>
    <t>CCM-V8.9-TC-5556</t>
    <phoneticPr fontId="4" type="noConversion"/>
  </si>
  <si>
    <t>CCM-V10-TC-3053</t>
    <phoneticPr fontId="4" type="noConversion"/>
  </si>
  <si>
    <t>286-296</t>
  </si>
  <si>
    <t>CCM-V8.9-TT-3553</t>
    <phoneticPr fontId="4" type="noConversion"/>
  </si>
  <si>
    <t>UCNOTEIX-41</t>
    <phoneticPr fontId="4" type="noConversion"/>
  </si>
  <si>
    <t>CCM-V8-ST-3551</t>
    <phoneticPr fontId="4" type="noConversion"/>
  </si>
  <si>
    <t>UCNOTEIS-41</t>
    <phoneticPr fontId="4" type="noConversion"/>
  </si>
  <si>
    <t>100-106</t>
  </si>
  <si>
    <t>UTE33V25WL-46</t>
    <phoneticPr fontId="4" type="noConversion"/>
  </si>
  <si>
    <t>ULAUNCHPRSTFIR-41</t>
    <phoneticPr fontId="4" type="noConversion"/>
  </si>
  <si>
    <t>ULAUNCHPRSTFWR-46</t>
    <phoneticPr fontId="4" type="noConversion"/>
  </si>
  <si>
    <t>UTCTRMLWR-46</t>
    <phoneticPr fontId="4" type="noConversion"/>
  </si>
  <si>
    <t>UTCTRMLWS-46</t>
    <phoneticPr fontId="4" type="noConversion"/>
  </si>
  <si>
    <t>UTCTRMLWX-46</t>
    <phoneticPr fontId="4" type="noConversion"/>
  </si>
  <si>
    <t>ULAUNCHRED633WR-46</t>
    <phoneticPr fontId="4" type="noConversion"/>
  </si>
  <si>
    <t>ULAUNCHRED633WS-46</t>
    <phoneticPr fontId="4" type="noConversion"/>
  </si>
  <si>
    <t>ULAUNCHRED633WX-46</t>
    <phoneticPr fontId="4" type="noConversion"/>
  </si>
  <si>
    <t>CCM-V8.9-SC-4054</t>
    <phoneticPr fontId="4" type="noConversion"/>
  </si>
  <si>
    <t>UBLULD33-48-S</t>
    <phoneticPr fontId="4" type="noConversion"/>
  </si>
  <si>
    <t>BAL-ULTRA-S07L-M</t>
    <phoneticPr fontId="4" type="noConversion"/>
  </si>
  <si>
    <t>BAL-ULTRA-S07R-M</t>
    <phoneticPr fontId="4" type="noConversion"/>
  </si>
  <si>
    <t>BAL-ULTRA-S53L-H-09060</t>
    <phoneticPr fontId="4" type="noConversion"/>
  </si>
  <si>
    <t>BAL-ULTRA-S53L-H-10060</t>
    <phoneticPr fontId="4" type="noConversion"/>
  </si>
  <si>
    <t>BAL-ULTRA-S53L-M-09060</t>
    <phoneticPr fontId="4" type="noConversion"/>
  </si>
  <si>
    <t>340-350</t>
  </si>
  <si>
    <t>BAL-ULTRA-S53L-M-10060</t>
    <phoneticPr fontId="4" type="noConversion"/>
  </si>
  <si>
    <t>BAL-ULTRA-S53R-H-09060</t>
    <phoneticPr fontId="4" type="noConversion"/>
  </si>
  <si>
    <t>BAL-ULTRA-S53R-H-10060</t>
    <phoneticPr fontId="4" type="noConversion"/>
  </si>
  <si>
    <t>BAL-ULTRA-S53R-M-09060</t>
    <phoneticPr fontId="4" type="noConversion"/>
  </si>
  <si>
    <t>BAL-ULTRA-S53R-M-10060</t>
    <phoneticPr fontId="4" type="noConversion"/>
  </si>
  <si>
    <t>BAL-ULTRA-S55L-H-09060</t>
    <phoneticPr fontId="4" type="noConversion"/>
  </si>
  <si>
    <t>BAL-ULTRA-S55L-H-10060</t>
    <phoneticPr fontId="4" type="noConversion"/>
  </si>
  <si>
    <t>BAL-ULTRA-S55L-M-09060</t>
    <phoneticPr fontId="4" type="noConversion"/>
  </si>
  <si>
    <t>BAL-ULTRA-S55L-M-10060</t>
    <phoneticPr fontId="4" type="noConversion"/>
  </si>
  <si>
    <t>BAL-ULTRA-S55R-H-09060</t>
    <phoneticPr fontId="4" type="noConversion"/>
  </si>
  <si>
    <t>BAL-ULTRA-S55R-H-10060</t>
    <phoneticPr fontId="4" type="noConversion"/>
  </si>
  <si>
    <t>BAL-ULTRA-S55R-M-09060</t>
    <phoneticPr fontId="4" type="noConversion"/>
  </si>
  <si>
    <t>BAL-ULTRA-S55R-M-10060</t>
    <phoneticPr fontId="4" type="noConversion"/>
  </si>
  <si>
    <t>UMKIS2-40-RED</t>
    <phoneticPr fontId="4" type="noConversion"/>
  </si>
  <si>
    <t>CCM-V8-SC-3551-NG</t>
    <phoneticPr fontId="4" type="noConversion"/>
  </si>
  <si>
    <t>ULAUNCHRED635WR-46</t>
    <phoneticPr fontId="4" type="noConversion"/>
  </si>
  <si>
    <t>ULAUNCHRED635WS-46</t>
    <phoneticPr fontId="4" type="noConversion"/>
  </si>
  <si>
    <t>MIS-STA-S56R-08560</t>
    <phoneticPr fontId="4" type="noConversion"/>
  </si>
  <si>
    <t>UMKLAUNCHWS-46-RED</t>
    <phoneticPr fontId="4" type="noConversion"/>
  </si>
  <si>
    <t>63-70</t>
  </si>
  <si>
    <t>UMK33FWR2-44-RED</t>
    <phoneticPr fontId="4" type="noConversion"/>
  </si>
  <si>
    <t>UMK33FWS2-44-RED</t>
    <phoneticPr fontId="4" type="noConversion"/>
  </si>
  <si>
    <t>UMKIR2-40-RED</t>
    <phoneticPr fontId="4" type="noConversion"/>
  </si>
  <si>
    <t>ULAUNCHRED635WX-46</t>
    <phoneticPr fontId="4" type="noConversion"/>
  </si>
  <si>
    <t>UAXIS733WTX-46</t>
    <phoneticPr fontId="4" type="noConversion"/>
  </si>
  <si>
    <t>UAXIS733WS-46</t>
    <phoneticPr fontId="4" type="noConversion"/>
  </si>
  <si>
    <t>ULAUNCH833WR-46</t>
  </si>
  <si>
    <t>81－87</t>
  </si>
  <si>
    <t>UAXIS733WR-46</t>
    <phoneticPr fontId="4" type="noConversion"/>
  </si>
  <si>
    <t>UAXIS733WX-46</t>
    <phoneticPr fontId="4" type="noConversion"/>
  </si>
  <si>
    <t>BAL-ULTRA-S07L-M-UP</t>
    <phoneticPr fontId="4" type="noConversion"/>
  </si>
  <si>
    <t>BAL-ULTRA-S07R-M-UP</t>
    <phoneticPr fontId="4" type="noConversion"/>
  </si>
  <si>
    <t>SHR-RM19-08563</t>
    <phoneticPr fontId="4" type="noConversion"/>
  </si>
  <si>
    <t>333-347</t>
  </si>
  <si>
    <t>SHR-RM19-09563</t>
    <phoneticPr fontId="4" type="noConversion"/>
  </si>
  <si>
    <t>QGS10-8H-744-M</t>
    <phoneticPr fontId="4" type="noConversion"/>
  </si>
  <si>
    <t>QGS10-8-744-UP</t>
    <phoneticPr fontId="4" type="noConversion"/>
  </si>
  <si>
    <t>SHR-RM19-07563</t>
    <phoneticPr fontId="4" type="noConversion"/>
  </si>
  <si>
    <t>SHR-RM19-10563</t>
    <phoneticPr fontId="4" type="noConversion"/>
  </si>
  <si>
    <t>BAL-C410-08055-UP</t>
    <phoneticPr fontId="4" type="noConversion"/>
  </si>
  <si>
    <t>280-290</t>
  </si>
  <si>
    <t>BAL-C410-09055-UP</t>
    <phoneticPr fontId="4" type="noConversion"/>
  </si>
  <si>
    <t>BAL-C410-10055-UP</t>
    <phoneticPr fontId="4" type="noConversion"/>
  </si>
  <si>
    <t>UPRLTIR-41-MD</t>
  </si>
  <si>
    <t>BAL-C410-11055-UP</t>
    <phoneticPr fontId="4" type="noConversion"/>
  </si>
  <si>
    <t>CNOTEIS-41</t>
    <phoneticPr fontId="4" type="noConversion"/>
  </si>
  <si>
    <t>CNOTEIX-41</t>
    <phoneticPr fontId="4" type="noConversion"/>
  </si>
  <si>
    <t>MIS-STA-S53L-08560</t>
    <phoneticPr fontId="4" type="noConversion"/>
  </si>
  <si>
    <t>MIS-STA-S53R-08560</t>
    <phoneticPr fontId="4" type="noConversion"/>
  </si>
  <si>
    <t>QCOMPS10-8-744-2</t>
    <phoneticPr fontId="4" type="noConversion"/>
  </si>
  <si>
    <t>460g</t>
  </si>
  <si>
    <t>UPRLTIL-41-MD</t>
    <phoneticPr fontId="4" type="noConversion"/>
  </si>
  <si>
    <t>M66L-N6X+-03618</t>
    <phoneticPr fontId="4" type="noConversion"/>
  </si>
  <si>
    <t>MIS-STA-ULT-07056</t>
    <phoneticPr fontId="4" type="noConversion"/>
  </si>
  <si>
    <t>MIS-STA-ULT-08056</t>
    <phoneticPr fontId="4" type="noConversion"/>
  </si>
  <si>
    <t>MIS-STA-ULT-10056</t>
    <phoneticPr fontId="4" type="noConversion"/>
  </si>
  <si>
    <t>BAL-ULTRA-S53L-M-08060</t>
    <phoneticPr fontId="4" type="noConversion"/>
  </si>
  <si>
    <t>BAL-ULTRA-S55L-M-08060</t>
    <phoneticPr fontId="4" type="noConversion"/>
  </si>
  <si>
    <t>BAL-ULTRA-S55R-M-08060</t>
    <phoneticPr fontId="4" type="noConversion"/>
  </si>
  <si>
    <t>QCX-8-747-2</t>
    <phoneticPr fontId="4" type="noConversion"/>
  </si>
  <si>
    <t>495g</t>
  </si>
  <si>
    <t>BAL-ULTRA-S53R-M-11060</t>
    <phoneticPr fontId="4" type="noConversion"/>
  </si>
  <si>
    <t>BAL-ULTRA-S53R-M-08060</t>
    <phoneticPr fontId="4" type="noConversion"/>
  </si>
  <si>
    <t>BAL-ULTRA-S53L-M-11060</t>
    <phoneticPr fontId="4" type="noConversion"/>
  </si>
  <si>
    <t>BAL-ULTRA-S55L-M-11060</t>
    <phoneticPr fontId="4" type="noConversion"/>
  </si>
  <si>
    <t>BAL-ULTRA-S55R-M-11060</t>
    <phoneticPr fontId="4" type="noConversion"/>
  </si>
  <si>
    <t>ULAUNCHMSTWR-45</t>
    <phoneticPr fontId="4" type="noConversion"/>
  </si>
  <si>
    <t>ULAUNCHMSTIR-41</t>
    <phoneticPr fontId="4" type="noConversion"/>
  </si>
  <si>
    <t>BAL-ULTRA-S53L-H-08060</t>
    <phoneticPr fontId="4" type="noConversion"/>
  </si>
  <si>
    <t>BAL-ULTRA-S53L-H-11060</t>
    <phoneticPr fontId="4" type="noConversion"/>
  </si>
  <si>
    <t>BAL-ULTRA-S53R-H-11060</t>
    <phoneticPr fontId="4" type="noConversion"/>
  </si>
  <si>
    <t>BAL-ULTRA-S55L-H-08060</t>
    <phoneticPr fontId="4" type="noConversion"/>
  </si>
  <si>
    <t>BAL-ULTRA-S55L-H-11060</t>
    <phoneticPr fontId="4" type="noConversion"/>
  </si>
  <si>
    <t>BAL-ULTRA-S55R-H-08060</t>
    <phoneticPr fontId="4" type="noConversion"/>
  </si>
  <si>
    <t>BAL-ULTRA-S55R-H-11060</t>
    <phoneticPr fontId="4" type="noConversion"/>
  </si>
  <si>
    <t>BAL-ULTRA-S57L-H-08060</t>
    <phoneticPr fontId="4" type="noConversion"/>
  </si>
  <si>
    <t>BAL-ULTRA-S57L-H-09060</t>
    <phoneticPr fontId="4" type="noConversion"/>
  </si>
  <si>
    <t>BAL-ULTRA-S57L-H-11060</t>
    <phoneticPr fontId="4" type="noConversion"/>
  </si>
  <si>
    <t>BAL-ULTRA-S57L-M-08060</t>
    <phoneticPr fontId="4" type="noConversion"/>
  </si>
  <si>
    <t>BAL-ULTRA-S57L-M-09060</t>
    <phoneticPr fontId="4" type="noConversion"/>
  </si>
  <si>
    <t>BAL-ULTRA-S57L-M-10060</t>
    <phoneticPr fontId="4" type="noConversion"/>
  </si>
  <si>
    <t>BAL-ULTRA-S57L-M-11060</t>
    <phoneticPr fontId="4" type="noConversion"/>
  </si>
  <si>
    <t>BAL-ULTRA-S57R-H-08060</t>
    <phoneticPr fontId="4" type="noConversion"/>
  </si>
  <si>
    <t>BAL-ULTRA-S57R-H-09060</t>
    <phoneticPr fontId="4" type="noConversion"/>
  </si>
  <si>
    <t>BAL-ULTRA-S57R-M-08060</t>
    <phoneticPr fontId="4" type="noConversion"/>
  </si>
  <si>
    <t>BAL-ULTRA-S57R-M-09060</t>
    <phoneticPr fontId="4" type="noConversion"/>
  </si>
  <si>
    <t>BAL-ULTRA-S57R-M-10060</t>
    <phoneticPr fontId="4" type="noConversion"/>
  </si>
  <si>
    <t>BAL-ULTRA-S57R-M-11060</t>
    <phoneticPr fontId="4" type="noConversion"/>
  </si>
  <si>
    <t>BAL-ULTRA-S64L-H-09060</t>
    <phoneticPr fontId="4" type="noConversion"/>
  </si>
  <si>
    <t>BAL-ULTRA-S64L-H-10060</t>
    <phoneticPr fontId="4" type="noConversion"/>
  </si>
  <si>
    <t>BAL-ULTRA-S64L-M-08060</t>
    <phoneticPr fontId="4" type="noConversion"/>
  </si>
  <si>
    <t>BAL-ULTRA-S64L-M-09060</t>
    <phoneticPr fontId="4" type="noConversion"/>
  </si>
  <si>
    <t>BAL-ULTRA-S64L-M-10060</t>
    <phoneticPr fontId="4" type="noConversion"/>
  </si>
  <si>
    <t>BAL-ULTRA-S64L-M-11060</t>
    <phoneticPr fontId="4" type="noConversion"/>
  </si>
  <si>
    <t>BAL-ULTRA-S64R-H-09060</t>
    <phoneticPr fontId="4" type="noConversion"/>
  </si>
  <si>
    <t>BAL-ULTRA-S64R-H-10060</t>
    <phoneticPr fontId="4" type="noConversion"/>
  </si>
  <si>
    <t>BAL-ULTRA-S64R-M-08060</t>
    <phoneticPr fontId="4" type="noConversion"/>
  </si>
  <si>
    <t>BAL-ULTRA-S64R-M-09060</t>
    <phoneticPr fontId="4" type="noConversion"/>
  </si>
  <si>
    <t>BAL-ULTRA-S64R-M-10060</t>
    <phoneticPr fontId="4" type="noConversion"/>
  </si>
  <si>
    <t>BAL-ULTRA-S64R-M-11060</t>
    <phoneticPr fontId="4" type="noConversion"/>
  </si>
  <si>
    <t>UPLT-65-WS-46</t>
  </si>
  <si>
    <t>QCX20-8-747</t>
    <phoneticPr fontId="4" type="noConversion"/>
  </si>
  <si>
    <t>89*14*9</t>
  </si>
  <si>
    <t>475g±7g(带螺钉）</t>
  </si>
  <si>
    <t>BAL-ULTRA-S57L-H-10060</t>
    <phoneticPr fontId="4" type="noConversion"/>
  </si>
  <si>
    <t>183*29*16</t>
  </si>
  <si>
    <t>BAL-ULTRA-S57R-H-10060</t>
    <phoneticPr fontId="4" type="noConversion"/>
  </si>
  <si>
    <t>BAL-ULTRA-S57R-H-11060</t>
    <phoneticPr fontId="4" type="noConversion"/>
  </si>
  <si>
    <t>BAL-ULTRA-S64L-H-08060</t>
    <phoneticPr fontId="4" type="noConversion"/>
  </si>
  <si>
    <t>BAL-ULTRA-S64R-H-08060</t>
    <phoneticPr fontId="4" type="noConversion"/>
  </si>
  <si>
    <t>BAL-ULTRA-S64L-H-11060</t>
    <phoneticPr fontId="4" type="noConversion"/>
  </si>
  <si>
    <t>BAL-ULTRA-S64R-H-11060</t>
    <phoneticPr fontId="4" type="noConversion"/>
  </si>
  <si>
    <t>BAL-ULTRA-S53R-H-08060</t>
    <phoneticPr fontId="4" type="noConversion"/>
  </si>
  <si>
    <t>BAL-ULTRA-S14L-H</t>
    <phoneticPr fontId="4" type="noConversion"/>
  </si>
  <si>
    <t>BAL-ULTRA-S14L-M</t>
    <phoneticPr fontId="4" type="noConversion"/>
  </si>
  <si>
    <t>BAL-ULTRA-S14R-H</t>
    <phoneticPr fontId="4" type="noConversion"/>
  </si>
  <si>
    <t>BAL-ULTRA-S14R-M</t>
    <phoneticPr fontId="4" type="noConversion"/>
  </si>
  <si>
    <t>BAL-ULTRA-S14L-M-UP</t>
    <phoneticPr fontId="4" type="noConversion"/>
  </si>
  <si>
    <t>BAL-ULTRA-S14R-M-UP</t>
    <phoneticPr fontId="4" type="noConversion"/>
  </si>
  <si>
    <t>UTAIS-40</t>
    <phoneticPr fontId="4" type="noConversion"/>
  </si>
  <si>
    <t>RBK-VIP-11048-SC</t>
    <phoneticPr fontId="4" type="noConversion"/>
  </si>
  <si>
    <t>MIS-STA-J51R-5051</t>
    <phoneticPr fontId="4" type="noConversion"/>
  </si>
  <si>
    <t>230-240</t>
  </si>
  <si>
    <t>MIS-STA-J51L-5051</t>
    <phoneticPr fontId="4" type="noConversion"/>
  </si>
  <si>
    <t>UBLULD733W3X-50</t>
    <phoneticPr fontId="4" type="noConversion"/>
  </si>
  <si>
    <t>PGT233WS-46</t>
    <phoneticPr fontId="4" type="noConversion"/>
  </si>
  <si>
    <t>AQTB1125-26-2</t>
    <phoneticPr fontId="4" type="noConversion"/>
  </si>
  <si>
    <t>UWFS3WL-45</t>
    <phoneticPr fontId="4" type="noConversion"/>
  </si>
  <si>
    <t>QGS30-8-744-UP</t>
    <phoneticPr fontId="4" type="noConversion"/>
  </si>
  <si>
    <t>BAL-ULTRA-T-08055-UP</t>
    <phoneticPr fontId="4" type="noConversion"/>
  </si>
  <si>
    <t>BAL-ULTRA-T-09055-UP</t>
    <phoneticPr fontId="4" type="noConversion"/>
  </si>
  <si>
    <t>BAL-ULTRA-T-10055-UP</t>
    <phoneticPr fontId="4" type="noConversion"/>
  </si>
  <si>
    <t>BAL-ULTRA-T-11055-UP</t>
    <phoneticPr fontId="4" type="noConversion"/>
  </si>
  <si>
    <t>MIS-STA-J51R-6555</t>
    <phoneticPr fontId="4" type="noConversion"/>
  </si>
  <si>
    <t>268-278</t>
  </si>
  <si>
    <t>MIS-STA-J52L-5051</t>
    <phoneticPr fontId="4" type="noConversion"/>
  </si>
  <si>
    <t>MIS-STA-J52L-6555</t>
    <phoneticPr fontId="4" type="noConversion"/>
  </si>
  <si>
    <t>MIS-STA-J52R-6555</t>
    <phoneticPr fontId="4" type="noConversion"/>
  </si>
  <si>
    <t>MIS-STA-J51L-6555</t>
    <phoneticPr fontId="4" type="noConversion"/>
  </si>
  <si>
    <t>BAL-C410-S53L-10060</t>
    <phoneticPr fontId="4" type="noConversion"/>
  </si>
  <si>
    <t>BAL-C410-S55L-10060</t>
    <phoneticPr fontId="4" type="noConversion"/>
  </si>
  <si>
    <t>BAL-C410-S57L-10060</t>
    <phoneticPr fontId="4" type="noConversion"/>
  </si>
  <si>
    <t>BAL-C410-S64L-10060</t>
    <phoneticPr fontId="4" type="noConversion"/>
  </si>
  <si>
    <t>BAL-C410-S53R-10060</t>
    <phoneticPr fontId="4" type="noConversion"/>
  </si>
  <si>
    <t>BAL-C410-S55R-10060</t>
    <phoneticPr fontId="4" type="noConversion"/>
  </si>
  <si>
    <t>BAL-C410-S57R-10060</t>
    <phoneticPr fontId="4" type="noConversion"/>
  </si>
  <si>
    <t>BAL-C410-S64R-10060</t>
    <phoneticPr fontId="4" type="noConversion"/>
  </si>
  <si>
    <t>BAL-C410-S53L-08060</t>
    <phoneticPr fontId="4" type="noConversion"/>
  </si>
  <si>
    <t>BAL-C410-S53L-09060</t>
    <phoneticPr fontId="4" type="noConversion"/>
  </si>
  <si>
    <t>BAL-C410-S53L-11060</t>
    <phoneticPr fontId="4" type="noConversion"/>
  </si>
  <si>
    <t>BAL-C410-S53R-09060</t>
    <phoneticPr fontId="4" type="noConversion"/>
  </si>
  <si>
    <t>BAL-C410-S53R-11060</t>
    <phoneticPr fontId="4" type="noConversion"/>
  </si>
  <si>
    <t>BAL-C410-S55L-08060</t>
    <phoneticPr fontId="4" type="noConversion"/>
  </si>
  <si>
    <t>BAL-C410-S55L-11060</t>
    <phoneticPr fontId="4" type="noConversion"/>
  </si>
  <si>
    <t>BAL-C410-S55R-08060</t>
    <phoneticPr fontId="4" type="noConversion"/>
  </si>
  <si>
    <t>BAL-C410-S55R-09060</t>
    <phoneticPr fontId="4" type="noConversion"/>
  </si>
  <si>
    <t>BAL-C410-S55R-11060</t>
    <phoneticPr fontId="4" type="noConversion"/>
  </si>
  <si>
    <t>BAL-C410-S57L-08060</t>
    <phoneticPr fontId="4" type="noConversion"/>
  </si>
  <si>
    <t>BAL-C410-S57L-09060</t>
    <phoneticPr fontId="4" type="noConversion"/>
  </si>
  <si>
    <t>BAL-C410-S57R-08060</t>
    <phoneticPr fontId="4" type="noConversion"/>
  </si>
  <si>
    <t>BAL-C410-S57R-09060</t>
    <phoneticPr fontId="4" type="noConversion"/>
  </si>
  <si>
    <t>BAL-C410-S57R-11060</t>
    <phoneticPr fontId="4" type="noConversion"/>
  </si>
  <si>
    <t>BAL-C410-S64L-08060</t>
    <phoneticPr fontId="4" type="noConversion"/>
  </si>
  <si>
    <t>BAL-C410-S64L-09060</t>
    <phoneticPr fontId="4" type="noConversion"/>
  </si>
  <si>
    <t>BAL-C410-S64L-11060</t>
    <phoneticPr fontId="4" type="noConversion"/>
  </si>
  <si>
    <t>BAL-C410-S64R-08060</t>
    <phoneticPr fontId="4" type="noConversion"/>
  </si>
  <si>
    <t>BAL-C410-S64R-09060</t>
    <phoneticPr fontId="4" type="noConversion"/>
  </si>
  <si>
    <t>BAL-C410-S64R-11060</t>
    <phoneticPr fontId="4" type="noConversion"/>
  </si>
  <si>
    <t>BAL-C410-S53R-08060</t>
    <phoneticPr fontId="4" type="noConversion"/>
  </si>
  <si>
    <t>BAL-C410-S55L-09060</t>
    <phoneticPr fontId="4" type="noConversion"/>
  </si>
  <si>
    <t>BAL-C410-S57L-11060</t>
    <phoneticPr fontId="4" type="noConversion"/>
  </si>
  <si>
    <t>QGS30-8-744-B</t>
    <phoneticPr fontId="4" type="noConversion"/>
  </si>
  <si>
    <t>MIS-STA-S53R-10060</t>
    <phoneticPr fontId="4" type="noConversion"/>
  </si>
  <si>
    <t>MIS-STA-S53L-10060</t>
    <phoneticPr fontId="4" type="noConversion"/>
  </si>
  <si>
    <t>MIS-STA-J52R-5051</t>
    <phoneticPr fontId="4" type="noConversion"/>
  </si>
  <si>
    <t>QCX-8-747</t>
  </si>
  <si>
    <t>MIS-STA-S56R-10060</t>
    <phoneticPr fontId="4" type="noConversion"/>
  </si>
  <si>
    <t>MIS-STA-S56L-10060</t>
    <phoneticPr fontId="4" type="noConversion"/>
  </si>
  <si>
    <t>UWFS3WL-F-45</t>
    <phoneticPr fontId="4" type="noConversion"/>
  </si>
  <si>
    <t>QGS10-8-741-UP</t>
    <phoneticPr fontId="4" type="noConversion"/>
  </si>
  <si>
    <t>ULAUNCHPSWR-46</t>
    <phoneticPr fontId="4" type="noConversion"/>
  </si>
  <si>
    <t>ULAUNCHPSWL-46</t>
    <phoneticPr fontId="4" type="noConversion"/>
  </si>
  <si>
    <t>ULAUNCHPSWS-46</t>
    <phoneticPr fontId="4" type="noConversion"/>
  </si>
  <si>
    <t>UTADWL-46</t>
    <phoneticPr fontId="4" type="noConversion"/>
  </si>
  <si>
    <t>ULAUNCHPSWA-46</t>
    <phoneticPr fontId="4" type="noConversion"/>
  </si>
  <si>
    <t>USRXTSWR-45</t>
    <phoneticPr fontId="4" type="noConversion"/>
  </si>
  <si>
    <t>USRXTSIR-41</t>
    <phoneticPr fontId="4" type="noConversion"/>
  </si>
  <si>
    <t>USRXTSIL-39</t>
    <phoneticPr fontId="4" type="noConversion"/>
  </si>
  <si>
    <t>USRXTSWL-45</t>
    <phoneticPr fontId="4" type="noConversion"/>
  </si>
  <si>
    <t>ULAUNCHFW33R-44</t>
    <phoneticPr fontId="4" type="noConversion"/>
  </si>
  <si>
    <t>ULAUNCHFW33S-44</t>
    <phoneticPr fontId="4" type="noConversion"/>
  </si>
  <si>
    <t>ULAUNCHFW33A-44</t>
    <phoneticPr fontId="4" type="noConversion"/>
  </si>
  <si>
    <t>UPLT-65-WX-46</t>
    <phoneticPr fontId="4" type="noConversion"/>
  </si>
  <si>
    <t>UTFC10035DR-46</t>
    <phoneticPr fontId="4" type="noConversion"/>
  </si>
  <si>
    <t>UTFC10035DS-46</t>
    <phoneticPr fontId="4" type="noConversion"/>
  </si>
  <si>
    <t>SAMPEC</t>
    <phoneticPr fontId="4" type="noConversion"/>
  </si>
  <si>
    <t>USRXTSIS-41</t>
    <phoneticPr fontId="4" type="noConversion"/>
  </si>
  <si>
    <t>CLITEIS-41</t>
    <phoneticPr fontId="4" type="noConversion"/>
  </si>
  <si>
    <t>UCLITEIX-41</t>
    <phoneticPr fontId="4" type="noConversion"/>
  </si>
  <si>
    <t>UCLITEIS-41</t>
    <phoneticPr fontId="4" type="noConversion"/>
  </si>
  <si>
    <t>USRXTSIA-41</t>
    <phoneticPr fontId="4" type="noConversion"/>
  </si>
  <si>
    <t>USRXTSWA-45</t>
    <phoneticPr fontId="4" type="noConversion"/>
  </si>
  <si>
    <t>USRXTSWS-45</t>
    <phoneticPr fontId="4" type="noConversion"/>
  </si>
  <si>
    <r>
      <t>g</t>
    </r>
    <r>
      <rPr>
        <sz val="11"/>
        <color theme="1"/>
        <rFont val="宋体"/>
        <family val="2"/>
        <charset val="134"/>
        <scheme val="minor"/>
      </rPr>
      <t>olf</t>
    </r>
    <phoneticPr fontId="4" type="noConversion"/>
  </si>
  <si>
    <t>UBLUPNTHY35WX-44</t>
    <phoneticPr fontId="4" type="noConversion"/>
  </si>
  <si>
    <t>CCM-V8-TC-4556-1</t>
    <phoneticPr fontId="4" type="noConversion"/>
  </si>
  <si>
    <r>
      <t>s</t>
    </r>
    <r>
      <rPr>
        <sz val="11"/>
        <color theme="1"/>
        <rFont val="宋体"/>
        <family val="2"/>
        <charset val="134"/>
        <scheme val="minor"/>
      </rPr>
      <t>haft</t>
    </r>
    <phoneticPr fontId="4" type="noConversion"/>
  </si>
  <si>
    <t>UALJLFWL-45</t>
    <phoneticPr fontId="4" type="noConversion"/>
  </si>
  <si>
    <t>UALJLIL-40</t>
    <phoneticPr fontId="4" type="noConversion"/>
  </si>
  <si>
    <t>UALJLWL-45</t>
    <phoneticPr fontId="4" type="noConversion"/>
  </si>
  <si>
    <t>ULAUNCHHYJLIR-41</t>
    <phoneticPr fontId="4" type="noConversion"/>
  </si>
  <si>
    <t>ULAUNCHJLFWS-44</t>
    <phoneticPr fontId="4" type="noConversion"/>
  </si>
  <si>
    <t>ULAUNCHJLIR-41</t>
    <phoneticPr fontId="4" type="noConversion"/>
  </si>
  <si>
    <t>ULAUNCHJLWR-46</t>
    <phoneticPr fontId="4" type="noConversion"/>
  </si>
  <si>
    <t>ULAUNCHJLWS-46</t>
    <phoneticPr fontId="4" type="noConversion"/>
  </si>
  <si>
    <t>CUR-SIG-1848</t>
    <phoneticPr fontId="4" type="noConversion"/>
  </si>
  <si>
    <t>冰壶杆</t>
    <phoneticPr fontId="4" type="noConversion"/>
  </si>
  <si>
    <t>180-194</t>
  </si>
  <si>
    <t>CUR-SIG-148</t>
    <phoneticPr fontId="4" type="noConversion"/>
  </si>
  <si>
    <t>157-163</t>
  </si>
  <si>
    <t>ULAUNCHREDFWWS-44</t>
    <phoneticPr fontId="4" type="noConversion"/>
  </si>
  <si>
    <t>ULAUNCHREDFWWX-44</t>
    <phoneticPr fontId="4" type="noConversion"/>
  </si>
  <si>
    <t>UGPB33DX-46-BLACK</t>
    <phoneticPr fontId="4" type="noConversion"/>
  </si>
  <si>
    <t>UMAXFLIMIRS-43</t>
    <phoneticPr fontId="4" type="noConversion"/>
  </si>
  <si>
    <t>UMAXFLIMWRS-48</t>
    <phoneticPr fontId="4" type="noConversion"/>
  </si>
  <si>
    <t>UMAXFLIMWAL-48</t>
    <phoneticPr fontId="4" type="noConversion"/>
  </si>
  <si>
    <t>UMAXFLIMIAL-43</t>
    <phoneticPr fontId="4" type="noConversion"/>
  </si>
  <si>
    <t>QCOMPS10-8H-744-2</t>
    <phoneticPr fontId="4" type="noConversion"/>
  </si>
  <si>
    <t>470g</t>
  </si>
  <si>
    <t>ESP10BEL</t>
    <phoneticPr fontId="4" type="noConversion"/>
  </si>
  <si>
    <t>ESP10BER</t>
    <phoneticPr fontId="4" type="noConversion"/>
  </si>
  <si>
    <t>ESP10CLL</t>
    <phoneticPr fontId="4" type="noConversion"/>
  </si>
  <si>
    <t>ESP10CLR</t>
    <phoneticPr fontId="4" type="noConversion"/>
  </si>
  <si>
    <t>ESP10TAL</t>
    <phoneticPr fontId="4" type="noConversion"/>
  </si>
  <si>
    <t>ESP70BEL</t>
    <phoneticPr fontId="4" type="noConversion"/>
  </si>
  <si>
    <t>ESP70BER</t>
    <phoneticPr fontId="4" type="noConversion"/>
  </si>
  <si>
    <t>ESP70CLL</t>
    <phoneticPr fontId="4" type="noConversion"/>
  </si>
  <si>
    <t>ESP70CLR</t>
    <phoneticPr fontId="4" type="noConversion"/>
  </si>
  <si>
    <t>ESP70TAL</t>
    <phoneticPr fontId="4" type="noConversion"/>
  </si>
  <si>
    <t>ESP70TAR</t>
    <phoneticPr fontId="4" type="noConversion"/>
  </si>
  <si>
    <t>ESP80BEL</t>
    <phoneticPr fontId="4" type="noConversion"/>
  </si>
  <si>
    <t>ESP80BER</t>
    <phoneticPr fontId="4" type="noConversion"/>
  </si>
  <si>
    <t>ESP80CLL</t>
    <phoneticPr fontId="4" type="noConversion"/>
  </si>
  <si>
    <t>ESP80CLR</t>
    <phoneticPr fontId="4" type="noConversion"/>
  </si>
  <si>
    <t>ESP80TAL</t>
    <phoneticPr fontId="4" type="noConversion"/>
  </si>
  <si>
    <t>ESP80TAR</t>
    <phoneticPr fontId="4" type="noConversion"/>
  </si>
  <si>
    <t>ESP90BEL</t>
    <phoneticPr fontId="4" type="noConversion"/>
  </si>
  <si>
    <t>ESP90BER</t>
    <phoneticPr fontId="4" type="noConversion"/>
  </si>
  <si>
    <t>ESP90CLL</t>
    <phoneticPr fontId="4" type="noConversion"/>
  </si>
  <si>
    <t>ESP90CLR</t>
    <phoneticPr fontId="4" type="noConversion"/>
  </si>
  <si>
    <t>ESP90TAL</t>
    <phoneticPr fontId="4" type="noConversion"/>
  </si>
  <si>
    <t>ESP90TAR</t>
    <phoneticPr fontId="4" type="noConversion"/>
  </si>
  <si>
    <t>UFRMR70IS-45</t>
    <phoneticPr fontId="4" type="noConversion"/>
  </si>
  <si>
    <t>UFRMR70WR-48</t>
    <phoneticPr fontId="4" type="noConversion"/>
  </si>
  <si>
    <t>38-44</t>
  </si>
  <si>
    <t>UFRMR70WS-48</t>
    <phoneticPr fontId="4" type="noConversion"/>
  </si>
  <si>
    <t>39-45</t>
  </si>
  <si>
    <t>ESP10TAR</t>
    <phoneticPr fontId="4" type="noConversion"/>
  </si>
  <si>
    <t>QGS10-8H-744-2-M</t>
    <phoneticPr fontId="4" type="noConversion"/>
  </si>
  <si>
    <t>UAXIS933WS-46</t>
    <phoneticPr fontId="4" type="noConversion"/>
  </si>
  <si>
    <t>y</t>
  </si>
  <si>
    <t>UAXIS933WX-46</t>
    <phoneticPr fontId="4" type="noConversion"/>
  </si>
  <si>
    <t>QTS20-8-743-2</t>
    <phoneticPr fontId="4" type="noConversion"/>
  </si>
  <si>
    <t>477g</t>
  </si>
  <si>
    <t>ULAUNCHFW33X-44</t>
    <phoneticPr fontId="4" type="noConversion"/>
  </si>
  <si>
    <t>UTCTRHLWX-46</t>
    <phoneticPr fontId="4" type="noConversion"/>
  </si>
  <si>
    <t>TFC100HYS-41</t>
    <phoneticPr fontId="4" type="noConversion"/>
  </si>
  <si>
    <t>TFC100HYR-41</t>
    <phoneticPr fontId="4" type="noConversion"/>
  </si>
  <si>
    <t>CCM-VP-ST-5052-TH</t>
    <phoneticPr fontId="4" type="noConversion"/>
  </si>
  <si>
    <t>RBK-7K-SC-4554</t>
    <phoneticPr fontId="4" type="noConversion"/>
  </si>
  <si>
    <t>QGS10-8-744-2</t>
    <phoneticPr fontId="4" type="noConversion"/>
  </si>
  <si>
    <t>337g</t>
  </si>
  <si>
    <t>UMAXFLIROYALWRS-48</t>
    <phoneticPr fontId="4" type="noConversion"/>
  </si>
  <si>
    <t>UTAIL-40</t>
    <phoneticPr fontId="4" type="noConversion"/>
  </si>
  <si>
    <t>UMAXFLIROYALWR-46</t>
    <phoneticPr fontId="4" type="noConversion"/>
  </si>
  <si>
    <t>UMAXFLIROYALWS-46</t>
    <phoneticPr fontId="4" type="noConversion"/>
  </si>
  <si>
    <t>UFRMR70WX-48</t>
    <phoneticPr fontId="4" type="noConversion"/>
  </si>
  <si>
    <t>UMAXFLIRWRS-48</t>
    <phoneticPr fontId="4" type="noConversion"/>
  </si>
  <si>
    <t>UMAXFLIRIRS-43</t>
    <phoneticPr fontId="4" type="noConversion"/>
  </si>
  <si>
    <t>ULAUNCHSEIR-41</t>
    <phoneticPr fontId="4" type="noConversion"/>
  </si>
  <si>
    <t>ULAUNCHSEIS-41</t>
    <phoneticPr fontId="4" type="noConversion"/>
  </si>
  <si>
    <t>UFRMR90WX-48</t>
    <phoneticPr fontId="4" type="noConversion"/>
  </si>
  <si>
    <t>UFRMR90WS-48</t>
    <phoneticPr fontId="4" type="noConversion"/>
  </si>
  <si>
    <t>RBK-P226-G02L-57</t>
    <phoneticPr fontId="4" type="noConversion"/>
  </si>
  <si>
    <t>goalier</t>
    <phoneticPr fontId="4" type="noConversion"/>
  </si>
  <si>
    <t>179*42*15</t>
    <phoneticPr fontId="4" type="noConversion"/>
  </si>
  <si>
    <t>165-175</t>
  </si>
  <si>
    <t>RBK-P125-G01L-57</t>
    <phoneticPr fontId="4" type="noConversion"/>
  </si>
  <si>
    <t>171-179</t>
  </si>
  <si>
    <t>ULAUNCHREDADFWWR-46</t>
    <phoneticPr fontId="4" type="noConversion"/>
  </si>
  <si>
    <t>ULAUNCHREDADFWWS-46</t>
    <phoneticPr fontId="4" type="noConversion"/>
  </si>
  <si>
    <t>ULAUNCHREDADWS-46</t>
    <phoneticPr fontId="4" type="noConversion"/>
  </si>
  <si>
    <t>ULAUNCHREDADWR-46</t>
    <phoneticPr fontId="4" type="noConversion"/>
  </si>
  <si>
    <t>ULAUNCHMSTIL-41</t>
    <phoneticPr fontId="4" type="noConversion"/>
  </si>
  <si>
    <t>TAQS3-10-CV-CB-70044</t>
    <phoneticPr fontId="4" type="noConversion"/>
  </si>
  <si>
    <t>TAQ-100-CX-CB-70047</t>
    <phoneticPr fontId="4" type="noConversion"/>
  </si>
  <si>
    <t>TAQ-100-ST-CB-70044-UP</t>
    <phoneticPr fontId="4" type="noConversion"/>
  </si>
  <si>
    <t>QCOMPS20-1-637</t>
    <phoneticPr fontId="4" type="noConversion"/>
  </si>
  <si>
    <t>398g</t>
  </si>
  <si>
    <t>TAQA-1125-ST-CB-65040-GL</t>
    <phoneticPr fontId="4" type="noConversion"/>
  </si>
  <si>
    <t>TAQEX-1125-ST-CB-70038</t>
    <phoneticPr fontId="4" type="noConversion"/>
  </si>
  <si>
    <t>SHR-RM-08552</t>
    <phoneticPr fontId="4" type="noConversion"/>
  </si>
  <si>
    <t>SHR-RM-09552</t>
    <phoneticPr fontId="4" type="noConversion"/>
  </si>
  <si>
    <t>SHR-RM-10552</t>
    <phoneticPr fontId="4" type="noConversion"/>
  </si>
  <si>
    <t>SHR-RM-11552</t>
    <phoneticPr fontId="4" type="noConversion"/>
  </si>
  <si>
    <t>ULAUNCHSEFW33S-44</t>
    <phoneticPr fontId="4" type="noConversion"/>
  </si>
  <si>
    <t>ULAUNCHSEFW33R-44</t>
    <phoneticPr fontId="4" type="noConversion"/>
  </si>
  <si>
    <t>RBK-7.1K-SC-4054</t>
    <phoneticPr fontId="4" type="noConversion"/>
  </si>
  <si>
    <t>RBK-7.1K-SC-4554</t>
    <phoneticPr fontId="4" type="noConversion"/>
  </si>
  <si>
    <t>RBK-7.1K-SC-5054</t>
    <phoneticPr fontId="4" type="noConversion"/>
  </si>
  <si>
    <t>RBK-7.1K-SC-5554</t>
    <phoneticPr fontId="4" type="noConversion"/>
  </si>
  <si>
    <t>RBK-7.1K-ST-4054</t>
    <phoneticPr fontId="4" type="noConversion"/>
  </si>
  <si>
    <t>RBK-7.1K-ST-4554</t>
    <phoneticPr fontId="4" type="noConversion"/>
  </si>
  <si>
    <t>RBK-7.1K-ST-5054</t>
    <phoneticPr fontId="4" type="noConversion"/>
  </si>
  <si>
    <t>RBK-7.1K-ST-5554</t>
    <phoneticPr fontId="4" type="noConversion"/>
  </si>
  <si>
    <t>RBK-7.1K-TC-4056</t>
    <phoneticPr fontId="4" type="noConversion"/>
  </si>
  <si>
    <t>RBK-7.1K-TC-4556</t>
    <phoneticPr fontId="4" type="noConversion"/>
  </si>
  <si>
    <t>RBK-7.1K-TC-5056</t>
    <phoneticPr fontId="4" type="noConversion"/>
  </si>
  <si>
    <t>RBK-7.1K-TC-5556</t>
    <phoneticPr fontId="4" type="noConversion"/>
  </si>
  <si>
    <t>RBK-7.1K-TT-4056</t>
    <phoneticPr fontId="4" type="noConversion"/>
  </si>
  <si>
    <t>RBK-7.1K-TT-4556</t>
    <phoneticPr fontId="4" type="noConversion"/>
  </si>
  <si>
    <t>RBK-7.1K-TT-5056</t>
    <phoneticPr fontId="4" type="noConversion"/>
  </si>
  <si>
    <t>RBK-7.1K-TT-5556</t>
    <phoneticPr fontId="4" type="noConversion"/>
  </si>
  <si>
    <t>ULAUNCHPSIA-41</t>
    <phoneticPr fontId="4" type="noConversion"/>
  </si>
  <si>
    <t>ULAUNCHPSIL-41</t>
    <phoneticPr fontId="4" type="noConversion"/>
  </si>
  <si>
    <t>ULAUNCHPSIR-41</t>
  </si>
  <si>
    <t>ULAUNCHPSIS-41</t>
  </si>
  <si>
    <t>ULAUNCHPSISW-41</t>
  </si>
  <si>
    <t>SHR-RM19-11563</t>
    <phoneticPr fontId="4" type="noConversion"/>
  </si>
  <si>
    <t>SHR-RM-07552</t>
  </si>
  <si>
    <t>PSP-272-350</t>
  </si>
  <si>
    <r>
      <t>s</t>
    </r>
    <r>
      <rPr>
        <sz val="11"/>
        <color theme="1"/>
        <rFont val="宋体"/>
        <family val="2"/>
        <charset val="134"/>
        <scheme val="minor"/>
      </rPr>
      <t>eat post</t>
    </r>
    <phoneticPr fontId="4" type="noConversion"/>
  </si>
  <si>
    <t>PSP-272-270</t>
    <phoneticPr fontId="4" type="noConversion"/>
  </si>
  <si>
    <t>UTFC10035FWR-445</t>
  </si>
  <si>
    <t>UFRMR90WR-48</t>
    <phoneticPr fontId="4" type="noConversion"/>
  </si>
  <si>
    <t>130*15*10</t>
  </si>
  <si>
    <t>UTFC10035FWS-445</t>
    <phoneticPr fontId="4" type="noConversion"/>
  </si>
  <si>
    <t>UPRLTIA-41-MD</t>
    <phoneticPr fontId="4" type="noConversion"/>
  </si>
  <si>
    <t>RBK-7.1K-ST-6054</t>
    <phoneticPr fontId="4" type="noConversion"/>
  </si>
  <si>
    <t>CLITEIX-41</t>
    <phoneticPr fontId="4" type="noConversion"/>
  </si>
  <si>
    <t>SHR-RM9-S03L</t>
    <phoneticPr fontId="4" type="noConversion"/>
  </si>
  <si>
    <t>SHR-RM9-S04R</t>
    <phoneticPr fontId="4" type="noConversion"/>
  </si>
  <si>
    <t>SHR-RM9-S04L</t>
    <phoneticPr fontId="4" type="noConversion"/>
  </si>
  <si>
    <t>SHR-RM9-S13L</t>
    <phoneticPr fontId="4" type="noConversion"/>
  </si>
  <si>
    <t>SHR-RM9-S13R</t>
    <phoneticPr fontId="4" type="noConversion"/>
  </si>
  <si>
    <t>SHR-RM9-S03R</t>
    <phoneticPr fontId="4" type="noConversion"/>
  </si>
  <si>
    <t>TB1125-LT-26</t>
    <phoneticPr fontId="4" type="noConversion"/>
  </si>
  <si>
    <r>
      <t>s</t>
    </r>
    <r>
      <rPr>
        <sz val="11"/>
        <color theme="1"/>
        <rFont val="宋体"/>
        <family val="2"/>
        <charset val="134"/>
        <scheme val="minor"/>
      </rPr>
      <t>teer tube</t>
    </r>
    <phoneticPr fontId="4" type="noConversion"/>
  </si>
  <si>
    <t>WLNBLK1</t>
    <phoneticPr fontId="4" type="noConversion"/>
  </si>
  <si>
    <t>QGS10-8-744-2-UP</t>
    <phoneticPr fontId="4" type="noConversion"/>
  </si>
  <si>
    <r>
      <t>f</t>
    </r>
    <r>
      <rPr>
        <sz val="11"/>
        <color theme="1"/>
        <rFont val="宋体"/>
        <family val="2"/>
        <charset val="134"/>
        <scheme val="minor"/>
      </rPr>
      <t>ork</t>
    </r>
    <phoneticPr fontId="4" type="noConversion"/>
  </si>
  <si>
    <t>RBK-7K-TT-4056</t>
    <phoneticPr fontId="4" type="noConversion"/>
  </si>
  <si>
    <t>SHR-RM9-S05R</t>
    <phoneticPr fontId="4" type="noConversion"/>
  </si>
  <si>
    <t>SHR-RM9-S05L</t>
    <phoneticPr fontId="4" type="noConversion"/>
  </si>
  <si>
    <t>SHR-RM9-S06R</t>
    <phoneticPr fontId="4" type="noConversion"/>
  </si>
  <si>
    <t>SHR-RM9-S06L</t>
    <phoneticPr fontId="4" type="noConversion"/>
  </si>
  <si>
    <t>SHR-RM9-S15R</t>
    <phoneticPr fontId="4" type="noConversion"/>
  </si>
  <si>
    <t>142-152</t>
  </si>
  <si>
    <t>SHR-RM9-S15L</t>
    <phoneticPr fontId="4" type="noConversion"/>
  </si>
  <si>
    <t>RBK-7.1K-TT-3554-DP</t>
    <phoneticPr fontId="4" type="noConversion"/>
  </si>
  <si>
    <t>TB1125-26</t>
    <phoneticPr fontId="4" type="noConversion"/>
  </si>
  <si>
    <t>ULAUNCHMSTWL-45</t>
    <phoneticPr fontId="4" type="noConversion"/>
  </si>
  <si>
    <t>UFRMR75WS-48</t>
    <phoneticPr fontId="4" type="noConversion"/>
  </si>
  <si>
    <r>
      <t>1</t>
    </r>
    <r>
      <rPr>
        <sz val="11"/>
        <color theme="1"/>
        <rFont val="宋体"/>
        <family val="2"/>
        <charset val="134"/>
        <scheme val="minor"/>
      </rPr>
      <t>30</t>
    </r>
    <r>
      <rPr>
        <sz val="12"/>
        <rFont val="宋体"/>
        <family val="3"/>
        <charset val="134"/>
      </rPr>
      <t>*15*10</t>
    </r>
    <phoneticPr fontId="4" type="noConversion"/>
  </si>
  <si>
    <t>UFRMR75WX-48</t>
    <phoneticPr fontId="4" type="noConversion"/>
  </si>
  <si>
    <t>BAL-ULTRA-S63L-M-09060</t>
    <phoneticPr fontId="4" type="noConversion"/>
  </si>
  <si>
    <t>BAL-ULTRA-S63R-M-10060</t>
    <phoneticPr fontId="4" type="noConversion"/>
  </si>
  <si>
    <t>BAL-ULTRA-S63L-M-10060</t>
    <phoneticPr fontId="4" type="noConversion"/>
  </si>
  <si>
    <t>BAL-ULTRA-S63L-M-08060</t>
    <phoneticPr fontId="4" type="noConversion"/>
  </si>
  <si>
    <t>BAL-ULTRA-S63R-M-08060</t>
    <phoneticPr fontId="4" type="noConversion"/>
  </si>
  <si>
    <t>BAL-ULTRA-S63R-M-09060</t>
    <phoneticPr fontId="4" type="noConversion"/>
  </si>
  <si>
    <t>QWOLFCL-GL</t>
    <phoneticPr fontId="4" type="noConversion"/>
  </si>
  <si>
    <t>72*52*32</t>
  </si>
  <si>
    <t>FRMRHYIR-45</t>
    <phoneticPr fontId="4" type="noConversion"/>
  </si>
  <si>
    <t>ULAUNCHMSTWA-45</t>
    <phoneticPr fontId="4" type="noConversion"/>
  </si>
  <si>
    <t>ULAUNCHMSTWS-45</t>
    <phoneticPr fontId="4" type="noConversion"/>
  </si>
  <si>
    <t>UFRMRHYIR-45</t>
    <phoneticPr fontId="4" type="noConversion"/>
  </si>
  <si>
    <t>UFRMRHYIS-45</t>
    <phoneticPr fontId="4" type="noConversion"/>
  </si>
  <si>
    <t>48-54</t>
  </si>
  <si>
    <t>ULAUNCHREDHYIX-41</t>
    <phoneticPr fontId="4" type="noConversion"/>
  </si>
  <si>
    <t>BAL-C410-S63L-08060</t>
    <phoneticPr fontId="4" type="noConversion"/>
  </si>
  <si>
    <t>BAL-C410-S63L-09060</t>
    <phoneticPr fontId="4" type="noConversion"/>
  </si>
  <si>
    <t>BAL-C410-S63L-10060</t>
    <phoneticPr fontId="4" type="noConversion"/>
  </si>
  <si>
    <t>BAL-C410-S63R-08060</t>
    <phoneticPr fontId="4" type="noConversion"/>
  </si>
  <si>
    <t>BAL-C410-S63R-09060</t>
    <phoneticPr fontId="4" type="noConversion"/>
  </si>
  <si>
    <t>BAL-C410-S63R-10060</t>
    <phoneticPr fontId="4" type="noConversion"/>
  </si>
  <si>
    <t>SHR-RM9-S07L</t>
    <phoneticPr fontId="4" type="noConversion"/>
  </si>
  <si>
    <t>RBK-7K-SC-4054</t>
    <phoneticPr fontId="4" type="noConversion"/>
  </si>
  <si>
    <t>UTEGEO33WR-45</t>
    <phoneticPr fontId="4" type="noConversion"/>
  </si>
  <si>
    <t>UFRMRHYIX-45</t>
    <phoneticPr fontId="4" type="noConversion"/>
  </si>
  <si>
    <t>LAUNCHREDHYIS-41</t>
    <phoneticPr fontId="4" type="noConversion"/>
  </si>
  <si>
    <t>LAUNCHREDHYIX-41</t>
    <phoneticPr fontId="4" type="noConversion"/>
  </si>
  <si>
    <t>PLHB-42-R</t>
    <phoneticPr fontId="4" type="noConversion"/>
  </si>
  <si>
    <t>handbar</t>
    <phoneticPr fontId="4" type="noConversion"/>
  </si>
  <si>
    <t>52*20*15</t>
    <phoneticPr fontId="4" type="noConversion"/>
  </si>
  <si>
    <t>PLHB-44-R</t>
    <phoneticPr fontId="4" type="noConversion"/>
  </si>
  <si>
    <t>ULAUNCHREDHYIS-41</t>
    <phoneticPr fontId="4" type="noConversion"/>
  </si>
  <si>
    <t>UTEGEO33WA-45</t>
    <phoneticPr fontId="4" type="noConversion"/>
  </si>
  <si>
    <t>UTEGEO33WS-45</t>
    <phoneticPr fontId="4" type="noConversion"/>
  </si>
  <si>
    <t>RBK-7K-SC-5054</t>
    <phoneticPr fontId="4" type="noConversion"/>
  </si>
  <si>
    <t>ULAUNCHREDIS-40</t>
    <phoneticPr fontId="4" type="noConversion"/>
  </si>
  <si>
    <t>UFRMR90WR-48-350</t>
    <phoneticPr fontId="4" type="noConversion"/>
  </si>
  <si>
    <t>UAXIS933WTX-46</t>
    <phoneticPr fontId="4" type="noConversion"/>
  </si>
  <si>
    <t>91-97</t>
  </si>
  <si>
    <t>BAL-C410-S63R-11060</t>
    <phoneticPr fontId="4" type="noConversion"/>
  </si>
  <si>
    <t>UTEGEO33WL-45</t>
    <phoneticPr fontId="4" type="noConversion"/>
  </si>
  <si>
    <t>ULAUNCHREDIR-40</t>
    <phoneticPr fontId="4" type="noConversion"/>
  </si>
  <si>
    <t>BAL-ULTRA-S13R-M</t>
    <phoneticPr fontId="4" type="noConversion"/>
  </si>
  <si>
    <t>BAL-ULTRA-S13L-M</t>
    <phoneticPr fontId="4" type="noConversion"/>
  </si>
  <si>
    <t>BAL-P126-G01L-57</t>
    <phoneticPr fontId="4" type="noConversion"/>
  </si>
  <si>
    <t>179*42*15</t>
  </si>
  <si>
    <t>163-171</t>
  </si>
  <si>
    <t>BAL-P125-G01L-57</t>
    <phoneticPr fontId="4" type="noConversion"/>
  </si>
  <si>
    <t>RBK-7K-SC-5554</t>
    <phoneticPr fontId="4" type="noConversion"/>
  </si>
  <si>
    <t>FRMRHYIS-45</t>
    <phoneticPr fontId="4" type="noConversion"/>
  </si>
  <si>
    <t>UTEGEO33WX-45</t>
    <phoneticPr fontId="4" type="noConversion"/>
  </si>
  <si>
    <t>UFRMR90WS-48-350</t>
    <phoneticPr fontId="4" type="noConversion"/>
  </si>
  <si>
    <t>BAL-ULTRA-S13R-H</t>
    <phoneticPr fontId="4" type="noConversion"/>
  </si>
  <si>
    <t>BAL-ULTRA-S13L-H</t>
    <phoneticPr fontId="4" type="noConversion"/>
  </si>
  <si>
    <t>CCM-V10-TC-4056-BL</t>
    <phoneticPr fontId="4" type="noConversion"/>
  </si>
  <si>
    <t>FRMRHYIX-45</t>
    <phoneticPr fontId="4" type="noConversion"/>
  </si>
  <si>
    <t>UFRMR90WX-48-350</t>
    <phoneticPr fontId="4" type="noConversion"/>
  </si>
  <si>
    <t>SHR-RM9-S07R</t>
    <phoneticPr fontId="4" type="noConversion"/>
  </si>
  <si>
    <r>
      <t>b</t>
    </r>
    <r>
      <rPr>
        <sz val="11"/>
        <color theme="1"/>
        <rFont val="宋体"/>
        <family val="2"/>
        <charset val="134"/>
        <scheme val="minor"/>
      </rPr>
      <t>lade</t>
    </r>
    <phoneticPr fontId="4" type="noConversion"/>
  </si>
  <si>
    <t>SHR-RMTF-09553</t>
    <phoneticPr fontId="4" type="noConversion"/>
  </si>
  <si>
    <t>SHR-RMTF-08553</t>
    <phoneticPr fontId="4" type="noConversion"/>
  </si>
  <si>
    <t>SHR-RMTF-10553</t>
    <phoneticPr fontId="4" type="noConversion"/>
  </si>
  <si>
    <t>LAUNCHREDIS-405</t>
    <phoneticPr fontId="4" type="noConversion"/>
  </si>
  <si>
    <t>LAUNCHREDIS-39</t>
    <phoneticPr fontId="4" type="noConversion"/>
  </si>
  <si>
    <t>LAUNCHREDIS-395</t>
    <phoneticPr fontId="4" type="noConversion"/>
  </si>
  <si>
    <t>LAUNCHREDIS-38</t>
    <phoneticPr fontId="4" type="noConversion"/>
  </si>
  <si>
    <t>LAUNCHREDIX-405</t>
    <phoneticPr fontId="4" type="noConversion"/>
  </si>
  <si>
    <t>LAUNCHREDIX-40</t>
    <phoneticPr fontId="4" type="noConversion"/>
  </si>
  <si>
    <t>LAUNCHREDIR-40</t>
    <phoneticPr fontId="4" type="noConversion"/>
  </si>
  <si>
    <t>LAUNCHREDIR-37</t>
    <phoneticPr fontId="4" type="noConversion"/>
  </si>
  <si>
    <t>LAUNCHREDIR-39</t>
    <phoneticPr fontId="4" type="noConversion"/>
  </si>
  <si>
    <t>LAUNCHREDIR-395</t>
    <phoneticPr fontId="4" type="noConversion"/>
  </si>
  <si>
    <t>LAUNCHREDIR-385</t>
    <phoneticPr fontId="4" type="noConversion"/>
  </si>
  <si>
    <t>LAUNCHREDIR-365</t>
    <phoneticPr fontId="4" type="noConversion"/>
  </si>
  <si>
    <t>LAUNCHREDIS-385</t>
    <phoneticPr fontId="4" type="noConversion"/>
  </si>
  <si>
    <t>LAUNCHREDIS-40</t>
    <phoneticPr fontId="4" type="noConversion"/>
  </si>
  <si>
    <t>LAUNCHREDIS-365</t>
    <phoneticPr fontId="4" type="noConversion"/>
  </si>
  <si>
    <t>LAUNCHREDIR-375</t>
    <phoneticPr fontId="4" type="noConversion"/>
  </si>
  <si>
    <t>QGS10-8-746</t>
    <phoneticPr fontId="4" type="noConversion"/>
  </si>
  <si>
    <t>QGS10-8-750</t>
    <phoneticPr fontId="4" type="noConversion"/>
  </si>
  <si>
    <t>QGS10-8-741-2-UP</t>
    <phoneticPr fontId="4" type="noConversion"/>
  </si>
  <si>
    <t>LAUNCHIS-41</t>
    <phoneticPr fontId="4" type="noConversion"/>
  </si>
  <si>
    <t>LAUNCHIR-41</t>
    <phoneticPr fontId="4" type="noConversion"/>
  </si>
  <si>
    <t>CCM-V10-TC-4556-BL</t>
    <phoneticPr fontId="4" type="noConversion"/>
  </si>
  <si>
    <t>CCM-V10-TC-5556-BL</t>
    <phoneticPr fontId="4" type="noConversion"/>
  </si>
  <si>
    <t>CCM-V10-TC-6056-BL</t>
    <phoneticPr fontId="4" type="noConversion"/>
  </si>
  <si>
    <t>CCM-V10-TC-5056-BL</t>
    <phoneticPr fontId="4" type="noConversion"/>
  </si>
  <si>
    <t>UIQWRS-48</t>
    <phoneticPr fontId="4" type="noConversion"/>
  </si>
  <si>
    <t>UIQHYIRS-42</t>
    <phoneticPr fontId="4" type="noConversion"/>
  </si>
  <si>
    <t>LAUNCHREDIS-375</t>
    <phoneticPr fontId="4" type="noConversion"/>
  </si>
  <si>
    <t>LAUNCHREDIX-395</t>
    <phoneticPr fontId="4" type="noConversion"/>
  </si>
  <si>
    <t>LAUNCHREDIR-405</t>
    <phoneticPr fontId="4" type="noConversion"/>
  </si>
  <si>
    <t>LAUNCHREDIX-385</t>
    <phoneticPr fontId="4" type="noConversion"/>
  </si>
  <si>
    <t>LAUNCHREDIX-375</t>
    <phoneticPr fontId="4" type="noConversion"/>
  </si>
  <si>
    <t>LAUNCHREDIX-365</t>
    <phoneticPr fontId="4" type="noConversion"/>
  </si>
  <si>
    <t>LAUNCHREDIX-37</t>
    <phoneticPr fontId="4" type="noConversion"/>
  </si>
  <si>
    <t>ULAUNCHOS35WR-46</t>
    <phoneticPr fontId="4" type="noConversion"/>
  </si>
  <si>
    <t>ULAUNCHOS35WS-46</t>
    <phoneticPr fontId="4" type="noConversion"/>
  </si>
  <si>
    <t>LAUNCHREDIS-37</t>
    <phoneticPr fontId="4" type="noConversion"/>
  </si>
  <si>
    <t>LAUNCHREDIR-38</t>
    <phoneticPr fontId="4" type="noConversion"/>
  </si>
  <si>
    <t>SHR-RMTF-07553</t>
    <phoneticPr fontId="4" type="noConversion"/>
  </si>
  <si>
    <t>RBK-7K-ST-5554-NG</t>
    <phoneticPr fontId="4" type="noConversion"/>
  </si>
  <si>
    <t>BAL-50C-S53L-06558</t>
    <phoneticPr fontId="4" type="noConversion"/>
  </si>
  <si>
    <t>277-287</t>
  </si>
  <si>
    <t>BAL-50C-S53R-06558</t>
    <phoneticPr fontId="4" type="noConversion"/>
  </si>
  <si>
    <t>BAL-50C-S55L-06558</t>
    <phoneticPr fontId="4" type="noConversion"/>
  </si>
  <si>
    <t>BAL-50C-S55R-06558</t>
    <phoneticPr fontId="4" type="noConversion"/>
  </si>
  <si>
    <t>BAL-50C-S64L-06558</t>
    <phoneticPr fontId="4" type="noConversion"/>
  </si>
  <si>
    <t>BAL-50C-S64R-06558</t>
    <phoneticPr fontId="4" type="noConversion"/>
  </si>
  <si>
    <t>QGS10-8H-744-2</t>
    <phoneticPr fontId="4" type="noConversion"/>
  </si>
  <si>
    <t>UPKIR-41</t>
    <phoneticPr fontId="4" type="noConversion"/>
  </si>
  <si>
    <t>UPKIA-41</t>
    <phoneticPr fontId="4" type="noConversion"/>
  </si>
  <si>
    <t>UPKIS-41</t>
    <phoneticPr fontId="4" type="noConversion"/>
  </si>
  <si>
    <t>UFRMR70WS-48-350</t>
    <phoneticPr fontId="4" type="noConversion"/>
  </si>
  <si>
    <t>UPK33WR-46</t>
    <phoneticPr fontId="4" type="noConversion"/>
  </si>
  <si>
    <t>UPK33WA-46</t>
    <phoneticPr fontId="4" type="noConversion"/>
  </si>
  <si>
    <t>UPK33WS-46</t>
    <phoneticPr fontId="4" type="noConversion"/>
  </si>
  <si>
    <t>UFRMR70WR-48-350</t>
    <phoneticPr fontId="4" type="noConversion"/>
  </si>
  <si>
    <t>UFRMR70WX-48-350</t>
    <phoneticPr fontId="4" type="noConversion"/>
  </si>
  <si>
    <t>UPK33WL-46</t>
    <phoneticPr fontId="4" type="noConversion"/>
  </si>
  <si>
    <t>UPKIL-41</t>
    <phoneticPr fontId="4" type="noConversion"/>
  </si>
  <si>
    <t>CCM-V8.9-ST-4054-AO</t>
    <phoneticPr fontId="4" type="noConversion"/>
  </si>
  <si>
    <t>CCM-V8.9-ST-3554-AO</t>
    <phoneticPr fontId="4" type="noConversion"/>
  </si>
  <si>
    <t>CCM-V10-ST-4054-AO</t>
    <phoneticPr fontId="4" type="noConversion"/>
  </si>
  <si>
    <t>CCM-V10-ST-3554-AO</t>
    <phoneticPr fontId="4" type="noConversion"/>
  </si>
  <si>
    <t>ULAUNCHREDFWWR-44</t>
    <phoneticPr fontId="4" type="noConversion"/>
  </si>
  <si>
    <t>PLHB-40-R</t>
    <phoneticPr fontId="4" type="noConversion"/>
  </si>
  <si>
    <t>LAUNCHREDIR-SET</t>
    <phoneticPr fontId="4" type="noConversion"/>
  </si>
  <si>
    <t>LAUNCHREDIS-SET</t>
    <phoneticPr fontId="4" type="noConversion"/>
  </si>
  <si>
    <t>ULAUNCHOSFWWS-44</t>
    <phoneticPr fontId="4" type="noConversion"/>
  </si>
  <si>
    <t>QGS10-8-741-2</t>
    <phoneticPr fontId="4" type="noConversion"/>
  </si>
  <si>
    <t>UCLITEIR-41</t>
    <phoneticPr fontId="4" type="noConversion"/>
  </si>
  <si>
    <t>ULAUNCHOSFWWR-44</t>
    <phoneticPr fontId="4" type="noConversion"/>
  </si>
  <si>
    <t>ULAUNCHOSHYIR-41</t>
    <phoneticPr fontId="4" type="noConversion"/>
  </si>
  <si>
    <t>CCM-V10-TT-4556-RD</t>
    <phoneticPr fontId="4" type="noConversion"/>
  </si>
  <si>
    <t>CCM-V10-TT-5056-RD</t>
    <phoneticPr fontId="4" type="noConversion"/>
  </si>
  <si>
    <t>CCM-V10-TT-5556-RD</t>
    <phoneticPr fontId="4" type="noConversion"/>
  </si>
  <si>
    <t>CCM-V10-TT-6056-RD</t>
    <phoneticPr fontId="4" type="noConversion"/>
  </si>
  <si>
    <t>ULAUNCHREDADWX-46</t>
    <phoneticPr fontId="4" type="noConversion"/>
  </si>
  <si>
    <t>RBK-7.1K-SC-3551</t>
    <phoneticPr fontId="4" type="noConversion"/>
  </si>
  <si>
    <t>QGS30-8H-744-B</t>
    <phoneticPr fontId="4" type="noConversion"/>
  </si>
  <si>
    <t>ULAUNCHHYRMIR-41</t>
    <phoneticPr fontId="4" type="noConversion"/>
  </si>
  <si>
    <t>ULAUNCHHYRMIS-41</t>
    <phoneticPr fontId="4" type="noConversion"/>
  </si>
  <si>
    <t>BAL-ULTRA-T-12055-UP</t>
    <phoneticPr fontId="4" type="noConversion"/>
  </si>
  <si>
    <t>ULAUNCHREDADHYIS-41</t>
    <phoneticPr fontId="4" type="noConversion"/>
  </si>
  <si>
    <t>111*29*10</t>
  </si>
  <si>
    <t>QGS10-8-750-2</t>
    <phoneticPr fontId="4" type="noConversion"/>
  </si>
  <si>
    <t>ULAUNCHRMFWR-44</t>
    <phoneticPr fontId="4" type="noConversion"/>
  </si>
  <si>
    <t>ULAUNCHREDADIS-41</t>
    <phoneticPr fontId="4" type="noConversion"/>
  </si>
  <si>
    <t>ULAUNCHRMFWS-44</t>
    <phoneticPr fontId="4" type="noConversion"/>
  </si>
  <si>
    <t>ULAUNCHREDADIR-41</t>
    <phoneticPr fontId="4" type="noConversion"/>
  </si>
  <si>
    <t>ULAUNCHREDADHYIR-41</t>
    <phoneticPr fontId="4" type="noConversion"/>
  </si>
  <si>
    <t>ULAUNCHREDADFWWX-46</t>
    <phoneticPr fontId="4" type="noConversion"/>
  </si>
  <si>
    <t>CCM-V10-ST-4054</t>
    <phoneticPr fontId="4" type="noConversion"/>
  </si>
  <si>
    <t>UBLUPNTHY35WS-44</t>
    <phoneticPr fontId="4" type="noConversion"/>
  </si>
  <si>
    <t>ULAUNCHRED35FWWS-44</t>
    <phoneticPr fontId="4" type="noConversion"/>
  </si>
  <si>
    <t>ULAUNCHRED35FWWR-44</t>
    <phoneticPr fontId="4" type="noConversion"/>
  </si>
  <si>
    <t>LAUNCHREDHYIR-41</t>
    <phoneticPr fontId="4" type="noConversion"/>
  </si>
  <si>
    <t>ULAUNCHRED35FWWX-44</t>
    <phoneticPr fontId="4" type="noConversion"/>
  </si>
  <si>
    <t>TB1000-26</t>
    <phoneticPr fontId="4" type="noConversion"/>
  </si>
  <si>
    <t>SHR-RM9-S53R</t>
    <phoneticPr fontId="4" type="noConversion"/>
  </si>
  <si>
    <t>SHR-RM9-S53L</t>
    <phoneticPr fontId="4" type="noConversion"/>
  </si>
  <si>
    <t>SHR-RM9-S56R</t>
    <phoneticPr fontId="4" type="noConversion"/>
  </si>
  <si>
    <t>SHR-RM9-S56L</t>
    <phoneticPr fontId="4" type="noConversion"/>
  </si>
  <si>
    <t>SHR-RM9-S63R</t>
    <phoneticPr fontId="4" type="noConversion"/>
  </si>
  <si>
    <t>SHR-RM9-S63L</t>
    <phoneticPr fontId="4" type="noConversion"/>
  </si>
  <si>
    <t>CCM-V10-COPS-4560-RD</t>
  </si>
  <si>
    <t>160*29*16</t>
    <phoneticPr fontId="4" type="noConversion"/>
  </si>
  <si>
    <t>CCM-V10-COPS-5060-RD</t>
  </si>
  <si>
    <t>CCM-V10-COPS-4560-BL</t>
  </si>
  <si>
    <t>CCM-V10-COPS-4060-BL</t>
  </si>
  <si>
    <t>CCM-V10-COPS-5060-BL</t>
  </si>
  <si>
    <t>CCM-V10-COPS-4060-RD</t>
  </si>
  <si>
    <t>QGS20-8-640</t>
    <phoneticPr fontId="4" type="noConversion"/>
  </si>
  <si>
    <t>338g</t>
  </si>
  <si>
    <t>QGS20-8-743-UP</t>
    <phoneticPr fontId="4" type="noConversion"/>
  </si>
  <si>
    <t>UBHWRS-48</t>
    <phoneticPr fontId="4" type="noConversion"/>
  </si>
  <si>
    <t>UBHWAL-48</t>
    <phoneticPr fontId="4" type="noConversion"/>
  </si>
  <si>
    <t>CCM-V10-COPS-5560-BL</t>
    <phoneticPr fontId="4" type="noConversion"/>
  </si>
  <si>
    <t>ULAUNCHREDHYIR-41</t>
    <phoneticPr fontId="4" type="noConversion"/>
  </si>
  <si>
    <t>CCM-V10-COPS-4060-YW</t>
    <phoneticPr fontId="4" type="noConversion"/>
  </si>
  <si>
    <t>CCM-V10-COPS-4560-YW</t>
    <phoneticPr fontId="4" type="noConversion"/>
  </si>
  <si>
    <t>SHR-RMLC-08563</t>
  </si>
  <si>
    <t>348-362</t>
  </si>
  <si>
    <t>SHR-RMLC-09563</t>
  </si>
  <si>
    <t>SHR-RMLC-10563</t>
  </si>
  <si>
    <t>RBK-7K-SC-6054</t>
    <phoneticPr fontId="4" type="noConversion"/>
  </si>
  <si>
    <t>SHR-RMTF-11553</t>
  </si>
  <si>
    <t>CCM-V10-COPS-3560-YW</t>
  </si>
  <si>
    <t>CCM-V10-COPS-3560-BL</t>
  </si>
  <si>
    <t>CCM-V10-COPS-3560-RD</t>
  </si>
  <si>
    <t>CCM-V10-COPS-4060-TL</t>
  </si>
  <si>
    <t>CCM-V10-COPS-3560-TL</t>
    <phoneticPr fontId="4" type="noConversion"/>
  </si>
  <si>
    <t>CCM-V10-COPS-3560-LB</t>
    <phoneticPr fontId="4" type="noConversion"/>
  </si>
  <si>
    <t>CCM-V10-COPS-4060-LB</t>
    <phoneticPr fontId="4" type="noConversion"/>
  </si>
  <si>
    <t>CCM-V10-COPS-4560-LB</t>
    <phoneticPr fontId="4" type="noConversion"/>
  </si>
  <si>
    <t>CCM-V10-COPS-4060-DB</t>
    <phoneticPr fontId="4" type="noConversion"/>
  </si>
  <si>
    <t>CCM-V10-COPS-4560-DB</t>
    <phoneticPr fontId="4" type="noConversion"/>
  </si>
  <si>
    <t>CCM-V10-COPS-4560-TL</t>
    <phoneticPr fontId="4" type="noConversion"/>
  </si>
  <si>
    <t>CCM-V10-COPS-5060-YW</t>
    <phoneticPr fontId="4" type="noConversion"/>
  </si>
  <si>
    <t>CCM-V10-COPS-3560-DB</t>
  </si>
  <si>
    <t>CCM-V10-TOPS-4560-LB</t>
    <phoneticPr fontId="4" type="noConversion"/>
  </si>
  <si>
    <t>CCM-V10-TOPS-5060-BL</t>
  </si>
  <si>
    <t>CCM-V10-TOPS-5060-RD</t>
  </si>
  <si>
    <t>CCM-V10-COPS-5560-RD</t>
    <phoneticPr fontId="4" type="noConversion"/>
  </si>
  <si>
    <t>CCM-V10-TOPS-4060-BL</t>
    <phoneticPr fontId="4" type="noConversion"/>
  </si>
  <si>
    <t>CCM-V10-TOPS-4560-BL</t>
    <phoneticPr fontId="4" type="noConversion"/>
  </si>
  <si>
    <t>CCM-V10-TOPS-4560-YW</t>
    <phoneticPr fontId="4" type="noConversion"/>
  </si>
  <si>
    <t>SHR-RMLC-09563-BL</t>
    <phoneticPr fontId="4" type="noConversion"/>
  </si>
  <si>
    <t>SHR-RMLC-10563-BL</t>
    <phoneticPr fontId="4" type="noConversion"/>
  </si>
  <si>
    <t>CCM-V10-TOPS-4560-TL</t>
    <phoneticPr fontId="4" type="noConversion"/>
  </si>
  <si>
    <t>CCM-V10-TOPS-4560-RD</t>
    <phoneticPr fontId="4" type="noConversion"/>
  </si>
  <si>
    <t>CCM-V10-TOPS-3560-BD</t>
    <phoneticPr fontId="4" type="noConversion"/>
  </si>
  <si>
    <t>CCM-V10-TOPS-4060-BD</t>
    <phoneticPr fontId="4" type="noConversion"/>
  </si>
  <si>
    <t>CCM-V10-TOPS-4060-LB</t>
    <phoneticPr fontId="4" type="noConversion"/>
  </si>
  <si>
    <t>CCM-V10-TOPS-4560-BD</t>
    <phoneticPr fontId="4" type="noConversion"/>
  </si>
  <si>
    <t>Y</t>
  </si>
  <si>
    <t>CCM-V10-TOPS-3560-LB</t>
    <phoneticPr fontId="4" type="noConversion"/>
  </si>
  <si>
    <t>CCM-V10-TOPS-4060-YW</t>
    <phoneticPr fontId="4" type="noConversion"/>
  </si>
  <si>
    <t>CCM-V10-TOPS-3560-YW</t>
    <phoneticPr fontId="4" type="noConversion"/>
  </si>
  <si>
    <t>CCM-V10-TOPS-3560-RD</t>
    <phoneticPr fontId="4" type="noConversion"/>
  </si>
  <si>
    <t>CCM-V10-TOPS-4060-RD</t>
    <phoneticPr fontId="4" type="noConversion"/>
  </si>
  <si>
    <t>CCM-V10-TOPS-3560-BL</t>
    <phoneticPr fontId="4" type="noConversion"/>
  </si>
  <si>
    <t>CCM-V10-TOPS-4060-TL</t>
    <phoneticPr fontId="4" type="noConversion"/>
  </si>
  <si>
    <t>CCM-V10-TOPS-5060-YW</t>
    <phoneticPr fontId="4" type="noConversion"/>
  </si>
  <si>
    <t>CCM-V10-TOPS-6060-RD</t>
    <phoneticPr fontId="4" type="noConversion"/>
  </si>
  <si>
    <t>QZ-8-744-UP</t>
    <phoneticPr fontId="4" type="noConversion"/>
  </si>
  <si>
    <t>SHR-RMLC-08563-BL</t>
    <phoneticPr fontId="4" type="noConversion"/>
  </si>
  <si>
    <t>QZ-8-741-UP</t>
    <phoneticPr fontId="4" type="noConversion"/>
  </si>
  <si>
    <t>QGS10-8-750-2-UP</t>
    <phoneticPr fontId="4" type="noConversion"/>
  </si>
  <si>
    <t>QGS10-8-747-2-UP</t>
    <phoneticPr fontId="4" type="noConversion"/>
  </si>
  <si>
    <t>CCM-V8-COPS-5560-NG</t>
    <phoneticPr fontId="4" type="noConversion"/>
  </si>
  <si>
    <t>CCM-V8-COPS-5060-NG</t>
    <phoneticPr fontId="4" type="noConversion"/>
  </si>
  <si>
    <t>CCM-V8-COPS-4060-NG</t>
    <phoneticPr fontId="4" type="noConversion"/>
  </si>
  <si>
    <t>QWOLFSL-8-743-UP</t>
    <phoneticPr fontId="4" type="noConversion"/>
  </si>
  <si>
    <t>QWOLFCL-8-743-UP</t>
    <phoneticPr fontId="4" type="noConversion"/>
  </si>
  <si>
    <r>
      <t>f</t>
    </r>
    <r>
      <rPr>
        <sz val="11"/>
        <color theme="1"/>
        <rFont val="宋体"/>
        <family val="2"/>
        <charset val="134"/>
        <scheme val="minor"/>
      </rPr>
      <t>ork1</t>
    </r>
    <phoneticPr fontId="4" type="noConversion"/>
  </si>
  <si>
    <t>CCM-V8-COPS-4560-NG</t>
    <phoneticPr fontId="4" type="noConversion"/>
  </si>
  <si>
    <t>CCM-V10-TOPS-4060-RD-NG</t>
    <phoneticPr fontId="4" type="noConversion"/>
  </si>
  <si>
    <t>RBK-7K-COPS-5060-NG</t>
    <phoneticPr fontId="4" type="noConversion"/>
  </si>
  <si>
    <t>RBK-7K-COPS-4560-NG</t>
    <phoneticPr fontId="4" type="noConversion"/>
  </si>
  <si>
    <t>RBK-7K-COPS-5560-NG</t>
    <phoneticPr fontId="4" type="noConversion"/>
  </si>
  <si>
    <t>RBK-7K-COPS-4060-NG</t>
    <phoneticPr fontId="4" type="noConversion"/>
  </si>
  <si>
    <t>RBK-7K-COPS-3560</t>
    <phoneticPr fontId="4" type="noConversion"/>
  </si>
  <si>
    <t>RBK-7K-COPS-4060</t>
    <phoneticPr fontId="4" type="noConversion"/>
  </si>
  <si>
    <t>RBK-7K-COPS-4560</t>
    <phoneticPr fontId="4" type="noConversion"/>
  </si>
  <si>
    <t>RBK-7K-COPS-5060</t>
    <phoneticPr fontId="4" type="noConversion"/>
  </si>
  <si>
    <t>RBK-7K-COPS-5560</t>
    <phoneticPr fontId="4" type="noConversion"/>
  </si>
  <si>
    <t>RBK-7K-TOPS-4560-NG</t>
    <phoneticPr fontId="4" type="noConversion"/>
  </si>
  <si>
    <t>UADPLPTIA-41</t>
    <phoneticPr fontId="4" type="noConversion"/>
  </si>
  <si>
    <t>111*29*11</t>
    <phoneticPr fontId="4" type="noConversion"/>
  </si>
  <si>
    <t>UADPLPTIR-41</t>
    <phoneticPr fontId="4" type="noConversion"/>
  </si>
  <si>
    <t>UADPLPTIS-41</t>
    <phoneticPr fontId="4" type="noConversion"/>
  </si>
  <si>
    <t>UADPLPTHYIA-42</t>
    <phoneticPr fontId="4" type="noConversion"/>
  </si>
  <si>
    <t>UADPLPTHYIR-42</t>
    <phoneticPr fontId="4" type="noConversion"/>
  </si>
  <si>
    <t>UADPLPTHYIS-42</t>
    <phoneticPr fontId="4" type="noConversion"/>
  </si>
  <si>
    <t>UMAXFLIFIREWRS-48</t>
    <phoneticPr fontId="4" type="noConversion"/>
  </si>
  <si>
    <t>RBK-7K-TOPS-4060-NG</t>
    <phoneticPr fontId="4" type="noConversion"/>
  </si>
  <si>
    <t>RBK-7K-TOPS-5060-NG</t>
    <phoneticPr fontId="4" type="noConversion"/>
  </si>
  <si>
    <t>RBK-7K-TOPS-5060</t>
    <phoneticPr fontId="4" type="noConversion"/>
  </si>
  <si>
    <t>RBK-7K-TOPS-4560</t>
    <phoneticPr fontId="4" type="noConversion"/>
  </si>
  <si>
    <t>RBK-7K-TOPS-3560-NG</t>
    <phoneticPr fontId="4" type="noConversion"/>
  </si>
  <si>
    <t>RBK-7K-TOPS-4060</t>
    <phoneticPr fontId="4" type="noConversion"/>
  </si>
  <si>
    <t>RBK-7K-TOPS-5560</t>
    <phoneticPr fontId="4" type="noConversion"/>
  </si>
  <si>
    <t>RBK-7K-TOPS-3560</t>
    <phoneticPr fontId="4" type="noConversion"/>
  </si>
  <si>
    <t>RBK-7K-TOPS-5560-NG</t>
    <phoneticPr fontId="4" type="noConversion"/>
  </si>
  <si>
    <t>UADPLPTIW-41</t>
  </si>
  <si>
    <t>111*25*10</t>
    <phoneticPr fontId="4" type="noConversion"/>
  </si>
  <si>
    <t>SHR-RM19-P226-G01L-57</t>
    <phoneticPr fontId="4" type="noConversion"/>
  </si>
  <si>
    <t>PASS-TI-07054-NG</t>
    <phoneticPr fontId="4" type="noConversion"/>
  </si>
  <si>
    <r>
      <t>1</t>
    </r>
    <r>
      <rPr>
        <sz val="11"/>
        <color theme="1"/>
        <rFont val="宋体"/>
        <family val="2"/>
        <charset val="134"/>
        <scheme val="minor"/>
      </rPr>
      <t>45</t>
    </r>
    <r>
      <rPr>
        <sz val="12"/>
        <rFont val="宋体"/>
        <family val="3"/>
        <charset val="134"/>
      </rPr>
      <t>*29*16</t>
    </r>
    <phoneticPr fontId="4" type="noConversion"/>
  </si>
  <si>
    <t>311-321</t>
  </si>
  <si>
    <t>PASS-TI-10054-NG</t>
    <phoneticPr fontId="4" type="noConversion"/>
  </si>
  <si>
    <t>324-338</t>
  </si>
  <si>
    <t>RBK-7K-TT-4556-NG</t>
    <phoneticPr fontId="4" type="noConversion"/>
  </si>
  <si>
    <t>RBK-7K-TT-4056-NG</t>
    <phoneticPr fontId="4" type="noConversion"/>
  </si>
  <si>
    <t>RBK-7K-TT-5056-NG</t>
    <phoneticPr fontId="4" type="noConversion"/>
  </si>
  <si>
    <t>RBK-7K-TT-5556-NG</t>
    <phoneticPr fontId="4" type="noConversion"/>
  </si>
  <si>
    <t>CCM-V8.9-COPS-4060-BL</t>
    <phoneticPr fontId="4" type="noConversion"/>
  </si>
  <si>
    <t>CCM-V8.9-COPS-4560-BL</t>
    <phoneticPr fontId="4" type="noConversion"/>
  </si>
  <si>
    <t>UWFS5WR-47</t>
    <phoneticPr fontId="4" type="noConversion"/>
  </si>
  <si>
    <t>PASS-EVO-10056-NG</t>
    <phoneticPr fontId="4" type="noConversion"/>
  </si>
  <si>
    <t>PASS-EVO-07056</t>
  </si>
  <si>
    <t>313-323</t>
  </si>
  <si>
    <t>PASS-EVO-10056</t>
  </si>
  <si>
    <t>PASS-EVO-11056</t>
  </si>
  <si>
    <t>ESP10PRR</t>
    <phoneticPr fontId="4" type="noConversion"/>
  </si>
  <si>
    <t>QINSERT-SL</t>
    <phoneticPr fontId="4" type="noConversion"/>
  </si>
  <si>
    <t>insert</t>
    <phoneticPr fontId="4" type="noConversion"/>
  </si>
  <si>
    <t>PASS-EVO-10056</t>
    <phoneticPr fontId="4" type="noConversion"/>
  </si>
  <si>
    <t>PASS-EVO-11056</t>
    <phoneticPr fontId="4" type="noConversion"/>
  </si>
  <si>
    <r>
      <t>h</t>
    </r>
    <r>
      <rPr>
        <sz val="11"/>
        <color theme="1"/>
        <rFont val="宋体"/>
        <family val="2"/>
        <charset val="134"/>
        <scheme val="minor"/>
      </rPr>
      <t>ockey</t>
    </r>
    <phoneticPr fontId="4" type="noConversion"/>
  </si>
  <si>
    <t>CCM-V10-TOPS-5560-RD</t>
    <phoneticPr fontId="4" type="noConversion"/>
  </si>
  <si>
    <t>UMAXFLIEZIRS-43</t>
    <phoneticPr fontId="4" type="noConversion"/>
  </si>
  <si>
    <t>ESP10PRL</t>
    <phoneticPr fontId="4" type="noConversion"/>
  </si>
  <si>
    <t>UWFS5FWWR-44</t>
    <phoneticPr fontId="4" type="noConversion"/>
  </si>
  <si>
    <t>BAL-P127-G01L-57</t>
    <phoneticPr fontId="4" type="noConversion"/>
  </si>
  <si>
    <t>CCM-V8-COPS-3060-NG</t>
    <phoneticPr fontId="4" type="noConversion"/>
  </si>
  <si>
    <t>SHR-RM19-P225-G01L-57</t>
    <phoneticPr fontId="4" type="noConversion"/>
  </si>
  <si>
    <t>SHR-RM19-P227-G01L-57</t>
    <phoneticPr fontId="4" type="noConversion"/>
  </si>
  <si>
    <t>绩能复合材料制品（广州）有限公司</t>
    <phoneticPr fontId="4" type="noConversion"/>
  </si>
  <si>
    <t>1、纸箱规格一定要检查是否需要修改？</t>
    <phoneticPr fontId="4" type="noConversion"/>
  </si>
  <si>
    <t>JI NENG COMPOSITE MATERIALS &amp; PRODUCTS (GUANGZHOU) LTD.</t>
    <phoneticPr fontId="4" type="noConversion"/>
  </si>
  <si>
    <r>
      <t>2</t>
    </r>
    <r>
      <rPr>
        <b/>
        <sz val="18"/>
        <rFont val="宋体"/>
        <family val="3"/>
        <charset val="134"/>
      </rPr>
      <t>、车叉需注意区分类型；</t>
    </r>
    <phoneticPr fontId="4" type="noConversion"/>
  </si>
  <si>
    <t>728 Xiagang Blvd., Heng Yun Building 5F Guangzhou Economic &amp; Technology Development District</t>
    <phoneticPr fontId="4" type="noConversion"/>
  </si>
  <si>
    <r>
      <t>3</t>
    </r>
    <r>
      <rPr>
        <sz val="20"/>
        <rFont val="宋体"/>
        <family val="3"/>
        <charset val="134"/>
      </rPr>
      <t>、</t>
    </r>
    <r>
      <rPr>
        <sz val="20"/>
        <rFont val="Times New Roman"/>
        <family val="1"/>
      </rPr>
      <t>TFC</t>
    </r>
    <r>
      <rPr>
        <sz val="20"/>
        <rFont val="宋体"/>
        <family val="3"/>
        <charset val="134"/>
      </rPr>
      <t>一个卡板只能放八层，但一层可放</t>
    </r>
    <r>
      <rPr>
        <sz val="20"/>
        <rFont val="Times New Roman"/>
        <family val="1"/>
      </rPr>
      <t>5</t>
    </r>
    <r>
      <rPr>
        <sz val="20"/>
        <rFont val="宋体"/>
        <family val="3"/>
        <charset val="134"/>
      </rPr>
      <t>箱</t>
    </r>
    <phoneticPr fontId="4" type="noConversion"/>
  </si>
  <si>
    <t>TEL:86-20-22321015 FAX: 86-757-82209433</t>
    <phoneticPr fontId="4" type="noConversion"/>
  </si>
  <si>
    <r>
      <t>4</t>
    </r>
    <r>
      <rPr>
        <sz val="16"/>
        <rFont val="宋体"/>
        <family val="3"/>
        <charset val="134"/>
      </rPr>
      <t>、注意汇总重量数据是否包括全部？</t>
    </r>
    <phoneticPr fontId="4" type="noConversion"/>
  </si>
  <si>
    <t>考虑先进先出时：</t>
    <phoneticPr fontId="4" type="noConversion"/>
  </si>
  <si>
    <t>装箱单</t>
    <phoneticPr fontId="4" type="noConversion"/>
  </si>
  <si>
    <t>请注意库存数据截止时间如下:</t>
    <phoneticPr fontId="4" type="noConversion"/>
  </si>
  <si>
    <t>PACKING LIST</t>
    <phoneticPr fontId="4" type="noConversion"/>
  </si>
  <si>
    <t>To Messrs:</t>
    <phoneticPr fontId="4" type="noConversion"/>
  </si>
  <si>
    <t>Invoice No.:</t>
    <phoneticPr fontId="4" type="noConversion"/>
  </si>
  <si>
    <t>JEC-</t>
    <phoneticPr fontId="4" type="noConversion"/>
  </si>
  <si>
    <t>(灰色部分为库存数量暂不够部分)</t>
    <phoneticPr fontId="4" type="noConversion"/>
  </si>
  <si>
    <t>TRUE TEMPER SPORTS INC.</t>
    <phoneticPr fontId="4" type="noConversion"/>
  </si>
  <si>
    <t>Date:</t>
    <phoneticPr fontId="4" type="noConversion"/>
  </si>
  <si>
    <t>2007-08-</t>
    <phoneticPr fontId="4" type="noConversion"/>
  </si>
  <si>
    <t>ADD: 1020 North Marshall Aven. El Cajon, CA 92020</t>
    <phoneticPr fontId="4" type="noConversion"/>
  </si>
  <si>
    <t>x</t>
  </si>
  <si>
    <t>cm</t>
  </si>
  <si>
    <t xml:space="preserve">From </t>
    <phoneticPr fontId="4" type="noConversion"/>
  </si>
  <si>
    <r>
      <t>GUANGZHOU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CHINA</t>
    </r>
    <phoneticPr fontId="4" type="noConversion"/>
  </si>
  <si>
    <t>To</t>
    <phoneticPr fontId="4" type="noConversion"/>
  </si>
  <si>
    <t>CTN
 NO.</t>
    <phoneticPr fontId="4" type="noConversion"/>
  </si>
  <si>
    <t xml:space="preserve">DESCRIPTION OF GOODS </t>
    <phoneticPr fontId="4" type="noConversion"/>
  </si>
  <si>
    <t>QUANTITY</t>
    <phoneticPr fontId="4" type="noConversion"/>
  </si>
  <si>
    <t>GROSS WEIGHT</t>
    <phoneticPr fontId="4" type="noConversion"/>
  </si>
  <si>
    <t>NET WEIGHT</t>
    <phoneticPr fontId="4" type="noConversion"/>
  </si>
  <si>
    <t>MEASUREMENT</t>
    <phoneticPr fontId="4" type="noConversion"/>
  </si>
  <si>
    <t>体积</t>
    <phoneticPr fontId="4" type="noConversion"/>
  </si>
  <si>
    <t>每支单重</t>
    <phoneticPr fontId="4" type="noConversion"/>
  </si>
  <si>
    <t>纸箱重量</t>
    <phoneticPr fontId="4" type="noConversion"/>
  </si>
  <si>
    <t>每箱数量</t>
    <phoneticPr fontId="4" type="noConversion"/>
  </si>
  <si>
    <t>Inventory
QTY</t>
    <phoneticPr fontId="4" type="noConversion"/>
  </si>
  <si>
    <t>Remark</t>
    <phoneticPr fontId="4" type="noConversion"/>
  </si>
  <si>
    <t>(KGS)</t>
    <phoneticPr fontId="4" type="noConversion"/>
  </si>
  <si>
    <t>(cm)</t>
    <phoneticPr fontId="4" type="noConversion"/>
  </si>
  <si>
    <t>高尔夫球杆杆轴11</t>
    <phoneticPr fontId="4" type="noConversion"/>
  </si>
  <si>
    <t>1 - 5</t>
  </si>
  <si>
    <t>CARTONS</t>
  </si>
  <si>
    <t>KGS</t>
  </si>
  <si>
    <t>( 50 PCS/CTN, 250PCS)</t>
  </si>
  <si>
    <t>6 - 6</t>
  </si>
  <si>
    <t>( 45 PCS/CTN, 45PCS)</t>
  </si>
  <si>
    <t>( 18 PCS/CTN, 18PCS)</t>
  </si>
  <si>
    <t>(@1.896 kgs)</t>
  </si>
  <si>
    <t>(@1.296kgs)</t>
  </si>
  <si>
    <t>( 25 PCS/CTN, 25PCS)</t>
  </si>
  <si>
    <t>(@10.98 kgs)</t>
  </si>
  <si>
    <t>(@9.5kgs)</t>
  </si>
  <si>
    <t>( 12 PCS/CTN, 24PCS)</t>
  </si>
  <si>
    <t>(@11.1 kgs)</t>
  </si>
  <si>
    <t>(@8.88kgs)</t>
  </si>
  <si>
    <t>( 1 PCS/CTN, 1PCS)</t>
  </si>
  <si>
    <t>(@2.96 kgs)</t>
  </si>
  <si>
    <t>(@.74kgs)</t>
  </si>
  <si>
    <t>TOTAL:</t>
    <phoneticPr fontId="4" type="noConversion"/>
  </si>
  <si>
    <t>CARTONS/</t>
    <phoneticPr fontId="4" type="noConversion"/>
  </si>
  <si>
    <t>(PCS)</t>
    <phoneticPr fontId="4" type="noConversion"/>
  </si>
  <si>
    <t>KGS</t>
    <phoneticPr fontId="4" type="noConversion"/>
  </si>
  <si>
    <t>REMARK:</t>
    <phoneticPr fontId="4" type="noConversion"/>
  </si>
  <si>
    <t xml:space="preserve">1. Pallet QTY: </t>
    <phoneticPr fontId="4" type="noConversion"/>
  </si>
  <si>
    <t xml:space="preserve"> Pallet(s)</t>
    <phoneticPr fontId="4" type="noConversion"/>
  </si>
  <si>
    <t xml:space="preserve">2.Ture Temper Order Number: </t>
    <phoneticPr fontId="4" type="noConversion"/>
  </si>
  <si>
    <t>3.Customer Name:</t>
    <phoneticPr fontId="4" type="noConversion"/>
  </si>
  <si>
    <t>4.Ship to:</t>
    <phoneticPr fontId="4" type="noConversion"/>
  </si>
  <si>
    <t>5.Delivery NO:</t>
    <phoneticPr fontId="4" type="noConversion"/>
  </si>
  <si>
    <t>6.Method of Transportation :</t>
    <phoneticPr fontId="4" type="noConversion"/>
  </si>
  <si>
    <t>7.Packing  requirement:</t>
    <phoneticPr fontId="4" type="noConversion"/>
  </si>
  <si>
    <t>8. Other Detail Description:</t>
    <phoneticPr fontId="4" type="noConversion"/>
  </si>
  <si>
    <t>Ji Neng Composite Material&amp; Products (Guangzhou) Co., Ltd.</t>
    <phoneticPr fontId="4" type="noConversion"/>
  </si>
  <si>
    <t>绩能复合材料制品（广州）有限公司</t>
    <phoneticPr fontId="4" type="noConversion"/>
  </si>
  <si>
    <t>JI NENG COMPOSITE MATERIALS &amp; PRODUCTS (GUANGZHOU) LTD.</t>
    <phoneticPr fontId="4" type="noConversion"/>
  </si>
  <si>
    <t>728 Xiagang Blvd., Heng Yun Building 5F Guangzhou Economic &amp; Technology Development District</t>
    <phoneticPr fontId="4" type="noConversion"/>
  </si>
  <si>
    <t>TEL:86-20-22321015 FAX: 86-757-82209433</t>
    <phoneticPr fontId="4" type="noConversion"/>
  </si>
  <si>
    <t>发票</t>
    <phoneticPr fontId="4" type="noConversion"/>
  </si>
  <si>
    <t>COMMERCIAL  INVOICE</t>
    <phoneticPr fontId="4" type="noConversion"/>
  </si>
  <si>
    <t>Invoice No.:</t>
    <phoneticPr fontId="4" type="noConversion"/>
  </si>
  <si>
    <t>JEC-05??</t>
    <phoneticPr fontId="4" type="noConversion"/>
  </si>
  <si>
    <t>To Messrs:</t>
    <phoneticPr fontId="4" type="noConversion"/>
  </si>
  <si>
    <t>Date:</t>
    <phoneticPr fontId="4" type="noConversion"/>
  </si>
  <si>
    <t>TRUE TEMPER SPORTS INC.</t>
    <phoneticPr fontId="4" type="noConversion"/>
  </si>
  <si>
    <t xml:space="preserve">                   ADD: 1020 North Marshall Aven. El Cajon, CA 92020</t>
    <phoneticPr fontId="4" type="noConversion"/>
  </si>
  <si>
    <t xml:space="preserve">From </t>
    <phoneticPr fontId="4" type="noConversion"/>
  </si>
  <si>
    <t>GUANGZHOU,CHINA</t>
    <phoneticPr fontId="4" type="noConversion"/>
  </si>
  <si>
    <t>To</t>
    <phoneticPr fontId="4" type="noConversion"/>
  </si>
  <si>
    <t>Hong Kong</t>
    <phoneticPr fontId="4" type="noConversion"/>
  </si>
  <si>
    <t>Marks &amp; No.</t>
    <phoneticPr fontId="4" type="noConversion"/>
  </si>
  <si>
    <t>Description Of Goods</t>
    <phoneticPr fontId="4" type="noConversion"/>
  </si>
  <si>
    <t>Unit Price</t>
    <phoneticPr fontId="4" type="noConversion"/>
  </si>
  <si>
    <t xml:space="preserve">Amount </t>
    <phoneticPr fontId="4" type="noConversion"/>
  </si>
  <si>
    <t>CNF LOSANGELES</t>
    <phoneticPr fontId="4" type="noConversion"/>
  </si>
  <si>
    <t>PCS</t>
  </si>
  <si>
    <t>SHR-RM19-P225-G01L-57</t>
  </si>
  <si>
    <t>备货日期：</t>
    <phoneticPr fontId="4" type="noConversion"/>
  </si>
  <si>
    <t>1、确认《shipping schedule》对包装\标签等的特殊要求，包括Packing Instruction和Remarks；如PING客户必须有PO号及出货日期的标签；ORGA要求有ORGA ITEM CODE,以及良品或不良，P、N以及真假杆的情形；</t>
    <phoneticPr fontId="4" type="noConversion"/>
  </si>
  <si>
    <t>Product  SKU</t>
  </si>
  <si>
    <t>company
sp</t>
    <phoneticPr fontId="4" type="noConversion"/>
  </si>
  <si>
    <t>SKU Desc</t>
  </si>
  <si>
    <t>Order Qty</t>
  </si>
  <si>
    <t>Finish Products in warehouse</t>
  </si>
  <si>
    <t>(23-Jun)Plan Qty</t>
  </si>
  <si>
    <t>Actually 
Ship Qty</t>
    <phoneticPr fontId="4" type="noConversion"/>
  </si>
  <si>
    <t>unit
weight</t>
    <phoneticPr fontId="4" type="noConversion"/>
  </si>
  <si>
    <t>CTN
WEIGHT</t>
    <phoneticPr fontId="4" type="noConversion"/>
  </si>
  <si>
    <t>on-hand
 QTY</t>
    <phoneticPr fontId="4" type="noConversion"/>
  </si>
  <si>
    <t>Insufficient
QTY</t>
    <phoneticPr fontId="4" type="noConversion"/>
  </si>
  <si>
    <t>category</t>
    <phoneticPr fontId="4" type="noConversion"/>
  </si>
  <si>
    <t>remak1+不良+分类</t>
    <phoneticPr fontId="4" type="noConversion"/>
  </si>
  <si>
    <t>CTN</t>
    <phoneticPr fontId="4" type="noConversion"/>
  </si>
  <si>
    <t>ODD</t>
    <phoneticPr fontId="4" type="noConversion"/>
  </si>
  <si>
    <t>SIZE</t>
    <phoneticPr fontId="4" type="noConversion"/>
  </si>
  <si>
    <t>2、将《shipping schedule》中的计划复制到此表，然后做《数据透视表》；</t>
    <phoneticPr fontId="4" type="noConversion"/>
  </si>
  <si>
    <t>产品品名</t>
  </si>
  <si>
    <t>代码</t>
  </si>
  <si>
    <t>包装量</t>
    <phoneticPr fontId="4" type="noConversion"/>
  </si>
  <si>
    <t>定单数</t>
  </si>
  <si>
    <t>入库的成品数</t>
  </si>
  <si>
    <t>6月23日的计划出货数</t>
  </si>
  <si>
    <t>实际出货数</t>
    <phoneticPr fontId="59" type="noConversion"/>
  </si>
  <si>
    <t>单重（g）</t>
    <phoneticPr fontId="4" type="noConversion"/>
  </si>
  <si>
    <t>箱重</t>
    <phoneticPr fontId="4" type="noConversion"/>
  </si>
  <si>
    <t>现有库存</t>
    <phoneticPr fontId="4" type="noConversion"/>
  </si>
  <si>
    <t>不够数量</t>
    <phoneticPr fontId="4" type="noConversion"/>
  </si>
  <si>
    <t>类别</t>
    <phoneticPr fontId="4" type="noConversion"/>
  </si>
  <si>
    <t>备注</t>
    <phoneticPr fontId="4" type="noConversion"/>
  </si>
  <si>
    <t>箱数</t>
    <phoneticPr fontId="4" type="noConversion"/>
  </si>
  <si>
    <t>零头</t>
    <phoneticPr fontId="4" type="noConversion"/>
  </si>
  <si>
    <t>纸箱类型</t>
    <phoneticPr fontId="4" type="noConversion"/>
  </si>
  <si>
    <t>3、将《数据透视表》数据复制到《制单》，按成品大类排序，然后考虑按数量排序（因数量少的需合并）；</t>
    <phoneticPr fontId="4" type="noConversion"/>
  </si>
  <si>
    <t>SHR-RM19-P225-G01L-57</t>
    <phoneticPr fontId="4" type="noConversion"/>
  </si>
  <si>
    <t>Total</t>
  </si>
  <si>
    <t>( 50 PCS/CTN, 200PCS)</t>
  </si>
  <si>
    <t>( 34 PCS/CTN, 34PCS)</t>
  </si>
  <si>
    <t>( 1 PCS/CTN, 50PCS)</t>
  </si>
  <si>
    <t>(@.93 kgs)</t>
  </si>
  <si>
    <t>(@.43kgs)</t>
  </si>
  <si>
    <t>(@5.55 kgs)</t>
  </si>
  <si>
    <t>(@4.95kgs)</t>
  </si>
  <si>
    <t>(@3.966 kgs)</t>
  </si>
  <si>
    <t>(@3.366kgs)</t>
  </si>
  <si>
    <t>(@17.78 kgs)</t>
  </si>
  <si>
    <t>(@16.3kgs)</t>
  </si>
  <si>
    <t>(@16.15 kgs)</t>
  </si>
  <si>
    <t>(@14.67kgs)</t>
  </si>
  <si>
    <t>105 - 105</t>
  </si>
  <si>
    <t>106 - 107</t>
  </si>
  <si>
    <t>108 - 108</t>
  </si>
  <si>
    <t>( 1 PCS/CTN, 36PCS)</t>
  </si>
  <si>
    <t>7 - 42</t>
  </si>
  <si>
    <t>43 - 46</t>
  </si>
  <si>
    <t>47 - 47</t>
  </si>
  <si>
    <t>48 - 48</t>
  </si>
  <si>
    <t>49 - 98</t>
  </si>
  <si>
    <t>99 - 102</t>
  </si>
  <si>
    <t>103 - 103</t>
  </si>
  <si>
    <t>104 - 104</t>
  </si>
  <si>
    <t>109 - 110</t>
  </si>
  <si>
    <t>111 - 111</t>
  </si>
  <si>
    <t>PCS</t>
    <phoneticPr fontId="1" type="noConversion"/>
  </si>
  <si>
    <t>TOTAL:</t>
    <phoneticPr fontId="1" type="noConversion"/>
  </si>
  <si>
    <t>112 - 112</t>
  </si>
  <si>
    <t>113 - 162</t>
  </si>
  <si>
    <t>163 - 166</t>
  </si>
  <si>
    <t>167 - 167</t>
  </si>
  <si>
    <t>168 - 168</t>
  </si>
  <si>
    <t>169 - 169</t>
  </si>
  <si>
    <t>170 - 171</t>
  </si>
  <si>
    <t>172 - 172</t>
  </si>
  <si>
    <t>173 - 174</t>
  </si>
  <si>
    <t>175 - 175</t>
  </si>
  <si>
    <t>( 1355PCS )</t>
    <phoneticPr fontId="4" type="noConversion"/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</si>
</sst>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176" formatCode="0.0_ "/>
    <numFmt numFmtId="177" formatCode="0_ "/>
    <numFmt numFmtId="178" formatCode="0_);[Red]\(0\)"/>
    <numFmt numFmtId="179" formatCode="0.00_);[Red]\(0.00\)"/>
    <numFmt numFmtId="180" formatCode="_ * #,##0.000_ ;_ * \-#,##0.000_ ;_ * &quot;-&quot;??_ ;_ @_ "/>
    <numFmt numFmtId="181" formatCode="&quot;US$&quot;#,##0.00_);[Red]\(&quot;US$&quot;#,##0.00\)"/>
    <numFmt numFmtId="182" formatCode="[$USD]\ #,##0.00_);\([$USD]\ #,##0.00\)"/>
  </numFmts>
  <fonts count="6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GungsuhChe"/>
      <family val="3"/>
    </font>
    <font>
      <sz val="9"/>
      <name val="宋体"/>
      <family val="3"/>
      <charset val="134"/>
    </font>
    <font>
      <sz val="12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color indexed="10"/>
      <name val="Arial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36"/>
      <name val="宋体"/>
      <family val="3"/>
      <charset val="134"/>
    </font>
    <font>
      <b/>
      <sz val="18"/>
      <name val="Times New Roman"/>
      <family val="1"/>
    </font>
    <font>
      <b/>
      <sz val="22"/>
      <name val="Times New Roman"/>
      <family val="1"/>
    </font>
    <font>
      <b/>
      <sz val="18"/>
      <name val="宋体"/>
      <family val="3"/>
      <charset val="134"/>
    </font>
    <font>
      <sz val="20"/>
      <name val="Times New Roman"/>
      <family val="1"/>
    </font>
    <font>
      <sz val="20"/>
      <name val="宋体"/>
      <family val="3"/>
      <charset val="134"/>
    </font>
    <font>
      <sz val="16"/>
      <name val="Times New Roman"/>
      <family val="1"/>
    </font>
    <font>
      <sz val="16"/>
      <name val="宋体"/>
      <family val="3"/>
      <charset val="134"/>
    </font>
    <font>
      <b/>
      <sz val="20"/>
      <name val="宋体"/>
      <family val="3"/>
      <charset val="134"/>
    </font>
    <font>
      <b/>
      <sz val="28"/>
      <name val="宋体"/>
      <family val="3"/>
      <charset val="134"/>
    </font>
    <font>
      <sz val="18"/>
      <name val="宋体"/>
      <family val="3"/>
      <charset val="134"/>
    </font>
    <font>
      <b/>
      <u/>
      <sz val="26"/>
      <name val="Times New Roman"/>
      <family val="1"/>
    </font>
    <font>
      <sz val="18"/>
      <name val="Times New Roman"/>
      <family val="1"/>
    </font>
    <font>
      <sz val="16"/>
      <color indexed="9"/>
      <name val="宋体"/>
      <family val="3"/>
      <charset val="134"/>
    </font>
    <font>
      <sz val="16"/>
      <color indexed="9"/>
      <name val="Times New Roman"/>
      <family val="1"/>
    </font>
    <font>
      <b/>
      <sz val="16"/>
      <name val="Times New Roman"/>
      <family val="1"/>
    </font>
    <font>
      <b/>
      <sz val="16"/>
      <name val="宋体"/>
      <family val="3"/>
      <charset val="134"/>
    </font>
    <font>
      <b/>
      <sz val="14"/>
      <name val="Times New Roman"/>
      <family val="1"/>
    </font>
    <font>
      <sz val="18"/>
      <name val="Arial"/>
      <family val="2"/>
    </font>
    <font>
      <b/>
      <i/>
      <sz val="12"/>
      <name val="Arial"/>
      <family val="2"/>
    </font>
    <font>
      <b/>
      <sz val="20"/>
      <name val="Times New Roman"/>
      <family val="1"/>
    </font>
    <font>
      <b/>
      <i/>
      <sz val="20"/>
      <name val="Arial"/>
      <family val="2"/>
    </font>
    <font>
      <b/>
      <sz val="18"/>
      <name val="Arial"/>
      <family val="2"/>
    </font>
    <font>
      <sz val="14"/>
      <name val="Times New Roman"/>
      <family val="1"/>
    </font>
    <font>
      <b/>
      <sz val="26"/>
      <name val="宋体"/>
      <family val="3"/>
      <charset val="134"/>
    </font>
    <font>
      <sz val="14"/>
      <name val="Arial"/>
      <family val="2"/>
    </font>
    <font>
      <b/>
      <sz val="24"/>
      <name val="宋体"/>
      <family val="3"/>
      <charset val="134"/>
    </font>
    <font>
      <b/>
      <u/>
      <sz val="24"/>
      <name val="Times New Roman"/>
      <family val="1"/>
    </font>
    <font>
      <b/>
      <sz val="24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4"/>
      <name val="宋体"/>
      <family val="3"/>
      <charset val="134"/>
    </font>
    <font>
      <sz val="22"/>
      <name val="Times New Roman"/>
      <family val="1"/>
    </font>
    <font>
      <sz val="14"/>
      <color theme="0"/>
      <name val="Arial"/>
      <family val="2"/>
    </font>
    <font>
      <b/>
      <sz val="20"/>
      <name val="Arial"/>
      <family val="2"/>
    </font>
    <font>
      <sz val="11"/>
      <name val="宋体"/>
      <family val="3"/>
      <charset val="134"/>
    </font>
    <font>
      <sz val="11"/>
      <name val="幼圆"/>
      <family val="3"/>
      <charset val="134"/>
    </font>
    <font>
      <u/>
      <sz val="10"/>
      <color indexed="12"/>
      <name val="Arial"/>
      <family val="2"/>
    </font>
    <font>
      <u val="double"/>
      <sz val="16"/>
      <color indexed="12"/>
      <name val="宋体"/>
      <family val="3"/>
      <charset val="134"/>
    </font>
    <font>
      <u/>
      <sz val="18"/>
      <color indexed="12"/>
      <name val="Arial"/>
      <family val="2"/>
    </font>
    <font>
      <sz val="12"/>
      <color theme="0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6"/>
      <color theme="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9"/>
      <color theme="0"/>
      <name val="宋体"/>
      <family val="3"/>
      <charset val="134"/>
    </font>
    <font>
      <b/>
      <sz val="11"/>
      <name val="宋体"/>
      <family val="3"/>
      <charset val="134"/>
    </font>
    <font>
      <sz val="8"/>
      <name val="Arial"/>
      <family val="2"/>
    </font>
    <font>
      <b/>
      <sz val="12"/>
      <name val="Arial"/>
      <family val="2"/>
    </font>
    <font>
      <u/>
      <sz val="14"/>
      <color indexed="12"/>
      <name val="Arial"/>
      <family val="2"/>
    </font>
    <font>
      <b/>
      <sz val="16"/>
      <color rgb="FFC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50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269">
    <xf numFmtId="0" fontId="0" fillId="0" borderId="0" xfId="0">
      <alignment vertical="center"/>
    </xf>
    <xf numFmtId="0" fontId="3" fillId="0" borderId="1" xfId="0" applyFont="1" applyFill="1" applyBorder="1" applyAlignment="1" applyProtection="1">
      <alignment horizontal="left" vertical="center" shrinkToFit="1"/>
      <protection locked="0"/>
    </xf>
    <xf numFmtId="0" fontId="3" fillId="0" borderId="1" xfId="0" applyFont="1" applyFill="1" applyBorder="1" applyAlignment="1" applyProtection="1">
      <alignment horizontal="center" vertical="center" shrinkToFit="1"/>
    </xf>
    <xf numFmtId="0" fontId="5" fillId="0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left" vertical="center" shrinkToFit="1"/>
    </xf>
    <xf numFmtId="0" fontId="3" fillId="0" borderId="1" xfId="0" applyFont="1" applyFill="1" applyBorder="1" applyAlignment="1" applyProtection="1">
      <alignment horizontal="right" vertical="center" shrinkToFit="1"/>
    </xf>
    <xf numFmtId="0" fontId="3" fillId="0" borderId="1" xfId="0" applyFont="1" applyFill="1" applyBorder="1" applyAlignment="1" applyProtection="1">
      <alignment vertical="center" shrinkToFit="1"/>
    </xf>
    <xf numFmtId="0" fontId="6" fillId="0" borderId="2" xfId="0" applyFont="1" applyFill="1" applyBorder="1" applyAlignment="1" applyProtection="1">
      <alignment horizontal="left" vertical="center" shrinkToFit="1"/>
      <protection locked="0"/>
    </xf>
    <xf numFmtId="0" fontId="6" fillId="0" borderId="1" xfId="0" applyFont="1" applyFill="1" applyBorder="1" applyAlignment="1" applyProtection="1">
      <alignment horizontal="center" vertical="center" shrinkToFit="1"/>
    </xf>
    <xf numFmtId="0" fontId="6" fillId="2" borderId="1" xfId="0" applyFont="1" applyFill="1" applyBorder="1" applyAlignment="1" applyProtection="1">
      <alignment horizontal="center" vertical="center" shrinkToFit="1"/>
    </xf>
    <xf numFmtId="0" fontId="6" fillId="0" borderId="1" xfId="0" applyFont="1" applyFill="1" applyBorder="1" applyAlignment="1" applyProtection="1">
      <alignment horizontal="left" vertical="center" shrinkToFit="1"/>
    </xf>
    <xf numFmtId="0" fontId="6" fillId="2" borderId="1" xfId="0" applyFont="1" applyFill="1" applyBorder="1" applyAlignment="1" applyProtection="1">
      <alignment horizontal="right" vertical="center" shrinkToFit="1"/>
    </xf>
    <xf numFmtId="0" fontId="6" fillId="2" borderId="1" xfId="0" applyFont="1" applyFill="1" applyBorder="1" applyAlignment="1" applyProtection="1">
      <alignment vertical="center" shrinkToFit="1"/>
    </xf>
    <xf numFmtId="0" fontId="6" fillId="0" borderId="1" xfId="0" applyFont="1" applyFill="1" applyBorder="1" applyAlignment="1" applyProtection="1">
      <alignment vertical="center" shrinkToFit="1"/>
    </xf>
    <xf numFmtId="0" fontId="6" fillId="0" borderId="0" xfId="0" applyFont="1" applyFill="1" applyBorder="1" applyAlignment="1" applyProtection="1">
      <alignment horizontal="left" vertical="center" shrinkToFit="1"/>
      <protection locked="0"/>
    </xf>
    <xf numFmtId="0" fontId="6" fillId="0" borderId="0" xfId="0" applyFont="1" applyFill="1" applyBorder="1" applyAlignment="1" applyProtection="1">
      <alignment horizontal="center" vertical="center" shrinkToFit="1"/>
    </xf>
    <xf numFmtId="0" fontId="6" fillId="0" borderId="0" xfId="0" applyFont="1" applyFill="1" applyBorder="1" applyAlignment="1" applyProtection="1">
      <alignment horizontal="left" vertical="center" shrinkToFit="1"/>
    </xf>
    <xf numFmtId="0" fontId="6" fillId="2" borderId="0" xfId="0" applyFont="1" applyFill="1" applyBorder="1" applyAlignment="1" applyProtection="1">
      <alignment horizontal="right" vertical="center" shrinkToFit="1"/>
    </xf>
    <xf numFmtId="0" fontId="6" fillId="0" borderId="0" xfId="0" applyFont="1" applyFill="1" applyBorder="1" applyAlignment="1" applyProtection="1">
      <alignment vertical="center" shrinkToFit="1"/>
    </xf>
    <xf numFmtId="0" fontId="6" fillId="0" borderId="0" xfId="0" applyFont="1" applyFill="1" applyBorder="1" applyAlignment="1" applyProtection="1">
      <alignment vertical="center" shrinkToFit="1"/>
      <protection locked="0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Fill="1" applyBorder="1" applyAlignment="1" applyProtection="1">
      <alignment horizontal="left" vertical="center" shrinkToFit="1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176" fontId="6" fillId="0" borderId="1" xfId="0" applyNumberFormat="1" applyFont="1" applyFill="1" applyBorder="1" applyAlignment="1" applyProtection="1">
      <alignment horizontal="center" vertical="center" shrinkToFit="1"/>
    </xf>
    <xf numFmtId="0" fontId="6" fillId="0" borderId="1" xfId="0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shrinkToFit="1"/>
    </xf>
    <xf numFmtId="0" fontId="6" fillId="2" borderId="1" xfId="0" applyFont="1" applyFill="1" applyBorder="1" applyAlignment="1" applyProtection="1">
      <alignment horizontal="right" vertical="center" shrinkToFit="1"/>
      <protection locked="0"/>
    </xf>
    <xf numFmtId="177" fontId="6" fillId="0" borderId="1" xfId="0" applyNumberFormat="1" applyFont="1" applyFill="1" applyBorder="1" applyAlignment="1" applyProtection="1">
      <alignment horizontal="center" vertical="center" shrinkToFit="1"/>
    </xf>
    <xf numFmtId="177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178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1" xfId="0" applyFont="1" applyFill="1" applyBorder="1" applyAlignment="1" applyProtection="1">
      <alignment horizontal="center" vertical="center" shrinkToFit="1"/>
    </xf>
    <xf numFmtId="176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Fill="1" applyBorder="1" applyAlignment="1" applyProtection="1">
      <alignment horizontal="right" vertical="center" shrinkToFit="1"/>
      <protection locked="0"/>
    </xf>
    <xf numFmtId="0" fontId="6" fillId="2" borderId="1" xfId="0" applyFont="1" applyFill="1" applyBorder="1" applyAlignment="1" applyProtection="1">
      <alignment horizontal="left" vertical="center" shrinkToFit="1"/>
      <protection locked="0"/>
    </xf>
    <xf numFmtId="0" fontId="7" fillId="0" borderId="1" xfId="0" applyFont="1" applyFill="1" applyBorder="1" applyAlignment="1" applyProtection="1">
      <alignment horizontal="left" vertical="center" shrinkToFit="1"/>
      <protection locked="0"/>
    </xf>
    <xf numFmtId="0" fontId="0" fillId="0" borderId="1" xfId="0" applyFill="1" applyBorder="1">
      <alignment vertical="center"/>
    </xf>
    <xf numFmtId="0" fontId="9" fillId="2" borderId="1" xfId="0" applyFont="1" applyFill="1" applyBorder="1" applyAlignment="1" applyProtection="1">
      <alignment horizontal="left" vertical="center" shrinkToFit="1"/>
      <protection locked="0"/>
    </xf>
    <xf numFmtId="0" fontId="0" fillId="0" borderId="2" xfId="0" applyFill="1" applyBorder="1">
      <alignment vertical="center"/>
    </xf>
    <xf numFmtId="0" fontId="6" fillId="0" borderId="2" xfId="0" applyFont="1" applyFill="1" applyBorder="1" applyAlignment="1" applyProtection="1">
      <alignment horizontal="left" vertical="center" shrinkToFit="1"/>
    </xf>
    <xf numFmtId="0" fontId="6" fillId="0" borderId="1" xfId="0" applyFont="1" applyFill="1" applyBorder="1" applyAlignment="1" applyProtection="1">
      <alignment horizontal="right" vertical="center" shrinkToFit="1"/>
    </xf>
    <xf numFmtId="0" fontId="6" fillId="0" borderId="1" xfId="0" applyFont="1" applyFill="1" applyBorder="1" applyAlignment="1" applyProtection="1">
      <alignment horizontal="left" vertical="center" wrapText="1" shrinkToFit="1"/>
      <protection locked="0"/>
    </xf>
    <xf numFmtId="0" fontId="13" fillId="0" borderId="0" xfId="0" applyFont="1" applyFill="1" applyAlignment="1">
      <alignment horizontal="left" vertical="center"/>
    </xf>
    <xf numFmtId="179" fontId="8" fillId="0" borderId="0" xfId="0" applyNumberFormat="1" applyFont="1" applyFill="1">
      <alignment vertical="center"/>
    </xf>
    <xf numFmtId="180" fontId="8" fillId="0" borderId="0" xfId="1" applyNumberFormat="1" applyFont="1" applyFill="1">
      <alignment vertical="center"/>
    </xf>
    <xf numFmtId="0" fontId="8" fillId="0" borderId="0" xfId="1" applyNumberFormat="1" applyFont="1" applyFill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18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43" fontId="18" fillId="0" borderId="0" xfId="1" applyFont="1" applyFill="1" applyAlignment="1">
      <alignment horizontal="right" vertical="center"/>
    </xf>
    <xf numFmtId="43" fontId="18" fillId="0" borderId="0" xfId="1" applyFont="1" applyFill="1" applyAlignment="1">
      <alignment horizontal="center" vertical="center"/>
    </xf>
    <xf numFmtId="0" fontId="20" fillId="0" borderId="0" xfId="0" applyNumberFormat="1" applyFont="1" applyFill="1" applyAlignment="1">
      <alignment horizontal="left" vertical="center"/>
    </xf>
    <xf numFmtId="0" fontId="8" fillId="0" borderId="0" xfId="0" applyNumberFormat="1" applyFont="1" applyFill="1">
      <alignment vertical="center"/>
    </xf>
    <xf numFmtId="0" fontId="8" fillId="0" borderId="0" xfId="0" applyFont="1" applyFill="1">
      <alignment vertical="center"/>
    </xf>
    <xf numFmtId="0" fontId="22" fillId="0" borderId="0" xfId="0" applyNumberFormat="1" applyFont="1" applyFill="1" applyAlignment="1">
      <alignment vertical="center"/>
    </xf>
    <xf numFmtId="22" fontId="22" fillId="0" borderId="0" xfId="0" applyNumberFormat="1" applyFont="1" applyFill="1" applyAlignment="1">
      <alignment horizontal="left" vertical="center"/>
    </xf>
    <xf numFmtId="179" fontId="22" fillId="0" borderId="0" xfId="0" applyNumberFormat="1" applyFont="1" applyFill="1" applyAlignment="1">
      <alignment horizontal="left" vertical="center"/>
    </xf>
    <xf numFmtId="0" fontId="18" fillId="0" borderId="0" xfId="0" applyNumberFormat="1" applyFont="1" applyFill="1">
      <alignment vertical="center"/>
    </xf>
    <xf numFmtId="0" fontId="19" fillId="0" borderId="0" xfId="0" applyFont="1" applyFill="1">
      <alignment vertical="center"/>
    </xf>
    <xf numFmtId="43" fontId="19" fillId="0" borderId="0" xfId="1" applyFont="1" applyFill="1" applyAlignment="1">
      <alignment horizontal="right"/>
    </xf>
    <xf numFmtId="0" fontId="22" fillId="0" borderId="0" xfId="0" applyFont="1" applyFill="1">
      <alignment vertical="center"/>
    </xf>
    <xf numFmtId="43" fontId="24" fillId="0" borderId="0" xfId="1" applyFont="1" applyFill="1" applyAlignment="1">
      <alignment horizontal="right"/>
    </xf>
    <xf numFmtId="179" fontId="19" fillId="0" borderId="0" xfId="0" applyNumberFormat="1" applyFont="1" applyFill="1">
      <alignment vertical="center"/>
    </xf>
    <xf numFmtId="180" fontId="19" fillId="0" borderId="0" xfId="1" applyNumberFormat="1" applyFont="1" applyFill="1">
      <alignment vertical="center"/>
    </xf>
    <xf numFmtId="0" fontId="22" fillId="0" borderId="0" xfId="0" applyNumberFormat="1" applyFont="1" applyFill="1" applyAlignment="1">
      <alignment horizontal="left" vertical="center"/>
    </xf>
    <xf numFmtId="43" fontId="19" fillId="0" borderId="0" xfId="1" applyFont="1" applyFill="1">
      <alignment vertical="center"/>
    </xf>
    <xf numFmtId="0" fontId="24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0" fontId="25" fillId="0" borderId="0" xfId="0" applyFont="1" applyFill="1">
      <alignment vertical="center"/>
    </xf>
    <xf numFmtId="0" fontId="18" fillId="0" borderId="0" xfId="0" applyFont="1" applyFill="1" applyAlignment="1">
      <alignment horizontal="center"/>
    </xf>
    <xf numFmtId="43" fontId="18" fillId="0" borderId="0" xfId="1" applyFont="1" applyFill="1" applyAlignment="1">
      <alignment horizontal="right"/>
    </xf>
    <xf numFmtId="179" fontId="25" fillId="0" borderId="0" xfId="0" applyNumberFormat="1" applyFont="1" applyFill="1">
      <alignment vertical="center"/>
    </xf>
    <xf numFmtId="180" fontId="25" fillId="0" borderId="0" xfId="1" applyNumberFormat="1" applyFont="1" applyFill="1">
      <alignment vertical="center"/>
    </xf>
    <xf numFmtId="49" fontId="24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19" fillId="0" borderId="0" xfId="0" applyFont="1" applyFill="1" applyBorder="1" applyAlignment="1">
      <alignment horizontal="center"/>
    </xf>
    <xf numFmtId="49" fontId="24" fillId="0" borderId="4" xfId="0" applyNumberFormat="1" applyFont="1" applyFill="1" applyBorder="1" applyAlignment="1">
      <alignment horizontal="center" vertical="center"/>
    </xf>
    <xf numFmtId="0" fontId="28" fillId="0" borderId="0" xfId="0" applyFont="1" applyFill="1">
      <alignment vertical="center"/>
    </xf>
    <xf numFmtId="179" fontId="28" fillId="0" borderId="0" xfId="1" applyNumberFormat="1" applyFont="1" applyFill="1">
      <alignment vertical="center"/>
    </xf>
    <xf numFmtId="180" fontId="28" fillId="0" borderId="0" xfId="1" applyNumberFormat="1" applyFont="1" applyFill="1">
      <alignment vertical="center"/>
    </xf>
    <xf numFmtId="0" fontId="27" fillId="0" borderId="14" xfId="0" applyNumberFormat="1" applyFont="1" applyFill="1" applyBorder="1" applyAlignment="1">
      <alignment horizontal="center" vertical="center"/>
    </xf>
    <xf numFmtId="0" fontId="15" fillId="0" borderId="15" xfId="0" applyFont="1" applyFill="1" applyBorder="1" applyAlignment="1">
      <alignment horizontal="left" vertical="center"/>
    </xf>
    <xf numFmtId="0" fontId="27" fillId="0" borderId="15" xfId="0" applyFont="1" applyFill="1" applyBorder="1" applyAlignment="1">
      <alignment horizontal="center" vertical="center"/>
    </xf>
    <xf numFmtId="0" fontId="27" fillId="0" borderId="15" xfId="0" applyFont="1" applyFill="1" applyBorder="1" applyAlignment="1">
      <alignment horizontal="right" vertical="center"/>
    </xf>
    <xf numFmtId="43" fontId="27" fillId="0" borderId="15" xfId="1" applyFont="1" applyFill="1" applyBorder="1" applyAlignment="1">
      <alignment horizontal="center"/>
    </xf>
    <xf numFmtId="0" fontId="27" fillId="0" borderId="15" xfId="0" applyFont="1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179" fontId="28" fillId="0" borderId="0" xfId="0" applyNumberFormat="1" applyFont="1" applyFill="1">
      <alignment vertical="center"/>
    </xf>
    <xf numFmtId="49" fontId="24" fillId="0" borderId="17" xfId="0" applyNumberFormat="1" applyFont="1" applyFill="1" applyBorder="1" applyAlignment="1">
      <alignment horizontal="center" vertical="center"/>
    </xf>
    <xf numFmtId="0" fontId="16" fillId="0" borderId="18" xfId="0" applyNumberFormat="1" applyFont="1" applyFill="1" applyBorder="1" applyAlignment="1">
      <alignment vertical="center"/>
    </xf>
    <xf numFmtId="0" fontId="16" fillId="0" borderId="19" xfId="0" applyNumberFormat="1" applyFont="1" applyFill="1" applyBorder="1" applyAlignment="1">
      <alignment vertical="center"/>
    </xf>
    <xf numFmtId="0" fontId="16" fillId="0" borderId="20" xfId="0" applyNumberFormat="1" applyFont="1" applyFill="1" applyBorder="1" applyAlignment="1">
      <alignment vertical="center"/>
    </xf>
    <xf numFmtId="0" fontId="30" fillId="0" borderId="18" xfId="0" applyNumberFormat="1" applyFont="1" applyFill="1" applyBorder="1">
      <alignment vertical="center"/>
    </xf>
    <xf numFmtId="0" fontId="30" fillId="0" borderId="20" xfId="0" applyNumberFormat="1" applyFont="1" applyFill="1" applyBorder="1">
      <alignment vertical="center"/>
    </xf>
    <xf numFmtId="0" fontId="30" fillId="0" borderId="18" xfId="1" applyNumberFormat="1" applyFont="1" applyFill="1" applyBorder="1" applyAlignment="1">
      <alignment horizontal="right" vertical="center"/>
    </xf>
    <xf numFmtId="0" fontId="30" fillId="0" borderId="20" xfId="0" applyNumberFormat="1" applyFont="1" applyFill="1" applyBorder="1" applyAlignment="1">
      <alignment horizontal="left" vertical="center"/>
    </xf>
    <xf numFmtId="0" fontId="30" fillId="0" borderId="18" xfId="1" applyNumberFormat="1" applyFont="1" applyFill="1" applyBorder="1" applyAlignment="1">
      <alignment vertical="center"/>
    </xf>
    <xf numFmtId="0" fontId="30" fillId="0" borderId="2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>
      <alignment horizontal="left" vertical="center"/>
    </xf>
    <xf numFmtId="0" fontId="15" fillId="0" borderId="0" xfId="0" applyNumberFormat="1" applyFont="1" applyFill="1">
      <alignment vertical="center"/>
    </xf>
    <xf numFmtId="0" fontId="15" fillId="0" borderId="0" xfId="1" applyNumberFormat="1" applyFont="1" applyFill="1">
      <alignment vertical="center"/>
    </xf>
    <xf numFmtId="180" fontId="15" fillId="0" borderId="0" xfId="1" applyNumberFormat="1" applyFont="1" applyFill="1">
      <alignment vertical="center"/>
    </xf>
    <xf numFmtId="49" fontId="24" fillId="0" borderId="22" xfId="0" applyNumberFormat="1" applyFont="1" applyFill="1" applyBorder="1" applyAlignment="1">
      <alignment horizontal="center" vertical="center"/>
    </xf>
    <xf numFmtId="49" fontId="24" fillId="0" borderId="23" xfId="0" applyNumberFormat="1" applyFont="1" applyFill="1" applyBorder="1" applyAlignment="1">
      <alignment horizontal="center" vertical="center"/>
    </xf>
    <xf numFmtId="0" fontId="16" fillId="0" borderId="24" xfId="0" applyNumberFormat="1" applyFont="1" applyFill="1" applyBorder="1" applyAlignment="1">
      <alignment vertical="center"/>
    </xf>
    <xf numFmtId="0" fontId="16" fillId="0" borderId="3" xfId="0" applyNumberFormat="1" applyFont="1" applyFill="1" applyBorder="1" applyAlignment="1">
      <alignment vertical="center"/>
    </xf>
    <xf numFmtId="0" fontId="16" fillId="0" borderId="25" xfId="0" applyNumberFormat="1" applyFont="1" applyFill="1" applyBorder="1" applyAlignment="1">
      <alignment vertical="center"/>
    </xf>
    <xf numFmtId="49" fontId="24" fillId="0" borderId="27" xfId="0" applyNumberFormat="1" applyFont="1" applyFill="1" applyBorder="1" applyAlignment="1">
      <alignment horizontal="center" vertical="center"/>
    </xf>
    <xf numFmtId="0" fontId="31" fillId="0" borderId="28" xfId="2" applyNumberFormat="1" applyFont="1" applyFill="1" applyBorder="1">
      <alignment vertical="center"/>
    </xf>
    <xf numFmtId="0" fontId="32" fillId="0" borderId="29" xfId="0" applyNumberFormat="1" applyFont="1" applyFill="1" applyBorder="1" applyAlignment="1">
      <alignment horizontal="right" vertical="center"/>
    </xf>
    <xf numFmtId="0" fontId="33" fillId="0" borderId="30" xfId="2" applyNumberFormat="1" applyFont="1" applyFill="1" applyBorder="1" applyAlignment="1">
      <alignment horizontal="center" vertical="center"/>
    </xf>
    <xf numFmtId="0" fontId="29" fillId="0" borderId="31" xfId="0" applyNumberFormat="1" applyFont="1" applyFill="1" applyBorder="1" applyAlignment="1">
      <alignment vertical="center"/>
    </xf>
    <xf numFmtId="0" fontId="32" fillId="0" borderId="30" xfId="0" applyNumberFormat="1" applyFont="1" applyFill="1" applyBorder="1" applyAlignment="1">
      <alignment horizontal="center" vertical="center"/>
    </xf>
    <xf numFmtId="0" fontId="33" fillId="0" borderId="30" xfId="2" applyNumberFormat="1" applyFont="1" applyFill="1" applyBorder="1">
      <alignment vertical="center"/>
    </xf>
    <xf numFmtId="0" fontId="33" fillId="0" borderId="30" xfId="1" applyNumberFormat="1" applyFont="1" applyFill="1" applyBorder="1" applyAlignment="1">
      <alignment vertical="center"/>
    </xf>
    <xf numFmtId="0" fontId="33" fillId="0" borderId="30" xfId="2" applyNumberFormat="1" applyFont="1" applyFill="1" applyBorder="1" applyAlignment="1">
      <alignment vertical="center"/>
    </xf>
    <xf numFmtId="0" fontId="31" fillId="0" borderId="30" xfId="2" applyNumberFormat="1" applyFont="1" applyFill="1" applyBorder="1">
      <alignment vertical="center"/>
    </xf>
    <xf numFmtId="0" fontId="31" fillId="0" borderId="32" xfId="2" applyNumberFormat="1" applyFont="1" applyFill="1" applyBorder="1">
      <alignment vertical="center"/>
    </xf>
    <xf numFmtId="0" fontId="34" fillId="0" borderId="0" xfId="0" applyNumberFormat="1" applyFont="1" applyFill="1" applyBorder="1" applyAlignment="1">
      <alignment horizontal="left" vertical="center"/>
    </xf>
    <xf numFmtId="0" fontId="31" fillId="0" borderId="0" xfId="2" applyNumberFormat="1" applyFont="1" applyFill="1">
      <alignment vertical="center"/>
    </xf>
    <xf numFmtId="0" fontId="31" fillId="0" borderId="0" xfId="1" applyNumberFormat="1" applyFont="1" applyFill="1">
      <alignment vertical="center"/>
    </xf>
    <xf numFmtId="180" fontId="31" fillId="0" borderId="0" xfId="1" applyNumberFormat="1" applyFont="1" applyFill="1">
      <alignment vertical="center"/>
    </xf>
    <xf numFmtId="0" fontId="32" fillId="0" borderId="0" xfId="2" applyNumberFormat="1" applyFont="1" applyFill="1">
      <alignment vertical="center"/>
    </xf>
    <xf numFmtId="0" fontId="8" fillId="0" borderId="0" xfId="2" applyNumberFormat="1" applyFont="1" applyFill="1">
      <alignment vertical="center"/>
    </xf>
    <xf numFmtId="0" fontId="32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vertical="center"/>
    </xf>
    <xf numFmtId="0" fontId="8" fillId="0" borderId="0" xfId="1" applyNumberFormat="1" applyFont="1" applyFill="1" applyAlignment="1">
      <alignment horizontal="right"/>
    </xf>
    <xf numFmtId="0" fontId="8" fillId="0" borderId="0" xfId="1" applyNumberFormat="1" applyFont="1" applyFill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2" fillId="0" borderId="0" xfId="2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>
      <alignment horizontal="left" vertical="center"/>
    </xf>
    <xf numFmtId="0" fontId="8" fillId="0" borderId="0" xfId="1" applyNumberFormat="1" applyFont="1" applyFill="1" applyBorder="1" applyAlignment="1">
      <alignment horizontal="right"/>
    </xf>
    <xf numFmtId="0" fontId="8" fillId="0" borderId="0" xfId="2" applyNumberFormat="1" applyFont="1" applyFill="1" applyBorder="1">
      <alignment vertical="center"/>
    </xf>
    <xf numFmtId="0" fontId="8" fillId="0" borderId="0" xfId="1" applyNumberFormat="1" applyFont="1" applyFill="1" applyBorder="1">
      <alignment vertical="center"/>
    </xf>
    <xf numFmtId="0" fontId="29" fillId="0" borderId="0" xfId="2" applyNumberFormat="1" applyFont="1" applyFill="1">
      <alignment vertical="center"/>
    </xf>
    <xf numFmtId="0" fontId="35" fillId="0" borderId="0" xfId="2" applyNumberFormat="1" applyFont="1" applyFill="1" applyBorder="1" applyAlignment="1">
      <alignment horizontal="center"/>
    </xf>
    <xf numFmtId="0" fontId="13" fillId="0" borderId="0" xfId="2" applyNumberFormat="1" applyFont="1" applyFill="1" applyBorder="1" applyAlignment="1">
      <alignment horizontal="left"/>
    </xf>
    <xf numFmtId="0" fontId="24" fillId="0" borderId="0" xfId="2" applyNumberFormat="1" applyFont="1" applyFill="1" applyBorder="1" applyAlignment="1">
      <alignment horizontal="center"/>
    </xf>
    <xf numFmtId="0" fontId="35" fillId="0" borderId="0" xfId="1" applyNumberFormat="1" applyFont="1" applyFill="1" applyBorder="1" applyAlignment="1">
      <alignment horizontal="center"/>
    </xf>
    <xf numFmtId="180" fontId="35" fillId="0" borderId="0" xfId="1" applyNumberFormat="1" applyFont="1" applyFill="1" applyBorder="1" applyAlignment="1">
      <alignment horizontal="center"/>
    </xf>
    <xf numFmtId="0" fontId="29" fillId="0" borderId="0" xfId="2" applyNumberFormat="1" applyFont="1" applyFill="1" applyBorder="1" applyAlignment="1">
      <alignment horizontal="left"/>
    </xf>
    <xf numFmtId="0" fontId="32" fillId="0" borderId="0" xfId="2" applyNumberFormat="1" applyFont="1" applyFill="1" applyBorder="1" applyAlignment="1">
      <alignment horizontal="left"/>
    </xf>
    <xf numFmtId="0" fontId="15" fillId="0" borderId="0" xfId="2" applyNumberFormat="1" applyFont="1" applyFill="1" applyBorder="1" applyAlignment="1">
      <alignment horizontal="left"/>
    </xf>
    <xf numFmtId="0" fontId="17" fillId="0" borderId="0" xfId="2" applyNumberFormat="1" applyFont="1" applyFill="1">
      <alignment vertical="center"/>
    </xf>
    <xf numFmtId="0" fontId="27" fillId="0" borderId="0" xfId="1" applyNumberFormat="1" applyFont="1" applyFill="1" applyBorder="1">
      <alignment vertical="center"/>
    </xf>
    <xf numFmtId="0" fontId="19" fillId="0" borderId="0" xfId="2" applyNumberFormat="1" applyFont="1" applyFill="1" applyBorder="1">
      <alignment vertical="center"/>
    </xf>
    <xf numFmtId="0" fontId="19" fillId="0" borderId="0" xfId="1" applyNumberFormat="1" applyFont="1" applyFill="1" applyBorder="1">
      <alignment vertical="center"/>
    </xf>
    <xf numFmtId="0" fontId="30" fillId="0" borderId="0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5" fillId="0" borderId="0" xfId="0" applyFont="1">
      <alignment vertical="center"/>
    </xf>
    <xf numFmtId="0" fontId="42" fillId="0" borderId="0" xfId="0" applyFont="1" applyAlignment="1">
      <alignment horizontal="right"/>
    </xf>
    <xf numFmtId="49" fontId="43" fillId="0" borderId="0" xfId="0" applyNumberFormat="1" applyFont="1" applyAlignment="1">
      <alignment horizontal="left"/>
    </xf>
    <xf numFmtId="49" fontId="16" fillId="0" borderId="0" xfId="0" applyNumberFormat="1" applyFont="1" applyAlignment="1">
      <alignment horizontal="left"/>
    </xf>
    <xf numFmtId="0" fontId="35" fillId="0" borderId="0" xfId="0" applyFont="1">
      <alignment vertical="center"/>
    </xf>
    <xf numFmtId="0" fontId="44" fillId="0" borderId="0" xfId="0" applyFont="1">
      <alignment vertical="center"/>
    </xf>
    <xf numFmtId="0" fontId="42" fillId="0" borderId="0" xfId="0" applyFont="1">
      <alignment vertical="center"/>
    </xf>
    <xf numFmtId="14" fontId="16" fillId="0" borderId="0" xfId="0" applyNumberFormat="1" applyFont="1" applyAlignment="1">
      <alignment horizontal="left"/>
    </xf>
    <xf numFmtId="14" fontId="16" fillId="0" borderId="0" xfId="0" applyNumberFormat="1" applyFont="1" applyAlignment="1">
      <alignment horizontal="center"/>
    </xf>
    <xf numFmtId="0" fontId="37" fillId="0" borderId="0" xfId="0" applyFont="1">
      <alignment vertical="center"/>
    </xf>
    <xf numFmtId="0" fontId="18" fillId="0" borderId="0" xfId="0" applyFont="1" applyAlignment="1">
      <alignment horizontal="left"/>
    </xf>
    <xf numFmtId="0" fontId="45" fillId="0" borderId="0" xfId="0" applyFont="1" applyAlignment="1">
      <alignment horizontal="center"/>
    </xf>
    <xf numFmtId="0" fontId="46" fillId="0" borderId="0" xfId="0" applyFont="1">
      <alignment vertical="center"/>
    </xf>
    <xf numFmtId="0" fontId="24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2" fillId="0" borderId="0" xfId="0" applyFont="1">
      <alignment vertical="center"/>
    </xf>
    <xf numFmtId="0" fontId="13" fillId="0" borderId="4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44" fillId="0" borderId="0" xfId="0" applyFont="1" applyAlignment="1">
      <alignment horizontal="center"/>
    </xf>
    <xf numFmtId="0" fontId="16" fillId="0" borderId="0" xfId="0" applyFont="1" applyBorder="1" applyAlignment="1">
      <alignment horizontal="left"/>
    </xf>
    <xf numFmtId="0" fontId="32" fillId="0" borderId="0" xfId="0" applyFont="1" applyAlignment="1">
      <alignment horizontal="center"/>
    </xf>
    <xf numFmtId="0" fontId="37" fillId="0" borderId="0" xfId="0" applyFont="1" applyBorder="1" applyAlignment="1">
      <alignment horizontal="center"/>
    </xf>
    <xf numFmtId="181" fontId="43" fillId="0" borderId="0" xfId="0" applyNumberFormat="1" applyFont="1" applyBorder="1" applyAlignment="1">
      <alignment horizontal="center"/>
    </xf>
    <xf numFmtId="0" fontId="44" fillId="0" borderId="0" xfId="0" applyFont="1" applyBorder="1" applyAlignment="1">
      <alignment horizontal="center"/>
    </xf>
    <xf numFmtId="58" fontId="0" fillId="0" borderId="0" xfId="0" applyNumberFormat="1" applyFill="1" applyBorder="1" applyAlignment="1">
      <alignment horizontal="center"/>
    </xf>
    <xf numFmtId="0" fontId="43" fillId="0" borderId="0" xfId="0" applyFont="1" applyFill="1" applyBorder="1">
      <alignment vertical="center"/>
    </xf>
    <xf numFmtId="49" fontId="16" fillId="0" borderId="0" xfId="0" applyNumberFormat="1" applyFont="1" applyFill="1" applyBorder="1" applyAlignment="1"/>
    <xf numFmtId="181" fontId="16" fillId="0" borderId="0" xfId="0" applyNumberFormat="1" applyFont="1" applyBorder="1" applyAlignment="1">
      <alignment horizontal="left"/>
    </xf>
    <xf numFmtId="181" fontId="43" fillId="0" borderId="0" xfId="0" applyNumberFormat="1" applyFont="1" applyBorder="1" applyAlignment="1">
      <alignment horizontal="right"/>
    </xf>
    <xf numFmtId="0" fontId="47" fillId="0" borderId="0" xfId="0" quotePrefix="1" applyFont="1" applyFill="1" applyBorder="1">
      <alignment vertical="center"/>
    </xf>
    <xf numFmtId="182" fontId="48" fillId="0" borderId="0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7" fillId="0" borderId="0" xfId="0" applyFont="1" applyBorder="1">
      <alignment vertical="center"/>
    </xf>
    <xf numFmtId="182" fontId="48" fillId="0" borderId="0" xfId="0" applyNumberFormat="1" applyFont="1" applyBorder="1" applyAlignment="1">
      <alignment horizontal="center"/>
    </xf>
    <xf numFmtId="0" fontId="49" fillId="0" borderId="0" xfId="0" applyFont="1" applyFill="1" applyBorder="1" applyAlignment="1">
      <alignment horizontal="left" vertical="center" shrinkToFit="1"/>
    </xf>
    <xf numFmtId="0" fontId="48" fillId="0" borderId="0" xfId="0" applyFont="1" applyFill="1" applyBorder="1" applyAlignment="1">
      <alignment horizontal="center" vertical="center"/>
    </xf>
    <xf numFmtId="0" fontId="51" fillId="0" borderId="0" xfId="3" applyFont="1" applyFill="1" applyBorder="1" applyAlignment="1" applyProtection="1">
      <alignment horizontal="right" vertical="top"/>
    </xf>
    <xf numFmtId="0" fontId="48" fillId="0" borderId="0" xfId="0" applyFont="1" applyFill="1" applyBorder="1">
      <alignment vertical="center"/>
    </xf>
    <xf numFmtId="0" fontId="52" fillId="0" borderId="0" xfId="3" applyNumberFormat="1" applyFont="1" applyFill="1" applyBorder="1" applyAlignment="1" applyProtection="1">
      <alignment horizontal="center" vertical="center"/>
    </xf>
    <xf numFmtId="0" fontId="53" fillId="0" borderId="0" xfId="0" applyFont="1">
      <alignment vertical="center"/>
    </xf>
    <xf numFmtId="0" fontId="54" fillId="3" borderId="1" xfId="0" applyFont="1" applyFill="1" applyBorder="1" applyAlignment="1">
      <alignment horizontal="left" vertical="center" shrinkToFit="1"/>
    </xf>
    <xf numFmtId="0" fontId="55" fillId="3" borderId="1" xfId="0" applyFont="1" applyFill="1" applyBorder="1" applyAlignment="1">
      <alignment horizontal="right" vertical="center" wrapText="1"/>
    </xf>
    <xf numFmtId="0" fontId="54" fillId="3" borderId="1" xfId="0" applyFont="1" applyFill="1" applyBorder="1" applyAlignment="1">
      <alignment horizontal="right" vertical="center" wrapText="1"/>
    </xf>
    <xf numFmtId="178" fontId="56" fillId="3" borderId="1" xfId="0" applyNumberFormat="1" applyFont="1" applyFill="1" applyBorder="1" applyAlignment="1">
      <alignment horizontal="right" vertical="center" wrapText="1"/>
    </xf>
    <xf numFmtId="0" fontId="57" fillId="3" borderId="1" xfId="0" applyFont="1" applyFill="1" applyBorder="1" applyAlignment="1">
      <alignment horizontal="right" vertical="center" wrapText="1"/>
    </xf>
    <xf numFmtId="0" fontId="54" fillId="3" borderId="1" xfId="0" applyFont="1" applyFill="1" applyBorder="1" applyAlignment="1">
      <alignment horizontal="left" vertical="center"/>
    </xf>
    <xf numFmtId="0" fontId="54" fillId="3" borderId="1" xfId="0" applyFont="1" applyFill="1" applyBorder="1" applyAlignment="1">
      <alignment horizontal="right" vertical="center"/>
    </xf>
    <xf numFmtId="0" fontId="58" fillId="0" borderId="0" xfId="0" applyFont="1" applyFill="1" applyBorder="1" applyAlignment="1">
      <alignment horizontal="left" vertical="center"/>
    </xf>
    <xf numFmtId="0" fontId="54" fillId="3" borderId="1" xfId="0" applyFont="1" applyFill="1" applyBorder="1" applyAlignment="1">
      <alignment horizontal="right" vertical="center" shrinkToFit="1"/>
    </xf>
    <xf numFmtId="178" fontId="54" fillId="3" borderId="1" xfId="0" applyNumberFormat="1" applyFont="1" applyFill="1" applyBorder="1" applyAlignment="1">
      <alignment horizontal="right" vertical="center" shrinkToFit="1"/>
    </xf>
    <xf numFmtId="0" fontId="57" fillId="3" borderId="1" xfId="0" applyFont="1" applyFill="1" applyBorder="1" applyAlignment="1">
      <alignment horizontal="right" vertical="center"/>
    </xf>
    <xf numFmtId="0" fontId="54" fillId="3" borderId="0" xfId="0" applyFont="1" applyFill="1" applyBorder="1" applyAlignment="1">
      <alignment horizontal="left" vertical="center"/>
    </xf>
    <xf numFmtId="0" fontId="60" fillId="0" borderId="1" xfId="4" applyFont="1" applyFill="1" applyBorder="1" applyAlignment="1">
      <alignment horizontal="left" vertical="center"/>
    </xf>
    <xf numFmtId="0" fontId="48" fillId="0" borderId="1" xfId="0" applyFont="1" applyFill="1" applyBorder="1" applyAlignment="1">
      <alignment horizontal="right" vertical="center" shrinkToFit="1"/>
    </xf>
    <xf numFmtId="0" fontId="60" fillId="0" borderId="1" xfId="4" applyFont="1" applyFill="1" applyBorder="1" applyAlignment="1">
      <alignment horizontal="right" vertical="center"/>
    </xf>
    <xf numFmtId="0" fontId="48" fillId="0" borderId="1" xfId="0" applyFont="1" applyFill="1" applyBorder="1" applyAlignment="1">
      <alignment horizontal="right" vertical="center"/>
    </xf>
    <xf numFmtId="0" fontId="48" fillId="0" borderId="1" xfId="0" applyFont="1" applyFill="1" applyBorder="1" applyAlignment="1">
      <alignment horizontal="left" vertical="center"/>
    </xf>
    <xf numFmtId="178" fontId="48" fillId="0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8" fillId="0" borderId="0" xfId="0" applyFont="1" applyFill="1" applyBorder="1" applyAlignment="1">
      <alignment horizontal="left" vertical="center"/>
    </xf>
    <xf numFmtId="178" fontId="62" fillId="0" borderId="0" xfId="0" applyNumberFormat="1" applyFont="1">
      <alignment vertical="center"/>
    </xf>
    <xf numFmtId="22" fontId="22" fillId="0" borderId="0" xfId="0" applyNumberFormat="1" applyFont="1" applyFill="1" applyBorder="1" applyAlignment="1">
      <alignment horizontal="center"/>
    </xf>
    <xf numFmtId="22" fontId="61" fillId="0" borderId="0" xfId="3" applyNumberFormat="1" applyFont="1" applyFill="1" applyBorder="1" applyAlignment="1" applyProtection="1">
      <alignment horizontal="center" vertical="top"/>
    </xf>
    <xf numFmtId="0" fontId="45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4" fillId="0" borderId="3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0" fillId="0" borderId="4" xfId="0" applyBorder="1">
      <alignment vertical="center"/>
    </xf>
    <xf numFmtId="0" fontId="39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0" fillId="0" borderId="18" xfId="0" applyNumberFormat="1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/>
    </xf>
    <xf numFmtId="0" fontId="30" fillId="0" borderId="19" xfId="0" applyNumberFormat="1" applyFont="1" applyFill="1" applyBorder="1" applyAlignment="1">
      <alignment horizontal="center" vertical="center"/>
    </xf>
    <xf numFmtId="0" fontId="30" fillId="0" borderId="3" xfId="0" applyNumberFormat="1" applyFont="1" applyFill="1" applyBorder="1" applyAlignment="1">
      <alignment horizontal="center" vertical="center"/>
    </xf>
    <xf numFmtId="0" fontId="30" fillId="0" borderId="21" xfId="0" applyNumberFormat="1" applyFont="1" applyFill="1" applyBorder="1" applyAlignment="1">
      <alignment horizontal="left" vertical="center"/>
    </xf>
    <xf numFmtId="0" fontId="30" fillId="0" borderId="26" xfId="0" applyNumberFormat="1" applyFont="1" applyFill="1" applyBorder="1" applyAlignment="1">
      <alignment horizontal="left" vertical="center"/>
    </xf>
    <xf numFmtId="0" fontId="30" fillId="0" borderId="24" xfId="0" applyNumberFormat="1" applyFont="1" applyFill="1" applyBorder="1" applyAlignment="1">
      <alignment horizontal="center"/>
    </xf>
    <xf numFmtId="0" fontId="30" fillId="0" borderId="25" xfId="0" applyNumberFormat="1" applyFont="1" applyFill="1" applyBorder="1" applyAlignment="1">
      <alignment horizontal="center"/>
    </xf>
    <xf numFmtId="0" fontId="30" fillId="0" borderId="25" xfId="0" applyNumberFormat="1" applyFont="1" applyFill="1" applyBorder="1" applyAlignment="1">
      <alignment horizontal="center" vertical="center"/>
    </xf>
    <xf numFmtId="22" fontId="22" fillId="0" borderId="0" xfId="0" applyNumberFormat="1" applyFont="1" applyFill="1" applyAlignment="1">
      <alignment horizontal="left" vertical="center"/>
    </xf>
    <xf numFmtId="0" fontId="24" fillId="0" borderId="0" xfId="0" applyFont="1" applyFill="1" applyAlignment="1">
      <alignment horizontal="left"/>
    </xf>
    <xf numFmtId="0" fontId="14" fillId="0" borderId="0" xfId="0" applyFont="1" applyFill="1" applyAlignment="1">
      <alignment horizontal="center"/>
    </xf>
    <xf numFmtId="14" fontId="24" fillId="0" borderId="0" xfId="0" applyNumberFormat="1" applyFont="1" applyFill="1" applyAlignment="1">
      <alignment horizontal="left"/>
    </xf>
    <xf numFmtId="0" fontId="18" fillId="0" borderId="0" xfId="0" applyFont="1" applyFill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9" fillId="0" borderId="5" xfId="0" applyNumberFormat="1" applyFont="1" applyFill="1" applyBorder="1" applyAlignment="1">
      <alignment horizontal="center" vertical="center" wrapText="1"/>
    </xf>
    <xf numFmtId="0" fontId="29" fillId="0" borderId="10" xfId="0" applyNumberFormat="1" applyFont="1" applyFill="1" applyBorder="1" applyAlignment="1">
      <alignment horizontal="center" vertical="center"/>
    </xf>
    <xf numFmtId="0" fontId="29" fillId="0" borderId="5" xfId="0" applyNumberFormat="1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/>
    </xf>
    <xf numFmtId="0" fontId="27" fillId="0" borderId="12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27" fillId="0" borderId="5" xfId="0" applyNumberFormat="1" applyFont="1" applyFill="1" applyBorder="1" applyAlignment="1">
      <alignment horizontal="center" vertical="center" wrapText="1" shrinkToFit="1"/>
    </xf>
    <xf numFmtId="0" fontId="27" fillId="0" borderId="10" xfId="0" applyNumberFormat="1" applyFont="1" applyFill="1" applyBorder="1" applyAlignment="1">
      <alignment horizontal="center" vertical="center" shrinkToFit="1"/>
    </xf>
    <xf numFmtId="0" fontId="27" fillId="0" borderId="6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12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/>
    </xf>
    <xf numFmtId="0" fontId="27" fillId="0" borderId="8" xfId="0" applyFont="1" applyFill="1" applyBorder="1" applyAlignment="1">
      <alignment horizontal="center"/>
    </xf>
    <xf numFmtId="0" fontId="27" fillId="0" borderId="7" xfId="0" applyFont="1" applyFill="1" applyBorder="1" applyAlignment="1">
      <alignment horizontal="center"/>
    </xf>
    <xf numFmtId="0" fontId="27" fillId="0" borderId="9" xfId="0" applyFont="1" applyFill="1" applyBorder="1" applyAlignment="1">
      <alignment horizontal="center"/>
    </xf>
  </cellXfs>
  <cellStyles count="5">
    <cellStyle name="常规" xfId="0" builtinId="0"/>
    <cellStyle name="常规_2004 &amp; 2005 shipping schedule 20051231_6-27 EC VESSEL 部份数量待增加" xfId="4"/>
    <cellStyle name="常规_装箱单-FedEx2004-12-31" xfId="2"/>
    <cellStyle name="超链接" xfId="3" builtinId="8"/>
    <cellStyle name="千位分隔" xfId="1" builtinId="3"/>
  </cellStyles>
  <dxfs count="55"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</font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367665</xdr:colOff>
      <xdr:row>0</xdr:row>
      <xdr:rowOff>272416</xdr:rowOff>
    </xdr:from>
    <xdr:to>
      <xdr:col>14</xdr:col>
      <xdr:colOff>152400</xdr:colOff>
      <xdr:row>0</xdr:row>
      <xdr:rowOff>884416</xdr:rowOff>
    </xdr:to>
    <xdr:sp macro="[0]!做发票清单和装箱清单" textlink="">
      <xdr:nvSpPr>
        <xdr:cNvPr id="2" name="AutoShape 4" descr="点击此按钮运行"/>
        <xdr:cNvSpPr>
          <a:spLocks noChangeArrowheads="1"/>
        </xdr:cNvSpPr>
      </xdr:nvSpPr>
      <xdr:spPr bwMode="auto">
        <a:xfrm>
          <a:off x="5539740" y="272416"/>
          <a:ext cx="3499485" cy="612000"/>
        </a:xfrm>
        <a:prstGeom prst="roundRect">
          <a:avLst>
            <a:gd name="adj" fmla="val 0"/>
          </a:avLst>
        </a:prstGeom>
        <a:solidFill>
          <a:schemeClr val="bg1">
            <a:lumMod val="75000"/>
          </a:schemeClr>
        </a:solidFill>
        <a:ln w="28575">
          <a:noFill/>
          <a:round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45720" tIns="32004" rIns="45720" bIns="32004" anchor="t" upright="1"/>
        <a:lstStyle/>
        <a:p>
          <a:pPr algn="l" rtl="1">
            <a:defRPr sz="1000"/>
          </a:pP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  <a:cs typeface="+mn-cs"/>
            </a:rPr>
            <a:t>1</a:t>
          </a:r>
          <a:r>
            <a:rPr lang="en-US" altLang="zh-CN" sz="1100" b="1" i="0" strike="noStrike" baseline="0">
              <a:solidFill>
                <a:schemeClr val="bg1"/>
              </a:solidFill>
              <a:latin typeface="+mn-ea"/>
              <a:ea typeface="+mn-ea"/>
              <a:cs typeface="+mn-cs"/>
            </a:rPr>
            <a:t> 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将需要发货的产品编号和数量复制到表格内；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 </a:t>
          </a:r>
        </a:p>
        <a:p>
          <a:pPr algn="l" rtl="1">
            <a:defRPr sz="1000"/>
          </a:pP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2 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最后一行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A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列要有“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Total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”字样和，数量要汇总；</a:t>
          </a:r>
          <a:endParaRPr lang="en-US" altLang="zh-CN" sz="1100" b="1" i="0" strike="noStrike">
            <a:solidFill>
              <a:schemeClr val="bg1"/>
            </a:solidFill>
            <a:latin typeface="+mn-ea"/>
            <a:ea typeface="+mn-ea"/>
          </a:endParaRPr>
        </a:p>
        <a:p>
          <a:pPr algn="l" rtl="1">
            <a:defRPr sz="1000"/>
          </a:pP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3 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单击此按钮，自动制作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《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发票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》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和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《</a:t>
          </a:r>
          <a:r>
            <a:rPr lang="zh-CN" altLang="en-US" sz="1100" b="1" i="0" strike="noStrike">
              <a:solidFill>
                <a:schemeClr val="bg1"/>
              </a:solidFill>
              <a:latin typeface="+mn-ea"/>
              <a:ea typeface="+mn-ea"/>
            </a:rPr>
            <a:t>装箱单</a:t>
          </a:r>
          <a:r>
            <a:rPr lang="en-US" altLang="zh-CN" sz="1100" b="1" i="0" strike="noStrike">
              <a:solidFill>
                <a:schemeClr val="bg1"/>
              </a:solidFill>
              <a:latin typeface="+mn-ea"/>
              <a:ea typeface="+mn-ea"/>
            </a:rPr>
            <a:t>》</a:t>
          </a:r>
        </a:p>
      </xdr:txBody>
    </xdr:sp>
    <xdr:clientData/>
  </xdr:twoCellAnchor>
  <xdr:twoCellAnchor>
    <xdr:from>
      <xdr:col>0</xdr:col>
      <xdr:colOff>0</xdr:colOff>
      <xdr:row>0</xdr:row>
      <xdr:rowOff>129540</xdr:rowOff>
    </xdr:from>
    <xdr:to>
      <xdr:col>0</xdr:col>
      <xdr:colOff>1356360</xdr:colOff>
      <xdr:row>0</xdr:row>
      <xdr:rowOff>678180</xdr:rowOff>
    </xdr:to>
    <xdr:sp macro="" textlink="">
      <xdr:nvSpPr>
        <xdr:cNvPr id="3" name="Text Box 1479"/>
        <xdr:cNvSpPr txBox="1">
          <a:spLocks noChangeArrowheads="1"/>
        </xdr:cNvSpPr>
      </xdr:nvSpPr>
      <xdr:spPr bwMode="auto">
        <a:xfrm>
          <a:off x="0" y="129540"/>
          <a:ext cx="1356360" cy="548640"/>
        </a:xfrm>
        <a:prstGeom prst="rect">
          <a:avLst/>
        </a:prstGeom>
        <a:noFill/>
        <a:ln w="2857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445650</xdr:colOff>
      <xdr:row>0</xdr:row>
      <xdr:rowOff>251460</xdr:rowOff>
    </xdr:to>
    <xdr:sp macro="" textlink="">
      <xdr:nvSpPr>
        <xdr:cNvPr id="4" name="Text Box 1482"/>
        <xdr:cNvSpPr txBox="1">
          <a:spLocks noChangeArrowheads="1"/>
        </xdr:cNvSpPr>
      </xdr:nvSpPr>
      <xdr:spPr bwMode="auto">
        <a:xfrm>
          <a:off x="0" y="0"/>
          <a:ext cx="2480190" cy="251460"/>
        </a:xfrm>
        <a:prstGeom prst="rect">
          <a:avLst/>
        </a:prstGeom>
        <a:noFill/>
        <a:ln w="28575">
          <a:noFill/>
          <a:miter lim="800000"/>
          <a:headEnd/>
          <a:tailEnd/>
        </a:ln>
        <a:effectLst/>
      </xdr:spPr>
      <xdr:txBody>
        <a:bodyPr vertOverflow="clip" wrap="square" lIns="45720" tIns="32004" rIns="0" bIns="32004" anchor="ctr" upright="1"/>
        <a:lstStyle/>
        <a:p>
          <a:pPr algn="l" rtl="1">
            <a:defRPr sz="1000"/>
          </a:pP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、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《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出货计划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》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名称：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other data</a:t>
          </a:r>
        </a:p>
      </xdr:txBody>
    </xdr:sp>
    <xdr:clientData/>
  </xdr:twoCellAnchor>
  <xdr:twoCellAnchor>
    <xdr:from>
      <xdr:col>0</xdr:col>
      <xdr:colOff>0</xdr:colOff>
      <xdr:row>0</xdr:row>
      <xdr:rowOff>261668</xdr:rowOff>
    </xdr:from>
    <xdr:to>
      <xdr:col>9</xdr:col>
      <xdr:colOff>716280</xdr:colOff>
      <xdr:row>0</xdr:row>
      <xdr:rowOff>513668</xdr:rowOff>
    </xdr:to>
    <xdr:sp macro="" textlink="">
      <xdr:nvSpPr>
        <xdr:cNvPr id="5" name="Text Box 1483"/>
        <xdr:cNvSpPr txBox="1">
          <a:spLocks noChangeArrowheads="1"/>
        </xdr:cNvSpPr>
      </xdr:nvSpPr>
      <xdr:spPr bwMode="auto">
        <a:xfrm>
          <a:off x="0" y="261668"/>
          <a:ext cx="5715000" cy="252000"/>
        </a:xfrm>
        <a:prstGeom prst="rect">
          <a:avLst/>
        </a:prstGeom>
        <a:noFill/>
        <a:ln w="28575">
          <a:noFill/>
          <a:miter lim="800000"/>
          <a:headEnd/>
          <a:tailEnd/>
        </a:ln>
        <a:effectLst/>
      </xdr:spPr>
      <xdr:txBody>
        <a:bodyPr vertOverflow="clip" wrap="square" lIns="45720" tIns="32004" rIns="0" bIns="32004" anchor="ctr" upright="1"/>
        <a:lstStyle/>
        <a:p>
          <a:pPr algn="l" rtl="1">
            <a:defRPr sz="1000"/>
          </a:pP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、以下备货“不够数量”（负数）需优先安排入仓（库存截止时间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: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当日早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8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：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00)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；</a:t>
          </a:r>
        </a:p>
      </xdr:txBody>
    </xdr:sp>
    <xdr:clientData/>
  </xdr:twoCellAnchor>
  <xdr:twoCellAnchor>
    <xdr:from>
      <xdr:col>0</xdr:col>
      <xdr:colOff>0</xdr:colOff>
      <xdr:row>0</xdr:row>
      <xdr:rowOff>523875</xdr:rowOff>
    </xdr:from>
    <xdr:to>
      <xdr:col>10</xdr:col>
      <xdr:colOff>205950</xdr:colOff>
      <xdr:row>0</xdr:row>
      <xdr:rowOff>775875</xdr:rowOff>
    </xdr:to>
    <xdr:sp macro="" textlink="">
      <xdr:nvSpPr>
        <xdr:cNvPr id="6" name="Text Box 1484"/>
        <xdr:cNvSpPr txBox="1">
          <a:spLocks noChangeArrowheads="1"/>
        </xdr:cNvSpPr>
      </xdr:nvSpPr>
      <xdr:spPr bwMode="auto">
        <a:xfrm>
          <a:off x="0" y="523875"/>
          <a:ext cx="5936190" cy="252000"/>
        </a:xfrm>
        <a:prstGeom prst="rect">
          <a:avLst/>
        </a:prstGeom>
        <a:noFill/>
        <a:ln w="28575">
          <a:noFill/>
          <a:miter lim="800000"/>
          <a:headEnd/>
          <a:tailEnd/>
        </a:ln>
        <a:effectLst/>
      </xdr:spPr>
      <xdr:txBody>
        <a:bodyPr vertOverflow="clip" wrap="square" lIns="45720" tIns="32004" rIns="0" bIns="32004" anchor="ctr" upright="1"/>
        <a:lstStyle/>
        <a:p>
          <a:pPr algn="l" rtl="1">
            <a:defRPr sz="1000"/>
          </a:pP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3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、有零头备货的</a:t>
          </a:r>
          <a:r>
            <a:rPr lang="en-US" altLang="zh-CN" sz="1200" b="0" i="0" strike="noStrike">
              <a:solidFill>
                <a:srgbClr val="000000"/>
              </a:solidFill>
              <a:latin typeface="宋体"/>
              <a:ea typeface="宋体"/>
            </a:rPr>
            <a:t>SKU</a:t>
          </a:r>
          <a:r>
            <a:rPr lang="zh-CN" altLang="en-US" sz="1200" b="0" i="0" strike="noStrike">
              <a:solidFill>
                <a:srgbClr val="000000"/>
              </a:solidFill>
              <a:latin typeface="宋体"/>
              <a:ea typeface="宋体"/>
            </a:rPr>
            <a:t>会影响到零头数量，如有零头不对时注意核对是否是因为有备货？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ckingListV45%20-%20&#21103;&#2641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shared%20folder%20for%20warehouse\Daily-update%20data\Inventory%20control(Finished%20Goods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工作表目录"/>
      <sheetName val="说明"/>
      <sheetName val="制单"/>
      <sheetName val="INVOICE"/>
      <sheetName val="PACKING LIST"/>
      <sheetName val="重量与单价数据"/>
      <sheetName val="Packing List other data"/>
      <sheetName val="出货计划Remark"/>
      <sheetName val="物料编码对照表&amp;客户要求"/>
      <sheetName val="sku合并后单元格格式"/>
      <sheetName val="customer requirement"/>
      <sheetName val="packing details"/>
      <sheetName val="Sheet1"/>
      <sheetName val="PackingListV45 - 副本"/>
    </sheetNames>
    <sheetDataSet>
      <sheetData sheetId="0" refreshError="1"/>
      <sheetData sheetId="1" refreshError="1"/>
      <sheetData sheetId="2" refreshError="1">
        <row r="1">
          <cell r="I1" t="str">
            <v>备货日期：</v>
          </cell>
          <cell r="J1">
            <v>43122.819709722222</v>
          </cell>
        </row>
        <row r="2">
          <cell r="A2" t="str">
            <v>Product  SKU</v>
          </cell>
          <cell r="B2" t="str">
            <v>company
sp</v>
          </cell>
          <cell r="C2" t="str">
            <v>SKU Desc</v>
          </cell>
          <cell r="D2" t="str">
            <v>Order Qty</v>
          </cell>
          <cell r="E2" t="str">
            <v>Finish Products in warehouse</v>
          </cell>
          <cell r="F2" t="str">
            <v>(23-Jun)Plan Qty</v>
          </cell>
          <cell r="G2" t="str">
            <v>Actually 
Ship Qty</v>
          </cell>
          <cell r="H2" t="str">
            <v>unit
weight</v>
          </cell>
          <cell r="I2" t="str">
            <v>CTN
WEIGHT</v>
          </cell>
          <cell r="J2" t="str">
            <v>on-hand
 QTY</v>
          </cell>
          <cell r="K2" t="str">
            <v>Insufficient
QTY</v>
          </cell>
        </row>
        <row r="3">
          <cell r="A3" t="str">
            <v>产品品名</v>
          </cell>
          <cell r="B3" t="str">
            <v>代码</v>
          </cell>
          <cell r="C3" t="str">
            <v>包装量</v>
          </cell>
          <cell r="D3" t="str">
            <v>定单数</v>
          </cell>
          <cell r="E3" t="str">
            <v>入库的成品数</v>
          </cell>
          <cell r="F3" t="str">
            <v>6月23日的计划出货数</v>
          </cell>
          <cell r="G3" t="str">
            <v>实际出货数</v>
          </cell>
          <cell r="H3" t="str">
            <v>单重（g）</v>
          </cell>
          <cell r="I3" t="str">
            <v>箱重</v>
          </cell>
          <cell r="J3" t="str">
            <v>现有库存</v>
          </cell>
          <cell r="K3" t="str">
            <v>不够数量</v>
          </cell>
        </row>
        <row r="4">
          <cell r="A4" t="str">
            <v>CCM-V8.9-COPS-4560-BL</v>
          </cell>
          <cell r="B4">
            <v>1483</v>
          </cell>
          <cell r="C4">
            <v>50</v>
          </cell>
          <cell r="G4">
            <v>295</v>
          </cell>
          <cell r="H4">
            <v>420</v>
          </cell>
          <cell r="I4">
            <v>1.5</v>
          </cell>
          <cell r="K4">
            <v>-295</v>
          </cell>
        </row>
        <row r="5">
          <cell r="A5" t="str">
            <v>PASS-EVO-10056-NG</v>
          </cell>
          <cell r="B5">
            <v>1485</v>
          </cell>
          <cell r="C5">
            <v>50</v>
          </cell>
          <cell r="G5">
            <v>33</v>
          </cell>
          <cell r="H5">
            <v>340</v>
          </cell>
          <cell r="I5">
            <v>1.48</v>
          </cell>
          <cell r="K5">
            <v>-33</v>
          </cell>
        </row>
        <row r="6">
          <cell r="A6" t="str">
            <v>CCM-V8-SC-5054-NG</v>
          </cell>
          <cell r="B6">
            <v>762</v>
          </cell>
          <cell r="C6">
            <v>50</v>
          </cell>
          <cell r="G6">
            <v>55</v>
          </cell>
          <cell r="H6">
            <v>327</v>
          </cell>
          <cell r="I6">
            <v>1.48</v>
          </cell>
          <cell r="K6">
            <v>-55</v>
          </cell>
        </row>
        <row r="7">
          <cell r="A7" t="str">
            <v>CCM-V8-SC-5554-NG</v>
          </cell>
          <cell r="B7">
            <v>763</v>
          </cell>
          <cell r="C7">
            <v>50</v>
          </cell>
          <cell r="G7">
            <v>50</v>
          </cell>
          <cell r="H7">
            <v>327</v>
          </cell>
          <cell r="I7">
            <v>1.48</v>
          </cell>
          <cell r="K7">
            <v>-50</v>
          </cell>
        </row>
        <row r="8">
          <cell r="A8" t="str">
            <v>GSAL355IR-40-T</v>
          </cell>
          <cell r="B8">
            <v>764</v>
          </cell>
          <cell r="C8">
            <v>50</v>
          </cell>
          <cell r="G8">
            <v>140</v>
          </cell>
          <cell r="H8">
            <v>69</v>
          </cell>
          <cell r="I8">
            <v>0.6</v>
          </cell>
          <cell r="K8">
            <v>-140</v>
          </cell>
        </row>
        <row r="9">
          <cell r="A9" t="str">
            <v>GSAL355IS-40-T</v>
          </cell>
          <cell r="B9">
            <v>765</v>
          </cell>
          <cell r="C9">
            <v>50</v>
          </cell>
          <cell r="G9">
            <v>18</v>
          </cell>
          <cell r="H9">
            <v>72</v>
          </cell>
          <cell r="I9">
            <v>0.6</v>
          </cell>
          <cell r="K9">
            <v>-18</v>
          </cell>
        </row>
        <row r="10">
          <cell r="A10" t="str">
            <v>CCM-V8-TT-4556</v>
          </cell>
          <cell r="B10">
            <v>766</v>
          </cell>
          <cell r="C10">
            <v>50</v>
          </cell>
          <cell r="G10">
            <v>25</v>
          </cell>
          <cell r="H10">
            <v>380</v>
          </cell>
          <cell r="I10">
            <v>1.48</v>
          </cell>
          <cell r="K10">
            <v>-25</v>
          </cell>
        </row>
        <row r="11">
          <cell r="A11" t="str">
            <v>SHR-RM19-P225-G01L-57</v>
          </cell>
          <cell r="B11">
            <v>1496</v>
          </cell>
          <cell r="C11">
            <v>12</v>
          </cell>
          <cell r="G11">
            <v>25</v>
          </cell>
          <cell r="H11">
            <v>740</v>
          </cell>
          <cell r="I11">
            <v>2.2200000000000002</v>
          </cell>
          <cell r="K11">
            <v>-25</v>
          </cell>
        </row>
        <row r="12">
          <cell r="A12" t="str">
            <v>SHR-RM19-P225-G01L-57</v>
          </cell>
          <cell r="B12">
            <v>1496</v>
          </cell>
          <cell r="C12">
            <v>12</v>
          </cell>
          <cell r="G12">
            <v>25</v>
          </cell>
          <cell r="H12">
            <v>740</v>
          </cell>
          <cell r="I12">
            <v>2.2200000000000002</v>
          </cell>
          <cell r="K12">
            <v>-25</v>
          </cell>
        </row>
        <row r="13">
          <cell r="A13" t="str">
            <v>Total</v>
          </cell>
          <cell r="G13">
            <v>666</v>
          </cell>
        </row>
      </sheetData>
      <sheetData sheetId="3" refreshError="1"/>
      <sheetData sheetId="4" refreshError="1"/>
      <sheetData sheetId="5" refreshError="1">
        <row r="1">
          <cell r="A1" t="str">
            <v>SKU</v>
          </cell>
          <cell r="B1" t="str">
            <v>Price</v>
          </cell>
          <cell r="C1" t="str">
            <v>Item weight(gross)</v>
          </cell>
          <cell r="D1" t="str">
            <v>packed qty</v>
          </cell>
          <cell r="E1" t="str">
            <v>gross weight</v>
          </cell>
          <cell r="F1" t="str">
            <v>company sp</v>
          </cell>
          <cell r="G1" t="str">
            <v>type</v>
          </cell>
          <cell r="H1" t="str">
            <v>carton size</v>
          </cell>
          <cell r="I1" t="str">
            <v>carton(length)</v>
          </cell>
          <cell r="J1" t="str">
            <v>carton(width)</v>
          </cell>
          <cell r="K1" t="str">
            <v>carton(height)</v>
          </cell>
        </row>
        <row r="2">
          <cell r="A2" t="str">
            <v>AUCRULRLSIL-38</v>
          </cell>
          <cell r="B2">
            <v>9</v>
          </cell>
          <cell r="C2">
            <v>74</v>
          </cell>
          <cell r="D2">
            <v>50</v>
          </cell>
          <cell r="E2">
            <v>0.6</v>
          </cell>
          <cell r="F2">
            <v>1</v>
          </cell>
          <cell r="G2" t="str">
            <v>golf</v>
          </cell>
          <cell r="H2" t="str">
            <v>122*15*10</v>
          </cell>
          <cell r="I2">
            <v>122</v>
          </cell>
          <cell r="J2">
            <v>15</v>
          </cell>
          <cell r="K2">
            <v>10</v>
          </cell>
        </row>
        <row r="3">
          <cell r="A3" t="str">
            <v>AUCRULRLSIM-40</v>
          </cell>
          <cell r="B3">
            <v>9</v>
          </cell>
          <cell r="C3">
            <v>74</v>
          </cell>
          <cell r="D3">
            <v>50</v>
          </cell>
          <cell r="E3">
            <v>0.6</v>
          </cell>
          <cell r="F3">
            <v>2</v>
          </cell>
          <cell r="G3" t="str">
            <v>golf</v>
          </cell>
          <cell r="H3" t="str">
            <v>122*15*10</v>
          </cell>
          <cell r="I3">
            <v>122</v>
          </cell>
          <cell r="J3">
            <v>15</v>
          </cell>
          <cell r="K3">
            <v>10</v>
          </cell>
        </row>
        <row r="4">
          <cell r="A4" t="str">
            <v>AUCRULRLSWL-44</v>
          </cell>
          <cell r="B4">
            <v>9</v>
          </cell>
          <cell r="C4">
            <v>74</v>
          </cell>
          <cell r="D4">
            <v>50</v>
          </cell>
          <cell r="E4">
            <v>0.6</v>
          </cell>
          <cell r="F4">
            <v>3</v>
          </cell>
          <cell r="G4" t="str">
            <v>golf</v>
          </cell>
          <cell r="H4" t="str">
            <v>122*15*10</v>
          </cell>
          <cell r="I4">
            <v>122</v>
          </cell>
          <cell r="J4">
            <v>15</v>
          </cell>
          <cell r="K4">
            <v>10</v>
          </cell>
        </row>
        <row r="5">
          <cell r="A5" t="str">
            <v>AUPL-76-WA-46</v>
          </cell>
          <cell r="B5">
            <v>9</v>
          </cell>
          <cell r="C5">
            <v>65</v>
          </cell>
          <cell r="D5">
            <v>50</v>
          </cell>
          <cell r="E5">
            <v>0.6</v>
          </cell>
          <cell r="F5">
            <v>4</v>
          </cell>
          <cell r="G5" t="str">
            <v>golf</v>
          </cell>
          <cell r="H5" t="str">
            <v>122*15*10</v>
          </cell>
          <cell r="I5">
            <v>122</v>
          </cell>
          <cell r="J5">
            <v>15</v>
          </cell>
          <cell r="K5">
            <v>10</v>
          </cell>
        </row>
        <row r="6">
          <cell r="A6" t="str">
            <v>AUPL-76-WS-46</v>
          </cell>
          <cell r="B6">
            <v>9</v>
          </cell>
          <cell r="C6">
            <v>70</v>
          </cell>
          <cell r="D6">
            <v>50</v>
          </cell>
          <cell r="E6">
            <v>0.6</v>
          </cell>
          <cell r="F6">
            <v>5</v>
          </cell>
          <cell r="G6" t="str">
            <v>golf</v>
          </cell>
          <cell r="H6" t="str">
            <v>122*15*10</v>
          </cell>
          <cell r="I6">
            <v>122</v>
          </cell>
          <cell r="J6">
            <v>15</v>
          </cell>
          <cell r="K6">
            <v>10</v>
          </cell>
        </row>
        <row r="7">
          <cell r="A7" t="str">
            <v>I19A-55PA-03600</v>
          </cell>
          <cell r="B7">
            <v>9</v>
          </cell>
          <cell r="C7">
            <v>71</v>
          </cell>
          <cell r="D7">
            <v>50</v>
          </cell>
          <cell r="E7">
            <v>0.6</v>
          </cell>
          <cell r="F7">
            <v>6</v>
          </cell>
          <cell r="G7" t="str">
            <v>golf</v>
          </cell>
          <cell r="H7" t="str">
            <v>122*15*10</v>
          </cell>
          <cell r="I7">
            <v>122</v>
          </cell>
          <cell r="J7">
            <v>15</v>
          </cell>
          <cell r="K7">
            <v>10</v>
          </cell>
        </row>
        <row r="8">
          <cell r="A8" t="str">
            <v>I19A-55PR-03600</v>
          </cell>
          <cell r="B8">
            <v>9</v>
          </cell>
          <cell r="C8">
            <v>73</v>
          </cell>
          <cell r="D8">
            <v>50</v>
          </cell>
          <cell r="E8">
            <v>0.6</v>
          </cell>
          <cell r="F8">
            <v>7</v>
          </cell>
          <cell r="G8" t="str">
            <v>golf</v>
          </cell>
          <cell r="H8" t="str">
            <v>122*15*10</v>
          </cell>
          <cell r="I8">
            <v>122</v>
          </cell>
          <cell r="J8">
            <v>15</v>
          </cell>
          <cell r="K8">
            <v>10</v>
          </cell>
        </row>
        <row r="9">
          <cell r="A9" t="str">
            <v>I19A-55PS-03600</v>
          </cell>
          <cell r="B9">
            <v>9</v>
          </cell>
          <cell r="C9">
            <v>75</v>
          </cell>
          <cell r="D9">
            <v>50</v>
          </cell>
          <cell r="E9">
            <v>0.6</v>
          </cell>
          <cell r="F9">
            <v>8</v>
          </cell>
          <cell r="G9" t="str">
            <v>golf</v>
          </cell>
          <cell r="H9" t="str">
            <v>122*15*10</v>
          </cell>
          <cell r="I9">
            <v>122</v>
          </cell>
          <cell r="J9">
            <v>15</v>
          </cell>
          <cell r="K9">
            <v>10</v>
          </cell>
        </row>
        <row r="10">
          <cell r="A10" t="str">
            <v>I19A-60PA-03600</v>
          </cell>
          <cell r="B10">
            <v>9</v>
          </cell>
          <cell r="C10">
            <v>71</v>
          </cell>
          <cell r="D10">
            <v>50</v>
          </cell>
          <cell r="E10">
            <v>0.6</v>
          </cell>
          <cell r="F10">
            <v>9</v>
          </cell>
          <cell r="G10" t="str">
            <v>golf</v>
          </cell>
          <cell r="H10" t="str">
            <v>122*15*10</v>
          </cell>
          <cell r="I10">
            <v>122</v>
          </cell>
          <cell r="J10">
            <v>15</v>
          </cell>
          <cell r="K10">
            <v>10</v>
          </cell>
        </row>
        <row r="11">
          <cell r="A11" t="str">
            <v>I19A-60PR-03600</v>
          </cell>
          <cell r="B11">
            <v>9</v>
          </cell>
          <cell r="C11">
            <v>73</v>
          </cell>
          <cell r="D11">
            <v>50</v>
          </cell>
          <cell r="E11">
            <v>0.6</v>
          </cell>
          <cell r="F11">
            <v>10</v>
          </cell>
          <cell r="G11" t="str">
            <v>golf</v>
          </cell>
          <cell r="H11" t="str">
            <v>122*15*10</v>
          </cell>
          <cell r="I11">
            <v>122</v>
          </cell>
          <cell r="J11">
            <v>15</v>
          </cell>
          <cell r="K11">
            <v>10</v>
          </cell>
        </row>
        <row r="12">
          <cell r="A12" t="str">
            <v>I19A-60PS-03600</v>
          </cell>
          <cell r="B12">
            <v>9</v>
          </cell>
          <cell r="C12">
            <v>75</v>
          </cell>
          <cell r="D12">
            <v>50</v>
          </cell>
          <cell r="E12">
            <v>0.6</v>
          </cell>
          <cell r="F12">
            <v>11</v>
          </cell>
          <cell r="G12" t="str">
            <v>golf</v>
          </cell>
          <cell r="H12" t="str">
            <v>122*15*10</v>
          </cell>
          <cell r="I12">
            <v>122</v>
          </cell>
          <cell r="J12">
            <v>15</v>
          </cell>
          <cell r="K12">
            <v>10</v>
          </cell>
        </row>
        <row r="13">
          <cell r="A13" t="str">
            <v>I19A-65PA-03600</v>
          </cell>
          <cell r="B13">
            <v>9</v>
          </cell>
          <cell r="C13">
            <v>71</v>
          </cell>
          <cell r="D13">
            <v>50</v>
          </cell>
          <cell r="E13">
            <v>0.6</v>
          </cell>
          <cell r="F13">
            <v>12</v>
          </cell>
          <cell r="G13" t="str">
            <v>golf</v>
          </cell>
          <cell r="H13" t="str">
            <v>122*15*10</v>
          </cell>
          <cell r="I13">
            <v>122</v>
          </cell>
          <cell r="J13">
            <v>15</v>
          </cell>
          <cell r="K13">
            <v>10</v>
          </cell>
        </row>
        <row r="14">
          <cell r="A14" t="str">
            <v>I19A-65PR-03600</v>
          </cell>
          <cell r="B14">
            <v>9</v>
          </cell>
          <cell r="C14">
            <v>73</v>
          </cell>
          <cell r="D14">
            <v>50</v>
          </cell>
          <cell r="E14">
            <v>0.6</v>
          </cell>
          <cell r="F14">
            <v>13</v>
          </cell>
          <cell r="G14" t="str">
            <v>golf</v>
          </cell>
          <cell r="H14" t="str">
            <v>122*15*10</v>
          </cell>
          <cell r="I14">
            <v>122</v>
          </cell>
          <cell r="J14">
            <v>15</v>
          </cell>
          <cell r="K14">
            <v>10</v>
          </cell>
        </row>
        <row r="15">
          <cell r="A15" t="str">
            <v>I19A-65PS-03600</v>
          </cell>
          <cell r="B15">
            <v>9</v>
          </cell>
          <cell r="C15">
            <v>75</v>
          </cell>
          <cell r="D15">
            <v>50</v>
          </cell>
          <cell r="E15">
            <v>0.6</v>
          </cell>
          <cell r="F15">
            <v>14</v>
          </cell>
          <cell r="G15" t="str">
            <v>golf</v>
          </cell>
          <cell r="H15" t="str">
            <v>122*15*10</v>
          </cell>
          <cell r="I15">
            <v>122</v>
          </cell>
          <cell r="J15">
            <v>15</v>
          </cell>
          <cell r="K15">
            <v>10</v>
          </cell>
        </row>
        <row r="16">
          <cell r="A16" t="str">
            <v>I19A-70PA-03600</v>
          </cell>
          <cell r="B16">
            <v>9</v>
          </cell>
          <cell r="C16">
            <v>71</v>
          </cell>
          <cell r="D16">
            <v>50</v>
          </cell>
          <cell r="E16">
            <v>0.6</v>
          </cell>
          <cell r="F16">
            <v>15</v>
          </cell>
          <cell r="G16" t="str">
            <v>golf</v>
          </cell>
          <cell r="H16" t="str">
            <v>122*15*10</v>
          </cell>
          <cell r="I16">
            <v>122</v>
          </cell>
          <cell r="J16">
            <v>15</v>
          </cell>
          <cell r="K16">
            <v>10</v>
          </cell>
        </row>
        <row r="17">
          <cell r="A17" t="str">
            <v>I19A-70PR-03600</v>
          </cell>
          <cell r="B17">
            <v>9</v>
          </cell>
          <cell r="C17">
            <v>73</v>
          </cell>
          <cell r="D17">
            <v>50</v>
          </cell>
          <cell r="E17">
            <v>0.6</v>
          </cell>
          <cell r="F17">
            <v>16</v>
          </cell>
          <cell r="G17" t="str">
            <v>golf</v>
          </cell>
          <cell r="H17" t="str">
            <v>122*15*10</v>
          </cell>
          <cell r="I17">
            <v>122</v>
          </cell>
          <cell r="J17">
            <v>15</v>
          </cell>
          <cell r="K17">
            <v>10</v>
          </cell>
        </row>
        <row r="18">
          <cell r="A18" t="str">
            <v>I19A-70PS-03600</v>
          </cell>
          <cell r="B18">
            <v>9</v>
          </cell>
          <cell r="C18">
            <v>75</v>
          </cell>
          <cell r="D18">
            <v>50</v>
          </cell>
          <cell r="E18">
            <v>0.6</v>
          </cell>
          <cell r="F18">
            <v>17</v>
          </cell>
          <cell r="G18" t="str">
            <v>golf</v>
          </cell>
          <cell r="H18" t="str">
            <v>122*15*10</v>
          </cell>
          <cell r="I18">
            <v>122</v>
          </cell>
          <cell r="J18">
            <v>15</v>
          </cell>
          <cell r="K18">
            <v>10</v>
          </cell>
        </row>
        <row r="19">
          <cell r="A19" t="str">
            <v>I19A-75PA-03600</v>
          </cell>
          <cell r="B19">
            <v>9</v>
          </cell>
          <cell r="C19">
            <v>71</v>
          </cell>
          <cell r="D19">
            <v>50</v>
          </cell>
          <cell r="E19">
            <v>0.6</v>
          </cell>
          <cell r="F19">
            <v>18</v>
          </cell>
          <cell r="G19" t="str">
            <v>golf</v>
          </cell>
          <cell r="H19" t="str">
            <v>122*15*10</v>
          </cell>
          <cell r="I19">
            <v>122</v>
          </cell>
          <cell r="J19">
            <v>15</v>
          </cell>
          <cell r="K19">
            <v>10</v>
          </cell>
        </row>
        <row r="20">
          <cell r="A20" t="str">
            <v>I19A-75PR-03600</v>
          </cell>
          <cell r="B20">
            <v>9</v>
          </cell>
          <cell r="C20">
            <v>73</v>
          </cell>
          <cell r="D20">
            <v>50</v>
          </cell>
          <cell r="E20">
            <v>0.6</v>
          </cell>
          <cell r="F20">
            <v>19</v>
          </cell>
          <cell r="G20" t="str">
            <v>golf</v>
          </cell>
          <cell r="H20" t="str">
            <v>122*15*10</v>
          </cell>
          <cell r="I20">
            <v>122</v>
          </cell>
          <cell r="J20">
            <v>15</v>
          </cell>
          <cell r="K20">
            <v>10</v>
          </cell>
        </row>
        <row r="21">
          <cell r="A21" t="str">
            <v>I19A-75PS-03600</v>
          </cell>
          <cell r="B21">
            <v>9</v>
          </cell>
          <cell r="C21">
            <v>75</v>
          </cell>
          <cell r="D21">
            <v>50</v>
          </cell>
          <cell r="E21">
            <v>0.6</v>
          </cell>
          <cell r="F21">
            <v>20</v>
          </cell>
          <cell r="G21" t="str">
            <v>golf</v>
          </cell>
          <cell r="H21" t="str">
            <v>122*15*10</v>
          </cell>
          <cell r="I21">
            <v>122</v>
          </cell>
          <cell r="J21">
            <v>15</v>
          </cell>
          <cell r="K21">
            <v>10</v>
          </cell>
        </row>
        <row r="22">
          <cell r="A22" t="str">
            <v>I19A-80PA-03600</v>
          </cell>
          <cell r="B22">
            <v>9</v>
          </cell>
          <cell r="C22">
            <v>71</v>
          </cell>
          <cell r="D22">
            <v>50</v>
          </cell>
          <cell r="E22">
            <v>0.6</v>
          </cell>
          <cell r="F22">
            <v>21</v>
          </cell>
          <cell r="G22" t="str">
            <v>golf</v>
          </cell>
          <cell r="H22" t="str">
            <v>122*15*10</v>
          </cell>
          <cell r="I22">
            <v>122</v>
          </cell>
          <cell r="J22">
            <v>15</v>
          </cell>
          <cell r="K22">
            <v>10</v>
          </cell>
        </row>
        <row r="23">
          <cell r="A23" t="str">
            <v>I19A-80PR-03600</v>
          </cell>
          <cell r="B23">
            <v>9</v>
          </cell>
          <cell r="C23">
            <v>73</v>
          </cell>
          <cell r="D23">
            <v>50</v>
          </cell>
          <cell r="E23">
            <v>0.6</v>
          </cell>
          <cell r="F23">
            <v>22</v>
          </cell>
          <cell r="G23" t="str">
            <v>golf</v>
          </cell>
          <cell r="H23" t="str">
            <v>122*15*10</v>
          </cell>
          <cell r="I23">
            <v>122</v>
          </cell>
          <cell r="J23">
            <v>15</v>
          </cell>
          <cell r="K23">
            <v>10</v>
          </cell>
        </row>
        <row r="24">
          <cell r="A24" t="str">
            <v>I19A-80PS-03600</v>
          </cell>
          <cell r="B24">
            <v>9</v>
          </cell>
          <cell r="C24">
            <v>75</v>
          </cell>
          <cell r="D24">
            <v>50</v>
          </cell>
          <cell r="E24">
            <v>0.6</v>
          </cell>
          <cell r="F24">
            <v>23</v>
          </cell>
          <cell r="G24" t="str">
            <v>golf</v>
          </cell>
          <cell r="H24" t="str">
            <v>122*15*10</v>
          </cell>
          <cell r="I24">
            <v>122</v>
          </cell>
          <cell r="J24">
            <v>15</v>
          </cell>
          <cell r="K24">
            <v>10</v>
          </cell>
        </row>
        <row r="25">
          <cell r="A25" t="str">
            <v>I19A-85PA-03600</v>
          </cell>
          <cell r="B25">
            <v>9</v>
          </cell>
          <cell r="C25">
            <v>71</v>
          </cell>
          <cell r="D25">
            <v>50</v>
          </cell>
          <cell r="E25">
            <v>0.6</v>
          </cell>
          <cell r="F25">
            <v>24</v>
          </cell>
          <cell r="G25" t="str">
            <v>golf</v>
          </cell>
          <cell r="H25" t="str">
            <v>122*15*10</v>
          </cell>
          <cell r="I25">
            <v>122</v>
          </cell>
          <cell r="J25">
            <v>15</v>
          </cell>
          <cell r="K25">
            <v>10</v>
          </cell>
        </row>
        <row r="26">
          <cell r="A26" t="str">
            <v>I19A-85PR-03600</v>
          </cell>
          <cell r="B26">
            <v>9</v>
          </cell>
          <cell r="C26">
            <v>73</v>
          </cell>
          <cell r="D26">
            <v>50</v>
          </cell>
          <cell r="E26">
            <v>0.6</v>
          </cell>
          <cell r="F26">
            <v>25</v>
          </cell>
          <cell r="G26" t="str">
            <v>golf</v>
          </cell>
          <cell r="H26" t="str">
            <v>122*15*10</v>
          </cell>
          <cell r="I26">
            <v>122</v>
          </cell>
          <cell r="J26">
            <v>15</v>
          </cell>
          <cell r="K26">
            <v>10</v>
          </cell>
        </row>
        <row r="27">
          <cell r="A27" t="str">
            <v>I19A-85PS-03600</v>
          </cell>
          <cell r="B27">
            <v>9</v>
          </cell>
          <cell r="C27">
            <v>75</v>
          </cell>
          <cell r="D27">
            <v>50</v>
          </cell>
          <cell r="E27">
            <v>0.6</v>
          </cell>
          <cell r="F27">
            <v>26</v>
          </cell>
          <cell r="G27" t="str">
            <v>golf</v>
          </cell>
          <cell r="H27" t="str">
            <v>122*15*10</v>
          </cell>
          <cell r="I27">
            <v>122</v>
          </cell>
          <cell r="J27">
            <v>15</v>
          </cell>
          <cell r="K27">
            <v>10</v>
          </cell>
        </row>
        <row r="28">
          <cell r="A28" t="str">
            <v>I19A-90PA-03600</v>
          </cell>
          <cell r="B28">
            <v>9</v>
          </cell>
          <cell r="C28">
            <v>71</v>
          </cell>
          <cell r="D28">
            <v>50</v>
          </cell>
          <cell r="E28">
            <v>0.6</v>
          </cell>
          <cell r="F28">
            <v>27</v>
          </cell>
          <cell r="G28" t="str">
            <v>golf</v>
          </cell>
          <cell r="H28" t="str">
            <v>122*15*10</v>
          </cell>
          <cell r="I28">
            <v>122</v>
          </cell>
          <cell r="J28">
            <v>15</v>
          </cell>
          <cell r="K28">
            <v>10</v>
          </cell>
        </row>
        <row r="29">
          <cell r="A29" t="str">
            <v>I19A-90PR-03600</v>
          </cell>
          <cell r="B29">
            <v>9</v>
          </cell>
          <cell r="C29">
            <v>73</v>
          </cell>
          <cell r="D29">
            <v>50</v>
          </cell>
          <cell r="E29">
            <v>0.6</v>
          </cell>
          <cell r="F29">
            <v>28</v>
          </cell>
          <cell r="G29" t="str">
            <v>golf</v>
          </cell>
          <cell r="H29" t="str">
            <v>122*15*10</v>
          </cell>
          <cell r="I29">
            <v>122</v>
          </cell>
          <cell r="J29">
            <v>15</v>
          </cell>
          <cell r="K29">
            <v>10</v>
          </cell>
        </row>
        <row r="30">
          <cell r="A30" t="str">
            <v>I19A-90PS-03600</v>
          </cell>
          <cell r="B30">
            <v>9</v>
          </cell>
          <cell r="C30">
            <v>75</v>
          </cell>
          <cell r="D30">
            <v>50</v>
          </cell>
          <cell r="E30">
            <v>0.6</v>
          </cell>
          <cell r="F30">
            <v>29</v>
          </cell>
          <cell r="G30" t="str">
            <v>golf</v>
          </cell>
          <cell r="H30" t="str">
            <v>122*15*10</v>
          </cell>
          <cell r="I30">
            <v>122</v>
          </cell>
          <cell r="J30">
            <v>15</v>
          </cell>
          <cell r="K30">
            <v>10</v>
          </cell>
        </row>
        <row r="31">
          <cell r="A31" t="str">
            <v>I19A-95PA-03600</v>
          </cell>
          <cell r="B31">
            <v>9</v>
          </cell>
          <cell r="C31">
            <v>71</v>
          </cell>
          <cell r="D31">
            <v>50</v>
          </cell>
          <cell r="E31">
            <v>0.6</v>
          </cell>
          <cell r="F31">
            <v>30</v>
          </cell>
          <cell r="G31" t="str">
            <v>golf</v>
          </cell>
          <cell r="H31" t="str">
            <v>122*15*10</v>
          </cell>
          <cell r="I31">
            <v>122</v>
          </cell>
          <cell r="J31">
            <v>15</v>
          </cell>
          <cell r="K31">
            <v>10</v>
          </cell>
        </row>
        <row r="32">
          <cell r="A32" t="str">
            <v>I19A-95PR-03600</v>
          </cell>
          <cell r="B32">
            <v>9</v>
          </cell>
          <cell r="C32">
            <v>73</v>
          </cell>
          <cell r="D32">
            <v>50</v>
          </cell>
          <cell r="E32">
            <v>0.6</v>
          </cell>
          <cell r="F32">
            <v>31</v>
          </cell>
          <cell r="G32" t="str">
            <v>golf</v>
          </cell>
          <cell r="H32" t="str">
            <v>122*15*10</v>
          </cell>
          <cell r="I32">
            <v>122</v>
          </cell>
          <cell r="J32">
            <v>15</v>
          </cell>
          <cell r="K32">
            <v>10</v>
          </cell>
        </row>
        <row r="33">
          <cell r="A33" t="str">
            <v>I19A-95PS-03600</v>
          </cell>
          <cell r="B33">
            <v>9</v>
          </cell>
          <cell r="C33">
            <v>75</v>
          </cell>
          <cell r="D33">
            <v>50</v>
          </cell>
          <cell r="E33">
            <v>0.6</v>
          </cell>
          <cell r="F33">
            <v>32</v>
          </cell>
          <cell r="G33" t="str">
            <v>golf</v>
          </cell>
          <cell r="H33" t="str">
            <v>122*15*10</v>
          </cell>
          <cell r="I33">
            <v>122</v>
          </cell>
          <cell r="J33">
            <v>15</v>
          </cell>
          <cell r="K33">
            <v>10</v>
          </cell>
        </row>
        <row r="34">
          <cell r="A34" t="str">
            <v>LAUNCHHYIA-41</v>
          </cell>
          <cell r="B34">
            <v>9</v>
          </cell>
          <cell r="C34">
            <v>77</v>
          </cell>
          <cell r="D34">
            <v>50</v>
          </cell>
          <cell r="E34">
            <v>0.6</v>
          </cell>
          <cell r="F34">
            <v>33</v>
          </cell>
          <cell r="G34" t="str">
            <v>golf</v>
          </cell>
          <cell r="H34" t="str">
            <v>122*15*10</v>
          </cell>
          <cell r="I34">
            <v>122</v>
          </cell>
          <cell r="J34">
            <v>15</v>
          </cell>
          <cell r="K34">
            <v>10</v>
          </cell>
        </row>
        <row r="35">
          <cell r="A35" t="str">
            <v>LAUNCHHYIR-41</v>
          </cell>
          <cell r="B35">
            <v>9</v>
          </cell>
          <cell r="C35">
            <v>83</v>
          </cell>
          <cell r="D35">
            <v>50</v>
          </cell>
          <cell r="E35">
            <v>0.6</v>
          </cell>
          <cell r="F35">
            <v>34</v>
          </cell>
          <cell r="G35" t="str">
            <v>golf</v>
          </cell>
          <cell r="H35" t="str">
            <v>122*15*10</v>
          </cell>
          <cell r="I35">
            <v>122</v>
          </cell>
          <cell r="J35">
            <v>15</v>
          </cell>
          <cell r="K35">
            <v>10</v>
          </cell>
        </row>
        <row r="36">
          <cell r="A36" t="str">
            <v>LAUNCHHYIS-41</v>
          </cell>
          <cell r="B36">
            <v>9</v>
          </cell>
          <cell r="C36">
            <v>84</v>
          </cell>
          <cell r="D36">
            <v>50</v>
          </cell>
          <cell r="E36">
            <v>0.6</v>
          </cell>
          <cell r="F36">
            <v>35</v>
          </cell>
          <cell r="G36" t="str">
            <v>golf</v>
          </cell>
          <cell r="H36" t="str">
            <v>122*15*10</v>
          </cell>
          <cell r="I36">
            <v>122</v>
          </cell>
          <cell r="J36">
            <v>15</v>
          </cell>
          <cell r="K36">
            <v>10</v>
          </cell>
        </row>
        <row r="37">
          <cell r="A37" t="str">
            <v>LAUNCHHYIX-41</v>
          </cell>
          <cell r="B37">
            <v>9</v>
          </cell>
          <cell r="C37">
            <v>85</v>
          </cell>
          <cell r="D37">
            <v>50</v>
          </cell>
          <cell r="E37">
            <v>0.6</v>
          </cell>
          <cell r="F37">
            <v>36</v>
          </cell>
          <cell r="G37" t="str">
            <v>golf</v>
          </cell>
          <cell r="H37" t="str">
            <v>122*15*10</v>
          </cell>
          <cell r="I37">
            <v>122</v>
          </cell>
          <cell r="J37">
            <v>15</v>
          </cell>
          <cell r="K37">
            <v>10</v>
          </cell>
        </row>
        <row r="38">
          <cell r="A38" t="str">
            <v>M18L-P-L-22745</v>
          </cell>
          <cell r="B38">
            <v>9</v>
          </cell>
          <cell r="C38">
            <v>64</v>
          </cell>
          <cell r="D38">
            <v>50</v>
          </cell>
          <cell r="E38">
            <v>0.6</v>
          </cell>
          <cell r="F38">
            <v>37</v>
          </cell>
          <cell r="G38" t="str">
            <v>golf</v>
          </cell>
          <cell r="H38" t="str">
            <v>122*15*10</v>
          </cell>
          <cell r="I38">
            <v>122</v>
          </cell>
          <cell r="J38">
            <v>15</v>
          </cell>
          <cell r="K38">
            <v>10</v>
          </cell>
        </row>
        <row r="39">
          <cell r="A39" t="str">
            <v>MGBGA-45</v>
          </cell>
          <cell r="B39">
            <v>9</v>
          </cell>
          <cell r="C39">
            <v>78</v>
          </cell>
          <cell r="D39">
            <v>50</v>
          </cell>
          <cell r="E39">
            <v>0.6</v>
          </cell>
          <cell r="F39">
            <v>38</v>
          </cell>
          <cell r="G39" t="str">
            <v>golf</v>
          </cell>
          <cell r="H39" t="str">
            <v>122*15*10</v>
          </cell>
          <cell r="I39">
            <v>122</v>
          </cell>
          <cell r="J39">
            <v>15</v>
          </cell>
          <cell r="K39">
            <v>10</v>
          </cell>
        </row>
        <row r="40">
          <cell r="A40" t="str">
            <v>MGBGL-45</v>
          </cell>
          <cell r="B40">
            <v>9</v>
          </cell>
          <cell r="C40">
            <v>78</v>
          </cell>
          <cell r="D40">
            <v>50</v>
          </cell>
          <cell r="E40">
            <v>0.6</v>
          </cell>
          <cell r="F40">
            <v>39</v>
          </cell>
          <cell r="G40" t="str">
            <v>golf</v>
          </cell>
          <cell r="H40" t="str">
            <v>122*15*10</v>
          </cell>
          <cell r="I40">
            <v>122</v>
          </cell>
          <cell r="J40">
            <v>15</v>
          </cell>
          <cell r="K40">
            <v>10</v>
          </cell>
        </row>
        <row r="41">
          <cell r="A41" t="str">
            <v>MGBGR3-45</v>
          </cell>
          <cell r="B41">
            <v>9</v>
          </cell>
          <cell r="C41">
            <v>82</v>
          </cell>
          <cell r="D41">
            <v>50</v>
          </cell>
          <cell r="E41">
            <v>0.6</v>
          </cell>
          <cell r="F41">
            <v>40</v>
          </cell>
          <cell r="G41" t="str">
            <v>golf</v>
          </cell>
          <cell r="H41" t="str">
            <v>122*15*10</v>
          </cell>
          <cell r="I41">
            <v>122</v>
          </cell>
          <cell r="J41">
            <v>15</v>
          </cell>
          <cell r="K41">
            <v>10</v>
          </cell>
        </row>
        <row r="42">
          <cell r="A42" t="str">
            <v>OGWX-46</v>
          </cell>
          <cell r="B42">
            <v>9</v>
          </cell>
          <cell r="C42">
            <v>70</v>
          </cell>
          <cell r="D42">
            <v>50</v>
          </cell>
          <cell r="E42">
            <v>0.6</v>
          </cell>
          <cell r="F42">
            <v>41</v>
          </cell>
          <cell r="G42" t="str">
            <v>golf</v>
          </cell>
          <cell r="H42" t="str">
            <v>122*15*10</v>
          </cell>
          <cell r="I42">
            <v>122</v>
          </cell>
          <cell r="J42">
            <v>15</v>
          </cell>
          <cell r="K42">
            <v>10</v>
          </cell>
        </row>
        <row r="43">
          <cell r="A43" t="str">
            <v>SHR-ECL-08563</v>
          </cell>
          <cell r="B43">
            <v>9</v>
          </cell>
          <cell r="C43">
            <v>364</v>
          </cell>
          <cell r="D43">
            <v>50</v>
          </cell>
          <cell r="E43">
            <v>1.6</v>
          </cell>
          <cell r="F43">
            <v>42</v>
          </cell>
          <cell r="G43" t="str">
            <v>Shaft</v>
          </cell>
          <cell r="H43" t="str">
            <v>183*29*16</v>
          </cell>
          <cell r="I43">
            <v>183</v>
          </cell>
          <cell r="J43">
            <v>29</v>
          </cell>
          <cell r="K43">
            <v>16</v>
          </cell>
        </row>
        <row r="44">
          <cell r="A44" t="str">
            <v>SHR-ECL-09563</v>
          </cell>
          <cell r="B44">
            <v>9</v>
          </cell>
          <cell r="C44">
            <v>375</v>
          </cell>
          <cell r="D44">
            <v>50</v>
          </cell>
          <cell r="E44">
            <v>1.6</v>
          </cell>
          <cell r="F44">
            <v>43</v>
          </cell>
          <cell r="G44" t="str">
            <v>Shaft</v>
          </cell>
          <cell r="H44" t="str">
            <v>183*29*16</v>
          </cell>
          <cell r="I44">
            <v>183</v>
          </cell>
          <cell r="J44">
            <v>29</v>
          </cell>
          <cell r="K44">
            <v>16</v>
          </cell>
        </row>
        <row r="45">
          <cell r="A45" t="str">
            <v>SHR-ECL-10563</v>
          </cell>
          <cell r="B45">
            <v>9</v>
          </cell>
          <cell r="C45">
            <v>384</v>
          </cell>
          <cell r="D45">
            <v>50</v>
          </cell>
          <cell r="E45">
            <v>1.6</v>
          </cell>
          <cell r="F45">
            <v>44</v>
          </cell>
          <cell r="G45" t="str">
            <v>Shaft</v>
          </cell>
          <cell r="H45" t="str">
            <v>183*29*16</v>
          </cell>
          <cell r="I45">
            <v>183</v>
          </cell>
          <cell r="J45">
            <v>29</v>
          </cell>
          <cell r="K45">
            <v>16</v>
          </cell>
        </row>
        <row r="46">
          <cell r="A46" t="str">
            <v>SHR-TEN-TF</v>
          </cell>
          <cell r="B46">
            <v>9</v>
          </cell>
          <cell r="C46">
            <v>75</v>
          </cell>
          <cell r="D46">
            <v>60</v>
          </cell>
          <cell r="E46">
            <v>0.2</v>
          </cell>
          <cell r="F46">
            <v>45</v>
          </cell>
          <cell r="G46" t="str">
            <v>tennon</v>
          </cell>
          <cell r="H46" t="str">
            <v>45*26*8</v>
          </cell>
          <cell r="I46">
            <v>45</v>
          </cell>
          <cell r="J46">
            <v>26</v>
          </cell>
          <cell r="K46">
            <v>8</v>
          </cell>
        </row>
        <row r="47">
          <cell r="A47" t="str">
            <v>SHR-TF-09552P</v>
          </cell>
          <cell r="B47">
            <v>9</v>
          </cell>
          <cell r="C47">
            <v>329</v>
          </cell>
          <cell r="D47">
            <v>50</v>
          </cell>
          <cell r="E47">
            <v>1.48</v>
          </cell>
          <cell r="F47">
            <v>46</v>
          </cell>
          <cell r="G47" t="str">
            <v>Shaft</v>
          </cell>
          <cell r="H47" t="str">
            <v>145*29*16</v>
          </cell>
          <cell r="I47">
            <v>145</v>
          </cell>
          <cell r="J47">
            <v>29</v>
          </cell>
          <cell r="K47">
            <v>16</v>
          </cell>
        </row>
        <row r="48">
          <cell r="A48" t="str">
            <v>SHR-TF-10552P</v>
          </cell>
          <cell r="B48">
            <v>9</v>
          </cell>
          <cell r="C48">
            <v>339</v>
          </cell>
          <cell r="D48">
            <v>50</v>
          </cell>
          <cell r="E48">
            <v>1.48</v>
          </cell>
          <cell r="F48">
            <v>47</v>
          </cell>
          <cell r="G48" t="str">
            <v>Shaft</v>
          </cell>
          <cell r="H48" t="str">
            <v>145*29*16</v>
          </cell>
          <cell r="I48">
            <v>145</v>
          </cell>
          <cell r="J48">
            <v>29</v>
          </cell>
          <cell r="K48">
            <v>16</v>
          </cell>
        </row>
        <row r="49">
          <cell r="A49" t="str">
            <v>SHR-TF-11552P</v>
          </cell>
          <cell r="B49">
            <v>9</v>
          </cell>
          <cell r="C49">
            <v>364</v>
          </cell>
          <cell r="D49">
            <v>50</v>
          </cell>
          <cell r="E49">
            <v>1.48</v>
          </cell>
          <cell r="F49">
            <v>48</v>
          </cell>
          <cell r="G49" t="str">
            <v>Shaft</v>
          </cell>
          <cell r="H49" t="str">
            <v>145*29*16</v>
          </cell>
          <cell r="I49">
            <v>145</v>
          </cell>
          <cell r="J49">
            <v>29</v>
          </cell>
          <cell r="K49">
            <v>16</v>
          </cell>
        </row>
        <row r="50">
          <cell r="A50" t="str">
            <v>TITUNPLFWR-44</v>
          </cell>
          <cell r="B50">
            <v>9</v>
          </cell>
          <cell r="C50">
            <v>73</v>
          </cell>
          <cell r="D50">
            <v>50</v>
          </cell>
          <cell r="E50">
            <v>0.6</v>
          </cell>
          <cell r="F50">
            <v>49</v>
          </cell>
          <cell r="G50" t="str">
            <v>golf</v>
          </cell>
          <cell r="H50" t="str">
            <v>122*15*10</v>
          </cell>
          <cell r="I50">
            <v>122</v>
          </cell>
          <cell r="J50">
            <v>15</v>
          </cell>
          <cell r="K50">
            <v>10</v>
          </cell>
        </row>
        <row r="51">
          <cell r="A51" t="str">
            <v>TITUNPLFWS-44</v>
          </cell>
          <cell r="B51">
            <v>9</v>
          </cell>
          <cell r="C51">
            <v>75</v>
          </cell>
          <cell r="D51">
            <v>50</v>
          </cell>
          <cell r="E51">
            <v>0.6</v>
          </cell>
          <cell r="F51">
            <v>50</v>
          </cell>
          <cell r="G51" t="str">
            <v>golf</v>
          </cell>
          <cell r="H51" t="str">
            <v>122*15*10</v>
          </cell>
          <cell r="I51">
            <v>122</v>
          </cell>
          <cell r="J51">
            <v>15</v>
          </cell>
          <cell r="K51">
            <v>10</v>
          </cell>
        </row>
        <row r="52">
          <cell r="A52" t="str">
            <v>TITUNPLFWX-44</v>
          </cell>
          <cell r="B52">
            <v>9</v>
          </cell>
          <cell r="C52">
            <v>77</v>
          </cell>
          <cell r="D52">
            <v>50</v>
          </cell>
          <cell r="E52">
            <v>0.6</v>
          </cell>
          <cell r="F52">
            <v>51</v>
          </cell>
          <cell r="G52" t="str">
            <v>golf</v>
          </cell>
          <cell r="H52" t="str">
            <v>122*15*10</v>
          </cell>
          <cell r="I52">
            <v>122</v>
          </cell>
          <cell r="J52">
            <v>15</v>
          </cell>
          <cell r="K52">
            <v>10</v>
          </cell>
        </row>
        <row r="53">
          <cell r="A53" t="str">
            <v>TITUNPLWR-46</v>
          </cell>
          <cell r="B53">
            <v>9</v>
          </cell>
          <cell r="C53">
            <v>65</v>
          </cell>
          <cell r="D53">
            <v>50</v>
          </cell>
          <cell r="E53">
            <v>0.6</v>
          </cell>
          <cell r="F53">
            <v>52</v>
          </cell>
          <cell r="G53" t="str">
            <v>golf</v>
          </cell>
          <cell r="H53" t="str">
            <v>122*15*10</v>
          </cell>
          <cell r="I53">
            <v>122</v>
          </cell>
          <cell r="J53">
            <v>15</v>
          </cell>
          <cell r="K53">
            <v>10</v>
          </cell>
        </row>
        <row r="54">
          <cell r="A54" t="str">
            <v>TITUNPLWS-46</v>
          </cell>
          <cell r="B54">
            <v>9</v>
          </cell>
          <cell r="C54">
            <v>67</v>
          </cell>
          <cell r="D54">
            <v>50</v>
          </cell>
          <cell r="E54">
            <v>0.6</v>
          </cell>
          <cell r="F54">
            <v>53</v>
          </cell>
          <cell r="G54" t="str">
            <v>golf</v>
          </cell>
          <cell r="H54" t="str">
            <v>122*15*10</v>
          </cell>
          <cell r="I54">
            <v>122</v>
          </cell>
          <cell r="J54">
            <v>15</v>
          </cell>
          <cell r="K54">
            <v>10</v>
          </cell>
        </row>
        <row r="55">
          <cell r="A55" t="str">
            <v>TTSW-37</v>
          </cell>
          <cell r="B55">
            <v>9</v>
          </cell>
          <cell r="C55">
            <v>108</v>
          </cell>
          <cell r="D55">
            <v>50</v>
          </cell>
          <cell r="E55">
            <v>0.6</v>
          </cell>
          <cell r="F55">
            <v>54</v>
          </cell>
          <cell r="G55" t="str">
            <v>golf</v>
          </cell>
          <cell r="H55" t="str">
            <v>122*15*10</v>
          </cell>
          <cell r="I55">
            <v>122</v>
          </cell>
          <cell r="J55">
            <v>15</v>
          </cell>
          <cell r="K55">
            <v>10</v>
          </cell>
        </row>
        <row r="56">
          <cell r="A56" t="str">
            <v>UACLIC-43</v>
          </cell>
          <cell r="B56">
            <v>9</v>
          </cell>
          <cell r="C56">
            <v>85</v>
          </cell>
          <cell r="D56">
            <v>50</v>
          </cell>
          <cell r="E56">
            <v>0.6</v>
          </cell>
          <cell r="F56">
            <v>55</v>
          </cell>
          <cell r="G56" t="str">
            <v>golf</v>
          </cell>
          <cell r="H56" t="str">
            <v>122*15*10</v>
          </cell>
          <cell r="I56">
            <v>122</v>
          </cell>
          <cell r="J56">
            <v>15</v>
          </cell>
          <cell r="K56">
            <v>10</v>
          </cell>
        </row>
        <row r="57">
          <cell r="A57" t="str">
            <v>UACLIL-42</v>
          </cell>
          <cell r="B57">
            <v>9</v>
          </cell>
          <cell r="C57">
            <v>84</v>
          </cell>
          <cell r="D57">
            <v>50</v>
          </cell>
          <cell r="E57">
            <v>0.6</v>
          </cell>
          <cell r="F57">
            <v>56</v>
          </cell>
          <cell r="G57" t="str">
            <v>golf</v>
          </cell>
          <cell r="H57" t="str">
            <v>122*15*10</v>
          </cell>
          <cell r="I57">
            <v>122</v>
          </cell>
          <cell r="J57">
            <v>15</v>
          </cell>
          <cell r="K57">
            <v>10</v>
          </cell>
        </row>
        <row r="58">
          <cell r="A58" t="str">
            <v>UACLWC-48</v>
          </cell>
          <cell r="B58">
            <v>9</v>
          </cell>
          <cell r="C58">
            <v>77</v>
          </cell>
          <cell r="D58">
            <v>50</v>
          </cell>
          <cell r="E58">
            <v>0.64</v>
          </cell>
          <cell r="F58">
            <v>57</v>
          </cell>
          <cell r="G58" t="str">
            <v>golf</v>
          </cell>
          <cell r="H58" t="str">
            <v>130*15*10</v>
          </cell>
          <cell r="I58">
            <v>130</v>
          </cell>
          <cell r="J58">
            <v>15</v>
          </cell>
          <cell r="K58">
            <v>10</v>
          </cell>
        </row>
        <row r="59">
          <cell r="A59" t="str">
            <v>UACLWL-45</v>
          </cell>
          <cell r="B59">
            <v>9</v>
          </cell>
          <cell r="C59">
            <v>64</v>
          </cell>
          <cell r="D59">
            <v>50</v>
          </cell>
          <cell r="E59">
            <v>0.6</v>
          </cell>
          <cell r="F59">
            <v>58</v>
          </cell>
          <cell r="G59" t="str">
            <v>golf</v>
          </cell>
          <cell r="H59" t="str">
            <v>122*15*10</v>
          </cell>
          <cell r="I59">
            <v>122</v>
          </cell>
          <cell r="J59">
            <v>15</v>
          </cell>
          <cell r="K59">
            <v>10</v>
          </cell>
        </row>
        <row r="60">
          <cell r="A60" t="str">
            <v>UBEPRO6533WR-45</v>
          </cell>
          <cell r="B60">
            <v>9</v>
          </cell>
          <cell r="C60">
            <v>72</v>
          </cell>
          <cell r="D60">
            <v>50</v>
          </cell>
          <cell r="E60">
            <v>0.6</v>
          </cell>
          <cell r="F60">
            <v>59</v>
          </cell>
          <cell r="G60" t="str">
            <v>golf</v>
          </cell>
          <cell r="H60" t="str">
            <v>122*15*10</v>
          </cell>
          <cell r="I60">
            <v>122</v>
          </cell>
          <cell r="J60">
            <v>15</v>
          </cell>
          <cell r="K60">
            <v>10</v>
          </cell>
        </row>
        <row r="61">
          <cell r="A61" t="str">
            <v>UBLU433WR-46</v>
          </cell>
          <cell r="B61">
            <v>9</v>
          </cell>
          <cell r="C61">
            <v>46</v>
          </cell>
          <cell r="D61">
            <v>50</v>
          </cell>
          <cell r="E61">
            <v>0.6</v>
          </cell>
          <cell r="F61">
            <v>60</v>
          </cell>
          <cell r="G61" t="str">
            <v>golf</v>
          </cell>
          <cell r="H61" t="str">
            <v>122*15*10</v>
          </cell>
          <cell r="I61">
            <v>122</v>
          </cell>
          <cell r="J61">
            <v>15</v>
          </cell>
          <cell r="K61">
            <v>10</v>
          </cell>
        </row>
        <row r="62">
          <cell r="A62" t="str">
            <v>UBLU533WR-46</v>
          </cell>
          <cell r="B62">
            <v>9</v>
          </cell>
          <cell r="C62">
            <v>59</v>
          </cell>
          <cell r="D62">
            <v>50</v>
          </cell>
          <cell r="E62">
            <v>0.6</v>
          </cell>
          <cell r="F62">
            <v>61</v>
          </cell>
          <cell r="G62" t="str">
            <v>golf</v>
          </cell>
          <cell r="H62" t="str">
            <v>122*15*10</v>
          </cell>
          <cell r="I62">
            <v>122</v>
          </cell>
          <cell r="J62">
            <v>15</v>
          </cell>
          <cell r="K62">
            <v>10</v>
          </cell>
        </row>
        <row r="63">
          <cell r="A63" t="str">
            <v>UBLU533WS-46</v>
          </cell>
          <cell r="B63">
            <v>9</v>
          </cell>
          <cell r="C63">
            <v>60</v>
          </cell>
          <cell r="D63">
            <v>50</v>
          </cell>
          <cell r="E63">
            <v>0.6</v>
          </cell>
          <cell r="F63">
            <v>62</v>
          </cell>
          <cell r="G63" t="str">
            <v>golf</v>
          </cell>
          <cell r="H63" t="str">
            <v>122*15*10</v>
          </cell>
          <cell r="I63">
            <v>122</v>
          </cell>
          <cell r="J63">
            <v>15</v>
          </cell>
          <cell r="K63">
            <v>10</v>
          </cell>
        </row>
        <row r="64">
          <cell r="A64" t="str">
            <v>UBLU533WX-46</v>
          </cell>
          <cell r="B64">
            <v>9</v>
          </cell>
          <cell r="C64">
            <v>61</v>
          </cell>
          <cell r="D64">
            <v>50</v>
          </cell>
          <cell r="E64">
            <v>0.6</v>
          </cell>
          <cell r="F64">
            <v>63</v>
          </cell>
          <cell r="G64" t="str">
            <v>golf</v>
          </cell>
          <cell r="H64" t="str">
            <v>122*15*10</v>
          </cell>
          <cell r="I64">
            <v>122</v>
          </cell>
          <cell r="J64">
            <v>15</v>
          </cell>
          <cell r="K64">
            <v>10</v>
          </cell>
        </row>
        <row r="65">
          <cell r="A65" t="str">
            <v>UBLU633WR-46</v>
          </cell>
          <cell r="B65">
            <v>9</v>
          </cell>
          <cell r="C65">
            <v>67</v>
          </cell>
          <cell r="D65">
            <v>50</v>
          </cell>
          <cell r="E65">
            <v>0.6</v>
          </cell>
          <cell r="F65">
            <v>64</v>
          </cell>
          <cell r="G65" t="str">
            <v>golf</v>
          </cell>
          <cell r="H65" t="str">
            <v>122*15*10</v>
          </cell>
          <cell r="I65">
            <v>122</v>
          </cell>
          <cell r="J65">
            <v>15</v>
          </cell>
          <cell r="K65">
            <v>10</v>
          </cell>
        </row>
        <row r="66">
          <cell r="A66" t="str">
            <v>UBLU633WS-46</v>
          </cell>
          <cell r="B66">
            <v>9</v>
          </cell>
          <cell r="C66">
            <v>68</v>
          </cell>
          <cell r="D66">
            <v>50</v>
          </cell>
          <cell r="E66">
            <v>0.6</v>
          </cell>
          <cell r="F66">
            <v>65</v>
          </cell>
          <cell r="G66" t="str">
            <v>golf</v>
          </cell>
          <cell r="H66" t="str">
            <v>122*15*10</v>
          </cell>
          <cell r="I66">
            <v>122</v>
          </cell>
          <cell r="J66">
            <v>15</v>
          </cell>
          <cell r="K66">
            <v>10</v>
          </cell>
        </row>
        <row r="67">
          <cell r="A67" t="str">
            <v>UBLU633WX-46</v>
          </cell>
          <cell r="B67">
            <v>9</v>
          </cell>
          <cell r="C67">
            <v>67</v>
          </cell>
          <cell r="D67">
            <v>50</v>
          </cell>
          <cell r="E67">
            <v>0.6</v>
          </cell>
          <cell r="F67">
            <v>66</v>
          </cell>
          <cell r="G67" t="str">
            <v>golf</v>
          </cell>
          <cell r="H67" t="str">
            <v>122*15*10</v>
          </cell>
          <cell r="I67">
            <v>122</v>
          </cell>
          <cell r="J67">
            <v>15</v>
          </cell>
          <cell r="K67">
            <v>10</v>
          </cell>
        </row>
        <row r="68">
          <cell r="A68" t="str">
            <v>UBLU635WR-46</v>
          </cell>
          <cell r="B68">
            <v>9</v>
          </cell>
          <cell r="C68">
            <v>70</v>
          </cell>
          <cell r="D68">
            <v>50</v>
          </cell>
          <cell r="E68">
            <v>0.6</v>
          </cell>
          <cell r="F68">
            <v>67</v>
          </cell>
          <cell r="G68" t="str">
            <v>golf</v>
          </cell>
          <cell r="H68" t="str">
            <v>122*15*10</v>
          </cell>
          <cell r="I68">
            <v>122</v>
          </cell>
          <cell r="J68">
            <v>15</v>
          </cell>
          <cell r="K68">
            <v>10</v>
          </cell>
        </row>
        <row r="69">
          <cell r="A69" t="str">
            <v>UBLU635WR-46-BT</v>
          </cell>
          <cell r="B69">
            <v>9</v>
          </cell>
          <cell r="C69">
            <v>69</v>
          </cell>
          <cell r="D69">
            <v>50</v>
          </cell>
          <cell r="E69">
            <v>0.6</v>
          </cell>
          <cell r="F69">
            <v>68</v>
          </cell>
          <cell r="G69" t="str">
            <v>golf</v>
          </cell>
          <cell r="H69" t="str">
            <v>122*15*10</v>
          </cell>
          <cell r="I69">
            <v>122</v>
          </cell>
          <cell r="J69">
            <v>15</v>
          </cell>
          <cell r="K69">
            <v>10</v>
          </cell>
        </row>
        <row r="70">
          <cell r="A70" t="str">
            <v>UBLU635WS-46</v>
          </cell>
          <cell r="B70">
            <v>9</v>
          </cell>
          <cell r="C70">
            <v>69</v>
          </cell>
          <cell r="D70">
            <v>50</v>
          </cell>
          <cell r="E70">
            <v>0.6</v>
          </cell>
          <cell r="F70">
            <v>69</v>
          </cell>
          <cell r="G70" t="str">
            <v>golf</v>
          </cell>
          <cell r="H70" t="str">
            <v>122*15*10</v>
          </cell>
          <cell r="I70">
            <v>122</v>
          </cell>
          <cell r="J70">
            <v>15</v>
          </cell>
          <cell r="K70">
            <v>10</v>
          </cell>
        </row>
        <row r="71">
          <cell r="A71" t="str">
            <v>UBLU635WS-46-BT</v>
          </cell>
          <cell r="B71">
            <v>9</v>
          </cell>
          <cell r="C71">
            <v>69</v>
          </cell>
          <cell r="D71">
            <v>50</v>
          </cell>
          <cell r="E71">
            <v>0.6</v>
          </cell>
          <cell r="F71">
            <v>70</v>
          </cell>
          <cell r="G71" t="str">
            <v>golf</v>
          </cell>
          <cell r="H71" t="str">
            <v>122*15*10</v>
          </cell>
          <cell r="I71">
            <v>122</v>
          </cell>
          <cell r="J71">
            <v>15</v>
          </cell>
          <cell r="K71">
            <v>10</v>
          </cell>
        </row>
        <row r="72">
          <cell r="A72" t="str">
            <v>UBLU635WX-46</v>
          </cell>
          <cell r="B72">
            <v>9</v>
          </cell>
          <cell r="C72">
            <v>69</v>
          </cell>
          <cell r="D72">
            <v>50</v>
          </cell>
          <cell r="E72">
            <v>0.6</v>
          </cell>
          <cell r="F72">
            <v>71</v>
          </cell>
          <cell r="G72" t="str">
            <v>golf</v>
          </cell>
          <cell r="H72" t="str">
            <v>122*15*10</v>
          </cell>
          <cell r="I72">
            <v>122</v>
          </cell>
          <cell r="J72">
            <v>15</v>
          </cell>
          <cell r="K72">
            <v>10</v>
          </cell>
        </row>
        <row r="73">
          <cell r="A73" t="str">
            <v>UBLU635WX-46-BT</v>
          </cell>
          <cell r="B73">
            <v>9</v>
          </cell>
          <cell r="C73">
            <v>69</v>
          </cell>
          <cell r="D73">
            <v>50</v>
          </cell>
          <cell r="E73">
            <v>0.6</v>
          </cell>
          <cell r="F73">
            <v>72</v>
          </cell>
          <cell r="G73" t="str">
            <v>golf</v>
          </cell>
          <cell r="H73" t="str">
            <v>122*15*10</v>
          </cell>
          <cell r="I73">
            <v>122</v>
          </cell>
          <cell r="J73">
            <v>15</v>
          </cell>
          <cell r="K73">
            <v>10</v>
          </cell>
        </row>
        <row r="74">
          <cell r="A74" t="str">
            <v>UBLU733FPS-46</v>
          </cell>
          <cell r="B74">
            <v>9</v>
          </cell>
          <cell r="C74">
            <v>78</v>
          </cell>
          <cell r="D74">
            <v>50</v>
          </cell>
          <cell r="E74">
            <v>0.6</v>
          </cell>
          <cell r="F74">
            <v>73</v>
          </cell>
          <cell r="G74" t="str">
            <v>golf</v>
          </cell>
          <cell r="H74" t="str">
            <v>122*15*10</v>
          </cell>
          <cell r="I74">
            <v>122</v>
          </cell>
          <cell r="J74">
            <v>15</v>
          </cell>
          <cell r="K74">
            <v>10</v>
          </cell>
        </row>
        <row r="75">
          <cell r="A75" t="str">
            <v>UBLU733WR-46</v>
          </cell>
          <cell r="B75">
            <v>9</v>
          </cell>
          <cell r="C75">
            <v>76</v>
          </cell>
          <cell r="D75">
            <v>50</v>
          </cell>
          <cell r="E75">
            <v>0.6</v>
          </cell>
          <cell r="F75">
            <v>74</v>
          </cell>
          <cell r="G75" t="str">
            <v>golf</v>
          </cell>
          <cell r="H75" t="str">
            <v>122*15*10</v>
          </cell>
          <cell r="I75">
            <v>122</v>
          </cell>
          <cell r="J75">
            <v>15</v>
          </cell>
          <cell r="K75">
            <v>10</v>
          </cell>
        </row>
        <row r="76">
          <cell r="A76" t="str">
            <v>UBLU733WS-46</v>
          </cell>
          <cell r="B76">
            <v>9</v>
          </cell>
          <cell r="C76">
            <v>78</v>
          </cell>
          <cell r="D76">
            <v>50</v>
          </cell>
          <cell r="E76">
            <v>0.6</v>
          </cell>
          <cell r="F76">
            <v>75</v>
          </cell>
          <cell r="G76" t="str">
            <v>golf</v>
          </cell>
          <cell r="H76" t="str">
            <v>122*15*10</v>
          </cell>
          <cell r="I76">
            <v>122</v>
          </cell>
          <cell r="J76">
            <v>15</v>
          </cell>
          <cell r="K76">
            <v>10</v>
          </cell>
        </row>
        <row r="77">
          <cell r="A77" t="str">
            <v>UBLU733WX-46</v>
          </cell>
          <cell r="B77">
            <v>9</v>
          </cell>
          <cell r="C77">
            <v>80</v>
          </cell>
          <cell r="D77">
            <v>50</v>
          </cell>
          <cell r="E77">
            <v>0.6</v>
          </cell>
          <cell r="F77">
            <v>76</v>
          </cell>
          <cell r="G77" t="str">
            <v>golf</v>
          </cell>
          <cell r="H77" t="str">
            <v>122*15*10</v>
          </cell>
          <cell r="I77">
            <v>122</v>
          </cell>
          <cell r="J77">
            <v>15</v>
          </cell>
          <cell r="K77">
            <v>10</v>
          </cell>
        </row>
        <row r="78">
          <cell r="A78" t="str">
            <v>UBLU735WR-46</v>
          </cell>
          <cell r="B78">
            <v>9</v>
          </cell>
          <cell r="C78">
            <v>81</v>
          </cell>
          <cell r="D78">
            <v>50</v>
          </cell>
          <cell r="E78">
            <v>0.6</v>
          </cell>
          <cell r="F78">
            <v>77</v>
          </cell>
          <cell r="G78" t="str">
            <v>golf</v>
          </cell>
          <cell r="H78" t="str">
            <v>122*15*10</v>
          </cell>
          <cell r="I78">
            <v>122</v>
          </cell>
          <cell r="J78">
            <v>15</v>
          </cell>
          <cell r="K78">
            <v>10</v>
          </cell>
        </row>
        <row r="79">
          <cell r="A79" t="str">
            <v>UBLU735WS-46</v>
          </cell>
          <cell r="B79">
            <v>9</v>
          </cell>
          <cell r="C79">
            <v>80</v>
          </cell>
          <cell r="D79">
            <v>50</v>
          </cell>
          <cell r="E79">
            <v>0.6</v>
          </cell>
          <cell r="F79">
            <v>78</v>
          </cell>
          <cell r="G79" t="str">
            <v>golf</v>
          </cell>
          <cell r="H79" t="str">
            <v>122*15*10</v>
          </cell>
          <cell r="I79">
            <v>122</v>
          </cell>
          <cell r="J79">
            <v>15</v>
          </cell>
          <cell r="K79">
            <v>10</v>
          </cell>
        </row>
        <row r="80">
          <cell r="A80" t="str">
            <v>UBLU735WX-46</v>
          </cell>
          <cell r="B80">
            <v>9</v>
          </cell>
          <cell r="C80">
            <v>82</v>
          </cell>
          <cell r="D80">
            <v>50</v>
          </cell>
          <cell r="E80">
            <v>0.6</v>
          </cell>
          <cell r="F80">
            <v>79</v>
          </cell>
          <cell r="G80" t="str">
            <v>golf</v>
          </cell>
          <cell r="H80" t="str">
            <v>122*15*10</v>
          </cell>
          <cell r="I80">
            <v>122</v>
          </cell>
          <cell r="J80">
            <v>15</v>
          </cell>
          <cell r="K80">
            <v>10</v>
          </cell>
        </row>
        <row r="81">
          <cell r="A81" t="str">
            <v>UBLU933WS-46</v>
          </cell>
          <cell r="B81">
            <v>9</v>
          </cell>
          <cell r="C81">
            <v>96</v>
          </cell>
          <cell r="D81">
            <v>50</v>
          </cell>
          <cell r="E81">
            <v>0.6</v>
          </cell>
          <cell r="F81">
            <v>80</v>
          </cell>
          <cell r="G81" t="str">
            <v>golf</v>
          </cell>
          <cell r="H81" t="str">
            <v>122*15*10</v>
          </cell>
          <cell r="I81">
            <v>122</v>
          </cell>
          <cell r="J81">
            <v>15</v>
          </cell>
          <cell r="K81">
            <v>10</v>
          </cell>
        </row>
        <row r="82">
          <cell r="A82" t="str">
            <v>UBLU933WX-46</v>
          </cell>
          <cell r="B82">
            <v>9</v>
          </cell>
          <cell r="C82">
            <v>96</v>
          </cell>
          <cell r="D82">
            <v>50</v>
          </cell>
          <cell r="E82">
            <v>0.6</v>
          </cell>
          <cell r="F82">
            <v>81</v>
          </cell>
          <cell r="G82" t="str">
            <v>golf</v>
          </cell>
          <cell r="H82" t="str">
            <v>122*15*10</v>
          </cell>
          <cell r="I82">
            <v>122</v>
          </cell>
          <cell r="J82">
            <v>15</v>
          </cell>
          <cell r="K82">
            <v>10</v>
          </cell>
        </row>
        <row r="83">
          <cell r="A83" t="str">
            <v>UBLULD33-50-1X2X</v>
          </cell>
          <cell r="B83">
            <v>9</v>
          </cell>
          <cell r="C83">
            <v>77</v>
          </cell>
          <cell r="D83">
            <v>50</v>
          </cell>
          <cell r="E83">
            <v>0.64</v>
          </cell>
          <cell r="F83">
            <v>82</v>
          </cell>
          <cell r="G83" t="str">
            <v>golf</v>
          </cell>
          <cell r="H83" t="str">
            <v>130*15*10</v>
          </cell>
          <cell r="I83">
            <v>130</v>
          </cell>
          <cell r="J83">
            <v>15</v>
          </cell>
          <cell r="K83">
            <v>10</v>
          </cell>
        </row>
        <row r="84">
          <cell r="A84" t="str">
            <v>UBLULD33-50-2X3X</v>
          </cell>
          <cell r="B84">
            <v>9</v>
          </cell>
          <cell r="C84">
            <v>78</v>
          </cell>
          <cell r="D84">
            <v>50</v>
          </cell>
          <cell r="E84">
            <v>0.64</v>
          </cell>
          <cell r="F84">
            <v>83</v>
          </cell>
          <cell r="G84" t="str">
            <v>golf</v>
          </cell>
          <cell r="H84" t="str">
            <v>130*15*10</v>
          </cell>
          <cell r="I84">
            <v>130</v>
          </cell>
          <cell r="J84">
            <v>15</v>
          </cell>
          <cell r="K84">
            <v>10</v>
          </cell>
        </row>
        <row r="85">
          <cell r="A85" t="str">
            <v>UBLULD33-50-4X5X</v>
          </cell>
          <cell r="B85">
            <v>9</v>
          </cell>
          <cell r="C85">
            <v>79</v>
          </cell>
          <cell r="D85">
            <v>50</v>
          </cell>
          <cell r="E85">
            <v>0.64</v>
          </cell>
          <cell r="F85">
            <v>84</v>
          </cell>
          <cell r="G85" t="str">
            <v>golf</v>
          </cell>
          <cell r="H85" t="str">
            <v>130*15*10</v>
          </cell>
          <cell r="I85">
            <v>130</v>
          </cell>
          <cell r="J85">
            <v>15</v>
          </cell>
          <cell r="K85">
            <v>10</v>
          </cell>
        </row>
        <row r="86">
          <cell r="A86" t="str">
            <v>UBLUTIT33WR-46</v>
          </cell>
          <cell r="B86">
            <v>9</v>
          </cell>
          <cell r="C86">
            <v>69</v>
          </cell>
          <cell r="D86">
            <v>50</v>
          </cell>
          <cell r="E86">
            <v>0.6</v>
          </cell>
          <cell r="F86">
            <v>85</v>
          </cell>
          <cell r="G86" t="str">
            <v>golf</v>
          </cell>
          <cell r="H86" t="str">
            <v>122*15*10</v>
          </cell>
          <cell r="I86">
            <v>122</v>
          </cell>
          <cell r="J86">
            <v>15</v>
          </cell>
          <cell r="K86">
            <v>10</v>
          </cell>
        </row>
        <row r="87">
          <cell r="A87" t="str">
            <v>UBLUTIT33WS-46</v>
          </cell>
          <cell r="B87">
            <v>9</v>
          </cell>
          <cell r="C87">
            <v>68</v>
          </cell>
          <cell r="D87">
            <v>50</v>
          </cell>
          <cell r="E87">
            <v>0.6</v>
          </cell>
          <cell r="F87">
            <v>86</v>
          </cell>
          <cell r="G87" t="str">
            <v>golf</v>
          </cell>
          <cell r="H87" t="str">
            <v>122*15*10</v>
          </cell>
          <cell r="I87">
            <v>122</v>
          </cell>
          <cell r="J87">
            <v>15</v>
          </cell>
          <cell r="K87">
            <v>10</v>
          </cell>
        </row>
        <row r="88">
          <cell r="A88" t="str">
            <v>UBLUTIT33WX-46</v>
          </cell>
          <cell r="B88">
            <v>9</v>
          </cell>
          <cell r="C88">
            <v>68</v>
          </cell>
          <cell r="D88">
            <v>50</v>
          </cell>
          <cell r="E88">
            <v>0.6</v>
          </cell>
          <cell r="F88">
            <v>87</v>
          </cell>
          <cell r="G88" t="str">
            <v>golf</v>
          </cell>
          <cell r="H88" t="str">
            <v>122*15*10</v>
          </cell>
          <cell r="I88">
            <v>122</v>
          </cell>
          <cell r="J88">
            <v>15</v>
          </cell>
          <cell r="K88">
            <v>10</v>
          </cell>
        </row>
        <row r="89">
          <cell r="A89" t="str">
            <v>UBLUTW33WX-46</v>
          </cell>
          <cell r="B89">
            <v>9</v>
          </cell>
          <cell r="C89">
            <v>98</v>
          </cell>
          <cell r="D89">
            <v>50</v>
          </cell>
          <cell r="E89">
            <v>0.6</v>
          </cell>
          <cell r="F89">
            <v>88</v>
          </cell>
          <cell r="G89" t="str">
            <v>golf</v>
          </cell>
          <cell r="H89" t="str">
            <v>122*15*10</v>
          </cell>
          <cell r="I89">
            <v>122</v>
          </cell>
          <cell r="J89">
            <v>15</v>
          </cell>
          <cell r="K89">
            <v>10</v>
          </cell>
        </row>
        <row r="90">
          <cell r="A90" t="str">
            <v>UBROP6533WL-45</v>
          </cell>
          <cell r="B90">
            <v>9</v>
          </cell>
          <cell r="C90">
            <v>64</v>
          </cell>
          <cell r="D90">
            <v>50</v>
          </cell>
          <cell r="E90">
            <v>0.6</v>
          </cell>
          <cell r="F90">
            <v>89</v>
          </cell>
          <cell r="G90" t="str">
            <v>golf</v>
          </cell>
          <cell r="H90" t="str">
            <v>122*15*10</v>
          </cell>
          <cell r="I90">
            <v>122</v>
          </cell>
          <cell r="J90">
            <v>15</v>
          </cell>
          <cell r="K90">
            <v>10</v>
          </cell>
        </row>
        <row r="91">
          <cell r="A91" t="str">
            <v>UBROP6533WR-45</v>
          </cell>
          <cell r="B91">
            <v>9</v>
          </cell>
          <cell r="C91">
            <v>72</v>
          </cell>
          <cell r="D91">
            <v>50</v>
          </cell>
          <cell r="E91">
            <v>0.6</v>
          </cell>
          <cell r="F91">
            <v>90</v>
          </cell>
          <cell r="G91" t="str">
            <v>golf</v>
          </cell>
          <cell r="H91" t="str">
            <v>122*15*10</v>
          </cell>
          <cell r="I91">
            <v>122</v>
          </cell>
          <cell r="J91">
            <v>15</v>
          </cell>
          <cell r="K91">
            <v>10</v>
          </cell>
        </row>
        <row r="92">
          <cell r="A92" t="str">
            <v>UBROP6533WS-45</v>
          </cell>
          <cell r="B92">
            <v>9</v>
          </cell>
          <cell r="C92">
            <v>74</v>
          </cell>
          <cell r="D92">
            <v>50</v>
          </cell>
          <cell r="E92">
            <v>0.6</v>
          </cell>
          <cell r="F92">
            <v>91</v>
          </cell>
          <cell r="G92" t="str">
            <v>golf</v>
          </cell>
          <cell r="H92" t="str">
            <v>122*15*10</v>
          </cell>
          <cell r="I92">
            <v>122</v>
          </cell>
          <cell r="J92">
            <v>15</v>
          </cell>
          <cell r="K92">
            <v>10</v>
          </cell>
        </row>
        <row r="93">
          <cell r="A93" t="str">
            <v>UBROP70IL-40</v>
          </cell>
          <cell r="B93">
            <v>9</v>
          </cell>
          <cell r="C93">
            <v>82</v>
          </cell>
          <cell r="D93">
            <v>50</v>
          </cell>
          <cell r="E93">
            <v>0.6</v>
          </cell>
          <cell r="F93">
            <v>92</v>
          </cell>
          <cell r="G93" t="str">
            <v>golf</v>
          </cell>
          <cell r="H93" t="str">
            <v>122*15*10</v>
          </cell>
          <cell r="I93">
            <v>122</v>
          </cell>
          <cell r="J93">
            <v>15</v>
          </cell>
          <cell r="K93">
            <v>10</v>
          </cell>
        </row>
        <row r="94">
          <cell r="A94" t="str">
            <v>UBROP70IR-40</v>
          </cell>
          <cell r="B94">
            <v>9</v>
          </cell>
          <cell r="C94">
            <v>82</v>
          </cell>
          <cell r="D94">
            <v>50</v>
          </cell>
          <cell r="E94">
            <v>0.6</v>
          </cell>
          <cell r="F94">
            <v>93</v>
          </cell>
          <cell r="G94" t="str">
            <v>golf</v>
          </cell>
          <cell r="H94" t="str">
            <v>122*15*10</v>
          </cell>
          <cell r="I94">
            <v>122</v>
          </cell>
          <cell r="J94">
            <v>15</v>
          </cell>
          <cell r="K94">
            <v>10</v>
          </cell>
        </row>
        <row r="95">
          <cell r="A95" t="str">
            <v>UBROP70IS-40</v>
          </cell>
          <cell r="B95">
            <v>9</v>
          </cell>
          <cell r="C95">
            <v>80</v>
          </cell>
          <cell r="D95">
            <v>50</v>
          </cell>
          <cell r="E95">
            <v>0.6</v>
          </cell>
          <cell r="F95">
            <v>94</v>
          </cell>
          <cell r="G95" t="str">
            <v>golf</v>
          </cell>
          <cell r="H95" t="str">
            <v>122*15*10</v>
          </cell>
          <cell r="I95">
            <v>122</v>
          </cell>
          <cell r="J95">
            <v>15</v>
          </cell>
          <cell r="K95">
            <v>10</v>
          </cell>
        </row>
        <row r="96">
          <cell r="A96" t="str">
            <v>UEI233WR-46</v>
          </cell>
          <cell r="B96">
            <v>9</v>
          </cell>
          <cell r="C96">
            <v>78</v>
          </cell>
          <cell r="D96">
            <v>50</v>
          </cell>
          <cell r="E96">
            <v>0.6</v>
          </cell>
          <cell r="F96">
            <v>95</v>
          </cell>
          <cell r="G96" t="str">
            <v>golf</v>
          </cell>
          <cell r="H96" t="str">
            <v>122*15*10</v>
          </cell>
          <cell r="I96">
            <v>122</v>
          </cell>
          <cell r="J96">
            <v>15</v>
          </cell>
          <cell r="K96">
            <v>10</v>
          </cell>
        </row>
        <row r="97">
          <cell r="A97" t="str">
            <v>UEI233WR-46-DG</v>
          </cell>
          <cell r="B97">
            <v>9</v>
          </cell>
          <cell r="C97">
            <v>78</v>
          </cell>
          <cell r="D97">
            <v>50</v>
          </cell>
          <cell r="E97">
            <v>0.6</v>
          </cell>
          <cell r="F97">
            <v>96</v>
          </cell>
          <cell r="G97" t="str">
            <v>golf</v>
          </cell>
          <cell r="H97" t="str">
            <v>122*15*10</v>
          </cell>
          <cell r="I97">
            <v>122</v>
          </cell>
          <cell r="J97">
            <v>15</v>
          </cell>
          <cell r="K97">
            <v>10</v>
          </cell>
        </row>
        <row r="98">
          <cell r="A98" t="str">
            <v>UEI233WS-46</v>
          </cell>
          <cell r="B98">
            <v>9</v>
          </cell>
          <cell r="C98">
            <v>81</v>
          </cell>
          <cell r="D98">
            <v>50</v>
          </cell>
          <cell r="E98">
            <v>0.6</v>
          </cell>
          <cell r="F98">
            <v>97</v>
          </cell>
          <cell r="G98" t="str">
            <v>golf</v>
          </cell>
          <cell r="H98" t="str">
            <v>122*15*10</v>
          </cell>
          <cell r="I98">
            <v>122</v>
          </cell>
          <cell r="J98">
            <v>15</v>
          </cell>
          <cell r="K98">
            <v>10</v>
          </cell>
        </row>
        <row r="99">
          <cell r="A99" t="str">
            <v>UEI233WS-46-DG</v>
          </cell>
          <cell r="B99">
            <v>9</v>
          </cell>
          <cell r="C99">
            <v>81</v>
          </cell>
          <cell r="D99">
            <v>50</v>
          </cell>
          <cell r="E99">
            <v>0.6</v>
          </cell>
          <cell r="F99">
            <v>98</v>
          </cell>
          <cell r="G99" t="str">
            <v>golf</v>
          </cell>
          <cell r="H99" t="str">
            <v>122*15*10</v>
          </cell>
          <cell r="I99">
            <v>122</v>
          </cell>
          <cell r="J99">
            <v>15</v>
          </cell>
          <cell r="K99">
            <v>10</v>
          </cell>
        </row>
        <row r="100">
          <cell r="A100" t="str">
            <v>UEI233WX-46</v>
          </cell>
          <cell r="B100">
            <v>9</v>
          </cell>
          <cell r="C100">
            <v>81</v>
          </cell>
          <cell r="D100">
            <v>50</v>
          </cell>
          <cell r="E100">
            <v>0.6</v>
          </cell>
          <cell r="F100">
            <v>99</v>
          </cell>
          <cell r="G100" t="str">
            <v>golf</v>
          </cell>
          <cell r="H100" t="str">
            <v>122*15*10</v>
          </cell>
          <cell r="I100">
            <v>122</v>
          </cell>
          <cell r="J100">
            <v>15</v>
          </cell>
          <cell r="K100">
            <v>10</v>
          </cell>
        </row>
        <row r="101">
          <cell r="A101" t="str">
            <v>UEI233WXX-46</v>
          </cell>
          <cell r="B101">
            <v>9</v>
          </cell>
          <cell r="C101">
            <v>82</v>
          </cell>
          <cell r="D101">
            <v>50</v>
          </cell>
          <cell r="E101">
            <v>0.6</v>
          </cell>
          <cell r="F101">
            <v>100</v>
          </cell>
          <cell r="G101" t="str">
            <v>golf</v>
          </cell>
          <cell r="H101" t="str">
            <v>122*15*10</v>
          </cell>
          <cell r="I101">
            <v>122</v>
          </cell>
          <cell r="J101">
            <v>15</v>
          </cell>
          <cell r="K101">
            <v>10</v>
          </cell>
        </row>
        <row r="102">
          <cell r="A102" t="str">
            <v>UEI235WR-46</v>
          </cell>
          <cell r="B102">
            <v>9</v>
          </cell>
          <cell r="C102">
            <v>79</v>
          </cell>
          <cell r="D102">
            <v>50</v>
          </cell>
          <cell r="E102">
            <v>0.6</v>
          </cell>
          <cell r="F102">
            <v>101</v>
          </cell>
          <cell r="G102" t="str">
            <v>golf</v>
          </cell>
          <cell r="H102" t="str">
            <v>122*15*10</v>
          </cell>
          <cell r="I102">
            <v>122</v>
          </cell>
          <cell r="J102">
            <v>15</v>
          </cell>
          <cell r="K102">
            <v>10</v>
          </cell>
        </row>
        <row r="103">
          <cell r="A103" t="str">
            <v>UEI235WS-46</v>
          </cell>
          <cell r="B103">
            <v>9</v>
          </cell>
          <cell r="C103">
            <v>83</v>
          </cell>
          <cell r="D103">
            <v>50</v>
          </cell>
          <cell r="E103">
            <v>0.6</v>
          </cell>
          <cell r="F103">
            <v>102</v>
          </cell>
          <cell r="G103" t="str">
            <v>golf</v>
          </cell>
          <cell r="H103" t="str">
            <v>122*15*10</v>
          </cell>
          <cell r="I103">
            <v>122</v>
          </cell>
          <cell r="J103">
            <v>15</v>
          </cell>
          <cell r="K103">
            <v>10</v>
          </cell>
        </row>
        <row r="104">
          <cell r="A104" t="str">
            <v>UEI235WX-46</v>
          </cell>
          <cell r="B104">
            <v>9</v>
          </cell>
          <cell r="C104">
            <v>84</v>
          </cell>
          <cell r="D104">
            <v>50</v>
          </cell>
          <cell r="E104">
            <v>0.6</v>
          </cell>
          <cell r="F104">
            <v>103</v>
          </cell>
          <cell r="G104" t="str">
            <v>golf</v>
          </cell>
          <cell r="H104" t="str">
            <v>122*15*10</v>
          </cell>
          <cell r="I104">
            <v>122</v>
          </cell>
          <cell r="J104">
            <v>15</v>
          </cell>
          <cell r="K104">
            <v>10</v>
          </cell>
        </row>
        <row r="105">
          <cell r="A105" t="str">
            <v>UGSAL33WA-45</v>
          </cell>
          <cell r="B105">
            <v>9</v>
          </cell>
          <cell r="C105">
            <v>68</v>
          </cell>
          <cell r="D105">
            <v>50</v>
          </cell>
          <cell r="E105">
            <v>0.6</v>
          </cell>
          <cell r="F105">
            <v>104</v>
          </cell>
          <cell r="G105" t="str">
            <v>golf</v>
          </cell>
          <cell r="H105" t="str">
            <v>122*15*10</v>
          </cell>
          <cell r="I105">
            <v>122</v>
          </cell>
          <cell r="J105">
            <v>15</v>
          </cell>
          <cell r="K105">
            <v>10</v>
          </cell>
        </row>
        <row r="106">
          <cell r="A106" t="str">
            <v>UGSAL33WL-45</v>
          </cell>
          <cell r="B106">
            <v>9</v>
          </cell>
          <cell r="C106">
            <v>64</v>
          </cell>
          <cell r="D106">
            <v>50</v>
          </cell>
          <cell r="E106">
            <v>0.6</v>
          </cell>
          <cell r="F106">
            <v>105</v>
          </cell>
          <cell r="G106" t="str">
            <v>golf</v>
          </cell>
          <cell r="H106" t="str">
            <v>122*15*10</v>
          </cell>
          <cell r="I106">
            <v>122</v>
          </cell>
          <cell r="J106">
            <v>15</v>
          </cell>
          <cell r="K106">
            <v>10</v>
          </cell>
        </row>
        <row r="107">
          <cell r="A107" t="str">
            <v>UGSAL33WR-45</v>
          </cell>
          <cell r="B107">
            <v>9</v>
          </cell>
          <cell r="C107">
            <v>72</v>
          </cell>
          <cell r="D107">
            <v>50</v>
          </cell>
          <cell r="E107">
            <v>0.6</v>
          </cell>
          <cell r="F107">
            <v>106</v>
          </cell>
          <cell r="G107" t="str">
            <v>golf</v>
          </cell>
          <cell r="H107" t="str">
            <v>122*15*10</v>
          </cell>
          <cell r="I107">
            <v>122</v>
          </cell>
          <cell r="J107">
            <v>15</v>
          </cell>
          <cell r="K107">
            <v>10</v>
          </cell>
        </row>
        <row r="108">
          <cell r="A108" t="str">
            <v>UGSAL33WS-45</v>
          </cell>
          <cell r="B108">
            <v>9</v>
          </cell>
          <cell r="C108">
            <v>74</v>
          </cell>
          <cell r="D108">
            <v>50</v>
          </cell>
          <cell r="E108">
            <v>0.6</v>
          </cell>
          <cell r="F108">
            <v>107</v>
          </cell>
          <cell r="G108" t="str">
            <v>golf</v>
          </cell>
          <cell r="H108" t="str">
            <v>122*15*10</v>
          </cell>
          <cell r="I108">
            <v>122</v>
          </cell>
          <cell r="J108">
            <v>15</v>
          </cell>
          <cell r="K108">
            <v>10</v>
          </cell>
        </row>
        <row r="109">
          <cell r="A109" t="str">
            <v>UGSAL37IA-40</v>
          </cell>
          <cell r="B109">
            <v>9</v>
          </cell>
          <cell r="C109">
            <v>66</v>
          </cell>
          <cell r="D109">
            <v>50</v>
          </cell>
          <cell r="E109">
            <v>0.6</v>
          </cell>
          <cell r="F109">
            <v>108</v>
          </cell>
          <cell r="G109" t="str">
            <v>golf</v>
          </cell>
          <cell r="H109" t="str">
            <v>122*15*10</v>
          </cell>
          <cell r="I109">
            <v>122</v>
          </cell>
          <cell r="J109">
            <v>15</v>
          </cell>
          <cell r="K109">
            <v>10</v>
          </cell>
        </row>
        <row r="110">
          <cell r="A110" t="str">
            <v>UGSAL37IL-40</v>
          </cell>
          <cell r="B110">
            <v>9</v>
          </cell>
          <cell r="C110">
            <v>65</v>
          </cell>
          <cell r="D110">
            <v>50</v>
          </cell>
          <cell r="E110">
            <v>0.6</v>
          </cell>
          <cell r="F110">
            <v>109</v>
          </cell>
          <cell r="G110" t="str">
            <v>golf</v>
          </cell>
          <cell r="H110" t="str">
            <v>122*15*10</v>
          </cell>
          <cell r="I110">
            <v>122</v>
          </cell>
          <cell r="J110">
            <v>15</v>
          </cell>
          <cell r="K110">
            <v>10</v>
          </cell>
        </row>
        <row r="111">
          <cell r="A111" t="str">
            <v>UGSAL37IR-40</v>
          </cell>
          <cell r="B111">
            <v>9</v>
          </cell>
          <cell r="C111">
            <v>69</v>
          </cell>
          <cell r="D111">
            <v>50</v>
          </cell>
          <cell r="E111">
            <v>0.6</v>
          </cell>
          <cell r="F111">
            <v>110</v>
          </cell>
          <cell r="G111" t="str">
            <v>golf</v>
          </cell>
          <cell r="H111" t="str">
            <v>122*15*10</v>
          </cell>
          <cell r="I111">
            <v>122</v>
          </cell>
          <cell r="J111">
            <v>15</v>
          </cell>
          <cell r="K111">
            <v>10</v>
          </cell>
        </row>
        <row r="112">
          <cell r="A112" t="str">
            <v>UGSAL37IS-40</v>
          </cell>
          <cell r="B112">
            <v>9</v>
          </cell>
          <cell r="C112">
            <v>72</v>
          </cell>
          <cell r="D112">
            <v>50</v>
          </cell>
          <cell r="E112">
            <v>0.6</v>
          </cell>
          <cell r="F112">
            <v>111</v>
          </cell>
          <cell r="G112" t="str">
            <v>golf</v>
          </cell>
          <cell r="H112" t="str">
            <v>122*15*10</v>
          </cell>
          <cell r="I112">
            <v>122</v>
          </cell>
          <cell r="J112">
            <v>15</v>
          </cell>
          <cell r="K112">
            <v>10</v>
          </cell>
        </row>
        <row r="113">
          <cell r="A113" t="str">
            <v>UGSMX3IC-43</v>
          </cell>
          <cell r="B113">
            <v>9</v>
          </cell>
          <cell r="C113">
            <v>74</v>
          </cell>
          <cell r="D113">
            <v>50</v>
          </cell>
          <cell r="E113">
            <v>0.6</v>
          </cell>
          <cell r="F113">
            <v>112</v>
          </cell>
          <cell r="G113" t="str">
            <v>golf</v>
          </cell>
          <cell r="H113" t="str">
            <v>122*15*10</v>
          </cell>
          <cell r="I113">
            <v>122</v>
          </cell>
          <cell r="J113">
            <v>15</v>
          </cell>
          <cell r="K113">
            <v>10</v>
          </cell>
        </row>
        <row r="114">
          <cell r="A114" t="str">
            <v>UGSSA33WA-45</v>
          </cell>
          <cell r="B114">
            <v>9</v>
          </cell>
          <cell r="C114">
            <v>65</v>
          </cell>
          <cell r="D114">
            <v>50</v>
          </cell>
          <cell r="E114">
            <v>0.6</v>
          </cell>
          <cell r="F114">
            <v>113</v>
          </cell>
          <cell r="G114" t="str">
            <v>golf</v>
          </cell>
          <cell r="H114" t="str">
            <v>122*15*10</v>
          </cell>
          <cell r="I114">
            <v>122</v>
          </cell>
          <cell r="J114">
            <v>15</v>
          </cell>
          <cell r="K114">
            <v>10</v>
          </cell>
        </row>
        <row r="115">
          <cell r="A115" t="str">
            <v>UGSSA33WL-45</v>
          </cell>
          <cell r="B115">
            <v>9</v>
          </cell>
          <cell r="C115">
            <v>65</v>
          </cell>
          <cell r="D115">
            <v>50</v>
          </cell>
          <cell r="E115">
            <v>0.6</v>
          </cell>
          <cell r="F115">
            <v>114</v>
          </cell>
          <cell r="G115" t="str">
            <v>golf</v>
          </cell>
          <cell r="H115" t="str">
            <v>122*15*10</v>
          </cell>
          <cell r="I115">
            <v>122</v>
          </cell>
          <cell r="J115">
            <v>15</v>
          </cell>
          <cell r="K115">
            <v>10</v>
          </cell>
        </row>
        <row r="116">
          <cell r="A116" t="str">
            <v>UGSSA33WR-45</v>
          </cell>
          <cell r="B116">
            <v>9</v>
          </cell>
          <cell r="C116">
            <v>67</v>
          </cell>
          <cell r="D116">
            <v>50</v>
          </cell>
          <cell r="E116">
            <v>0.6</v>
          </cell>
          <cell r="F116">
            <v>115</v>
          </cell>
          <cell r="G116" t="str">
            <v>golf</v>
          </cell>
          <cell r="H116" t="str">
            <v>122*15*10</v>
          </cell>
          <cell r="I116">
            <v>122</v>
          </cell>
          <cell r="J116">
            <v>15</v>
          </cell>
          <cell r="K116">
            <v>10</v>
          </cell>
        </row>
        <row r="117">
          <cell r="A117" t="str">
            <v>UGSSA33WS-45</v>
          </cell>
          <cell r="B117">
            <v>9</v>
          </cell>
          <cell r="C117">
            <v>70</v>
          </cell>
          <cell r="D117">
            <v>50</v>
          </cell>
          <cell r="E117">
            <v>0.6</v>
          </cell>
          <cell r="F117">
            <v>116</v>
          </cell>
          <cell r="G117" t="str">
            <v>golf</v>
          </cell>
          <cell r="H117" t="str">
            <v>122*15*10</v>
          </cell>
          <cell r="I117">
            <v>122</v>
          </cell>
          <cell r="J117">
            <v>15</v>
          </cell>
          <cell r="K117">
            <v>10</v>
          </cell>
        </row>
        <row r="118">
          <cell r="A118" t="str">
            <v>UHBGS2IL-395</v>
          </cell>
          <cell r="B118">
            <v>9</v>
          </cell>
          <cell r="C118">
            <v>80</v>
          </cell>
          <cell r="D118">
            <v>50</v>
          </cell>
          <cell r="E118">
            <v>0.6</v>
          </cell>
          <cell r="F118">
            <v>117</v>
          </cell>
          <cell r="G118" t="str">
            <v>golf</v>
          </cell>
          <cell r="H118" t="str">
            <v>122*15*10</v>
          </cell>
          <cell r="I118">
            <v>122</v>
          </cell>
          <cell r="J118">
            <v>15</v>
          </cell>
          <cell r="K118">
            <v>10</v>
          </cell>
        </row>
        <row r="119">
          <cell r="A119" t="str">
            <v>UHBGS2IM-41</v>
          </cell>
          <cell r="B119">
            <v>9</v>
          </cell>
          <cell r="C119">
            <v>80</v>
          </cell>
          <cell r="D119">
            <v>50</v>
          </cell>
          <cell r="E119">
            <v>0.6</v>
          </cell>
          <cell r="F119">
            <v>118</v>
          </cell>
          <cell r="G119" t="str">
            <v>golf</v>
          </cell>
          <cell r="H119" t="str">
            <v>122*15*10</v>
          </cell>
          <cell r="I119">
            <v>122</v>
          </cell>
          <cell r="J119">
            <v>15</v>
          </cell>
          <cell r="K119">
            <v>10</v>
          </cell>
        </row>
        <row r="120">
          <cell r="A120" t="str">
            <v>UHBGS2WM-465</v>
          </cell>
          <cell r="B120">
            <v>9</v>
          </cell>
          <cell r="C120">
            <v>80</v>
          </cell>
          <cell r="D120">
            <v>50</v>
          </cell>
          <cell r="E120">
            <v>0.6</v>
          </cell>
          <cell r="F120">
            <v>119</v>
          </cell>
          <cell r="G120" t="str">
            <v>golf</v>
          </cell>
          <cell r="H120" t="str">
            <v>122*15*10</v>
          </cell>
          <cell r="I120">
            <v>122</v>
          </cell>
          <cell r="J120">
            <v>15</v>
          </cell>
          <cell r="K120">
            <v>10</v>
          </cell>
        </row>
        <row r="121">
          <cell r="A121" t="str">
            <v>ULAUNCH433WA-46</v>
          </cell>
          <cell r="B121">
            <v>9</v>
          </cell>
          <cell r="C121">
            <v>46</v>
          </cell>
          <cell r="D121">
            <v>50</v>
          </cell>
          <cell r="E121">
            <v>0.6</v>
          </cell>
          <cell r="F121">
            <v>120</v>
          </cell>
          <cell r="G121" t="str">
            <v>golf</v>
          </cell>
          <cell r="H121" t="str">
            <v>122*15*10</v>
          </cell>
          <cell r="I121">
            <v>122</v>
          </cell>
          <cell r="J121">
            <v>15</v>
          </cell>
          <cell r="K121">
            <v>10</v>
          </cell>
        </row>
        <row r="122">
          <cell r="A122" t="str">
            <v>ULAUNCH433WL-46</v>
          </cell>
          <cell r="B122">
            <v>9</v>
          </cell>
          <cell r="C122">
            <v>47</v>
          </cell>
          <cell r="D122">
            <v>50</v>
          </cell>
          <cell r="E122">
            <v>0.6</v>
          </cell>
          <cell r="F122">
            <v>121</v>
          </cell>
          <cell r="G122" t="str">
            <v>golf</v>
          </cell>
          <cell r="H122" t="str">
            <v>122*15*10</v>
          </cell>
          <cell r="I122">
            <v>122</v>
          </cell>
          <cell r="J122">
            <v>15</v>
          </cell>
          <cell r="K122">
            <v>10</v>
          </cell>
        </row>
        <row r="123">
          <cell r="A123" t="str">
            <v>ULAUNCH433WR-46</v>
          </cell>
          <cell r="B123">
            <v>9</v>
          </cell>
          <cell r="C123">
            <v>46</v>
          </cell>
          <cell r="D123">
            <v>50</v>
          </cell>
          <cell r="E123">
            <v>0.6</v>
          </cell>
          <cell r="F123">
            <v>122</v>
          </cell>
          <cell r="G123" t="str">
            <v>golf</v>
          </cell>
          <cell r="H123" t="str">
            <v>122*15*10</v>
          </cell>
          <cell r="I123">
            <v>122</v>
          </cell>
          <cell r="J123">
            <v>15</v>
          </cell>
          <cell r="K123">
            <v>10</v>
          </cell>
        </row>
        <row r="124">
          <cell r="A124" t="str">
            <v>ULAUNCH433WS-46</v>
          </cell>
          <cell r="B124">
            <v>9</v>
          </cell>
          <cell r="C124">
            <v>51</v>
          </cell>
          <cell r="D124">
            <v>50</v>
          </cell>
          <cell r="E124">
            <v>0.6</v>
          </cell>
          <cell r="F124">
            <v>123</v>
          </cell>
          <cell r="G124" t="str">
            <v>golf</v>
          </cell>
          <cell r="H124" t="str">
            <v>122*15*10</v>
          </cell>
          <cell r="I124">
            <v>122</v>
          </cell>
          <cell r="J124">
            <v>15</v>
          </cell>
          <cell r="K124">
            <v>10</v>
          </cell>
        </row>
        <row r="125">
          <cell r="A125" t="str">
            <v>ULAUNCH435WA-46</v>
          </cell>
          <cell r="B125">
            <v>9</v>
          </cell>
          <cell r="C125">
            <v>48</v>
          </cell>
          <cell r="D125">
            <v>50</v>
          </cell>
          <cell r="E125">
            <v>0.6</v>
          </cell>
          <cell r="F125">
            <v>124</v>
          </cell>
          <cell r="G125" t="str">
            <v>golf</v>
          </cell>
          <cell r="H125" t="str">
            <v>122*15*10</v>
          </cell>
          <cell r="I125">
            <v>122</v>
          </cell>
          <cell r="J125">
            <v>15</v>
          </cell>
          <cell r="K125">
            <v>10</v>
          </cell>
        </row>
        <row r="126">
          <cell r="A126" t="str">
            <v>ULAUNCH435WL-46</v>
          </cell>
          <cell r="B126">
            <v>9</v>
          </cell>
          <cell r="C126">
            <v>47</v>
          </cell>
          <cell r="D126">
            <v>50</v>
          </cell>
          <cell r="E126">
            <v>0.6</v>
          </cell>
          <cell r="F126">
            <v>125</v>
          </cell>
          <cell r="G126" t="str">
            <v>golf</v>
          </cell>
          <cell r="H126" t="str">
            <v>122*15*10</v>
          </cell>
          <cell r="I126">
            <v>122</v>
          </cell>
          <cell r="J126">
            <v>15</v>
          </cell>
          <cell r="K126">
            <v>10</v>
          </cell>
        </row>
        <row r="127">
          <cell r="A127" t="str">
            <v>ULAUNCH435WR-46</v>
          </cell>
          <cell r="B127">
            <v>9</v>
          </cell>
          <cell r="C127">
            <v>47</v>
          </cell>
          <cell r="D127">
            <v>50</v>
          </cell>
          <cell r="E127">
            <v>0.6</v>
          </cell>
          <cell r="F127">
            <v>126</v>
          </cell>
          <cell r="G127" t="str">
            <v>golf</v>
          </cell>
          <cell r="H127" t="str">
            <v>122*15*10</v>
          </cell>
          <cell r="I127">
            <v>122</v>
          </cell>
          <cell r="J127">
            <v>15</v>
          </cell>
          <cell r="K127">
            <v>10</v>
          </cell>
        </row>
        <row r="128">
          <cell r="A128" t="str">
            <v>ULAUNCH435WS-46</v>
          </cell>
          <cell r="B128">
            <v>9</v>
          </cell>
          <cell r="C128">
            <v>51</v>
          </cell>
          <cell r="D128">
            <v>50</v>
          </cell>
          <cell r="E128">
            <v>0.6</v>
          </cell>
          <cell r="F128">
            <v>127</v>
          </cell>
          <cell r="G128" t="str">
            <v>golf</v>
          </cell>
          <cell r="H128" t="str">
            <v>122*15*10</v>
          </cell>
          <cell r="I128">
            <v>122</v>
          </cell>
          <cell r="J128">
            <v>15</v>
          </cell>
          <cell r="K128">
            <v>10</v>
          </cell>
        </row>
        <row r="129">
          <cell r="A129" t="str">
            <v>ULAUNCH533WR-46</v>
          </cell>
          <cell r="B129">
            <v>9</v>
          </cell>
          <cell r="C129">
            <v>59</v>
          </cell>
          <cell r="D129">
            <v>50</v>
          </cell>
          <cell r="E129">
            <v>0.6</v>
          </cell>
          <cell r="F129">
            <v>128</v>
          </cell>
          <cell r="G129" t="str">
            <v>golf</v>
          </cell>
          <cell r="H129" t="str">
            <v>122*15*10</v>
          </cell>
          <cell r="I129">
            <v>122</v>
          </cell>
          <cell r="J129">
            <v>15</v>
          </cell>
          <cell r="K129">
            <v>10</v>
          </cell>
        </row>
        <row r="130">
          <cell r="A130" t="str">
            <v>ULAUNCH533WS-46</v>
          </cell>
          <cell r="B130">
            <v>9</v>
          </cell>
          <cell r="C130">
            <v>60</v>
          </cell>
          <cell r="D130">
            <v>50</v>
          </cell>
          <cell r="E130">
            <v>0.6</v>
          </cell>
          <cell r="F130">
            <v>129</v>
          </cell>
          <cell r="G130" t="str">
            <v>golf</v>
          </cell>
          <cell r="H130" t="str">
            <v>122*15*10</v>
          </cell>
          <cell r="I130">
            <v>122</v>
          </cell>
          <cell r="J130">
            <v>15</v>
          </cell>
          <cell r="K130">
            <v>10</v>
          </cell>
        </row>
        <row r="131">
          <cell r="A131" t="str">
            <v>ULAUNCH533WX-46</v>
          </cell>
          <cell r="B131">
            <v>9</v>
          </cell>
          <cell r="C131">
            <v>61</v>
          </cell>
          <cell r="D131">
            <v>50</v>
          </cell>
          <cell r="E131">
            <v>0.6</v>
          </cell>
          <cell r="F131">
            <v>130</v>
          </cell>
          <cell r="G131" t="str">
            <v>golf</v>
          </cell>
          <cell r="H131" t="str">
            <v>122*15*10</v>
          </cell>
          <cell r="I131">
            <v>122</v>
          </cell>
          <cell r="J131">
            <v>15</v>
          </cell>
          <cell r="K131">
            <v>10</v>
          </cell>
        </row>
        <row r="132">
          <cell r="A132" t="str">
            <v>ULAUNCH535WR-46</v>
          </cell>
          <cell r="B132">
            <v>9</v>
          </cell>
          <cell r="C132">
            <v>60</v>
          </cell>
          <cell r="D132">
            <v>50</v>
          </cell>
          <cell r="E132">
            <v>0.6</v>
          </cell>
          <cell r="F132">
            <v>131</v>
          </cell>
          <cell r="G132" t="str">
            <v>golf</v>
          </cell>
          <cell r="H132" t="str">
            <v>122*15*10</v>
          </cell>
          <cell r="I132">
            <v>122</v>
          </cell>
          <cell r="J132">
            <v>15</v>
          </cell>
          <cell r="K132">
            <v>10</v>
          </cell>
        </row>
        <row r="133">
          <cell r="A133" t="str">
            <v>ULAUNCH535WS-46</v>
          </cell>
          <cell r="B133">
            <v>9</v>
          </cell>
          <cell r="C133">
            <v>62</v>
          </cell>
          <cell r="D133">
            <v>50</v>
          </cell>
          <cell r="E133">
            <v>0.6</v>
          </cell>
          <cell r="F133">
            <v>132</v>
          </cell>
          <cell r="G133" t="str">
            <v>golf</v>
          </cell>
          <cell r="H133" t="str">
            <v>122*15*10</v>
          </cell>
          <cell r="I133">
            <v>122</v>
          </cell>
          <cell r="J133">
            <v>15</v>
          </cell>
          <cell r="K133">
            <v>10</v>
          </cell>
        </row>
        <row r="134">
          <cell r="A134" t="str">
            <v>ULAUNCH535WX-46</v>
          </cell>
          <cell r="B134">
            <v>9</v>
          </cell>
          <cell r="C134">
            <v>62</v>
          </cell>
          <cell r="D134">
            <v>50</v>
          </cell>
          <cell r="E134">
            <v>0.6</v>
          </cell>
          <cell r="F134">
            <v>133</v>
          </cell>
          <cell r="G134" t="str">
            <v>golf</v>
          </cell>
          <cell r="H134" t="str">
            <v>122*15*10</v>
          </cell>
          <cell r="I134">
            <v>122</v>
          </cell>
          <cell r="J134">
            <v>15</v>
          </cell>
          <cell r="K134">
            <v>10</v>
          </cell>
        </row>
        <row r="135">
          <cell r="A135" t="str">
            <v>ULAUNCH5SEWR-46</v>
          </cell>
          <cell r="B135">
            <v>9</v>
          </cell>
          <cell r="C135">
            <v>59</v>
          </cell>
          <cell r="D135">
            <v>50</v>
          </cell>
          <cell r="E135">
            <v>0.6</v>
          </cell>
          <cell r="F135">
            <v>134</v>
          </cell>
          <cell r="G135" t="str">
            <v>golf</v>
          </cell>
          <cell r="H135" t="str">
            <v>122*15*10</v>
          </cell>
          <cell r="I135">
            <v>122</v>
          </cell>
          <cell r="J135">
            <v>15</v>
          </cell>
          <cell r="K135">
            <v>10</v>
          </cell>
        </row>
        <row r="136">
          <cell r="A136" t="str">
            <v>ULAUNCH633WR-46</v>
          </cell>
          <cell r="B136">
            <v>9</v>
          </cell>
          <cell r="C136">
            <v>69</v>
          </cell>
          <cell r="D136">
            <v>50</v>
          </cell>
          <cell r="E136">
            <v>0.6</v>
          </cell>
          <cell r="F136">
            <v>135</v>
          </cell>
          <cell r="G136" t="str">
            <v>golf</v>
          </cell>
          <cell r="H136" t="str">
            <v>122*15*10</v>
          </cell>
          <cell r="I136">
            <v>122</v>
          </cell>
          <cell r="J136">
            <v>15</v>
          </cell>
          <cell r="K136">
            <v>10</v>
          </cell>
        </row>
        <row r="137">
          <cell r="A137" t="str">
            <v>ULAUNCH633WS-46</v>
          </cell>
          <cell r="B137">
            <v>9</v>
          </cell>
          <cell r="C137">
            <v>67</v>
          </cell>
          <cell r="D137">
            <v>50</v>
          </cell>
          <cell r="E137">
            <v>0.6</v>
          </cell>
          <cell r="F137">
            <v>136</v>
          </cell>
          <cell r="G137" t="str">
            <v>golf</v>
          </cell>
          <cell r="H137" t="str">
            <v>122*15*10</v>
          </cell>
          <cell r="I137">
            <v>122</v>
          </cell>
          <cell r="J137">
            <v>15</v>
          </cell>
          <cell r="K137">
            <v>10</v>
          </cell>
        </row>
        <row r="138">
          <cell r="A138" t="str">
            <v>ULAUNCH633WX-46</v>
          </cell>
          <cell r="B138">
            <v>9</v>
          </cell>
          <cell r="C138">
            <v>68</v>
          </cell>
          <cell r="D138">
            <v>50</v>
          </cell>
          <cell r="E138">
            <v>0.6</v>
          </cell>
          <cell r="F138">
            <v>137</v>
          </cell>
          <cell r="G138" t="str">
            <v>golf</v>
          </cell>
          <cell r="H138" t="str">
            <v>122*15*10</v>
          </cell>
          <cell r="I138">
            <v>122</v>
          </cell>
          <cell r="J138">
            <v>15</v>
          </cell>
          <cell r="K138">
            <v>10</v>
          </cell>
        </row>
        <row r="139">
          <cell r="A139" t="str">
            <v>ULAUNCH635WR-46</v>
          </cell>
          <cell r="B139">
            <v>9</v>
          </cell>
          <cell r="C139">
            <v>70</v>
          </cell>
          <cell r="D139">
            <v>50</v>
          </cell>
          <cell r="E139">
            <v>0.6</v>
          </cell>
          <cell r="F139">
            <v>138</v>
          </cell>
          <cell r="G139" t="str">
            <v>golf</v>
          </cell>
          <cell r="H139" t="str">
            <v>122*15*10</v>
          </cell>
          <cell r="I139">
            <v>122</v>
          </cell>
          <cell r="J139">
            <v>15</v>
          </cell>
          <cell r="K139">
            <v>10</v>
          </cell>
        </row>
        <row r="140">
          <cell r="A140" t="str">
            <v>ULAUNCH635WS-46</v>
          </cell>
          <cell r="B140">
            <v>9</v>
          </cell>
          <cell r="C140">
            <v>70</v>
          </cell>
          <cell r="D140">
            <v>50</v>
          </cell>
          <cell r="E140">
            <v>0.6</v>
          </cell>
          <cell r="F140">
            <v>139</v>
          </cell>
          <cell r="G140" t="str">
            <v>golf</v>
          </cell>
          <cell r="H140" t="str">
            <v>122*15*10</v>
          </cell>
          <cell r="I140">
            <v>122</v>
          </cell>
          <cell r="J140">
            <v>15</v>
          </cell>
          <cell r="K140">
            <v>10</v>
          </cell>
        </row>
        <row r="141">
          <cell r="A141" t="str">
            <v>ULAUNCH635WX-46</v>
          </cell>
          <cell r="B141">
            <v>9</v>
          </cell>
          <cell r="C141">
            <v>70</v>
          </cell>
          <cell r="D141">
            <v>50</v>
          </cell>
          <cell r="E141">
            <v>0.6</v>
          </cell>
          <cell r="F141">
            <v>140</v>
          </cell>
          <cell r="G141" t="str">
            <v>golf</v>
          </cell>
          <cell r="H141" t="str">
            <v>122*15*10</v>
          </cell>
          <cell r="I141">
            <v>122</v>
          </cell>
          <cell r="J141">
            <v>15</v>
          </cell>
          <cell r="K141">
            <v>10</v>
          </cell>
        </row>
        <row r="142">
          <cell r="A142" t="str">
            <v>ULAUNCH733WR-46</v>
          </cell>
          <cell r="B142">
            <v>9</v>
          </cell>
          <cell r="C142">
            <v>77</v>
          </cell>
          <cell r="D142">
            <v>50</v>
          </cell>
          <cell r="E142">
            <v>0.6</v>
          </cell>
          <cell r="F142">
            <v>141</v>
          </cell>
          <cell r="G142" t="str">
            <v>golf</v>
          </cell>
          <cell r="H142" t="str">
            <v>122*15*10</v>
          </cell>
          <cell r="I142">
            <v>122</v>
          </cell>
          <cell r="J142">
            <v>15</v>
          </cell>
          <cell r="K142">
            <v>10</v>
          </cell>
        </row>
        <row r="143">
          <cell r="A143" t="str">
            <v>ULAUNCH733WS-46</v>
          </cell>
          <cell r="B143">
            <v>9</v>
          </cell>
          <cell r="C143">
            <v>77</v>
          </cell>
          <cell r="D143">
            <v>50</v>
          </cell>
          <cell r="E143">
            <v>0.6</v>
          </cell>
          <cell r="F143">
            <v>142</v>
          </cell>
          <cell r="G143" t="str">
            <v>golf</v>
          </cell>
          <cell r="H143" t="str">
            <v>122*15*10</v>
          </cell>
          <cell r="I143">
            <v>122</v>
          </cell>
          <cell r="J143">
            <v>15</v>
          </cell>
          <cell r="K143">
            <v>10</v>
          </cell>
        </row>
        <row r="144">
          <cell r="A144" t="str">
            <v>ULAUNCH733WX-46</v>
          </cell>
          <cell r="B144">
            <v>9</v>
          </cell>
          <cell r="C144">
            <v>78</v>
          </cell>
          <cell r="D144">
            <v>50</v>
          </cell>
          <cell r="E144">
            <v>0.6</v>
          </cell>
          <cell r="F144">
            <v>143</v>
          </cell>
          <cell r="G144" t="str">
            <v>golf</v>
          </cell>
          <cell r="H144" t="str">
            <v>122*15*10</v>
          </cell>
          <cell r="I144">
            <v>122</v>
          </cell>
          <cell r="J144">
            <v>15</v>
          </cell>
          <cell r="K144">
            <v>10</v>
          </cell>
        </row>
        <row r="145">
          <cell r="A145" t="str">
            <v>ULAUNCH735WR-46</v>
          </cell>
          <cell r="B145">
            <v>9</v>
          </cell>
          <cell r="C145">
            <v>78</v>
          </cell>
          <cell r="D145">
            <v>50</v>
          </cell>
          <cell r="E145">
            <v>0.6</v>
          </cell>
          <cell r="F145">
            <v>144</v>
          </cell>
          <cell r="G145" t="str">
            <v>golf</v>
          </cell>
          <cell r="H145" t="str">
            <v>122*15*10</v>
          </cell>
          <cell r="I145">
            <v>122</v>
          </cell>
          <cell r="J145">
            <v>15</v>
          </cell>
          <cell r="K145">
            <v>10</v>
          </cell>
        </row>
        <row r="146">
          <cell r="A146" t="str">
            <v>ULAUNCH735WS-46</v>
          </cell>
          <cell r="B146">
            <v>9</v>
          </cell>
          <cell r="C146">
            <v>79</v>
          </cell>
          <cell r="D146">
            <v>50</v>
          </cell>
          <cell r="E146">
            <v>0.6</v>
          </cell>
          <cell r="F146">
            <v>145</v>
          </cell>
          <cell r="G146" t="str">
            <v>golf</v>
          </cell>
          <cell r="H146" t="str">
            <v>122*15*10</v>
          </cell>
          <cell r="I146">
            <v>122</v>
          </cell>
          <cell r="J146">
            <v>15</v>
          </cell>
          <cell r="K146">
            <v>10</v>
          </cell>
        </row>
        <row r="147">
          <cell r="A147" t="str">
            <v>ULAUNCH735WX-46</v>
          </cell>
          <cell r="B147">
            <v>9</v>
          </cell>
          <cell r="C147">
            <v>78</v>
          </cell>
          <cell r="D147">
            <v>50</v>
          </cell>
          <cell r="E147">
            <v>0.6</v>
          </cell>
          <cell r="F147">
            <v>146</v>
          </cell>
          <cell r="G147" t="str">
            <v>golf</v>
          </cell>
          <cell r="H147" t="str">
            <v>122*15*10</v>
          </cell>
          <cell r="I147">
            <v>122</v>
          </cell>
          <cell r="J147">
            <v>15</v>
          </cell>
          <cell r="K147">
            <v>10</v>
          </cell>
        </row>
        <row r="148">
          <cell r="A148" t="str">
            <v>ULAUNCHHY33WA-41</v>
          </cell>
          <cell r="B148">
            <v>9</v>
          </cell>
          <cell r="C148">
            <v>79</v>
          </cell>
          <cell r="D148">
            <v>50</v>
          </cell>
          <cell r="E148">
            <v>0.6</v>
          </cell>
          <cell r="F148">
            <v>147</v>
          </cell>
          <cell r="G148" t="str">
            <v>golf</v>
          </cell>
          <cell r="H148" t="str">
            <v>122*15*10</v>
          </cell>
          <cell r="I148">
            <v>122</v>
          </cell>
          <cell r="J148">
            <v>15</v>
          </cell>
          <cell r="K148">
            <v>10</v>
          </cell>
        </row>
        <row r="149">
          <cell r="A149" t="str">
            <v>ULAUNCHHY33WR-41</v>
          </cell>
          <cell r="B149">
            <v>9</v>
          </cell>
          <cell r="C149">
            <v>84</v>
          </cell>
          <cell r="D149">
            <v>50</v>
          </cell>
          <cell r="E149">
            <v>0.6</v>
          </cell>
          <cell r="F149">
            <v>148</v>
          </cell>
          <cell r="G149" t="str">
            <v>golf</v>
          </cell>
          <cell r="H149" t="str">
            <v>122*15*10</v>
          </cell>
          <cell r="I149">
            <v>122</v>
          </cell>
          <cell r="J149">
            <v>15</v>
          </cell>
          <cell r="K149">
            <v>10</v>
          </cell>
        </row>
        <row r="150">
          <cell r="A150" t="str">
            <v>ULAUNCHHY33WS-41</v>
          </cell>
          <cell r="B150">
            <v>9</v>
          </cell>
          <cell r="C150">
            <v>86</v>
          </cell>
          <cell r="D150">
            <v>50</v>
          </cell>
          <cell r="E150">
            <v>0.6</v>
          </cell>
          <cell r="F150">
            <v>149</v>
          </cell>
          <cell r="G150" t="str">
            <v>golf</v>
          </cell>
          <cell r="H150" t="str">
            <v>122*15*10</v>
          </cell>
          <cell r="I150">
            <v>122</v>
          </cell>
          <cell r="J150">
            <v>15</v>
          </cell>
          <cell r="K150">
            <v>10</v>
          </cell>
        </row>
        <row r="151">
          <cell r="A151" t="str">
            <v>ULAUNCHHY33WX-41</v>
          </cell>
          <cell r="B151">
            <v>9</v>
          </cell>
          <cell r="C151">
            <v>85</v>
          </cell>
          <cell r="D151">
            <v>50</v>
          </cell>
          <cell r="E151">
            <v>0.6</v>
          </cell>
          <cell r="F151">
            <v>150</v>
          </cell>
          <cell r="G151" t="str">
            <v>golf</v>
          </cell>
          <cell r="H151" t="str">
            <v>122*15*10</v>
          </cell>
          <cell r="I151">
            <v>122</v>
          </cell>
          <cell r="J151">
            <v>15</v>
          </cell>
          <cell r="K151">
            <v>10</v>
          </cell>
        </row>
        <row r="152">
          <cell r="A152" t="str">
            <v>ULAUNCHHYIA-41</v>
          </cell>
          <cell r="B152">
            <v>9</v>
          </cell>
          <cell r="C152">
            <v>78</v>
          </cell>
          <cell r="D152">
            <v>50</v>
          </cell>
          <cell r="E152">
            <v>0.6</v>
          </cell>
          <cell r="F152">
            <v>151</v>
          </cell>
          <cell r="G152" t="str">
            <v>golf</v>
          </cell>
          <cell r="H152" t="str">
            <v>122*15*10</v>
          </cell>
          <cell r="I152">
            <v>122</v>
          </cell>
          <cell r="J152">
            <v>15</v>
          </cell>
          <cell r="K152">
            <v>10</v>
          </cell>
        </row>
        <row r="153">
          <cell r="A153" t="str">
            <v>ULAUNCHHYIR-41</v>
          </cell>
          <cell r="B153">
            <v>9</v>
          </cell>
          <cell r="C153">
            <v>84</v>
          </cell>
          <cell r="D153">
            <v>50</v>
          </cell>
          <cell r="E153">
            <v>0.6</v>
          </cell>
          <cell r="F153">
            <v>152</v>
          </cell>
          <cell r="G153" t="str">
            <v>golf</v>
          </cell>
          <cell r="H153" t="str">
            <v>122*15*10</v>
          </cell>
          <cell r="I153">
            <v>122</v>
          </cell>
          <cell r="J153">
            <v>15</v>
          </cell>
          <cell r="K153">
            <v>10</v>
          </cell>
        </row>
        <row r="154">
          <cell r="A154" t="str">
            <v>ULAUNCHHYIS-41</v>
          </cell>
          <cell r="B154">
            <v>9</v>
          </cell>
          <cell r="C154">
            <v>85</v>
          </cell>
          <cell r="D154">
            <v>50</v>
          </cell>
          <cell r="E154">
            <v>0.6</v>
          </cell>
          <cell r="F154">
            <v>153</v>
          </cell>
          <cell r="G154" t="str">
            <v>golf</v>
          </cell>
          <cell r="H154" t="str">
            <v>122*15*10</v>
          </cell>
          <cell r="I154">
            <v>122</v>
          </cell>
          <cell r="J154">
            <v>15</v>
          </cell>
          <cell r="K154">
            <v>10</v>
          </cell>
        </row>
        <row r="155">
          <cell r="A155" t="str">
            <v>ULAUNCHHYIX-41</v>
          </cell>
          <cell r="B155">
            <v>9</v>
          </cell>
          <cell r="C155">
            <v>85</v>
          </cell>
          <cell r="D155">
            <v>50</v>
          </cell>
          <cell r="E155">
            <v>0.6</v>
          </cell>
          <cell r="F155">
            <v>154</v>
          </cell>
          <cell r="G155" t="str">
            <v>golf</v>
          </cell>
          <cell r="H155" t="str">
            <v>122*15*10</v>
          </cell>
          <cell r="I155">
            <v>122</v>
          </cell>
          <cell r="J155">
            <v>15</v>
          </cell>
          <cell r="K155">
            <v>10</v>
          </cell>
        </row>
        <row r="156">
          <cell r="A156" t="str">
            <v>ULAUNCHIA-41</v>
          </cell>
          <cell r="B156">
            <v>9</v>
          </cell>
          <cell r="C156">
            <v>84</v>
          </cell>
          <cell r="D156">
            <v>50</v>
          </cell>
          <cell r="E156">
            <v>0.6</v>
          </cell>
          <cell r="F156">
            <v>155</v>
          </cell>
          <cell r="G156" t="str">
            <v>golf</v>
          </cell>
          <cell r="H156" t="str">
            <v>122*15*10</v>
          </cell>
          <cell r="I156">
            <v>122</v>
          </cell>
          <cell r="J156">
            <v>15</v>
          </cell>
          <cell r="K156">
            <v>10</v>
          </cell>
        </row>
        <row r="157">
          <cell r="A157" t="str">
            <v>ULAUNCHIR-41</v>
          </cell>
          <cell r="B157">
            <v>9</v>
          </cell>
          <cell r="C157">
            <v>81</v>
          </cell>
          <cell r="D157">
            <v>50</v>
          </cell>
          <cell r="E157">
            <v>0.6</v>
          </cell>
          <cell r="F157">
            <v>156</v>
          </cell>
          <cell r="G157" t="str">
            <v>golf</v>
          </cell>
          <cell r="H157" t="str">
            <v>122*15*10</v>
          </cell>
          <cell r="I157">
            <v>122</v>
          </cell>
          <cell r="J157">
            <v>15</v>
          </cell>
          <cell r="K157">
            <v>10</v>
          </cell>
        </row>
        <row r="158">
          <cell r="A158" t="str">
            <v>ULAUNCHIS-41</v>
          </cell>
          <cell r="B158">
            <v>9</v>
          </cell>
          <cell r="C158">
            <v>86</v>
          </cell>
          <cell r="D158">
            <v>50</v>
          </cell>
          <cell r="E158">
            <v>0.6</v>
          </cell>
          <cell r="F158">
            <v>157</v>
          </cell>
          <cell r="G158" t="str">
            <v>golf</v>
          </cell>
          <cell r="H158" t="str">
            <v>122*15*10</v>
          </cell>
          <cell r="I158">
            <v>122</v>
          </cell>
          <cell r="J158">
            <v>15</v>
          </cell>
          <cell r="K158">
            <v>10</v>
          </cell>
        </row>
        <row r="159">
          <cell r="A159" t="str">
            <v>UMKIA2-40</v>
          </cell>
          <cell r="B159">
            <v>9</v>
          </cell>
          <cell r="C159">
            <v>66</v>
          </cell>
          <cell r="D159">
            <v>50</v>
          </cell>
          <cell r="E159">
            <v>0.6</v>
          </cell>
          <cell r="F159">
            <v>158</v>
          </cell>
          <cell r="G159" t="str">
            <v>golf</v>
          </cell>
          <cell r="H159" t="str">
            <v>122*15*10</v>
          </cell>
          <cell r="I159">
            <v>122</v>
          </cell>
          <cell r="J159">
            <v>15</v>
          </cell>
          <cell r="K159">
            <v>10</v>
          </cell>
        </row>
        <row r="160">
          <cell r="A160" t="str">
            <v>UMKIR2-40</v>
          </cell>
          <cell r="B160">
            <v>9</v>
          </cell>
          <cell r="C160">
            <v>68</v>
          </cell>
          <cell r="D160">
            <v>50</v>
          </cell>
          <cell r="E160">
            <v>0.6</v>
          </cell>
          <cell r="F160">
            <v>159</v>
          </cell>
          <cell r="G160" t="str">
            <v>golf</v>
          </cell>
          <cell r="H160" t="str">
            <v>122*15*10</v>
          </cell>
          <cell r="I160">
            <v>122</v>
          </cell>
          <cell r="J160">
            <v>15</v>
          </cell>
          <cell r="K160">
            <v>10</v>
          </cell>
        </row>
        <row r="161">
          <cell r="A161" t="str">
            <v>UMKIS2-40</v>
          </cell>
          <cell r="B161">
            <v>9</v>
          </cell>
          <cell r="C161">
            <v>72</v>
          </cell>
          <cell r="D161">
            <v>50</v>
          </cell>
          <cell r="E161">
            <v>0.6</v>
          </cell>
          <cell r="F161">
            <v>160</v>
          </cell>
          <cell r="G161" t="str">
            <v>golf</v>
          </cell>
          <cell r="H161" t="str">
            <v>122*15*10</v>
          </cell>
          <cell r="I161">
            <v>122</v>
          </cell>
          <cell r="J161">
            <v>15</v>
          </cell>
          <cell r="K161">
            <v>10</v>
          </cell>
        </row>
        <row r="162">
          <cell r="A162" t="str">
            <v>UPCGIAL-43</v>
          </cell>
          <cell r="B162">
            <v>9</v>
          </cell>
          <cell r="C162">
            <v>76</v>
          </cell>
          <cell r="D162">
            <v>50</v>
          </cell>
          <cell r="E162">
            <v>0.6</v>
          </cell>
          <cell r="F162">
            <v>161</v>
          </cell>
          <cell r="G162" t="str">
            <v>golf</v>
          </cell>
          <cell r="H162" t="str">
            <v>122*15*10</v>
          </cell>
          <cell r="I162">
            <v>122</v>
          </cell>
          <cell r="J162">
            <v>15</v>
          </cell>
          <cell r="K162">
            <v>10</v>
          </cell>
        </row>
        <row r="163">
          <cell r="A163" t="str">
            <v>UPCGIRS-43</v>
          </cell>
          <cell r="B163">
            <v>9</v>
          </cell>
          <cell r="C163">
            <v>79</v>
          </cell>
          <cell r="D163">
            <v>50</v>
          </cell>
          <cell r="E163">
            <v>0.6</v>
          </cell>
          <cell r="F163">
            <v>162</v>
          </cell>
          <cell r="G163" t="str">
            <v>golf</v>
          </cell>
          <cell r="H163" t="str">
            <v>122*15*10</v>
          </cell>
          <cell r="I163">
            <v>122</v>
          </cell>
          <cell r="J163">
            <v>15</v>
          </cell>
          <cell r="K163">
            <v>10</v>
          </cell>
        </row>
        <row r="164">
          <cell r="A164" t="str">
            <v>UPCGWAL-48</v>
          </cell>
          <cell r="B164">
            <v>9</v>
          </cell>
          <cell r="C164">
            <v>71</v>
          </cell>
          <cell r="D164">
            <v>50</v>
          </cell>
          <cell r="E164">
            <v>0.64</v>
          </cell>
          <cell r="F164">
            <v>163</v>
          </cell>
          <cell r="G164" t="str">
            <v>golf</v>
          </cell>
          <cell r="H164" t="str">
            <v>130*15*10</v>
          </cell>
          <cell r="I164">
            <v>130</v>
          </cell>
          <cell r="J164">
            <v>15</v>
          </cell>
          <cell r="K164">
            <v>10</v>
          </cell>
        </row>
        <row r="165">
          <cell r="A165" t="str">
            <v>UPCGWRS-48</v>
          </cell>
          <cell r="B165">
            <v>9</v>
          </cell>
          <cell r="C165">
            <v>77</v>
          </cell>
          <cell r="D165">
            <v>50</v>
          </cell>
          <cell r="E165">
            <v>0.64</v>
          </cell>
          <cell r="F165">
            <v>164</v>
          </cell>
          <cell r="G165" t="str">
            <v>golf</v>
          </cell>
          <cell r="H165" t="str">
            <v>130*15*10</v>
          </cell>
          <cell r="I165">
            <v>130</v>
          </cell>
          <cell r="J165">
            <v>15</v>
          </cell>
          <cell r="K165">
            <v>10</v>
          </cell>
        </row>
        <row r="166">
          <cell r="A166" t="str">
            <v>UPGLAUNCH33WL-46</v>
          </cell>
          <cell r="B166">
            <v>9</v>
          </cell>
          <cell r="C166">
            <v>65</v>
          </cell>
          <cell r="D166">
            <v>50</v>
          </cell>
          <cell r="E166">
            <v>0.6</v>
          </cell>
          <cell r="F166">
            <v>165</v>
          </cell>
          <cell r="G166" t="str">
            <v>golf</v>
          </cell>
          <cell r="H166" t="str">
            <v>122*15*10</v>
          </cell>
          <cell r="I166">
            <v>122</v>
          </cell>
          <cell r="J166">
            <v>15</v>
          </cell>
          <cell r="K166">
            <v>10</v>
          </cell>
        </row>
        <row r="167">
          <cell r="A167" t="str">
            <v>UPGLAUNCH33WR-46</v>
          </cell>
          <cell r="B167">
            <v>9</v>
          </cell>
          <cell r="C167">
            <v>67</v>
          </cell>
          <cell r="D167">
            <v>50</v>
          </cell>
          <cell r="E167">
            <v>0.6</v>
          </cell>
          <cell r="F167">
            <v>166</v>
          </cell>
          <cell r="G167" t="str">
            <v>golf</v>
          </cell>
          <cell r="H167" t="str">
            <v>122*15*10</v>
          </cell>
          <cell r="I167">
            <v>122</v>
          </cell>
          <cell r="J167">
            <v>15</v>
          </cell>
          <cell r="K167">
            <v>10</v>
          </cell>
        </row>
        <row r="168">
          <cell r="A168" t="str">
            <v>UPGLAUNCH33WS-46</v>
          </cell>
          <cell r="B168">
            <v>9</v>
          </cell>
          <cell r="C168">
            <v>71</v>
          </cell>
          <cell r="D168">
            <v>50</v>
          </cell>
          <cell r="E168">
            <v>0.6</v>
          </cell>
          <cell r="F168">
            <v>167</v>
          </cell>
          <cell r="G168" t="str">
            <v>golf</v>
          </cell>
          <cell r="H168" t="str">
            <v>122*15*10</v>
          </cell>
          <cell r="I168">
            <v>122</v>
          </cell>
          <cell r="J168">
            <v>15</v>
          </cell>
          <cell r="K168">
            <v>10</v>
          </cell>
        </row>
        <row r="169">
          <cell r="A169" t="str">
            <v>UPRLT33WR-46-BLACK</v>
          </cell>
          <cell r="B169">
            <v>9</v>
          </cell>
          <cell r="C169">
            <v>65</v>
          </cell>
          <cell r="D169">
            <v>50</v>
          </cell>
          <cell r="E169">
            <v>0.6</v>
          </cell>
          <cell r="F169">
            <v>168</v>
          </cell>
          <cell r="G169" t="str">
            <v>golf</v>
          </cell>
          <cell r="H169" t="str">
            <v>122*15*10</v>
          </cell>
          <cell r="I169">
            <v>122</v>
          </cell>
          <cell r="J169">
            <v>15</v>
          </cell>
          <cell r="K169">
            <v>10</v>
          </cell>
        </row>
        <row r="170">
          <cell r="A170" t="str">
            <v>UPRLT33WR-46-BURG</v>
          </cell>
          <cell r="B170">
            <v>9</v>
          </cell>
          <cell r="C170">
            <v>65</v>
          </cell>
          <cell r="D170">
            <v>50</v>
          </cell>
          <cell r="E170">
            <v>0.6</v>
          </cell>
          <cell r="F170">
            <v>169</v>
          </cell>
          <cell r="G170" t="str">
            <v>golf</v>
          </cell>
          <cell r="H170" t="str">
            <v>122*15*10</v>
          </cell>
          <cell r="I170">
            <v>122</v>
          </cell>
          <cell r="J170">
            <v>15</v>
          </cell>
          <cell r="K170">
            <v>10</v>
          </cell>
        </row>
        <row r="171">
          <cell r="A171" t="str">
            <v>UPRLT33WS-46-BLACK</v>
          </cell>
          <cell r="B171">
            <v>9</v>
          </cell>
          <cell r="C171">
            <v>67</v>
          </cell>
          <cell r="D171">
            <v>50</v>
          </cell>
          <cell r="E171">
            <v>0.6</v>
          </cell>
          <cell r="F171">
            <v>170</v>
          </cell>
          <cell r="G171" t="str">
            <v>golf</v>
          </cell>
          <cell r="H171" t="str">
            <v>122*15*10</v>
          </cell>
          <cell r="I171">
            <v>122</v>
          </cell>
          <cell r="J171">
            <v>15</v>
          </cell>
          <cell r="K171">
            <v>10</v>
          </cell>
        </row>
        <row r="172">
          <cell r="A172" t="str">
            <v>UPRLT33WS-46-BURG</v>
          </cell>
          <cell r="B172">
            <v>9</v>
          </cell>
          <cell r="C172">
            <v>67</v>
          </cell>
          <cell r="D172">
            <v>50</v>
          </cell>
          <cell r="E172">
            <v>0.6</v>
          </cell>
          <cell r="F172">
            <v>171</v>
          </cell>
          <cell r="G172" t="str">
            <v>golf</v>
          </cell>
          <cell r="H172" t="str">
            <v>122*15*10</v>
          </cell>
          <cell r="I172">
            <v>122</v>
          </cell>
          <cell r="J172">
            <v>15</v>
          </cell>
          <cell r="K172">
            <v>10</v>
          </cell>
        </row>
        <row r="173">
          <cell r="A173" t="str">
            <v>UPRLT33WX-46-BLACK</v>
          </cell>
          <cell r="B173">
            <v>9</v>
          </cell>
          <cell r="C173">
            <v>67</v>
          </cell>
          <cell r="D173">
            <v>50</v>
          </cell>
          <cell r="E173">
            <v>0.6</v>
          </cell>
          <cell r="F173">
            <v>172</v>
          </cell>
          <cell r="G173" t="str">
            <v>golf</v>
          </cell>
          <cell r="H173" t="str">
            <v>122*15*10</v>
          </cell>
          <cell r="I173">
            <v>122</v>
          </cell>
          <cell r="J173">
            <v>15</v>
          </cell>
          <cell r="K173">
            <v>10</v>
          </cell>
        </row>
        <row r="174">
          <cell r="A174" t="str">
            <v>UPRLT33WX-46-BURG</v>
          </cell>
          <cell r="B174">
            <v>9</v>
          </cell>
          <cell r="C174">
            <v>67</v>
          </cell>
          <cell r="D174">
            <v>50</v>
          </cell>
          <cell r="E174">
            <v>0.6</v>
          </cell>
          <cell r="F174">
            <v>173</v>
          </cell>
          <cell r="G174" t="str">
            <v>golf</v>
          </cell>
          <cell r="H174" t="str">
            <v>122*15*10</v>
          </cell>
          <cell r="I174">
            <v>122</v>
          </cell>
          <cell r="J174">
            <v>15</v>
          </cell>
          <cell r="K174">
            <v>10</v>
          </cell>
        </row>
        <row r="175">
          <cell r="A175" t="str">
            <v>UPRLT35WR-46-BLACK</v>
          </cell>
          <cell r="B175">
            <v>9</v>
          </cell>
          <cell r="C175">
            <v>68</v>
          </cell>
          <cell r="D175">
            <v>50</v>
          </cell>
          <cell r="E175">
            <v>0.6</v>
          </cell>
          <cell r="F175">
            <v>174</v>
          </cell>
          <cell r="G175" t="str">
            <v>golf</v>
          </cell>
          <cell r="H175" t="str">
            <v>122*15*10</v>
          </cell>
          <cell r="I175">
            <v>122</v>
          </cell>
          <cell r="J175">
            <v>15</v>
          </cell>
          <cell r="K175">
            <v>10</v>
          </cell>
        </row>
        <row r="176">
          <cell r="A176" t="str">
            <v>UPRLT35WR-46-BURG</v>
          </cell>
          <cell r="B176">
            <v>9</v>
          </cell>
          <cell r="C176">
            <v>68</v>
          </cell>
          <cell r="D176">
            <v>50</v>
          </cell>
          <cell r="E176">
            <v>0.6</v>
          </cell>
          <cell r="F176">
            <v>175</v>
          </cell>
          <cell r="G176" t="str">
            <v>golf</v>
          </cell>
          <cell r="H176" t="str">
            <v>122*15*10</v>
          </cell>
          <cell r="I176">
            <v>122</v>
          </cell>
          <cell r="J176">
            <v>15</v>
          </cell>
          <cell r="K176">
            <v>10</v>
          </cell>
        </row>
        <row r="177">
          <cell r="A177" t="str">
            <v>UPRLT35WS-46-BLACK</v>
          </cell>
          <cell r="B177">
            <v>9</v>
          </cell>
          <cell r="C177">
            <v>68</v>
          </cell>
          <cell r="D177">
            <v>50</v>
          </cell>
          <cell r="E177">
            <v>0.6</v>
          </cell>
          <cell r="F177">
            <v>176</v>
          </cell>
          <cell r="G177" t="str">
            <v>golf</v>
          </cell>
          <cell r="H177" t="str">
            <v>122*15*10</v>
          </cell>
          <cell r="I177">
            <v>122</v>
          </cell>
          <cell r="J177">
            <v>15</v>
          </cell>
          <cell r="K177">
            <v>10</v>
          </cell>
        </row>
        <row r="178">
          <cell r="A178" t="str">
            <v>UPRLT35WS-46-BURG</v>
          </cell>
          <cell r="B178">
            <v>9</v>
          </cell>
          <cell r="C178">
            <v>68</v>
          </cell>
          <cell r="D178">
            <v>50</v>
          </cell>
          <cell r="E178">
            <v>0.6</v>
          </cell>
          <cell r="F178">
            <v>177</v>
          </cell>
          <cell r="G178" t="str">
            <v>golf</v>
          </cell>
          <cell r="H178" t="str">
            <v>122*15*10</v>
          </cell>
          <cell r="I178">
            <v>122</v>
          </cell>
          <cell r="J178">
            <v>15</v>
          </cell>
          <cell r="K178">
            <v>10</v>
          </cell>
        </row>
        <row r="179">
          <cell r="A179" t="str">
            <v>UPRLT35WX-46-BLACK</v>
          </cell>
          <cell r="B179">
            <v>9</v>
          </cell>
          <cell r="C179">
            <v>71</v>
          </cell>
          <cell r="D179">
            <v>50</v>
          </cell>
          <cell r="E179">
            <v>0.6</v>
          </cell>
          <cell r="F179">
            <v>178</v>
          </cell>
          <cell r="G179" t="str">
            <v>golf</v>
          </cell>
          <cell r="H179" t="str">
            <v>122*15*10</v>
          </cell>
          <cell r="I179">
            <v>122</v>
          </cell>
          <cell r="J179">
            <v>15</v>
          </cell>
          <cell r="K179">
            <v>10</v>
          </cell>
        </row>
        <row r="180">
          <cell r="A180" t="str">
            <v>UPRLT35WX-46-BURG</v>
          </cell>
          <cell r="B180">
            <v>9</v>
          </cell>
          <cell r="C180">
            <v>71</v>
          </cell>
          <cell r="D180">
            <v>50</v>
          </cell>
          <cell r="E180">
            <v>0.6</v>
          </cell>
          <cell r="F180">
            <v>179</v>
          </cell>
          <cell r="G180" t="str">
            <v>golf</v>
          </cell>
          <cell r="H180" t="str">
            <v>122*15*10</v>
          </cell>
          <cell r="I180">
            <v>122</v>
          </cell>
          <cell r="J180">
            <v>15</v>
          </cell>
          <cell r="K180">
            <v>10</v>
          </cell>
        </row>
        <row r="181">
          <cell r="A181" t="str">
            <v>UPRLT433WA-46-BLACK</v>
          </cell>
          <cell r="B181">
            <v>9</v>
          </cell>
          <cell r="C181">
            <v>61</v>
          </cell>
          <cell r="D181">
            <v>50</v>
          </cell>
          <cell r="E181">
            <v>0.6</v>
          </cell>
          <cell r="F181">
            <v>180</v>
          </cell>
          <cell r="G181" t="str">
            <v>golf</v>
          </cell>
          <cell r="H181" t="str">
            <v>122*15*10</v>
          </cell>
          <cell r="I181">
            <v>122</v>
          </cell>
          <cell r="J181">
            <v>15</v>
          </cell>
          <cell r="K181">
            <v>10</v>
          </cell>
        </row>
        <row r="182">
          <cell r="A182" t="str">
            <v>UPRLT433WR-46-BLACK</v>
          </cell>
          <cell r="B182">
            <v>9</v>
          </cell>
          <cell r="C182">
            <v>63</v>
          </cell>
          <cell r="D182">
            <v>50</v>
          </cell>
          <cell r="E182">
            <v>0.6</v>
          </cell>
          <cell r="F182">
            <v>181</v>
          </cell>
          <cell r="G182" t="str">
            <v>golf</v>
          </cell>
          <cell r="H182" t="str">
            <v>122*15*10</v>
          </cell>
          <cell r="I182">
            <v>122</v>
          </cell>
          <cell r="J182">
            <v>15</v>
          </cell>
          <cell r="K182">
            <v>10</v>
          </cell>
        </row>
        <row r="183">
          <cell r="A183" t="str">
            <v>UPRLT433WS-46-BLACK</v>
          </cell>
          <cell r="B183">
            <v>9</v>
          </cell>
          <cell r="C183">
            <v>65</v>
          </cell>
          <cell r="D183">
            <v>50</v>
          </cell>
          <cell r="E183">
            <v>0.6</v>
          </cell>
          <cell r="F183">
            <v>182</v>
          </cell>
          <cell r="G183" t="str">
            <v>golf</v>
          </cell>
          <cell r="H183" t="str">
            <v>122*15*10</v>
          </cell>
          <cell r="I183">
            <v>122</v>
          </cell>
          <cell r="J183">
            <v>15</v>
          </cell>
          <cell r="K183">
            <v>10</v>
          </cell>
        </row>
        <row r="184">
          <cell r="A184" t="str">
            <v>UPRLTF33WR-44-BLACK</v>
          </cell>
          <cell r="B184">
            <v>9</v>
          </cell>
          <cell r="C184">
            <v>73</v>
          </cell>
          <cell r="D184">
            <v>50</v>
          </cell>
          <cell r="E184">
            <v>0.6</v>
          </cell>
          <cell r="F184">
            <v>183</v>
          </cell>
          <cell r="G184" t="str">
            <v>golf</v>
          </cell>
          <cell r="H184" t="str">
            <v>122*15*10</v>
          </cell>
          <cell r="I184">
            <v>122</v>
          </cell>
          <cell r="J184">
            <v>15</v>
          </cell>
          <cell r="K184">
            <v>10</v>
          </cell>
        </row>
        <row r="185">
          <cell r="A185" t="str">
            <v>UPRLTF33WS-44-BLACK</v>
          </cell>
          <cell r="B185">
            <v>9</v>
          </cell>
          <cell r="C185">
            <v>75</v>
          </cell>
          <cell r="D185">
            <v>50</v>
          </cell>
          <cell r="E185">
            <v>0.6</v>
          </cell>
          <cell r="F185">
            <v>184</v>
          </cell>
          <cell r="G185" t="str">
            <v>golf</v>
          </cell>
          <cell r="H185" t="str">
            <v>122*15*10</v>
          </cell>
          <cell r="I185">
            <v>122</v>
          </cell>
          <cell r="J185">
            <v>15</v>
          </cell>
          <cell r="K185">
            <v>10</v>
          </cell>
        </row>
        <row r="186">
          <cell r="A186" t="str">
            <v>UPRLTF33WX-44-BLACK</v>
          </cell>
          <cell r="B186">
            <v>9</v>
          </cell>
          <cell r="C186">
            <v>77</v>
          </cell>
          <cell r="D186">
            <v>50</v>
          </cell>
          <cell r="E186">
            <v>0.6</v>
          </cell>
          <cell r="F186">
            <v>185</v>
          </cell>
          <cell r="G186" t="str">
            <v>golf</v>
          </cell>
          <cell r="H186" t="str">
            <v>122*15*10</v>
          </cell>
          <cell r="I186">
            <v>122</v>
          </cell>
          <cell r="J186">
            <v>15</v>
          </cell>
          <cell r="K186">
            <v>10</v>
          </cell>
        </row>
        <row r="187">
          <cell r="A187" t="str">
            <v>UPRLTF35WR-44-BLACK</v>
          </cell>
          <cell r="B187">
            <v>9</v>
          </cell>
          <cell r="C187">
            <v>73</v>
          </cell>
          <cell r="D187">
            <v>50</v>
          </cell>
          <cell r="E187">
            <v>0.6</v>
          </cell>
          <cell r="F187">
            <v>186</v>
          </cell>
          <cell r="G187" t="str">
            <v>golf</v>
          </cell>
          <cell r="H187" t="str">
            <v>122*15*10</v>
          </cell>
          <cell r="I187">
            <v>122</v>
          </cell>
          <cell r="J187">
            <v>15</v>
          </cell>
          <cell r="K187">
            <v>10</v>
          </cell>
        </row>
        <row r="188">
          <cell r="A188" t="str">
            <v>UPRLTF35WS-44-BLACK</v>
          </cell>
          <cell r="B188">
            <v>9</v>
          </cell>
          <cell r="C188">
            <v>75</v>
          </cell>
          <cell r="D188">
            <v>50</v>
          </cell>
          <cell r="E188">
            <v>0.6</v>
          </cell>
          <cell r="F188">
            <v>187</v>
          </cell>
          <cell r="G188" t="str">
            <v>golf</v>
          </cell>
          <cell r="H188" t="str">
            <v>122*15*10</v>
          </cell>
          <cell r="I188">
            <v>122</v>
          </cell>
          <cell r="J188">
            <v>15</v>
          </cell>
          <cell r="K188">
            <v>10</v>
          </cell>
        </row>
        <row r="189">
          <cell r="A189" t="str">
            <v>UPRLTF35WX-44-BLACK</v>
          </cell>
          <cell r="B189">
            <v>9</v>
          </cell>
          <cell r="C189">
            <v>79</v>
          </cell>
          <cell r="D189">
            <v>50</v>
          </cell>
          <cell r="E189">
            <v>0.6</v>
          </cell>
          <cell r="F189">
            <v>188</v>
          </cell>
          <cell r="G189" t="str">
            <v>golf</v>
          </cell>
          <cell r="H189" t="str">
            <v>122*15*10</v>
          </cell>
          <cell r="I189">
            <v>122</v>
          </cell>
          <cell r="J189">
            <v>15</v>
          </cell>
          <cell r="K189">
            <v>10</v>
          </cell>
        </row>
        <row r="190">
          <cell r="A190" t="str">
            <v>UPRLTIR-41</v>
          </cell>
          <cell r="B190">
            <v>9</v>
          </cell>
          <cell r="C190">
            <v>80</v>
          </cell>
          <cell r="D190">
            <v>50</v>
          </cell>
          <cell r="E190">
            <v>0.6</v>
          </cell>
          <cell r="F190">
            <v>189</v>
          </cell>
          <cell r="G190" t="str">
            <v>golf</v>
          </cell>
          <cell r="H190" t="str">
            <v>122*15*10</v>
          </cell>
          <cell r="I190">
            <v>122</v>
          </cell>
          <cell r="J190">
            <v>15</v>
          </cell>
          <cell r="K190">
            <v>10</v>
          </cell>
        </row>
        <row r="191">
          <cell r="A191" t="str">
            <v>UPRLTIS-41</v>
          </cell>
          <cell r="B191">
            <v>9</v>
          </cell>
          <cell r="C191">
            <v>80</v>
          </cell>
          <cell r="D191">
            <v>50</v>
          </cell>
          <cell r="E191">
            <v>0.6</v>
          </cell>
          <cell r="F191">
            <v>190</v>
          </cell>
          <cell r="G191" t="str">
            <v>golf</v>
          </cell>
          <cell r="H191" t="str">
            <v>122*15*10</v>
          </cell>
          <cell r="I191">
            <v>122</v>
          </cell>
          <cell r="J191">
            <v>15</v>
          </cell>
          <cell r="K191">
            <v>10</v>
          </cell>
        </row>
        <row r="192">
          <cell r="A192" t="str">
            <v>UQPWC-48</v>
          </cell>
          <cell r="B192">
            <v>9</v>
          </cell>
          <cell r="C192">
            <v>77</v>
          </cell>
          <cell r="D192">
            <v>50</v>
          </cell>
          <cell r="E192">
            <v>0.64</v>
          </cell>
          <cell r="F192">
            <v>191</v>
          </cell>
          <cell r="G192" t="str">
            <v>golf</v>
          </cell>
          <cell r="H192" t="str">
            <v>130*15*10</v>
          </cell>
          <cell r="I192">
            <v>130</v>
          </cell>
          <cell r="J192">
            <v>15</v>
          </cell>
          <cell r="K192">
            <v>10</v>
          </cell>
        </row>
        <row r="193">
          <cell r="A193" t="str">
            <v>UWFS440WR-45</v>
          </cell>
          <cell r="B193">
            <v>9</v>
          </cell>
          <cell r="C193">
            <v>71</v>
          </cell>
          <cell r="D193">
            <v>50</v>
          </cell>
          <cell r="E193">
            <v>0.6</v>
          </cell>
          <cell r="F193">
            <v>192</v>
          </cell>
          <cell r="G193" t="str">
            <v>golf</v>
          </cell>
          <cell r="H193" t="str">
            <v>122*15*10</v>
          </cell>
          <cell r="I193">
            <v>122</v>
          </cell>
          <cell r="J193">
            <v>15</v>
          </cell>
          <cell r="K193">
            <v>10</v>
          </cell>
        </row>
        <row r="194">
          <cell r="A194" t="str">
            <v>UWFS480WR-47</v>
          </cell>
          <cell r="B194">
            <v>9</v>
          </cell>
          <cell r="C194">
            <v>69</v>
          </cell>
          <cell r="D194">
            <v>50</v>
          </cell>
          <cell r="E194">
            <v>0.6</v>
          </cell>
          <cell r="F194">
            <v>193</v>
          </cell>
          <cell r="G194" t="str">
            <v>golf</v>
          </cell>
          <cell r="H194" t="str">
            <v>122*15*10</v>
          </cell>
          <cell r="I194">
            <v>122</v>
          </cell>
          <cell r="J194">
            <v>15</v>
          </cell>
          <cell r="K194">
            <v>10</v>
          </cell>
        </row>
        <row r="195">
          <cell r="A195" t="str">
            <v>UWSHG815WR-47</v>
          </cell>
          <cell r="B195">
            <v>9</v>
          </cell>
          <cell r="C195">
            <v>69</v>
          </cell>
          <cell r="D195">
            <v>50</v>
          </cell>
          <cell r="E195">
            <v>0.6</v>
          </cell>
          <cell r="F195">
            <v>194</v>
          </cell>
          <cell r="G195" t="str">
            <v>golf</v>
          </cell>
          <cell r="H195" t="str">
            <v>122*15*10</v>
          </cell>
          <cell r="I195">
            <v>122</v>
          </cell>
          <cell r="J195">
            <v>15</v>
          </cell>
          <cell r="K195">
            <v>10</v>
          </cell>
        </row>
        <row r="196">
          <cell r="A196" t="str">
            <v>UWSHG816WR-45</v>
          </cell>
          <cell r="B196">
            <v>9</v>
          </cell>
          <cell r="C196">
            <v>71</v>
          </cell>
          <cell r="D196">
            <v>50</v>
          </cell>
          <cell r="E196">
            <v>0.6</v>
          </cell>
          <cell r="F196">
            <v>195</v>
          </cell>
          <cell r="G196" t="str">
            <v>golf</v>
          </cell>
          <cell r="H196" t="str">
            <v>122*15*10</v>
          </cell>
          <cell r="I196">
            <v>122</v>
          </cell>
          <cell r="J196">
            <v>15</v>
          </cell>
          <cell r="K196">
            <v>10</v>
          </cell>
        </row>
        <row r="197">
          <cell r="A197" t="str">
            <v>UWST35DWA-46</v>
          </cell>
          <cell r="B197">
            <v>9</v>
          </cell>
          <cell r="C197">
            <v>69</v>
          </cell>
          <cell r="D197">
            <v>50</v>
          </cell>
          <cell r="E197">
            <v>0.6</v>
          </cell>
          <cell r="F197">
            <v>196</v>
          </cell>
          <cell r="G197" t="str">
            <v>golf</v>
          </cell>
          <cell r="H197" t="str">
            <v>122*15*10</v>
          </cell>
          <cell r="I197">
            <v>122</v>
          </cell>
          <cell r="J197">
            <v>15</v>
          </cell>
          <cell r="K197">
            <v>10</v>
          </cell>
        </row>
        <row r="198">
          <cell r="A198" t="str">
            <v>UWST35DWR-46</v>
          </cell>
          <cell r="B198">
            <v>9</v>
          </cell>
          <cell r="C198">
            <v>71</v>
          </cell>
          <cell r="D198">
            <v>50</v>
          </cell>
          <cell r="E198">
            <v>0.6</v>
          </cell>
          <cell r="F198">
            <v>197</v>
          </cell>
          <cell r="G198" t="str">
            <v>golf</v>
          </cell>
          <cell r="H198" t="str">
            <v>122*15*10</v>
          </cell>
          <cell r="I198">
            <v>122</v>
          </cell>
          <cell r="J198">
            <v>15</v>
          </cell>
          <cell r="K198">
            <v>10</v>
          </cell>
        </row>
        <row r="199">
          <cell r="A199" t="str">
            <v>UWST35DWS-46</v>
          </cell>
          <cell r="B199">
            <v>9</v>
          </cell>
          <cell r="C199">
            <v>74</v>
          </cell>
          <cell r="D199">
            <v>50</v>
          </cell>
          <cell r="E199">
            <v>0.6</v>
          </cell>
          <cell r="F199">
            <v>198</v>
          </cell>
          <cell r="G199" t="str">
            <v>golf</v>
          </cell>
          <cell r="H199" t="str">
            <v>122*15*10</v>
          </cell>
          <cell r="I199">
            <v>122</v>
          </cell>
          <cell r="J199">
            <v>15</v>
          </cell>
          <cell r="K199">
            <v>10</v>
          </cell>
        </row>
        <row r="200">
          <cell r="A200" t="str">
            <v>UWST35DWX-46</v>
          </cell>
          <cell r="B200">
            <v>9</v>
          </cell>
          <cell r="C200">
            <v>77</v>
          </cell>
          <cell r="D200">
            <v>50</v>
          </cell>
          <cell r="E200">
            <v>0.6</v>
          </cell>
          <cell r="F200">
            <v>199</v>
          </cell>
          <cell r="G200" t="str">
            <v>golf</v>
          </cell>
          <cell r="H200" t="str">
            <v>122*15*10</v>
          </cell>
          <cell r="I200">
            <v>122</v>
          </cell>
          <cell r="J200">
            <v>15</v>
          </cell>
          <cell r="K200">
            <v>10</v>
          </cell>
        </row>
        <row r="201">
          <cell r="A201" t="str">
            <v>UWST35FWA-44</v>
          </cell>
          <cell r="B201">
            <v>9</v>
          </cell>
          <cell r="C201">
            <v>76</v>
          </cell>
          <cell r="D201">
            <v>50</v>
          </cell>
          <cell r="E201">
            <v>0.6</v>
          </cell>
          <cell r="F201">
            <v>200</v>
          </cell>
          <cell r="G201" t="str">
            <v>golf</v>
          </cell>
          <cell r="H201" t="str">
            <v>122*15*10</v>
          </cell>
          <cell r="I201">
            <v>122</v>
          </cell>
          <cell r="J201">
            <v>15</v>
          </cell>
          <cell r="K201">
            <v>10</v>
          </cell>
        </row>
        <row r="202">
          <cell r="A202" t="str">
            <v>UWST35FWR-44</v>
          </cell>
          <cell r="B202">
            <v>9</v>
          </cell>
          <cell r="C202">
            <v>77</v>
          </cell>
          <cell r="D202">
            <v>50</v>
          </cell>
          <cell r="E202">
            <v>0.6</v>
          </cell>
          <cell r="F202">
            <v>201</v>
          </cell>
          <cell r="G202" t="str">
            <v>golf</v>
          </cell>
          <cell r="H202" t="str">
            <v>122*15*10</v>
          </cell>
          <cell r="I202">
            <v>122</v>
          </cell>
          <cell r="J202">
            <v>15</v>
          </cell>
          <cell r="K202">
            <v>10</v>
          </cell>
        </row>
        <row r="203">
          <cell r="A203" t="str">
            <v>UWST35FWS-44</v>
          </cell>
          <cell r="B203">
            <v>9</v>
          </cell>
          <cell r="C203">
            <v>79</v>
          </cell>
          <cell r="D203">
            <v>50</v>
          </cell>
          <cell r="E203">
            <v>0.6</v>
          </cell>
          <cell r="F203">
            <v>202</v>
          </cell>
          <cell r="G203" t="str">
            <v>golf</v>
          </cell>
          <cell r="H203" t="str">
            <v>122*15*10</v>
          </cell>
          <cell r="I203">
            <v>122</v>
          </cell>
          <cell r="J203">
            <v>15</v>
          </cell>
          <cell r="K203">
            <v>10</v>
          </cell>
        </row>
        <row r="204">
          <cell r="A204" t="str">
            <v>UWST35FWX-44</v>
          </cell>
          <cell r="B204">
            <v>9</v>
          </cell>
          <cell r="C204">
            <v>78</v>
          </cell>
          <cell r="D204">
            <v>50</v>
          </cell>
          <cell r="E204">
            <v>0.6</v>
          </cell>
          <cell r="F204">
            <v>203</v>
          </cell>
          <cell r="G204" t="str">
            <v>golf</v>
          </cell>
          <cell r="H204" t="str">
            <v>122*15*10</v>
          </cell>
          <cell r="I204">
            <v>122</v>
          </cell>
          <cell r="J204">
            <v>15</v>
          </cell>
          <cell r="K204">
            <v>10</v>
          </cell>
        </row>
        <row r="205">
          <cell r="A205" t="str">
            <v>UWST43DWA-47</v>
          </cell>
          <cell r="B205">
            <v>9</v>
          </cell>
          <cell r="C205">
            <v>65</v>
          </cell>
          <cell r="D205">
            <v>50</v>
          </cell>
          <cell r="E205">
            <v>0.6</v>
          </cell>
          <cell r="F205">
            <v>204</v>
          </cell>
          <cell r="G205" t="str">
            <v>golf</v>
          </cell>
          <cell r="H205" t="str">
            <v>122*15*10</v>
          </cell>
          <cell r="I205">
            <v>122</v>
          </cell>
          <cell r="J205">
            <v>15</v>
          </cell>
          <cell r="K205">
            <v>10</v>
          </cell>
        </row>
        <row r="206">
          <cell r="A206" t="str">
            <v>UWST43DWR-47</v>
          </cell>
          <cell r="B206">
            <v>9</v>
          </cell>
          <cell r="C206">
            <v>69</v>
          </cell>
          <cell r="D206">
            <v>50</v>
          </cell>
          <cell r="E206">
            <v>0.6</v>
          </cell>
          <cell r="F206">
            <v>205</v>
          </cell>
          <cell r="G206" t="str">
            <v>golf</v>
          </cell>
          <cell r="H206" t="str">
            <v>122*15*10</v>
          </cell>
          <cell r="I206">
            <v>122</v>
          </cell>
          <cell r="J206">
            <v>15</v>
          </cell>
          <cell r="K206">
            <v>10</v>
          </cell>
        </row>
        <row r="207">
          <cell r="A207" t="str">
            <v>UWST43DWS-47</v>
          </cell>
          <cell r="B207">
            <v>9</v>
          </cell>
          <cell r="C207">
            <v>71</v>
          </cell>
          <cell r="D207">
            <v>50</v>
          </cell>
          <cell r="E207">
            <v>0.6</v>
          </cell>
          <cell r="F207">
            <v>206</v>
          </cell>
          <cell r="G207" t="str">
            <v>golf</v>
          </cell>
          <cell r="H207" t="str">
            <v>122*15*10</v>
          </cell>
          <cell r="I207">
            <v>122</v>
          </cell>
          <cell r="J207">
            <v>15</v>
          </cell>
          <cell r="K207">
            <v>10</v>
          </cell>
        </row>
        <row r="208">
          <cell r="A208" t="str">
            <v>UWST43DWX-47</v>
          </cell>
          <cell r="B208">
            <v>9</v>
          </cell>
          <cell r="C208">
            <v>73</v>
          </cell>
          <cell r="D208">
            <v>50</v>
          </cell>
          <cell r="E208">
            <v>0.6</v>
          </cell>
          <cell r="F208">
            <v>207</v>
          </cell>
          <cell r="G208" t="str">
            <v>golf</v>
          </cell>
          <cell r="H208" t="str">
            <v>122*15*10</v>
          </cell>
          <cell r="I208">
            <v>122</v>
          </cell>
          <cell r="J208">
            <v>15</v>
          </cell>
          <cell r="K208">
            <v>10</v>
          </cell>
        </row>
        <row r="209">
          <cell r="A209" t="str">
            <v>WWEFIR2-42</v>
          </cell>
          <cell r="B209">
            <v>9</v>
          </cell>
          <cell r="C209">
            <v>84</v>
          </cell>
          <cell r="D209">
            <v>50</v>
          </cell>
          <cell r="E209">
            <v>0.6</v>
          </cell>
          <cell r="F209">
            <v>208</v>
          </cell>
          <cell r="G209" t="str">
            <v>golf</v>
          </cell>
          <cell r="H209" t="str">
            <v>122*15*10</v>
          </cell>
          <cell r="I209">
            <v>122</v>
          </cell>
          <cell r="J209">
            <v>15</v>
          </cell>
          <cell r="K209">
            <v>10</v>
          </cell>
        </row>
        <row r="210">
          <cell r="A210" t="str">
            <v>WWEFWL2-47</v>
          </cell>
          <cell r="B210">
            <v>9</v>
          </cell>
          <cell r="C210">
            <v>79</v>
          </cell>
          <cell r="D210">
            <v>50</v>
          </cell>
          <cell r="E210">
            <v>0.6</v>
          </cell>
          <cell r="F210">
            <v>209</v>
          </cell>
          <cell r="G210" t="str">
            <v>golf</v>
          </cell>
          <cell r="H210" t="str">
            <v>122*15*10</v>
          </cell>
          <cell r="I210">
            <v>122</v>
          </cell>
          <cell r="J210">
            <v>15</v>
          </cell>
          <cell r="K210">
            <v>10</v>
          </cell>
        </row>
        <row r="211">
          <cell r="A211" t="str">
            <v>WWPLWA-46</v>
          </cell>
          <cell r="B211">
            <v>9</v>
          </cell>
          <cell r="C211">
            <v>63</v>
          </cell>
          <cell r="D211">
            <v>50</v>
          </cell>
          <cell r="E211">
            <v>0.6</v>
          </cell>
          <cell r="F211">
            <v>210</v>
          </cell>
          <cell r="G211" t="str">
            <v>golf</v>
          </cell>
          <cell r="H211" t="str">
            <v>122*15*10</v>
          </cell>
          <cell r="I211">
            <v>122</v>
          </cell>
          <cell r="J211">
            <v>15</v>
          </cell>
          <cell r="K211">
            <v>10</v>
          </cell>
        </row>
        <row r="212">
          <cell r="A212" t="str">
            <v>WWPLWR-46</v>
          </cell>
          <cell r="B212">
            <v>9</v>
          </cell>
          <cell r="C212">
            <v>67</v>
          </cell>
          <cell r="D212">
            <v>50</v>
          </cell>
          <cell r="E212">
            <v>0.6</v>
          </cell>
          <cell r="F212">
            <v>211</v>
          </cell>
          <cell r="G212" t="str">
            <v>golf</v>
          </cell>
          <cell r="H212" t="str">
            <v>122*15*10</v>
          </cell>
          <cell r="I212">
            <v>122</v>
          </cell>
          <cell r="J212">
            <v>15</v>
          </cell>
          <cell r="K212">
            <v>10</v>
          </cell>
        </row>
        <row r="213">
          <cell r="A213" t="str">
            <v>WWPLWS-46</v>
          </cell>
          <cell r="B213">
            <v>9</v>
          </cell>
          <cell r="C213">
            <v>70</v>
          </cell>
          <cell r="D213">
            <v>50</v>
          </cell>
          <cell r="E213">
            <v>0.6</v>
          </cell>
          <cell r="F213">
            <v>212</v>
          </cell>
          <cell r="G213" t="str">
            <v>golf</v>
          </cell>
          <cell r="H213" t="str">
            <v>122*15*10</v>
          </cell>
          <cell r="I213">
            <v>122</v>
          </cell>
          <cell r="J213">
            <v>15</v>
          </cell>
          <cell r="K213">
            <v>10</v>
          </cell>
        </row>
        <row r="214">
          <cell r="A214" t="str">
            <v>WWTPWIA-42</v>
          </cell>
          <cell r="B214">
            <v>9</v>
          </cell>
          <cell r="C214">
            <v>65</v>
          </cell>
          <cell r="D214">
            <v>50</v>
          </cell>
          <cell r="E214">
            <v>0.6</v>
          </cell>
          <cell r="F214">
            <v>213</v>
          </cell>
          <cell r="G214" t="str">
            <v>golf</v>
          </cell>
          <cell r="H214" t="str">
            <v>122*15*10</v>
          </cell>
          <cell r="I214">
            <v>122</v>
          </cell>
          <cell r="J214">
            <v>15</v>
          </cell>
          <cell r="K214">
            <v>10</v>
          </cell>
        </row>
        <row r="215">
          <cell r="A215" t="str">
            <v>WWTPWIL-42</v>
          </cell>
          <cell r="B215">
            <v>9</v>
          </cell>
          <cell r="C215">
            <v>65</v>
          </cell>
          <cell r="D215">
            <v>50</v>
          </cell>
          <cell r="E215">
            <v>0.6</v>
          </cell>
          <cell r="F215">
            <v>214</v>
          </cell>
          <cell r="G215" t="str">
            <v>golf</v>
          </cell>
          <cell r="H215" t="str">
            <v>122*15*10</v>
          </cell>
          <cell r="I215">
            <v>122</v>
          </cell>
          <cell r="J215">
            <v>15</v>
          </cell>
          <cell r="K215">
            <v>10</v>
          </cell>
        </row>
        <row r="216">
          <cell r="A216" t="str">
            <v>WWTPWIR-42</v>
          </cell>
          <cell r="B216">
            <v>9</v>
          </cell>
          <cell r="C216">
            <v>66</v>
          </cell>
          <cell r="D216">
            <v>50</v>
          </cell>
          <cell r="E216">
            <v>0.6</v>
          </cell>
          <cell r="F216">
            <v>215</v>
          </cell>
          <cell r="G216" t="str">
            <v>golf</v>
          </cell>
          <cell r="H216" t="str">
            <v>122*15*10</v>
          </cell>
          <cell r="I216">
            <v>122</v>
          </cell>
          <cell r="J216">
            <v>15</v>
          </cell>
          <cell r="K216">
            <v>10</v>
          </cell>
        </row>
        <row r="217">
          <cell r="A217" t="str">
            <v>WWTPWIS-42</v>
          </cell>
          <cell r="B217">
            <v>9</v>
          </cell>
          <cell r="C217">
            <v>69</v>
          </cell>
          <cell r="D217">
            <v>50</v>
          </cell>
          <cell r="E217">
            <v>0.6</v>
          </cell>
          <cell r="F217">
            <v>216</v>
          </cell>
          <cell r="G217" t="str">
            <v>golf</v>
          </cell>
          <cell r="H217" t="str">
            <v>122*15*10</v>
          </cell>
          <cell r="I217">
            <v>122</v>
          </cell>
          <cell r="J217">
            <v>15</v>
          </cell>
          <cell r="K217">
            <v>10</v>
          </cell>
        </row>
        <row r="218">
          <cell r="A218" t="str">
            <v>WWTPWIW-42</v>
          </cell>
          <cell r="B218">
            <v>9</v>
          </cell>
          <cell r="C218">
            <v>69</v>
          </cell>
          <cell r="D218">
            <v>50</v>
          </cell>
          <cell r="E218">
            <v>0.6</v>
          </cell>
          <cell r="F218">
            <v>217</v>
          </cell>
          <cell r="G218" t="str">
            <v>golf</v>
          </cell>
          <cell r="H218" t="str">
            <v>122*15*10</v>
          </cell>
          <cell r="I218">
            <v>122</v>
          </cell>
          <cell r="J218">
            <v>15</v>
          </cell>
          <cell r="K218">
            <v>10</v>
          </cell>
        </row>
        <row r="219">
          <cell r="A219" t="str">
            <v>WWTPWWA-47</v>
          </cell>
          <cell r="B219">
            <v>9</v>
          </cell>
          <cell r="C219">
            <v>79</v>
          </cell>
          <cell r="D219">
            <v>50</v>
          </cell>
          <cell r="E219">
            <v>0.6</v>
          </cell>
          <cell r="F219">
            <v>218</v>
          </cell>
          <cell r="G219" t="str">
            <v>golf</v>
          </cell>
          <cell r="H219" t="str">
            <v>122*15*10</v>
          </cell>
          <cell r="I219">
            <v>122</v>
          </cell>
          <cell r="J219">
            <v>15</v>
          </cell>
          <cell r="K219">
            <v>10</v>
          </cell>
        </row>
        <row r="220">
          <cell r="A220" t="str">
            <v>WWTPWWL-47</v>
          </cell>
          <cell r="B220">
            <v>9</v>
          </cell>
          <cell r="C220">
            <v>79</v>
          </cell>
          <cell r="D220">
            <v>50</v>
          </cell>
          <cell r="E220">
            <v>0.6</v>
          </cell>
          <cell r="F220">
            <v>219</v>
          </cell>
          <cell r="G220" t="str">
            <v>golf</v>
          </cell>
          <cell r="H220" t="str">
            <v>122*15*10</v>
          </cell>
          <cell r="I220">
            <v>122</v>
          </cell>
          <cell r="J220">
            <v>15</v>
          </cell>
          <cell r="K220">
            <v>10</v>
          </cell>
        </row>
        <row r="221">
          <cell r="A221" t="str">
            <v>WWTPWWR-47</v>
          </cell>
          <cell r="B221">
            <v>9</v>
          </cell>
          <cell r="C221">
            <v>79</v>
          </cell>
          <cell r="D221">
            <v>50</v>
          </cell>
          <cell r="E221">
            <v>0.6</v>
          </cell>
          <cell r="F221">
            <v>220</v>
          </cell>
          <cell r="G221" t="str">
            <v>golf</v>
          </cell>
          <cell r="H221" t="str">
            <v>122*15*10</v>
          </cell>
          <cell r="I221">
            <v>122</v>
          </cell>
          <cell r="J221">
            <v>15</v>
          </cell>
          <cell r="K221">
            <v>10</v>
          </cell>
        </row>
        <row r="222">
          <cell r="A222" t="str">
            <v>WWTPWWS-47</v>
          </cell>
          <cell r="B222">
            <v>9</v>
          </cell>
          <cell r="C222">
            <v>84</v>
          </cell>
          <cell r="D222">
            <v>50</v>
          </cell>
          <cell r="E222">
            <v>0.6</v>
          </cell>
          <cell r="F222">
            <v>221</v>
          </cell>
          <cell r="G222" t="str">
            <v>golf</v>
          </cell>
          <cell r="H222" t="str">
            <v>122*15*10</v>
          </cell>
          <cell r="I222">
            <v>122</v>
          </cell>
          <cell r="J222">
            <v>15</v>
          </cell>
          <cell r="K222">
            <v>10</v>
          </cell>
        </row>
        <row r="223">
          <cell r="A223" t="str">
            <v>AUCRULRLSWM-46</v>
          </cell>
          <cell r="B223">
            <v>9</v>
          </cell>
          <cell r="C223">
            <v>70</v>
          </cell>
          <cell r="D223">
            <v>50</v>
          </cell>
          <cell r="E223">
            <v>0.6</v>
          </cell>
          <cell r="F223">
            <v>222</v>
          </cell>
          <cell r="G223" t="str">
            <v>golf</v>
          </cell>
          <cell r="H223" t="str">
            <v>122*15*10</v>
          </cell>
          <cell r="I223">
            <v>122</v>
          </cell>
          <cell r="J223">
            <v>15</v>
          </cell>
          <cell r="K223">
            <v>10</v>
          </cell>
        </row>
        <row r="224">
          <cell r="A224" t="str">
            <v>SHR-TEN-RF</v>
          </cell>
          <cell r="B224">
            <v>9</v>
          </cell>
          <cell r="C224">
            <v>80</v>
          </cell>
          <cell r="D224">
            <v>60</v>
          </cell>
          <cell r="E224">
            <v>0.2</v>
          </cell>
          <cell r="F224">
            <v>223</v>
          </cell>
          <cell r="G224" t="str">
            <v>tennon</v>
          </cell>
          <cell r="H224" t="str">
            <v>45*26*8</v>
          </cell>
          <cell r="I224">
            <v>45</v>
          </cell>
          <cell r="J224">
            <v>26</v>
          </cell>
          <cell r="K224">
            <v>8</v>
          </cell>
        </row>
        <row r="225">
          <cell r="A225" t="str">
            <v>UBLUH633WR-46</v>
          </cell>
          <cell r="B225">
            <v>9</v>
          </cell>
          <cell r="C225">
            <v>65</v>
          </cell>
          <cell r="D225">
            <v>50</v>
          </cell>
          <cell r="E225">
            <v>0.6</v>
          </cell>
          <cell r="F225">
            <v>224</v>
          </cell>
          <cell r="G225" t="str">
            <v>golf</v>
          </cell>
          <cell r="H225" t="str">
            <v>122*15*10</v>
          </cell>
          <cell r="I225">
            <v>122</v>
          </cell>
          <cell r="J225">
            <v>15</v>
          </cell>
          <cell r="K225">
            <v>10</v>
          </cell>
        </row>
        <row r="226">
          <cell r="A226" t="str">
            <v>UBLUH633WS-46</v>
          </cell>
          <cell r="B226">
            <v>9</v>
          </cell>
          <cell r="C226">
            <v>66</v>
          </cell>
          <cell r="D226">
            <v>50</v>
          </cell>
          <cell r="E226">
            <v>0.6</v>
          </cell>
          <cell r="F226">
            <v>225</v>
          </cell>
          <cell r="G226" t="str">
            <v>golf</v>
          </cell>
          <cell r="H226" t="str">
            <v>122*15*10</v>
          </cell>
          <cell r="I226">
            <v>122</v>
          </cell>
          <cell r="J226">
            <v>15</v>
          </cell>
          <cell r="K226">
            <v>10</v>
          </cell>
        </row>
        <row r="227">
          <cell r="A227" t="str">
            <v>UBLUPNT633WR-46</v>
          </cell>
          <cell r="B227">
            <v>9</v>
          </cell>
          <cell r="C227">
            <v>62</v>
          </cell>
          <cell r="D227">
            <v>50</v>
          </cell>
          <cell r="E227">
            <v>0.6</v>
          </cell>
          <cell r="F227">
            <v>226</v>
          </cell>
          <cell r="G227" t="str">
            <v>golf</v>
          </cell>
          <cell r="H227" t="str">
            <v>122*15*10</v>
          </cell>
          <cell r="I227">
            <v>122</v>
          </cell>
          <cell r="J227">
            <v>15</v>
          </cell>
          <cell r="K227">
            <v>10</v>
          </cell>
        </row>
        <row r="228">
          <cell r="A228" t="str">
            <v>UBLUPNT633WS-46</v>
          </cell>
          <cell r="B228">
            <v>9</v>
          </cell>
          <cell r="C228">
            <v>66</v>
          </cell>
          <cell r="D228">
            <v>50</v>
          </cell>
          <cell r="E228">
            <v>0.6</v>
          </cell>
          <cell r="F228">
            <v>227</v>
          </cell>
          <cell r="G228" t="str">
            <v>golf</v>
          </cell>
          <cell r="H228" t="str">
            <v>122*15*10</v>
          </cell>
          <cell r="I228">
            <v>122</v>
          </cell>
          <cell r="J228">
            <v>15</v>
          </cell>
          <cell r="K228">
            <v>10</v>
          </cell>
        </row>
        <row r="229">
          <cell r="A229" t="str">
            <v>UBLUPNT633WX-46</v>
          </cell>
          <cell r="B229">
            <v>9</v>
          </cell>
          <cell r="C229">
            <v>68</v>
          </cell>
          <cell r="D229">
            <v>50</v>
          </cell>
          <cell r="E229">
            <v>0.6</v>
          </cell>
          <cell r="F229">
            <v>228</v>
          </cell>
          <cell r="G229" t="str">
            <v>golf</v>
          </cell>
          <cell r="H229" t="str">
            <v>122*15*10</v>
          </cell>
          <cell r="I229">
            <v>122</v>
          </cell>
          <cell r="J229">
            <v>15</v>
          </cell>
          <cell r="K229">
            <v>10</v>
          </cell>
        </row>
        <row r="230">
          <cell r="A230" t="str">
            <v>UBLUPNT833WR-46</v>
          </cell>
          <cell r="B230">
            <v>9</v>
          </cell>
          <cell r="C230">
            <v>87</v>
          </cell>
          <cell r="D230">
            <v>50</v>
          </cell>
          <cell r="E230">
            <v>0.6</v>
          </cell>
          <cell r="F230">
            <v>229</v>
          </cell>
          <cell r="G230" t="str">
            <v>golf</v>
          </cell>
          <cell r="H230" t="str">
            <v>122*15*10</v>
          </cell>
          <cell r="I230">
            <v>122</v>
          </cell>
          <cell r="J230">
            <v>15</v>
          </cell>
          <cell r="K230">
            <v>10</v>
          </cell>
        </row>
        <row r="231">
          <cell r="A231" t="str">
            <v>UBLUPNT833WS-46</v>
          </cell>
          <cell r="B231">
            <v>9</v>
          </cell>
          <cell r="C231">
            <v>89</v>
          </cell>
          <cell r="D231">
            <v>50</v>
          </cell>
          <cell r="E231">
            <v>0.6</v>
          </cell>
          <cell r="F231">
            <v>230</v>
          </cell>
          <cell r="G231" t="str">
            <v>golf</v>
          </cell>
          <cell r="H231" t="str">
            <v>122*15*10</v>
          </cell>
          <cell r="I231">
            <v>122</v>
          </cell>
          <cell r="J231">
            <v>15</v>
          </cell>
          <cell r="K231">
            <v>10</v>
          </cell>
        </row>
        <row r="232">
          <cell r="A232" t="str">
            <v>UBLUPNT833WX-46</v>
          </cell>
          <cell r="B232">
            <v>9</v>
          </cell>
          <cell r="C232">
            <v>88</v>
          </cell>
          <cell r="D232">
            <v>50</v>
          </cell>
          <cell r="E232">
            <v>0.6</v>
          </cell>
          <cell r="F232">
            <v>231</v>
          </cell>
          <cell r="G232" t="str">
            <v>golf</v>
          </cell>
          <cell r="H232" t="str">
            <v>122*15*10</v>
          </cell>
          <cell r="I232">
            <v>122</v>
          </cell>
          <cell r="J232">
            <v>15</v>
          </cell>
          <cell r="K232">
            <v>10</v>
          </cell>
        </row>
        <row r="233">
          <cell r="A233" t="str">
            <v>UBROP7033WL-45</v>
          </cell>
          <cell r="B233">
            <v>9</v>
          </cell>
          <cell r="C233">
            <v>64</v>
          </cell>
          <cell r="D233">
            <v>50</v>
          </cell>
          <cell r="E233">
            <v>0.6</v>
          </cell>
          <cell r="F233">
            <v>232</v>
          </cell>
          <cell r="G233" t="str">
            <v>golf</v>
          </cell>
          <cell r="H233" t="str">
            <v>122*15*10</v>
          </cell>
          <cell r="I233">
            <v>122</v>
          </cell>
          <cell r="J233">
            <v>15</v>
          </cell>
          <cell r="K233">
            <v>10</v>
          </cell>
        </row>
        <row r="234">
          <cell r="A234" t="str">
            <v>UBROP7033WR-45</v>
          </cell>
          <cell r="B234">
            <v>9</v>
          </cell>
          <cell r="C234">
            <v>69</v>
          </cell>
          <cell r="D234">
            <v>50</v>
          </cell>
          <cell r="E234">
            <v>0.6</v>
          </cell>
          <cell r="F234">
            <v>233</v>
          </cell>
          <cell r="G234" t="str">
            <v>golf</v>
          </cell>
          <cell r="H234" t="str">
            <v>122*15*10</v>
          </cell>
          <cell r="I234">
            <v>122</v>
          </cell>
          <cell r="J234">
            <v>15</v>
          </cell>
          <cell r="K234">
            <v>10</v>
          </cell>
        </row>
        <row r="235">
          <cell r="A235" t="str">
            <v>UBROP7033WS-45</v>
          </cell>
          <cell r="B235">
            <v>9</v>
          </cell>
          <cell r="C235">
            <v>71</v>
          </cell>
          <cell r="D235">
            <v>50</v>
          </cell>
          <cell r="E235">
            <v>0.6</v>
          </cell>
          <cell r="F235">
            <v>234</v>
          </cell>
          <cell r="G235" t="str">
            <v>golf</v>
          </cell>
          <cell r="H235" t="str">
            <v>122*15*10</v>
          </cell>
          <cell r="I235">
            <v>122</v>
          </cell>
          <cell r="J235">
            <v>15</v>
          </cell>
          <cell r="K235">
            <v>10</v>
          </cell>
        </row>
        <row r="236">
          <cell r="A236" t="str">
            <v>UHPO35WR-46</v>
          </cell>
          <cell r="B236">
            <v>9</v>
          </cell>
          <cell r="C236">
            <v>68</v>
          </cell>
          <cell r="D236">
            <v>50</v>
          </cell>
          <cell r="E236">
            <v>0.6</v>
          </cell>
          <cell r="F236">
            <v>235</v>
          </cell>
          <cell r="G236" t="str">
            <v>golf</v>
          </cell>
          <cell r="H236" t="str">
            <v>122*15*10</v>
          </cell>
          <cell r="I236">
            <v>122</v>
          </cell>
          <cell r="J236">
            <v>15</v>
          </cell>
          <cell r="K236">
            <v>10</v>
          </cell>
        </row>
        <row r="237">
          <cell r="A237" t="str">
            <v>UHPO35WS-46</v>
          </cell>
          <cell r="B237">
            <v>9</v>
          </cell>
          <cell r="C237">
            <v>69</v>
          </cell>
          <cell r="D237">
            <v>50</v>
          </cell>
          <cell r="E237">
            <v>0.6</v>
          </cell>
          <cell r="F237">
            <v>236</v>
          </cell>
          <cell r="G237" t="str">
            <v>golf</v>
          </cell>
          <cell r="H237" t="str">
            <v>122*15*10</v>
          </cell>
          <cell r="I237">
            <v>122</v>
          </cell>
          <cell r="J237">
            <v>15</v>
          </cell>
          <cell r="K237">
            <v>10</v>
          </cell>
        </row>
        <row r="238">
          <cell r="A238" t="str">
            <v>ULAUNCHHY35WA-41</v>
          </cell>
          <cell r="B238">
            <v>9</v>
          </cell>
          <cell r="C238">
            <v>81</v>
          </cell>
          <cell r="D238">
            <v>50</v>
          </cell>
          <cell r="E238">
            <v>0.6</v>
          </cell>
          <cell r="F238">
            <v>237</v>
          </cell>
          <cell r="G238" t="str">
            <v>golf</v>
          </cell>
          <cell r="H238" t="str">
            <v>122*15*10</v>
          </cell>
          <cell r="I238">
            <v>122</v>
          </cell>
          <cell r="J238">
            <v>15</v>
          </cell>
          <cell r="K238">
            <v>10</v>
          </cell>
        </row>
        <row r="239">
          <cell r="A239" t="str">
            <v>ULAUNCHHY35WR-41</v>
          </cell>
          <cell r="B239">
            <v>9</v>
          </cell>
          <cell r="C239">
            <v>83</v>
          </cell>
          <cell r="D239">
            <v>50</v>
          </cell>
          <cell r="E239">
            <v>0.6</v>
          </cell>
          <cell r="F239">
            <v>238</v>
          </cell>
          <cell r="G239" t="str">
            <v>golf</v>
          </cell>
          <cell r="H239" t="str">
            <v>122*15*10</v>
          </cell>
          <cell r="I239">
            <v>122</v>
          </cell>
          <cell r="J239">
            <v>15</v>
          </cell>
          <cell r="K239">
            <v>10</v>
          </cell>
        </row>
        <row r="240">
          <cell r="A240" t="str">
            <v>UMK33FWA2-44</v>
          </cell>
          <cell r="B240">
            <v>9</v>
          </cell>
          <cell r="C240">
            <v>79</v>
          </cell>
          <cell r="D240">
            <v>50</v>
          </cell>
          <cell r="E240">
            <v>0.6</v>
          </cell>
          <cell r="F240">
            <v>239</v>
          </cell>
          <cell r="G240" t="str">
            <v>golf</v>
          </cell>
          <cell r="H240" t="str">
            <v>122*15*10</v>
          </cell>
          <cell r="I240">
            <v>122</v>
          </cell>
          <cell r="J240">
            <v>15</v>
          </cell>
          <cell r="K240">
            <v>10</v>
          </cell>
        </row>
        <row r="241">
          <cell r="A241" t="str">
            <v>UMK33FWR2-44</v>
          </cell>
          <cell r="B241">
            <v>9</v>
          </cell>
          <cell r="C241">
            <v>78</v>
          </cell>
          <cell r="D241">
            <v>50</v>
          </cell>
          <cell r="E241">
            <v>0.6</v>
          </cell>
          <cell r="F241">
            <v>240</v>
          </cell>
          <cell r="G241" t="str">
            <v>golf</v>
          </cell>
          <cell r="H241" t="str">
            <v>122*15*10</v>
          </cell>
          <cell r="I241">
            <v>122</v>
          </cell>
          <cell r="J241">
            <v>15</v>
          </cell>
          <cell r="K241">
            <v>10</v>
          </cell>
        </row>
        <row r="242">
          <cell r="A242" t="str">
            <v>UMK33FWS2-44</v>
          </cell>
          <cell r="B242">
            <v>9</v>
          </cell>
          <cell r="C242">
            <v>81</v>
          </cell>
          <cell r="D242">
            <v>50</v>
          </cell>
          <cell r="E242">
            <v>0.6</v>
          </cell>
          <cell r="F242">
            <v>241</v>
          </cell>
          <cell r="G242" t="str">
            <v>golf</v>
          </cell>
          <cell r="H242" t="str">
            <v>122*15*10</v>
          </cell>
          <cell r="I242">
            <v>122</v>
          </cell>
          <cell r="J242">
            <v>15</v>
          </cell>
          <cell r="K242">
            <v>10</v>
          </cell>
        </row>
        <row r="243">
          <cell r="A243" t="str">
            <v>UPGLAUNCH33WA-46</v>
          </cell>
          <cell r="B243">
            <v>9</v>
          </cell>
          <cell r="C243">
            <v>65</v>
          </cell>
          <cell r="D243">
            <v>50</v>
          </cell>
          <cell r="E243">
            <v>0.6</v>
          </cell>
          <cell r="F243">
            <v>242</v>
          </cell>
          <cell r="G243" t="str">
            <v>golf</v>
          </cell>
          <cell r="H243" t="str">
            <v>122*15*10</v>
          </cell>
          <cell r="I243">
            <v>122</v>
          </cell>
          <cell r="J243">
            <v>15</v>
          </cell>
          <cell r="K243">
            <v>10</v>
          </cell>
        </row>
        <row r="244">
          <cell r="A244" t="str">
            <v>UPKWA-46</v>
          </cell>
          <cell r="B244">
            <v>9</v>
          </cell>
          <cell r="C244">
            <v>67</v>
          </cell>
          <cell r="D244">
            <v>50</v>
          </cell>
          <cell r="E244">
            <v>0.6</v>
          </cell>
          <cell r="F244">
            <v>243</v>
          </cell>
          <cell r="G244" t="str">
            <v>golf</v>
          </cell>
          <cell r="H244" t="str">
            <v>122*15*10</v>
          </cell>
          <cell r="I244">
            <v>122</v>
          </cell>
          <cell r="J244">
            <v>15</v>
          </cell>
          <cell r="K244">
            <v>10</v>
          </cell>
        </row>
        <row r="245">
          <cell r="A245" t="str">
            <v>UPKWR-46</v>
          </cell>
          <cell r="B245">
            <v>9</v>
          </cell>
          <cell r="C245">
            <v>70</v>
          </cell>
          <cell r="D245">
            <v>50</v>
          </cell>
          <cell r="E245">
            <v>0.6</v>
          </cell>
          <cell r="F245">
            <v>244</v>
          </cell>
          <cell r="G245" t="str">
            <v>golf</v>
          </cell>
          <cell r="H245" t="str">
            <v>122*15*10</v>
          </cell>
          <cell r="I245">
            <v>122</v>
          </cell>
          <cell r="J245">
            <v>15</v>
          </cell>
          <cell r="K245">
            <v>10</v>
          </cell>
        </row>
        <row r="246">
          <cell r="A246" t="str">
            <v>UPKWS-46</v>
          </cell>
          <cell r="B246">
            <v>9</v>
          </cell>
          <cell r="C246">
            <v>73</v>
          </cell>
          <cell r="D246">
            <v>50</v>
          </cell>
          <cell r="E246">
            <v>0.6</v>
          </cell>
          <cell r="F246">
            <v>245</v>
          </cell>
          <cell r="G246" t="str">
            <v>golf</v>
          </cell>
          <cell r="H246" t="str">
            <v>122*15*10</v>
          </cell>
          <cell r="I246">
            <v>122</v>
          </cell>
          <cell r="J246">
            <v>15</v>
          </cell>
          <cell r="K246">
            <v>10</v>
          </cell>
        </row>
        <row r="247">
          <cell r="A247" t="str">
            <v>UQPIC-43</v>
          </cell>
          <cell r="B247">
            <v>9</v>
          </cell>
          <cell r="C247">
            <v>85</v>
          </cell>
          <cell r="D247">
            <v>50</v>
          </cell>
          <cell r="E247">
            <v>0.6</v>
          </cell>
          <cell r="F247">
            <v>246</v>
          </cell>
          <cell r="G247" t="str">
            <v>golf</v>
          </cell>
          <cell r="H247" t="str">
            <v>122*15*10</v>
          </cell>
          <cell r="I247">
            <v>122</v>
          </cell>
          <cell r="J247">
            <v>15</v>
          </cell>
          <cell r="K247">
            <v>10</v>
          </cell>
        </row>
        <row r="248">
          <cell r="A248" t="str">
            <v>UQPIL-42</v>
          </cell>
          <cell r="B248">
            <v>9</v>
          </cell>
          <cell r="C248">
            <v>84</v>
          </cell>
          <cell r="D248">
            <v>50</v>
          </cell>
          <cell r="E248">
            <v>0.6</v>
          </cell>
          <cell r="F248">
            <v>247</v>
          </cell>
          <cell r="G248" t="str">
            <v>golf</v>
          </cell>
          <cell r="H248" t="str">
            <v>122*15*10</v>
          </cell>
          <cell r="I248">
            <v>122</v>
          </cell>
          <cell r="J248">
            <v>15</v>
          </cell>
          <cell r="K248">
            <v>10</v>
          </cell>
        </row>
        <row r="249">
          <cell r="A249" t="str">
            <v>UQPWL-45</v>
          </cell>
          <cell r="B249">
            <v>9</v>
          </cell>
          <cell r="C249">
            <v>64</v>
          </cell>
          <cell r="D249">
            <v>50</v>
          </cell>
          <cell r="E249">
            <v>0.6</v>
          </cell>
          <cell r="F249">
            <v>248</v>
          </cell>
          <cell r="G249" t="str">
            <v>golf</v>
          </cell>
          <cell r="H249" t="str">
            <v>122*15*10</v>
          </cell>
          <cell r="I249">
            <v>122</v>
          </cell>
          <cell r="J249">
            <v>15</v>
          </cell>
          <cell r="K249">
            <v>10</v>
          </cell>
        </row>
        <row r="250">
          <cell r="A250" t="str">
            <v>USP33WR-46</v>
          </cell>
          <cell r="B250">
            <v>9</v>
          </cell>
          <cell r="C250">
            <v>67</v>
          </cell>
          <cell r="D250">
            <v>50</v>
          </cell>
          <cell r="E250">
            <v>0.6</v>
          </cell>
          <cell r="F250">
            <v>249</v>
          </cell>
          <cell r="G250" t="str">
            <v>golf</v>
          </cell>
          <cell r="H250" t="str">
            <v>122*15*10</v>
          </cell>
          <cell r="I250">
            <v>122</v>
          </cell>
          <cell r="J250">
            <v>15</v>
          </cell>
          <cell r="K250">
            <v>10</v>
          </cell>
        </row>
        <row r="251">
          <cell r="A251" t="str">
            <v>USPHYIC-43</v>
          </cell>
          <cell r="B251">
            <v>9</v>
          </cell>
          <cell r="C251">
            <v>79</v>
          </cell>
          <cell r="D251">
            <v>50</v>
          </cell>
          <cell r="E251">
            <v>0.6</v>
          </cell>
          <cell r="F251">
            <v>250</v>
          </cell>
          <cell r="G251" t="str">
            <v>golf</v>
          </cell>
          <cell r="H251" t="str">
            <v>122*15*10</v>
          </cell>
          <cell r="I251">
            <v>122</v>
          </cell>
          <cell r="J251">
            <v>15</v>
          </cell>
          <cell r="K251">
            <v>10</v>
          </cell>
        </row>
        <row r="252">
          <cell r="A252" t="str">
            <v>BLU85IR-365</v>
          </cell>
          <cell r="B252">
            <v>9</v>
          </cell>
          <cell r="C252">
            <v>87</v>
          </cell>
          <cell r="D252">
            <v>50</v>
          </cell>
          <cell r="E252">
            <v>0.6</v>
          </cell>
          <cell r="F252">
            <v>251</v>
          </cell>
          <cell r="G252" t="str">
            <v>golf</v>
          </cell>
          <cell r="H252" t="str">
            <v>122*15*10</v>
          </cell>
          <cell r="I252">
            <v>122</v>
          </cell>
          <cell r="J252">
            <v>15</v>
          </cell>
          <cell r="K252">
            <v>10</v>
          </cell>
        </row>
        <row r="253">
          <cell r="A253" t="str">
            <v>BLU85IR-37</v>
          </cell>
          <cell r="B253">
            <v>9</v>
          </cell>
          <cell r="C253">
            <v>87</v>
          </cell>
          <cell r="D253">
            <v>50</v>
          </cell>
          <cell r="E253">
            <v>0.6</v>
          </cell>
          <cell r="F253">
            <v>252</v>
          </cell>
          <cell r="G253" t="str">
            <v>golf</v>
          </cell>
          <cell r="H253" t="str">
            <v>122*15*10</v>
          </cell>
          <cell r="I253">
            <v>122</v>
          </cell>
          <cell r="J253">
            <v>15</v>
          </cell>
          <cell r="K253">
            <v>10</v>
          </cell>
        </row>
        <row r="254">
          <cell r="A254" t="str">
            <v>BLU85IR-375</v>
          </cell>
          <cell r="B254">
            <v>9</v>
          </cell>
          <cell r="C254">
            <v>87</v>
          </cell>
          <cell r="D254">
            <v>50</v>
          </cell>
          <cell r="E254">
            <v>0.6</v>
          </cell>
          <cell r="F254">
            <v>253</v>
          </cell>
          <cell r="G254" t="str">
            <v>golf</v>
          </cell>
          <cell r="H254" t="str">
            <v>122*15*10</v>
          </cell>
          <cell r="I254">
            <v>122</v>
          </cell>
          <cell r="J254">
            <v>15</v>
          </cell>
          <cell r="K254">
            <v>10</v>
          </cell>
        </row>
        <row r="255">
          <cell r="A255" t="str">
            <v>BLU85IR-38</v>
          </cell>
          <cell r="B255">
            <v>9</v>
          </cell>
          <cell r="C255">
            <v>87</v>
          </cell>
          <cell r="D255">
            <v>50</v>
          </cell>
          <cell r="E255">
            <v>0.6</v>
          </cell>
          <cell r="F255">
            <v>254</v>
          </cell>
          <cell r="G255" t="str">
            <v>golf</v>
          </cell>
          <cell r="H255" t="str">
            <v>122*15*10</v>
          </cell>
          <cell r="I255">
            <v>122</v>
          </cell>
          <cell r="J255">
            <v>15</v>
          </cell>
          <cell r="K255">
            <v>10</v>
          </cell>
        </row>
        <row r="256">
          <cell r="A256" t="str">
            <v>BLU85IR-385</v>
          </cell>
          <cell r="B256">
            <v>9</v>
          </cell>
          <cell r="C256">
            <v>87</v>
          </cell>
          <cell r="D256">
            <v>50</v>
          </cell>
          <cell r="E256">
            <v>0.6</v>
          </cell>
          <cell r="F256">
            <v>255</v>
          </cell>
          <cell r="G256" t="str">
            <v>golf</v>
          </cell>
          <cell r="H256" t="str">
            <v>122*15*10</v>
          </cell>
          <cell r="I256">
            <v>122</v>
          </cell>
          <cell r="J256">
            <v>15</v>
          </cell>
          <cell r="K256">
            <v>10</v>
          </cell>
        </row>
        <row r="257">
          <cell r="A257" t="str">
            <v>BLU85IR-39</v>
          </cell>
          <cell r="B257">
            <v>9</v>
          </cell>
          <cell r="C257">
            <v>87</v>
          </cell>
          <cell r="D257">
            <v>50</v>
          </cell>
          <cell r="E257">
            <v>0.6</v>
          </cell>
          <cell r="F257">
            <v>256</v>
          </cell>
          <cell r="G257" t="str">
            <v>golf</v>
          </cell>
          <cell r="H257" t="str">
            <v>122*15*10</v>
          </cell>
          <cell r="I257">
            <v>122</v>
          </cell>
          <cell r="J257">
            <v>15</v>
          </cell>
          <cell r="K257">
            <v>10</v>
          </cell>
        </row>
        <row r="258">
          <cell r="A258" t="str">
            <v>BLU85IR-395</v>
          </cell>
          <cell r="B258">
            <v>9</v>
          </cell>
          <cell r="C258">
            <v>87</v>
          </cell>
          <cell r="D258">
            <v>50</v>
          </cell>
          <cell r="E258">
            <v>0.6</v>
          </cell>
          <cell r="F258">
            <v>257</v>
          </cell>
          <cell r="G258" t="str">
            <v>golf</v>
          </cell>
          <cell r="H258" t="str">
            <v>122*15*10</v>
          </cell>
          <cell r="I258">
            <v>122</v>
          </cell>
          <cell r="J258">
            <v>15</v>
          </cell>
          <cell r="K258">
            <v>10</v>
          </cell>
        </row>
        <row r="259">
          <cell r="A259" t="str">
            <v>BLU85IR-40</v>
          </cell>
          <cell r="B259">
            <v>9</v>
          </cell>
          <cell r="C259">
            <v>87</v>
          </cell>
          <cell r="D259">
            <v>50</v>
          </cell>
          <cell r="E259">
            <v>0.6</v>
          </cell>
          <cell r="F259">
            <v>258</v>
          </cell>
          <cell r="G259" t="str">
            <v>golf</v>
          </cell>
          <cell r="H259" t="str">
            <v>122*15*10</v>
          </cell>
          <cell r="I259">
            <v>122</v>
          </cell>
          <cell r="J259">
            <v>15</v>
          </cell>
          <cell r="K259">
            <v>10</v>
          </cell>
        </row>
        <row r="260">
          <cell r="A260" t="str">
            <v>BLU85IS-375</v>
          </cell>
          <cell r="B260">
            <v>9</v>
          </cell>
          <cell r="C260">
            <v>88</v>
          </cell>
          <cell r="D260">
            <v>50</v>
          </cell>
          <cell r="E260">
            <v>0.6</v>
          </cell>
          <cell r="F260">
            <v>259</v>
          </cell>
          <cell r="G260" t="str">
            <v>golf</v>
          </cell>
          <cell r="H260" t="str">
            <v>122*15*10</v>
          </cell>
          <cell r="I260">
            <v>122</v>
          </cell>
          <cell r="J260">
            <v>15</v>
          </cell>
          <cell r="K260">
            <v>10</v>
          </cell>
        </row>
        <row r="261">
          <cell r="A261" t="str">
            <v>BLU85IS-38</v>
          </cell>
          <cell r="B261">
            <v>9</v>
          </cell>
          <cell r="C261">
            <v>88</v>
          </cell>
          <cell r="D261">
            <v>50</v>
          </cell>
          <cell r="E261">
            <v>0.6</v>
          </cell>
          <cell r="F261">
            <v>260</v>
          </cell>
          <cell r="G261" t="str">
            <v>golf</v>
          </cell>
          <cell r="H261" t="str">
            <v>122*15*10</v>
          </cell>
          <cell r="I261">
            <v>122</v>
          </cell>
          <cell r="J261">
            <v>15</v>
          </cell>
          <cell r="K261">
            <v>10</v>
          </cell>
        </row>
        <row r="262">
          <cell r="A262" t="str">
            <v>BLU85IS-385</v>
          </cell>
          <cell r="B262">
            <v>9</v>
          </cell>
          <cell r="C262">
            <v>88</v>
          </cell>
          <cell r="D262">
            <v>50</v>
          </cell>
          <cell r="E262">
            <v>0.6</v>
          </cell>
          <cell r="F262">
            <v>261</v>
          </cell>
          <cell r="G262" t="str">
            <v>golf</v>
          </cell>
          <cell r="H262" t="str">
            <v>122*15*10</v>
          </cell>
          <cell r="I262">
            <v>122</v>
          </cell>
          <cell r="J262">
            <v>15</v>
          </cell>
          <cell r="K262">
            <v>10</v>
          </cell>
        </row>
        <row r="263">
          <cell r="A263" t="str">
            <v>BLU85IS-39</v>
          </cell>
          <cell r="B263">
            <v>9</v>
          </cell>
          <cell r="C263">
            <v>88</v>
          </cell>
          <cell r="D263">
            <v>50</v>
          </cell>
          <cell r="E263">
            <v>0.6</v>
          </cell>
          <cell r="F263">
            <v>262</v>
          </cell>
          <cell r="G263" t="str">
            <v>golf</v>
          </cell>
          <cell r="H263" t="str">
            <v>122*15*10</v>
          </cell>
          <cell r="I263">
            <v>122</v>
          </cell>
          <cell r="J263">
            <v>15</v>
          </cell>
          <cell r="K263">
            <v>10</v>
          </cell>
        </row>
        <row r="264">
          <cell r="A264" t="str">
            <v>BLU85IX-40</v>
          </cell>
          <cell r="B264">
            <v>9</v>
          </cell>
          <cell r="C264">
            <v>89</v>
          </cell>
          <cell r="D264">
            <v>50</v>
          </cell>
          <cell r="E264">
            <v>0.6</v>
          </cell>
          <cell r="F264">
            <v>263</v>
          </cell>
          <cell r="G264" t="str">
            <v>golf</v>
          </cell>
          <cell r="H264" t="str">
            <v>122*15*10</v>
          </cell>
          <cell r="I264">
            <v>122</v>
          </cell>
          <cell r="J264">
            <v>15</v>
          </cell>
          <cell r="K264">
            <v>10</v>
          </cell>
        </row>
        <row r="265">
          <cell r="A265" t="str">
            <v>HEX-ELIAS-L-085</v>
          </cell>
          <cell r="B265">
            <v>9</v>
          </cell>
          <cell r="C265">
            <v>305</v>
          </cell>
          <cell r="D265">
            <v>50</v>
          </cell>
          <cell r="F265">
            <v>264</v>
          </cell>
          <cell r="G265" t="str">
            <v>Shaft</v>
          </cell>
          <cell r="H265" t="str">
            <v>N/A</v>
          </cell>
          <cell r="I265" t="str">
            <v>N/A</v>
          </cell>
          <cell r="J265" t="str">
            <v>N/A</v>
          </cell>
          <cell r="K265" t="str">
            <v>N/A</v>
          </cell>
        </row>
        <row r="266">
          <cell r="A266" t="str">
            <v>HEX-ELIAS-L-085-G</v>
          </cell>
          <cell r="B266">
            <v>9</v>
          </cell>
          <cell r="C266">
            <v>305</v>
          </cell>
          <cell r="D266">
            <v>50</v>
          </cell>
          <cell r="F266">
            <v>265</v>
          </cell>
          <cell r="G266" t="str">
            <v>Shaft</v>
          </cell>
          <cell r="H266" t="str">
            <v>N/A</v>
          </cell>
          <cell r="I266" t="str">
            <v>N/A</v>
          </cell>
          <cell r="J266" t="str">
            <v>N/A</v>
          </cell>
          <cell r="K266" t="str">
            <v>N/A</v>
          </cell>
        </row>
        <row r="267">
          <cell r="A267" t="str">
            <v>HEX-ELIAS-L-100</v>
          </cell>
          <cell r="B267">
            <v>9</v>
          </cell>
          <cell r="C267">
            <v>305</v>
          </cell>
          <cell r="D267">
            <v>50</v>
          </cell>
          <cell r="F267">
            <v>266</v>
          </cell>
          <cell r="G267" t="str">
            <v>Shaft</v>
          </cell>
          <cell r="H267" t="str">
            <v>N/A</v>
          </cell>
          <cell r="I267" t="str">
            <v>N/A</v>
          </cell>
          <cell r="J267" t="str">
            <v>N/A</v>
          </cell>
          <cell r="K267" t="str">
            <v>N/A</v>
          </cell>
        </row>
        <row r="268">
          <cell r="A268" t="str">
            <v>HEX-ELIAS-L-100-G</v>
          </cell>
          <cell r="B268">
            <v>9</v>
          </cell>
          <cell r="C268">
            <v>305</v>
          </cell>
          <cell r="D268">
            <v>50</v>
          </cell>
          <cell r="F268">
            <v>267</v>
          </cell>
          <cell r="G268" t="str">
            <v>Shaft</v>
          </cell>
          <cell r="H268" t="str">
            <v>N/A</v>
          </cell>
          <cell r="I268" t="str">
            <v>N/A</v>
          </cell>
          <cell r="J268" t="str">
            <v>N/A</v>
          </cell>
          <cell r="K268" t="str">
            <v>N/A</v>
          </cell>
        </row>
        <row r="269">
          <cell r="A269" t="str">
            <v>HEX-ELIAS-R-085</v>
          </cell>
          <cell r="B269">
            <v>9</v>
          </cell>
          <cell r="C269">
            <v>305</v>
          </cell>
          <cell r="D269">
            <v>50</v>
          </cell>
          <cell r="F269">
            <v>268</v>
          </cell>
          <cell r="G269" t="str">
            <v>Shaft</v>
          </cell>
          <cell r="H269" t="str">
            <v>N/A</v>
          </cell>
          <cell r="I269" t="str">
            <v>N/A</v>
          </cell>
          <cell r="J269" t="str">
            <v>N/A</v>
          </cell>
          <cell r="K269" t="str">
            <v>N/A</v>
          </cell>
        </row>
        <row r="270">
          <cell r="A270" t="str">
            <v>HEX-ELIAS-R-085-G</v>
          </cell>
          <cell r="B270">
            <v>9</v>
          </cell>
          <cell r="C270">
            <v>305</v>
          </cell>
          <cell r="D270">
            <v>50</v>
          </cell>
          <cell r="F270">
            <v>269</v>
          </cell>
          <cell r="G270" t="str">
            <v>Shaft</v>
          </cell>
          <cell r="H270" t="str">
            <v>N/A</v>
          </cell>
          <cell r="I270" t="str">
            <v>N/A</v>
          </cell>
          <cell r="J270" t="str">
            <v>N/A</v>
          </cell>
          <cell r="K270" t="str">
            <v>N/A</v>
          </cell>
        </row>
        <row r="271">
          <cell r="A271" t="str">
            <v>HEX-ELIAS-R-100</v>
          </cell>
          <cell r="B271">
            <v>9</v>
          </cell>
          <cell r="C271">
            <v>305</v>
          </cell>
          <cell r="D271">
            <v>50</v>
          </cell>
          <cell r="F271">
            <v>270</v>
          </cell>
          <cell r="G271" t="str">
            <v>Shaft</v>
          </cell>
          <cell r="H271" t="str">
            <v>N/A</v>
          </cell>
          <cell r="I271" t="str">
            <v>N/A</v>
          </cell>
          <cell r="J271" t="str">
            <v>N/A</v>
          </cell>
          <cell r="K271" t="str">
            <v>N/A</v>
          </cell>
        </row>
        <row r="272">
          <cell r="A272" t="str">
            <v>HEX-ELIAS-R-100-G</v>
          </cell>
          <cell r="B272">
            <v>9</v>
          </cell>
          <cell r="C272">
            <v>305</v>
          </cell>
          <cell r="D272">
            <v>50</v>
          </cell>
          <cell r="F272">
            <v>271</v>
          </cell>
          <cell r="G272" t="str">
            <v>Shaft</v>
          </cell>
          <cell r="H272" t="str">
            <v>N/A</v>
          </cell>
          <cell r="I272" t="str">
            <v>N/A</v>
          </cell>
          <cell r="J272" t="str">
            <v>N/A</v>
          </cell>
          <cell r="K272" t="str">
            <v>N/A</v>
          </cell>
        </row>
        <row r="273">
          <cell r="A273" t="str">
            <v>HEX-HATCH-L-085</v>
          </cell>
          <cell r="B273">
            <v>9</v>
          </cell>
          <cell r="C273">
            <v>305</v>
          </cell>
          <cell r="D273">
            <v>50</v>
          </cell>
          <cell r="F273">
            <v>272</v>
          </cell>
          <cell r="G273" t="str">
            <v>Shaft</v>
          </cell>
          <cell r="H273" t="str">
            <v>N/A</v>
          </cell>
          <cell r="I273" t="str">
            <v>N/A</v>
          </cell>
          <cell r="J273" t="str">
            <v>N/A</v>
          </cell>
          <cell r="K273" t="str">
            <v>N/A</v>
          </cell>
        </row>
        <row r="274">
          <cell r="A274" t="str">
            <v>HEX-HATCH-L-085-G</v>
          </cell>
          <cell r="B274">
            <v>9</v>
          </cell>
          <cell r="C274">
            <v>305</v>
          </cell>
          <cell r="D274">
            <v>50</v>
          </cell>
          <cell r="F274">
            <v>273</v>
          </cell>
          <cell r="G274" t="str">
            <v>Shaft</v>
          </cell>
          <cell r="H274" t="str">
            <v>N/A</v>
          </cell>
          <cell r="I274" t="str">
            <v>N/A</v>
          </cell>
          <cell r="J274" t="str">
            <v>N/A</v>
          </cell>
          <cell r="K274" t="str">
            <v>N/A</v>
          </cell>
        </row>
        <row r="275">
          <cell r="A275" t="str">
            <v>HEX-HATCH-L-100</v>
          </cell>
          <cell r="B275">
            <v>9</v>
          </cell>
          <cell r="C275">
            <v>305</v>
          </cell>
          <cell r="D275">
            <v>50</v>
          </cell>
          <cell r="F275">
            <v>274</v>
          </cell>
          <cell r="G275" t="str">
            <v>Shaft</v>
          </cell>
          <cell r="H275" t="str">
            <v>N/A</v>
          </cell>
          <cell r="I275" t="str">
            <v>N/A</v>
          </cell>
          <cell r="J275" t="str">
            <v>N/A</v>
          </cell>
          <cell r="K275" t="str">
            <v>N/A</v>
          </cell>
        </row>
        <row r="276">
          <cell r="A276" t="str">
            <v>HEX-HATCH-L-100-G</v>
          </cell>
          <cell r="B276">
            <v>9</v>
          </cell>
          <cell r="C276">
            <v>305</v>
          </cell>
          <cell r="D276">
            <v>50</v>
          </cell>
          <cell r="F276">
            <v>275</v>
          </cell>
          <cell r="G276" t="str">
            <v>Shaft</v>
          </cell>
          <cell r="H276" t="str">
            <v>N/A</v>
          </cell>
          <cell r="I276" t="str">
            <v>N/A</v>
          </cell>
          <cell r="J276" t="str">
            <v>N/A</v>
          </cell>
          <cell r="K276" t="str">
            <v>N/A</v>
          </cell>
        </row>
        <row r="277">
          <cell r="A277" t="str">
            <v>HEX-HATCH-R-085</v>
          </cell>
          <cell r="B277">
            <v>9</v>
          </cell>
          <cell r="C277">
            <v>305</v>
          </cell>
          <cell r="D277">
            <v>50</v>
          </cell>
          <cell r="F277">
            <v>276</v>
          </cell>
          <cell r="G277" t="str">
            <v>Shaft</v>
          </cell>
          <cell r="H277" t="str">
            <v>N/A</v>
          </cell>
          <cell r="I277" t="str">
            <v>N/A</v>
          </cell>
          <cell r="J277" t="str">
            <v>N/A</v>
          </cell>
          <cell r="K277" t="str">
            <v>N/A</v>
          </cell>
        </row>
        <row r="278">
          <cell r="A278" t="str">
            <v>HEX-HATCH-R-085-G</v>
          </cell>
          <cell r="B278">
            <v>9</v>
          </cell>
          <cell r="C278">
            <v>305</v>
          </cell>
          <cell r="D278">
            <v>50</v>
          </cell>
          <cell r="F278">
            <v>277</v>
          </cell>
          <cell r="G278" t="str">
            <v>Shaft</v>
          </cell>
          <cell r="H278" t="str">
            <v>N/A</v>
          </cell>
          <cell r="I278" t="str">
            <v>N/A</v>
          </cell>
          <cell r="J278" t="str">
            <v>N/A</v>
          </cell>
          <cell r="K278" t="str">
            <v>N/A</v>
          </cell>
        </row>
        <row r="279">
          <cell r="A279" t="str">
            <v>HEX-HATCH-R-100</v>
          </cell>
          <cell r="B279">
            <v>9</v>
          </cell>
          <cell r="C279">
            <v>305</v>
          </cell>
          <cell r="D279">
            <v>50</v>
          </cell>
          <cell r="F279">
            <v>278</v>
          </cell>
          <cell r="G279" t="str">
            <v>Shaft</v>
          </cell>
          <cell r="H279" t="str">
            <v>N/A</v>
          </cell>
          <cell r="I279" t="str">
            <v>N/A</v>
          </cell>
          <cell r="J279" t="str">
            <v>N/A</v>
          </cell>
          <cell r="K279" t="str">
            <v>N/A</v>
          </cell>
        </row>
        <row r="280">
          <cell r="A280" t="str">
            <v>HEX-HATCH-R-100-G</v>
          </cell>
          <cell r="B280">
            <v>9</v>
          </cell>
          <cell r="C280">
            <v>305</v>
          </cell>
          <cell r="D280">
            <v>50</v>
          </cell>
          <cell r="F280">
            <v>279</v>
          </cell>
          <cell r="G280" t="str">
            <v>Shaft</v>
          </cell>
          <cell r="H280" t="str">
            <v>N/A</v>
          </cell>
          <cell r="I280" t="str">
            <v>N/A</v>
          </cell>
          <cell r="J280" t="str">
            <v>N/A</v>
          </cell>
          <cell r="K280" t="str">
            <v>N/A</v>
          </cell>
        </row>
        <row r="281">
          <cell r="A281" t="str">
            <v>HEX-HEW-R-100</v>
          </cell>
          <cell r="B281">
            <v>9</v>
          </cell>
          <cell r="C281">
            <v>349.99</v>
          </cell>
          <cell r="D281">
            <v>50</v>
          </cell>
          <cell r="E281">
            <v>1.48</v>
          </cell>
          <cell r="F281">
            <v>280</v>
          </cell>
          <cell r="G281" t="str">
            <v>shaft</v>
          </cell>
          <cell r="H281" t="str">
            <v>145*29*16</v>
          </cell>
          <cell r="I281">
            <v>145</v>
          </cell>
          <cell r="J281">
            <v>29</v>
          </cell>
          <cell r="K281">
            <v>16</v>
          </cell>
        </row>
        <row r="282">
          <cell r="A282" t="str">
            <v>HEX-HULL-L-085</v>
          </cell>
          <cell r="B282">
            <v>9</v>
          </cell>
          <cell r="C282">
            <v>305</v>
          </cell>
          <cell r="D282">
            <v>50</v>
          </cell>
          <cell r="F282">
            <v>281</v>
          </cell>
          <cell r="G282" t="str">
            <v>Shaft</v>
          </cell>
          <cell r="H282" t="str">
            <v>N/A</v>
          </cell>
          <cell r="I282" t="str">
            <v>N/A</v>
          </cell>
          <cell r="J282" t="str">
            <v>N/A</v>
          </cell>
          <cell r="K282" t="str">
            <v>N/A</v>
          </cell>
        </row>
        <row r="283">
          <cell r="A283" t="str">
            <v>HEX-HULL-L-085-G</v>
          </cell>
          <cell r="B283">
            <v>9</v>
          </cell>
          <cell r="C283">
            <v>305</v>
          </cell>
          <cell r="D283">
            <v>50</v>
          </cell>
          <cell r="F283">
            <v>282</v>
          </cell>
          <cell r="G283" t="str">
            <v>Shaft</v>
          </cell>
          <cell r="H283" t="str">
            <v>N/A</v>
          </cell>
          <cell r="I283" t="str">
            <v>N/A</v>
          </cell>
          <cell r="J283" t="str">
            <v>N/A</v>
          </cell>
          <cell r="K283" t="str">
            <v>N/A</v>
          </cell>
        </row>
        <row r="284">
          <cell r="A284" t="str">
            <v>HEX-HULL-L-100</v>
          </cell>
          <cell r="B284">
            <v>9</v>
          </cell>
          <cell r="C284">
            <v>305</v>
          </cell>
          <cell r="D284">
            <v>50</v>
          </cell>
          <cell r="F284">
            <v>283</v>
          </cell>
          <cell r="G284" t="str">
            <v>Shaft</v>
          </cell>
          <cell r="H284" t="str">
            <v>N/A</v>
          </cell>
          <cell r="I284" t="str">
            <v>N/A</v>
          </cell>
          <cell r="J284" t="str">
            <v>N/A</v>
          </cell>
          <cell r="K284" t="str">
            <v>N/A</v>
          </cell>
        </row>
        <row r="285">
          <cell r="A285" t="str">
            <v>HEX-HULL-R-085</v>
          </cell>
          <cell r="B285">
            <v>9</v>
          </cell>
          <cell r="C285">
            <v>305</v>
          </cell>
          <cell r="D285">
            <v>50</v>
          </cell>
          <cell r="F285">
            <v>284</v>
          </cell>
          <cell r="G285" t="str">
            <v>Shaft</v>
          </cell>
          <cell r="H285" t="str">
            <v>N/A</v>
          </cell>
          <cell r="I285" t="str">
            <v>N/A</v>
          </cell>
          <cell r="J285" t="str">
            <v>N/A</v>
          </cell>
          <cell r="K285" t="str">
            <v>N/A</v>
          </cell>
        </row>
        <row r="286">
          <cell r="A286" t="str">
            <v>HEX-HULL-R-085-G</v>
          </cell>
          <cell r="B286">
            <v>9</v>
          </cell>
          <cell r="C286">
            <v>305</v>
          </cell>
          <cell r="D286">
            <v>50</v>
          </cell>
          <cell r="F286">
            <v>285</v>
          </cell>
          <cell r="G286" t="str">
            <v>Shaft</v>
          </cell>
          <cell r="H286" t="str">
            <v>N/A</v>
          </cell>
          <cell r="I286" t="str">
            <v>N/A</v>
          </cell>
          <cell r="J286" t="str">
            <v>N/A</v>
          </cell>
          <cell r="K286" t="str">
            <v>N/A</v>
          </cell>
        </row>
        <row r="287">
          <cell r="A287" t="str">
            <v>HEX-HULL-R-100</v>
          </cell>
          <cell r="B287">
            <v>9</v>
          </cell>
          <cell r="C287">
            <v>305</v>
          </cell>
          <cell r="D287">
            <v>50</v>
          </cell>
          <cell r="F287">
            <v>286</v>
          </cell>
          <cell r="G287" t="str">
            <v>Shaft</v>
          </cell>
          <cell r="H287" t="str">
            <v>N/A</v>
          </cell>
          <cell r="I287" t="str">
            <v>N/A</v>
          </cell>
          <cell r="J287" t="str">
            <v>N/A</v>
          </cell>
          <cell r="K287" t="str">
            <v>N/A</v>
          </cell>
        </row>
        <row r="288">
          <cell r="A288" t="str">
            <v>HEX-HULL-R-100-G</v>
          </cell>
          <cell r="B288">
            <v>9</v>
          </cell>
          <cell r="C288">
            <v>305</v>
          </cell>
          <cell r="D288">
            <v>50</v>
          </cell>
          <cell r="F288">
            <v>287</v>
          </cell>
          <cell r="G288" t="str">
            <v>Shaft</v>
          </cell>
          <cell r="H288" t="str">
            <v>N/A</v>
          </cell>
          <cell r="I288" t="str">
            <v>N/A</v>
          </cell>
          <cell r="J288" t="str">
            <v>N/A</v>
          </cell>
          <cell r="K288" t="str">
            <v>N/A</v>
          </cell>
        </row>
        <row r="289">
          <cell r="A289" t="str">
            <v>HEX-NEW-L-085</v>
          </cell>
          <cell r="B289">
            <v>9</v>
          </cell>
          <cell r="C289">
            <v>305</v>
          </cell>
          <cell r="D289">
            <v>50</v>
          </cell>
          <cell r="F289">
            <v>288</v>
          </cell>
          <cell r="G289" t="str">
            <v>Shaft</v>
          </cell>
          <cell r="H289" t="str">
            <v>N/A</v>
          </cell>
          <cell r="I289" t="str">
            <v>N/A</v>
          </cell>
          <cell r="J289" t="str">
            <v>N/A</v>
          </cell>
          <cell r="K289" t="str">
            <v>N/A</v>
          </cell>
        </row>
        <row r="290">
          <cell r="A290" t="str">
            <v>HEX-NEW-L-085-G</v>
          </cell>
          <cell r="B290">
            <v>9</v>
          </cell>
          <cell r="C290">
            <v>305</v>
          </cell>
          <cell r="D290">
            <v>50</v>
          </cell>
          <cell r="F290">
            <v>289</v>
          </cell>
          <cell r="G290" t="str">
            <v>Shaft</v>
          </cell>
          <cell r="H290" t="str">
            <v>N/A</v>
          </cell>
          <cell r="I290" t="str">
            <v>N/A</v>
          </cell>
          <cell r="J290" t="str">
            <v>N/A</v>
          </cell>
          <cell r="K290" t="str">
            <v>N/A</v>
          </cell>
        </row>
        <row r="291">
          <cell r="A291" t="str">
            <v>HEX-NEW-L-100</v>
          </cell>
          <cell r="B291">
            <v>9</v>
          </cell>
          <cell r="C291">
            <v>305</v>
          </cell>
          <cell r="D291">
            <v>50</v>
          </cell>
          <cell r="F291">
            <v>290</v>
          </cell>
          <cell r="G291" t="str">
            <v>Shaft</v>
          </cell>
          <cell r="H291" t="str">
            <v>N/A</v>
          </cell>
          <cell r="I291" t="str">
            <v>N/A</v>
          </cell>
          <cell r="J291" t="str">
            <v>N/A</v>
          </cell>
          <cell r="K291" t="str">
            <v>N/A</v>
          </cell>
        </row>
        <row r="292">
          <cell r="A292" t="str">
            <v>HEX-NEW-L-100-G</v>
          </cell>
          <cell r="B292">
            <v>9</v>
          </cell>
          <cell r="C292">
            <v>305</v>
          </cell>
          <cell r="D292">
            <v>50</v>
          </cell>
          <cell r="F292">
            <v>291</v>
          </cell>
          <cell r="G292" t="str">
            <v>Shaft</v>
          </cell>
          <cell r="H292" t="str">
            <v>N/A</v>
          </cell>
          <cell r="I292" t="str">
            <v>N/A</v>
          </cell>
          <cell r="J292" t="str">
            <v>N/A</v>
          </cell>
          <cell r="K292" t="str">
            <v>N/A</v>
          </cell>
        </row>
        <row r="293">
          <cell r="A293" t="str">
            <v>HEX-NEW-R-085</v>
          </cell>
          <cell r="B293">
            <v>9</v>
          </cell>
          <cell r="C293">
            <v>305</v>
          </cell>
          <cell r="D293">
            <v>50</v>
          </cell>
          <cell r="F293">
            <v>292</v>
          </cell>
          <cell r="G293" t="str">
            <v>Shaft</v>
          </cell>
          <cell r="H293" t="str">
            <v>N/A</v>
          </cell>
          <cell r="I293" t="str">
            <v>N/A</v>
          </cell>
          <cell r="J293" t="str">
            <v>N/A</v>
          </cell>
          <cell r="K293" t="str">
            <v>N/A</v>
          </cell>
        </row>
        <row r="294">
          <cell r="A294" t="str">
            <v>HEX-NEW-R-085-G</v>
          </cell>
          <cell r="B294">
            <v>9</v>
          </cell>
          <cell r="C294">
            <v>305</v>
          </cell>
          <cell r="D294">
            <v>50</v>
          </cell>
          <cell r="F294">
            <v>293</v>
          </cell>
          <cell r="G294" t="str">
            <v>Shaft</v>
          </cell>
          <cell r="H294" t="str">
            <v>N/A</v>
          </cell>
          <cell r="I294" t="str">
            <v>N/A</v>
          </cell>
          <cell r="J294" t="str">
            <v>N/A</v>
          </cell>
          <cell r="K294" t="str">
            <v>N/A</v>
          </cell>
        </row>
        <row r="295">
          <cell r="A295" t="str">
            <v>HEX-NEW-R-100</v>
          </cell>
          <cell r="B295">
            <v>9</v>
          </cell>
          <cell r="C295">
            <v>305</v>
          </cell>
          <cell r="D295">
            <v>50</v>
          </cell>
          <cell r="F295">
            <v>294</v>
          </cell>
          <cell r="G295" t="str">
            <v>Shaft</v>
          </cell>
          <cell r="H295" t="str">
            <v>N/A</v>
          </cell>
          <cell r="I295" t="str">
            <v>N/A</v>
          </cell>
          <cell r="J295" t="str">
            <v>N/A</v>
          </cell>
          <cell r="K295" t="str">
            <v>N/A</v>
          </cell>
        </row>
        <row r="296">
          <cell r="A296" t="str">
            <v>HEX-NEW-R-100-G</v>
          </cell>
          <cell r="B296">
            <v>9</v>
          </cell>
          <cell r="C296">
            <v>305</v>
          </cell>
          <cell r="D296">
            <v>50</v>
          </cell>
          <cell r="F296">
            <v>295</v>
          </cell>
          <cell r="G296" t="str">
            <v>Shaft</v>
          </cell>
          <cell r="H296" t="str">
            <v>N/A</v>
          </cell>
          <cell r="I296" t="str">
            <v>N/A</v>
          </cell>
          <cell r="J296" t="str">
            <v>N/A</v>
          </cell>
          <cell r="K296" t="str">
            <v>N/A</v>
          </cell>
        </row>
        <row r="297">
          <cell r="A297" t="str">
            <v>MGUCMTIA-40</v>
          </cell>
          <cell r="B297">
            <v>9</v>
          </cell>
          <cell r="C297">
            <v>73</v>
          </cell>
          <cell r="D297">
            <v>50</v>
          </cell>
          <cell r="E297">
            <v>0.6</v>
          </cell>
          <cell r="F297">
            <v>296</v>
          </cell>
          <cell r="G297" t="str">
            <v>golf</v>
          </cell>
          <cell r="H297" t="str">
            <v>122*15*10</v>
          </cell>
          <cell r="I297">
            <v>122</v>
          </cell>
          <cell r="J297">
            <v>15</v>
          </cell>
          <cell r="K297">
            <v>10</v>
          </cell>
        </row>
        <row r="298">
          <cell r="A298" t="str">
            <v>MGUCMTIL-40</v>
          </cell>
          <cell r="B298">
            <v>9</v>
          </cell>
          <cell r="C298">
            <v>83</v>
          </cell>
          <cell r="D298">
            <v>50</v>
          </cell>
          <cell r="E298">
            <v>0.6</v>
          </cell>
          <cell r="F298">
            <v>297</v>
          </cell>
          <cell r="G298" t="str">
            <v>golf</v>
          </cell>
          <cell r="H298" t="str">
            <v>122*15*10</v>
          </cell>
          <cell r="I298">
            <v>122</v>
          </cell>
          <cell r="J298">
            <v>15</v>
          </cell>
          <cell r="K298">
            <v>10</v>
          </cell>
        </row>
        <row r="299">
          <cell r="A299" t="str">
            <v>MGUCMTIR-40</v>
          </cell>
          <cell r="B299">
            <v>9</v>
          </cell>
          <cell r="C299">
            <v>74</v>
          </cell>
          <cell r="D299">
            <v>50</v>
          </cell>
          <cell r="E299">
            <v>0.6</v>
          </cell>
          <cell r="F299">
            <v>298</v>
          </cell>
          <cell r="G299" t="str">
            <v>golf</v>
          </cell>
          <cell r="H299" t="str">
            <v>122*15*10</v>
          </cell>
          <cell r="I299">
            <v>122</v>
          </cell>
          <cell r="J299">
            <v>15</v>
          </cell>
          <cell r="K299">
            <v>10</v>
          </cell>
        </row>
        <row r="300">
          <cell r="A300" t="str">
            <v>MGUCMTIS-40</v>
          </cell>
          <cell r="B300">
            <v>9</v>
          </cell>
          <cell r="C300">
            <v>72</v>
          </cell>
          <cell r="D300">
            <v>50</v>
          </cell>
          <cell r="E300">
            <v>0.6</v>
          </cell>
          <cell r="F300">
            <v>299</v>
          </cell>
          <cell r="G300" t="str">
            <v>golf</v>
          </cell>
          <cell r="H300" t="str">
            <v>122*15*10</v>
          </cell>
          <cell r="I300">
            <v>122</v>
          </cell>
          <cell r="J300">
            <v>15</v>
          </cell>
          <cell r="K300">
            <v>10</v>
          </cell>
        </row>
        <row r="301">
          <cell r="A301" t="str">
            <v>PG11-P06-34</v>
          </cell>
          <cell r="B301">
            <v>9</v>
          </cell>
          <cell r="C301">
            <v>90</v>
          </cell>
          <cell r="D301">
            <v>50</v>
          </cell>
          <cell r="E301">
            <v>0.6</v>
          </cell>
          <cell r="F301">
            <v>300</v>
          </cell>
          <cell r="G301" t="str">
            <v>golf</v>
          </cell>
          <cell r="H301" t="str">
            <v>122*15*10</v>
          </cell>
          <cell r="I301">
            <v>122</v>
          </cell>
          <cell r="J301">
            <v>15</v>
          </cell>
          <cell r="K301">
            <v>10</v>
          </cell>
        </row>
        <row r="302">
          <cell r="A302" t="str">
            <v>PG11-P07-34</v>
          </cell>
          <cell r="B302">
            <v>9</v>
          </cell>
          <cell r="C302">
            <v>90</v>
          </cell>
          <cell r="D302">
            <v>50</v>
          </cell>
          <cell r="E302">
            <v>0.6</v>
          </cell>
          <cell r="F302">
            <v>301</v>
          </cell>
          <cell r="G302" t="str">
            <v>golf</v>
          </cell>
          <cell r="H302" t="str">
            <v>122*15*10</v>
          </cell>
          <cell r="I302">
            <v>122</v>
          </cell>
          <cell r="J302">
            <v>15</v>
          </cell>
          <cell r="K302">
            <v>10</v>
          </cell>
        </row>
        <row r="303">
          <cell r="A303" t="str">
            <v>PG11-P08-34</v>
          </cell>
          <cell r="B303">
            <v>9</v>
          </cell>
          <cell r="C303">
            <v>90</v>
          </cell>
          <cell r="D303">
            <v>50</v>
          </cell>
          <cell r="E303">
            <v>0.6</v>
          </cell>
          <cell r="F303">
            <v>302</v>
          </cell>
          <cell r="G303" t="str">
            <v>golf</v>
          </cell>
          <cell r="H303" t="str">
            <v>122*15*10</v>
          </cell>
          <cell r="I303">
            <v>122</v>
          </cell>
          <cell r="J303">
            <v>15</v>
          </cell>
          <cell r="K303">
            <v>10</v>
          </cell>
        </row>
        <row r="304">
          <cell r="A304" t="str">
            <v>SHR-FF3-10052P</v>
          </cell>
          <cell r="B304">
            <v>9</v>
          </cell>
          <cell r="C304">
            <v>326</v>
          </cell>
          <cell r="D304">
            <v>50</v>
          </cell>
          <cell r="E304">
            <v>1.48</v>
          </cell>
          <cell r="F304">
            <v>303</v>
          </cell>
          <cell r="G304" t="str">
            <v>Shaft</v>
          </cell>
          <cell r="H304" t="str">
            <v>145*29*16</v>
          </cell>
          <cell r="I304">
            <v>145</v>
          </cell>
          <cell r="J304">
            <v>29</v>
          </cell>
          <cell r="K304">
            <v>16</v>
          </cell>
        </row>
        <row r="305">
          <cell r="A305" t="str">
            <v>SHR-FF3-11052P</v>
          </cell>
          <cell r="B305">
            <v>9</v>
          </cell>
          <cell r="C305">
            <v>326</v>
          </cell>
          <cell r="D305">
            <v>50</v>
          </cell>
          <cell r="E305">
            <v>1.48</v>
          </cell>
          <cell r="F305">
            <v>304</v>
          </cell>
          <cell r="G305" t="str">
            <v>Shaft</v>
          </cell>
          <cell r="H305" t="str">
            <v>145*29*16</v>
          </cell>
          <cell r="I305">
            <v>145</v>
          </cell>
          <cell r="J305">
            <v>29</v>
          </cell>
          <cell r="K305">
            <v>16</v>
          </cell>
        </row>
        <row r="306">
          <cell r="A306" t="str">
            <v>SHR-FF3-12052P</v>
          </cell>
          <cell r="B306">
            <v>9</v>
          </cell>
          <cell r="C306">
            <v>315</v>
          </cell>
          <cell r="D306">
            <v>50</v>
          </cell>
          <cell r="E306">
            <v>1.48</v>
          </cell>
          <cell r="F306">
            <v>305</v>
          </cell>
          <cell r="G306" t="str">
            <v>Shaft</v>
          </cell>
          <cell r="H306" t="str">
            <v>145*29*16</v>
          </cell>
          <cell r="I306">
            <v>145</v>
          </cell>
          <cell r="J306">
            <v>29</v>
          </cell>
          <cell r="K306">
            <v>16</v>
          </cell>
        </row>
        <row r="307">
          <cell r="A307" t="str">
            <v>SHR-TF-08552</v>
          </cell>
          <cell r="B307">
            <v>9</v>
          </cell>
          <cell r="C307">
            <v>332</v>
          </cell>
          <cell r="D307">
            <v>50</v>
          </cell>
          <cell r="E307">
            <v>1.48</v>
          </cell>
          <cell r="F307">
            <v>306</v>
          </cell>
          <cell r="G307" t="str">
            <v>Shaft</v>
          </cell>
          <cell r="H307" t="str">
            <v>145*29*16</v>
          </cell>
          <cell r="I307">
            <v>145</v>
          </cell>
          <cell r="J307">
            <v>29</v>
          </cell>
          <cell r="K307">
            <v>16</v>
          </cell>
        </row>
        <row r="308">
          <cell r="A308" t="str">
            <v>UBLUPNT635WR-46</v>
          </cell>
          <cell r="B308">
            <v>9</v>
          </cell>
          <cell r="C308">
            <v>66</v>
          </cell>
          <cell r="D308">
            <v>50</v>
          </cell>
          <cell r="E308">
            <v>0.6</v>
          </cell>
          <cell r="F308">
            <v>307</v>
          </cell>
          <cell r="G308" t="str">
            <v>golf</v>
          </cell>
          <cell r="H308" t="str">
            <v>122*15*10</v>
          </cell>
          <cell r="I308">
            <v>122</v>
          </cell>
          <cell r="J308">
            <v>15</v>
          </cell>
          <cell r="K308">
            <v>10</v>
          </cell>
        </row>
        <row r="309">
          <cell r="A309" t="str">
            <v>UBLUPNT635WS-46</v>
          </cell>
          <cell r="B309">
            <v>9</v>
          </cell>
          <cell r="C309">
            <v>69</v>
          </cell>
          <cell r="D309">
            <v>50</v>
          </cell>
          <cell r="E309">
            <v>0.6</v>
          </cell>
          <cell r="F309">
            <v>308</v>
          </cell>
          <cell r="G309" t="str">
            <v>golf</v>
          </cell>
          <cell r="H309" t="str">
            <v>122*15*10</v>
          </cell>
          <cell r="I309">
            <v>122</v>
          </cell>
          <cell r="J309">
            <v>15</v>
          </cell>
          <cell r="K309">
            <v>10</v>
          </cell>
        </row>
        <row r="310">
          <cell r="A310" t="str">
            <v>UBLUPNT635WX-46</v>
          </cell>
          <cell r="B310">
            <v>9</v>
          </cell>
          <cell r="C310">
            <v>67</v>
          </cell>
          <cell r="D310">
            <v>50</v>
          </cell>
          <cell r="E310">
            <v>0.6</v>
          </cell>
          <cell r="F310">
            <v>309</v>
          </cell>
          <cell r="G310" t="str">
            <v>golf</v>
          </cell>
          <cell r="H310" t="str">
            <v>122*15*10</v>
          </cell>
          <cell r="I310">
            <v>122</v>
          </cell>
          <cell r="J310">
            <v>15</v>
          </cell>
          <cell r="K310">
            <v>10</v>
          </cell>
        </row>
        <row r="311">
          <cell r="A311" t="str">
            <v>ULAUNCH145TS</v>
          </cell>
          <cell r="B311">
            <v>9</v>
          </cell>
          <cell r="C311">
            <v>79.989999999999995</v>
          </cell>
          <cell r="D311">
            <v>50</v>
          </cell>
          <cell r="E311">
            <v>0.6</v>
          </cell>
          <cell r="F311">
            <v>310</v>
          </cell>
          <cell r="G311" t="str">
            <v>golf</v>
          </cell>
          <cell r="H311" t="str">
            <v>122*15*10</v>
          </cell>
          <cell r="I311">
            <v>122</v>
          </cell>
          <cell r="J311">
            <v>15</v>
          </cell>
          <cell r="K311">
            <v>10</v>
          </cell>
        </row>
        <row r="312">
          <cell r="A312" t="str">
            <v>ULAUNCHHY35WS-41</v>
          </cell>
          <cell r="B312">
            <v>9</v>
          </cell>
          <cell r="C312">
            <v>85</v>
          </cell>
          <cell r="D312">
            <v>50</v>
          </cell>
          <cell r="E312">
            <v>0.6</v>
          </cell>
          <cell r="F312">
            <v>311</v>
          </cell>
          <cell r="G312" t="str">
            <v>golf</v>
          </cell>
          <cell r="H312" t="str">
            <v>122*15*10</v>
          </cell>
          <cell r="I312">
            <v>122</v>
          </cell>
          <cell r="J312">
            <v>15</v>
          </cell>
          <cell r="K312">
            <v>10</v>
          </cell>
        </row>
        <row r="313">
          <cell r="A313" t="str">
            <v>ULAUNCHHY35WX-41</v>
          </cell>
          <cell r="B313">
            <v>9</v>
          </cell>
          <cell r="C313">
            <v>88</v>
          </cell>
          <cell r="D313">
            <v>50</v>
          </cell>
          <cell r="E313">
            <v>0.6</v>
          </cell>
          <cell r="F313">
            <v>312</v>
          </cell>
          <cell r="G313" t="str">
            <v>golf</v>
          </cell>
          <cell r="H313" t="str">
            <v>122*15*10</v>
          </cell>
          <cell r="I313">
            <v>122</v>
          </cell>
          <cell r="J313">
            <v>15</v>
          </cell>
          <cell r="K313">
            <v>10</v>
          </cell>
        </row>
        <row r="314">
          <cell r="A314" t="str">
            <v>ULAUNCHSEJW-40</v>
          </cell>
          <cell r="B314">
            <v>9</v>
          </cell>
          <cell r="C314">
            <v>61</v>
          </cell>
          <cell r="D314">
            <v>50</v>
          </cell>
          <cell r="E314">
            <v>0.6</v>
          </cell>
          <cell r="F314">
            <v>313</v>
          </cell>
          <cell r="G314" t="str">
            <v>golf</v>
          </cell>
          <cell r="H314" t="str">
            <v>122*15*10</v>
          </cell>
          <cell r="I314">
            <v>122</v>
          </cell>
          <cell r="J314">
            <v>15</v>
          </cell>
          <cell r="K314">
            <v>10</v>
          </cell>
        </row>
        <row r="315">
          <cell r="A315" t="str">
            <v>UPRLT3833WL-45</v>
          </cell>
          <cell r="B315">
            <v>9</v>
          </cell>
          <cell r="C315">
            <v>64</v>
          </cell>
          <cell r="D315">
            <v>50</v>
          </cell>
          <cell r="E315">
            <v>0.6</v>
          </cell>
          <cell r="F315">
            <v>314</v>
          </cell>
          <cell r="G315" t="str">
            <v>golf</v>
          </cell>
          <cell r="H315" t="str">
            <v>122*15*10</v>
          </cell>
          <cell r="I315">
            <v>122</v>
          </cell>
          <cell r="J315">
            <v>15</v>
          </cell>
          <cell r="K315">
            <v>10</v>
          </cell>
        </row>
        <row r="316">
          <cell r="A316" t="str">
            <v>UPRLT3833WR-45</v>
          </cell>
          <cell r="B316">
            <v>9</v>
          </cell>
          <cell r="C316">
            <v>72</v>
          </cell>
          <cell r="D316">
            <v>50</v>
          </cell>
          <cell r="E316">
            <v>0.6</v>
          </cell>
          <cell r="F316">
            <v>315</v>
          </cell>
          <cell r="G316" t="str">
            <v>golf</v>
          </cell>
          <cell r="H316" t="str">
            <v>122*15*10</v>
          </cell>
          <cell r="I316">
            <v>122</v>
          </cell>
          <cell r="J316">
            <v>15</v>
          </cell>
          <cell r="K316">
            <v>10</v>
          </cell>
        </row>
        <row r="317">
          <cell r="A317" t="str">
            <v>UPRLT3833WS-45</v>
          </cell>
          <cell r="B317">
            <v>9</v>
          </cell>
          <cell r="C317">
            <v>74</v>
          </cell>
          <cell r="D317">
            <v>50</v>
          </cell>
          <cell r="E317">
            <v>0.6</v>
          </cell>
          <cell r="F317">
            <v>316</v>
          </cell>
          <cell r="G317" t="str">
            <v>golf</v>
          </cell>
          <cell r="H317" t="str">
            <v>122*15*10</v>
          </cell>
          <cell r="I317">
            <v>122</v>
          </cell>
          <cell r="J317">
            <v>15</v>
          </cell>
          <cell r="K317">
            <v>10</v>
          </cell>
        </row>
        <row r="318">
          <cell r="A318" t="str">
            <v>UPRLTMX2P33WR-46</v>
          </cell>
          <cell r="B318">
            <v>9</v>
          </cell>
          <cell r="C318">
            <v>71</v>
          </cell>
          <cell r="D318">
            <v>25</v>
          </cell>
          <cell r="E318">
            <v>0.6</v>
          </cell>
          <cell r="F318">
            <v>317</v>
          </cell>
          <cell r="G318" t="str">
            <v>golf</v>
          </cell>
          <cell r="H318" t="str">
            <v>122*15*10</v>
          </cell>
          <cell r="I318">
            <v>122</v>
          </cell>
          <cell r="J318">
            <v>15</v>
          </cell>
          <cell r="K318">
            <v>10</v>
          </cell>
        </row>
        <row r="319">
          <cell r="A319" t="str">
            <v>UPRLTMX2P33WS-46</v>
          </cell>
          <cell r="B319">
            <v>9</v>
          </cell>
          <cell r="C319">
            <v>71</v>
          </cell>
          <cell r="D319">
            <v>25</v>
          </cell>
          <cell r="E319">
            <v>0.6</v>
          </cell>
          <cell r="F319">
            <v>318</v>
          </cell>
          <cell r="G319" t="str">
            <v>golf</v>
          </cell>
          <cell r="H319" t="str">
            <v>122*15*10</v>
          </cell>
          <cell r="I319">
            <v>122</v>
          </cell>
          <cell r="J319">
            <v>15</v>
          </cell>
          <cell r="K319">
            <v>10</v>
          </cell>
        </row>
        <row r="320">
          <cell r="A320" t="str">
            <v>UPRLTMX33WR-46</v>
          </cell>
          <cell r="B320">
            <v>9</v>
          </cell>
          <cell r="C320">
            <v>71</v>
          </cell>
          <cell r="D320">
            <v>50</v>
          </cell>
          <cell r="E320">
            <v>0.6</v>
          </cell>
          <cell r="F320">
            <v>319</v>
          </cell>
          <cell r="G320" t="str">
            <v>golf</v>
          </cell>
          <cell r="H320" t="str">
            <v>122*15*10</v>
          </cell>
          <cell r="I320">
            <v>122</v>
          </cell>
          <cell r="J320">
            <v>15</v>
          </cell>
          <cell r="K320">
            <v>10</v>
          </cell>
        </row>
        <row r="321">
          <cell r="A321" t="str">
            <v>UPRLTMX33WS-46</v>
          </cell>
          <cell r="B321">
            <v>9</v>
          </cell>
          <cell r="C321">
            <v>71</v>
          </cell>
          <cell r="D321">
            <v>50</v>
          </cell>
          <cell r="E321">
            <v>0.6</v>
          </cell>
          <cell r="F321">
            <v>320</v>
          </cell>
          <cell r="G321" t="str">
            <v>golf</v>
          </cell>
          <cell r="H321" t="str">
            <v>122*15*10</v>
          </cell>
          <cell r="I321">
            <v>122</v>
          </cell>
          <cell r="J321">
            <v>15</v>
          </cell>
          <cell r="K321">
            <v>10</v>
          </cell>
        </row>
        <row r="322">
          <cell r="A322" t="str">
            <v>USP33LWS-46</v>
          </cell>
          <cell r="B322">
            <v>9</v>
          </cell>
          <cell r="C322">
            <v>68</v>
          </cell>
          <cell r="D322">
            <v>50</v>
          </cell>
          <cell r="E322">
            <v>0.6</v>
          </cell>
          <cell r="F322">
            <v>321</v>
          </cell>
          <cell r="G322" t="str">
            <v>golf</v>
          </cell>
          <cell r="H322" t="str">
            <v>122*15*10</v>
          </cell>
          <cell r="I322">
            <v>122</v>
          </cell>
          <cell r="J322">
            <v>15</v>
          </cell>
          <cell r="K322">
            <v>10</v>
          </cell>
        </row>
        <row r="323">
          <cell r="A323" t="str">
            <v>BLU85IS-365</v>
          </cell>
          <cell r="B323">
            <v>9</v>
          </cell>
          <cell r="C323">
            <v>88</v>
          </cell>
          <cell r="D323">
            <v>50</v>
          </cell>
          <cell r="E323">
            <v>0.6</v>
          </cell>
          <cell r="F323">
            <v>322</v>
          </cell>
          <cell r="G323" t="str">
            <v>golf</v>
          </cell>
          <cell r="H323" t="str">
            <v>122*15*10</v>
          </cell>
          <cell r="I323">
            <v>122</v>
          </cell>
          <cell r="J323">
            <v>15</v>
          </cell>
          <cell r="K323">
            <v>10</v>
          </cell>
        </row>
        <row r="324">
          <cell r="A324" t="str">
            <v>BLU85IS-37</v>
          </cell>
          <cell r="B324">
            <v>9</v>
          </cell>
          <cell r="C324">
            <v>88</v>
          </cell>
          <cell r="D324">
            <v>50</v>
          </cell>
          <cell r="E324">
            <v>0.6</v>
          </cell>
          <cell r="F324">
            <v>323</v>
          </cell>
          <cell r="G324" t="str">
            <v>golf</v>
          </cell>
          <cell r="H324" t="str">
            <v>122*15*10</v>
          </cell>
          <cell r="I324">
            <v>122</v>
          </cell>
          <cell r="J324">
            <v>15</v>
          </cell>
          <cell r="K324">
            <v>10</v>
          </cell>
        </row>
        <row r="325">
          <cell r="A325" t="str">
            <v>BLU85IS-395</v>
          </cell>
          <cell r="B325">
            <v>9</v>
          </cell>
          <cell r="C325">
            <v>88</v>
          </cell>
          <cell r="D325">
            <v>50</v>
          </cell>
          <cell r="E325">
            <v>0.6</v>
          </cell>
          <cell r="F325">
            <v>324</v>
          </cell>
          <cell r="G325" t="str">
            <v>golf</v>
          </cell>
          <cell r="H325" t="str">
            <v>122*15*10</v>
          </cell>
          <cell r="I325">
            <v>122</v>
          </cell>
          <cell r="J325">
            <v>15</v>
          </cell>
          <cell r="K325">
            <v>10</v>
          </cell>
        </row>
        <row r="326">
          <cell r="A326" t="str">
            <v>BLU85IS-40</v>
          </cell>
          <cell r="B326">
            <v>9</v>
          </cell>
          <cell r="C326">
            <v>88</v>
          </cell>
          <cell r="D326">
            <v>50</v>
          </cell>
          <cell r="E326">
            <v>0.6</v>
          </cell>
          <cell r="F326">
            <v>325</v>
          </cell>
          <cell r="G326" t="str">
            <v>golf</v>
          </cell>
          <cell r="H326" t="str">
            <v>122*15*10</v>
          </cell>
          <cell r="I326">
            <v>122</v>
          </cell>
          <cell r="J326">
            <v>15</v>
          </cell>
          <cell r="K326">
            <v>10</v>
          </cell>
        </row>
        <row r="327">
          <cell r="A327" t="str">
            <v>BLU85IX-365</v>
          </cell>
          <cell r="B327">
            <v>9</v>
          </cell>
          <cell r="C327">
            <v>89</v>
          </cell>
          <cell r="D327">
            <v>50</v>
          </cell>
          <cell r="E327">
            <v>0.6</v>
          </cell>
          <cell r="F327">
            <v>326</v>
          </cell>
          <cell r="G327" t="str">
            <v>golf</v>
          </cell>
          <cell r="H327" t="str">
            <v>122*15*10</v>
          </cell>
          <cell r="I327">
            <v>122</v>
          </cell>
          <cell r="J327">
            <v>15</v>
          </cell>
          <cell r="K327">
            <v>10</v>
          </cell>
        </row>
        <row r="328">
          <cell r="A328" t="str">
            <v>BLU85IX-37</v>
          </cell>
          <cell r="B328">
            <v>9</v>
          </cell>
          <cell r="C328">
            <v>89</v>
          </cell>
          <cell r="D328">
            <v>50</v>
          </cell>
          <cell r="E328">
            <v>0.6</v>
          </cell>
          <cell r="F328">
            <v>327</v>
          </cell>
          <cell r="G328" t="str">
            <v>golf</v>
          </cell>
          <cell r="H328" t="str">
            <v>122*15*10</v>
          </cell>
          <cell r="I328">
            <v>122</v>
          </cell>
          <cell r="J328">
            <v>15</v>
          </cell>
          <cell r="K328">
            <v>10</v>
          </cell>
        </row>
        <row r="329">
          <cell r="A329" t="str">
            <v>BLU85IX-375</v>
          </cell>
          <cell r="B329">
            <v>9</v>
          </cell>
          <cell r="C329">
            <v>89</v>
          </cell>
          <cell r="D329">
            <v>50</v>
          </cell>
          <cell r="E329">
            <v>0.6</v>
          </cell>
          <cell r="F329">
            <v>328</v>
          </cell>
          <cell r="G329" t="str">
            <v>golf</v>
          </cell>
          <cell r="H329" t="str">
            <v>122*15*10</v>
          </cell>
          <cell r="I329">
            <v>122</v>
          </cell>
          <cell r="J329">
            <v>15</v>
          </cell>
          <cell r="K329">
            <v>10</v>
          </cell>
        </row>
        <row r="330">
          <cell r="A330" t="str">
            <v>BLU85IX-38</v>
          </cell>
          <cell r="B330">
            <v>9</v>
          </cell>
          <cell r="C330">
            <v>89</v>
          </cell>
          <cell r="D330">
            <v>50</v>
          </cell>
          <cell r="E330">
            <v>0.6</v>
          </cell>
          <cell r="F330">
            <v>329</v>
          </cell>
          <cell r="G330" t="str">
            <v>golf</v>
          </cell>
          <cell r="H330" t="str">
            <v>122*15*10</v>
          </cell>
          <cell r="I330">
            <v>122</v>
          </cell>
          <cell r="J330">
            <v>15</v>
          </cell>
          <cell r="K330">
            <v>10</v>
          </cell>
        </row>
        <row r="331">
          <cell r="A331" t="str">
            <v>BLU85IX-385</v>
          </cell>
          <cell r="B331">
            <v>9</v>
          </cell>
          <cell r="C331">
            <v>89</v>
          </cell>
          <cell r="D331">
            <v>50</v>
          </cell>
          <cell r="E331">
            <v>0.6</v>
          </cell>
          <cell r="F331">
            <v>330</v>
          </cell>
          <cell r="G331" t="str">
            <v>golf</v>
          </cell>
          <cell r="H331" t="str">
            <v>122*15*10</v>
          </cell>
          <cell r="I331">
            <v>122</v>
          </cell>
          <cell r="J331">
            <v>15</v>
          </cell>
          <cell r="K331">
            <v>10</v>
          </cell>
        </row>
        <row r="332">
          <cell r="A332" t="str">
            <v>BLU85IX-39</v>
          </cell>
          <cell r="B332">
            <v>9</v>
          </cell>
          <cell r="C332">
            <v>89</v>
          </cell>
          <cell r="D332">
            <v>50</v>
          </cell>
          <cell r="E332">
            <v>0.6</v>
          </cell>
          <cell r="F332">
            <v>331</v>
          </cell>
          <cell r="G332" t="str">
            <v>golf</v>
          </cell>
          <cell r="H332" t="str">
            <v>122*15*10</v>
          </cell>
          <cell r="I332">
            <v>122</v>
          </cell>
          <cell r="J332">
            <v>15</v>
          </cell>
          <cell r="K332">
            <v>10</v>
          </cell>
        </row>
        <row r="333">
          <cell r="A333" t="str">
            <v>BLU85IX-395</v>
          </cell>
          <cell r="B333">
            <v>9</v>
          </cell>
          <cell r="C333">
            <v>89</v>
          </cell>
          <cell r="D333">
            <v>50</v>
          </cell>
          <cell r="E333">
            <v>0.6</v>
          </cell>
          <cell r="F333">
            <v>332</v>
          </cell>
          <cell r="G333" t="str">
            <v>golf</v>
          </cell>
          <cell r="H333" t="str">
            <v>122*15*10</v>
          </cell>
          <cell r="I333">
            <v>122</v>
          </cell>
          <cell r="J333">
            <v>15</v>
          </cell>
          <cell r="K333">
            <v>10</v>
          </cell>
        </row>
        <row r="334">
          <cell r="A334" t="str">
            <v>HEX-ELIAS-L-050</v>
          </cell>
          <cell r="B334">
            <v>9</v>
          </cell>
          <cell r="C334">
            <v>248</v>
          </cell>
          <cell r="D334">
            <v>50</v>
          </cell>
          <cell r="F334">
            <v>333</v>
          </cell>
          <cell r="G334" t="str">
            <v>Shaft</v>
          </cell>
          <cell r="H334" t="str">
            <v>N/A</v>
          </cell>
          <cell r="I334" t="str">
            <v>N/A</v>
          </cell>
          <cell r="J334" t="str">
            <v>N/A</v>
          </cell>
          <cell r="K334" t="str">
            <v>N/A</v>
          </cell>
        </row>
        <row r="335">
          <cell r="A335" t="str">
            <v>HEX-ELIAS-R-050</v>
          </cell>
          <cell r="B335">
            <v>9</v>
          </cell>
          <cell r="C335">
            <v>248</v>
          </cell>
          <cell r="D335">
            <v>50</v>
          </cell>
          <cell r="F335">
            <v>334</v>
          </cell>
          <cell r="G335" t="str">
            <v>Shaft</v>
          </cell>
          <cell r="H335" t="str">
            <v>N/A</v>
          </cell>
          <cell r="I335" t="str">
            <v>N/A</v>
          </cell>
          <cell r="J335" t="str">
            <v>N/A</v>
          </cell>
          <cell r="K335" t="str">
            <v>N/A</v>
          </cell>
        </row>
        <row r="336">
          <cell r="A336" t="str">
            <v>HEX-HATCH-L-050</v>
          </cell>
          <cell r="B336">
            <v>9</v>
          </cell>
          <cell r="C336">
            <v>248</v>
          </cell>
          <cell r="D336">
            <v>50</v>
          </cell>
          <cell r="F336">
            <v>335</v>
          </cell>
          <cell r="G336" t="str">
            <v>Shaft</v>
          </cell>
          <cell r="H336" t="str">
            <v>N/A</v>
          </cell>
          <cell r="I336" t="str">
            <v>N/A</v>
          </cell>
          <cell r="J336" t="str">
            <v>N/A</v>
          </cell>
          <cell r="K336" t="str">
            <v>N/A</v>
          </cell>
        </row>
        <row r="337">
          <cell r="A337" t="str">
            <v>HEX-HATCH-R-050</v>
          </cell>
          <cell r="B337">
            <v>9</v>
          </cell>
          <cell r="C337">
            <v>248</v>
          </cell>
          <cell r="D337">
            <v>50</v>
          </cell>
          <cell r="F337">
            <v>336</v>
          </cell>
          <cell r="G337" t="str">
            <v>Shaft</v>
          </cell>
          <cell r="H337" t="str">
            <v>N/A</v>
          </cell>
          <cell r="I337" t="str">
            <v>N/A</v>
          </cell>
          <cell r="J337" t="str">
            <v>N/A</v>
          </cell>
          <cell r="K337" t="str">
            <v>N/A</v>
          </cell>
        </row>
        <row r="338">
          <cell r="A338" t="str">
            <v>SHR-FF3-09052P</v>
          </cell>
          <cell r="B338">
            <v>9</v>
          </cell>
          <cell r="C338">
            <v>320</v>
          </cell>
          <cell r="D338">
            <v>50</v>
          </cell>
          <cell r="E338">
            <v>1.48</v>
          </cell>
          <cell r="F338">
            <v>337</v>
          </cell>
          <cell r="G338" t="str">
            <v>Shaft</v>
          </cell>
          <cell r="H338" t="str">
            <v>145*29*16</v>
          </cell>
          <cell r="I338">
            <v>145</v>
          </cell>
          <cell r="J338">
            <v>29</v>
          </cell>
          <cell r="K338">
            <v>16</v>
          </cell>
        </row>
        <row r="339">
          <cell r="A339" t="str">
            <v>TAQEL-1125-ST-OX-70044</v>
          </cell>
          <cell r="B339">
            <v>9</v>
          </cell>
          <cell r="C339">
            <v>450</v>
          </cell>
          <cell r="D339">
            <v>1</v>
          </cell>
          <cell r="E339">
            <v>0.5</v>
          </cell>
          <cell r="F339">
            <v>338</v>
          </cell>
          <cell r="G339" t="str">
            <v>fork1</v>
          </cell>
          <cell r="H339" t="str">
            <v>89*14*9</v>
          </cell>
          <cell r="I339">
            <v>89</v>
          </cell>
          <cell r="J339">
            <v>14</v>
          </cell>
          <cell r="K339">
            <v>9</v>
          </cell>
        </row>
        <row r="340">
          <cell r="A340" t="str">
            <v>TAQEX-1125-ST-CB-70044</v>
          </cell>
          <cell r="B340">
            <v>9</v>
          </cell>
          <cell r="C340">
            <v>430</v>
          </cell>
          <cell r="D340">
            <v>1</v>
          </cell>
          <cell r="E340">
            <v>0.5</v>
          </cell>
          <cell r="F340">
            <v>339</v>
          </cell>
          <cell r="G340" t="str">
            <v>fork</v>
          </cell>
          <cell r="H340" t="str">
            <v>89*14*9</v>
          </cell>
          <cell r="I340">
            <v>89</v>
          </cell>
          <cell r="J340">
            <v>14</v>
          </cell>
          <cell r="K340">
            <v>9</v>
          </cell>
        </row>
        <row r="341">
          <cell r="A341" t="str">
            <v>ULAUNCH145TS-46</v>
          </cell>
          <cell r="B341">
            <v>9</v>
          </cell>
          <cell r="C341">
            <v>99</v>
          </cell>
          <cell r="D341">
            <v>50</v>
          </cell>
          <cell r="E341">
            <v>0.6</v>
          </cell>
          <cell r="F341">
            <v>340</v>
          </cell>
          <cell r="G341" t="str">
            <v>golf</v>
          </cell>
          <cell r="H341" t="str">
            <v>122*15*10</v>
          </cell>
          <cell r="I341">
            <v>122</v>
          </cell>
          <cell r="J341">
            <v>15</v>
          </cell>
          <cell r="K341">
            <v>10</v>
          </cell>
        </row>
        <row r="342">
          <cell r="A342" t="str">
            <v>ULAUNCHSEJI-37</v>
          </cell>
          <cell r="B342">
            <v>9</v>
          </cell>
          <cell r="C342">
            <v>60</v>
          </cell>
          <cell r="D342">
            <v>50</v>
          </cell>
          <cell r="E342">
            <v>0.6</v>
          </cell>
          <cell r="F342">
            <v>341</v>
          </cell>
          <cell r="G342" t="str">
            <v>golf</v>
          </cell>
          <cell r="H342" t="str">
            <v>122*15*10</v>
          </cell>
          <cell r="I342">
            <v>122</v>
          </cell>
          <cell r="J342">
            <v>15</v>
          </cell>
          <cell r="K342">
            <v>10</v>
          </cell>
        </row>
        <row r="343">
          <cell r="A343" t="str">
            <v>UMK33FWX2-44</v>
          </cell>
          <cell r="B343">
            <v>9</v>
          </cell>
          <cell r="C343">
            <v>88</v>
          </cell>
          <cell r="D343">
            <v>50</v>
          </cell>
          <cell r="E343">
            <v>0.6</v>
          </cell>
          <cell r="F343">
            <v>342</v>
          </cell>
          <cell r="G343" t="str">
            <v>golf</v>
          </cell>
          <cell r="H343" t="str">
            <v>122*15*10</v>
          </cell>
          <cell r="I343">
            <v>122</v>
          </cell>
          <cell r="J343">
            <v>15</v>
          </cell>
          <cell r="K343">
            <v>10</v>
          </cell>
        </row>
        <row r="344">
          <cell r="A344" t="str">
            <v>UPRLTMX2P33WC-46</v>
          </cell>
          <cell r="B344">
            <v>9</v>
          </cell>
          <cell r="C344">
            <v>79.989999999999995</v>
          </cell>
          <cell r="D344">
            <v>25</v>
          </cell>
          <cell r="E344">
            <v>0.6</v>
          </cell>
          <cell r="F344">
            <v>343</v>
          </cell>
          <cell r="G344" t="str">
            <v>golf</v>
          </cell>
          <cell r="H344" t="str">
            <v>122*15*10</v>
          </cell>
          <cell r="I344">
            <v>122</v>
          </cell>
          <cell r="J344">
            <v>15</v>
          </cell>
          <cell r="K344">
            <v>10</v>
          </cell>
        </row>
        <row r="345">
          <cell r="A345" t="str">
            <v>UPTM2TWA-46</v>
          </cell>
          <cell r="B345">
            <v>9</v>
          </cell>
          <cell r="C345">
            <v>65</v>
          </cell>
          <cell r="D345">
            <v>50</v>
          </cell>
          <cell r="E345">
            <v>0.6</v>
          </cell>
          <cell r="F345">
            <v>344</v>
          </cell>
          <cell r="G345" t="str">
            <v>golf</v>
          </cell>
          <cell r="H345" t="str">
            <v>122*15*10</v>
          </cell>
          <cell r="I345">
            <v>122</v>
          </cell>
          <cell r="J345">
            <v>15</v>
          </cell>
          <cell r="K345">
            <v>10</v>
          </cell>
        </row>
        <row r="346">
          <cell r="A346" t="str">
            <v>UPTM2TWR-46</v>
          </cell>
          <cell r="B346">
            <v>9</v>
          </cell>
          <cell r="C346">
            <v>66</v>
          </cell>
          <cell r="D346">
            <v>50</v>
          </cell>
          <cell r="E346">
            <v>0.6</v>
          </cell>
          <cell r="F346">
            <v>345</v>
          </cell>
          <cell r="G346" t="str">
            <v>golf</v>
          </cell>
          <cell r="H346" t="str">
            <v>122*15*10</v>
          </cell>
          <cell r="I346">
            <v>122</v>
          </cell>
          <cell r="J346">
            <v>15</v>
          </cell>
          <cell r="K346">
            <v>10</v>
          </cell>
        </row>
        <row r="347">
          <cell r="A347" t="str">
            <v>BAL-ULTRA-08052</v>
          </cell>
          <cell r="B347">
            <v>9</v>
          </cell>
          <cell r="C347">
            <v>320</v>
          </cell>
          <cell r="D347">
            <v>50</v>
          </cell>
          <cell r="E347">
            <v>1.48</v>
          </cell>
          <cell r="F347">
            <v>346</v>
          </cell>
          <cell r="G347" t="str">
            <v>Shaft</v>
          </cell>
          <cell r="H347" t="str">
            <v>145*29*16</v>
          </cell>
          <cell r="I347">
            <v>145</v>
          </cell>
          <cell r="J347">
            <v>29</v>
          </cell>
          <cell r="K347">
            <v>16</v>
          </cell>
        </row>
        <row r="348">
          <cell r="A348" t="str">
            <v>BAL-ULTRA-09052</v>
          </cell>
          <cell r="B348">
            <v>9</v>
          </cell>
          <cell r="C348">
            <v>320</v>
          </cell>
          <cell r="D348">
            <v>50</v>
          </cell>
          <cell r="E348">
            <v>1.48</v>
          </cell>
          <cell r="F348">
            <v>347</v>
          </cell>
          <cell r="G348" t="str">
            <v>Shaft</v>
          </cell>
          <cell r="H348" t="str">
            <v>145*29*16</v>
          </cell>
          <cell r="I348">
            <v>145</v>
          </cell>
          <cell r="J348">
            <v>29</v>
          </cell>
          <cell r="K348">
            <v>16</v>
          </cell>
        </row>
        <row r="349">
          <cell r="A349" t="str">
            <v>BAL-ULTRA-10052</v>
          </cell>
          <cell r="B349">
            <v>9</v>
          </cell>
          <cell r="C349">
            <v>320</v>
          </cell>
          <cell r="D349">
            <v>50</v>
          </cell>
          <cell r="E349">
            <v>1.48</v>
          </cell>
          <cell r="F349">
            <v>348</v>
          </cell>
          <cell r="G349" t="str">
            <v>Shaft</v>
          </cell>
          <cell r="H349" t="str">
            <v>145*29*16</v>
          </cell>
          <cell r="I349">
            <v>145</v>
          </cell>
          <cell r="J349">
            <v>29</v>
          </cell>
          <cell r="K349">
            <v>16</v>
          </cell>
        </row>
        <row r="350">
          <cell r="A350" t="str">
            <v>BAL-ULTRA-11052</v>
          </cell>
          <cell r="B350">
            <v>9</v>
          </cell>
          <cell r="C350">
            <v>320</v>
          </cell>
          <cell r="D350">
            <v>50</v>
          </cell>
          <cell r="E350">
            <v>1.48</v>
          </cell>
          <cell r="F350">
            <v>349</v>
          </cell>
          <cell r="G350" t="str">
            <v>Shaft</v>
          </cell>
          <cell r="H350" t="str">
            <v>145*29*16</v>
          </cell>
          <cell r="I350">
            <v>145</v>
          </cell>
          <cell r="J350">
            <v>29</v>
          </cell>
          <cell r="K350">
            <v>16</v>
          </cell>
        </row>
        <row r="351">
          <cell r="A351" t="str">
            <v>BLU85IS-405</v>
          </cell>
          <cell r="B351">
            <v>9</v>
          </cell>
          <cell r="C351">
            <v>88</v>
          </cell>
          <cell r="D351">
            <v>50</v>
          </cell>
          <cell r="E351">
            <v>0.6</v>
          </cell>
          <cell r="F351">
            <v>350</v>
          </cell>
          <cell r="G351" t="str">
            <v>golf</v>
          </cell>
          <cell r="H351" t="str">
            <v>122*15*10</v>
          </cell>
          <cell r="I351">
            <v>122</v>
          </cell>
          <cell r="J351">
            <v>15</v>
          </cell>
          <cell r="K351">
            <v>10</v>
          </cell>
        </row>
        <row r="352">
          <cell r="A352" t="str">
            <v>BLU85IX-405</v>
          </cell>
          <cell r="B352">
            <v>9</v>
          </cell>
          <cell r="C352">
            <v>89</v>
          </cell>
          <cell r="D352">
            <v>50</v>
          </cell>
          <cell r="E352">
            <v>0.6</v>
          </cell>
          <cell r="F352">
            <v>351</v>
          </cell>
          <cell r="G352" t="str">
            <v>golf</v>
          </cell>
          <cell r="H352" t="str">
            <v>122*15*10</v>
          </cell>
          <cell r="I352">
            <v>122</v>
          </cell>
          <cell r="J352">
            <v>15</v>
          </cell>
          <cell r="K352">
            <v>10</v>
          </cell>
        </row>
        <row r="353">
          <cell r="A353" t="str">
            <v>HEX-ELIAS-L-075</v>
          </cell>
          <cell r="B353">
            <v>9</v>
          </cell>
          <cell r="C353">
            <v>282</v>
          </cell>
          <cell r="D353">
            <v>50</v>
          </cell>
          <cell r="F353">
            <v>352</v>
          </cell>
          <cell r="G353" t="str">
            <v>Shaft</v>
          </cell>
          <cell r="H353" t="str">
            <v>N/A</v>
          </cell>
          <cell r="I353" t="str">
            <v>N/A</v>
          </cell>
          <cell r="J353" t="str">
            <v>N/A</v>
          </cell>
          <cell r="K353" t="str">
            <v>N/A</v>
          </cell>
        </row>
        <row r="354">
          <cell r="A354" t="str">
            <v>HEX-ELIAS-R-075</v>
          </cell>
          <cell r="B354">
            <v>9</v>
          </cell>
          <cell r="C354">
            <v>282</v>
          </cell>
          <cell r="D354">
            <v>50</v>
          </cell>
          <cell r="F354">
            <v>353</v>
          </cell>
          <cell r="G354" t="str">
            <v>Shaft</v>
          </cell>
          <cell r="H354" t="str">
            <v>N/A</v>
          </cell>
          <cell r="I354" t="str">
            <v>N/A</v>
          </cell>
          <cell r="J354" t="str">
            <v>N/A</v>
          </cell>
          <cell r="K354" t="str">
            <v>N/A</v>
          </cell>
        </row>
        <row r="355">
          <cell r="A355" t="str">
            <v>HEX-HATCH-L-075</v>
          </cell>
          <cell r="B355">
            <v>9</v>
          </cell>
          <cell r="C355">
            <v>282</v>
          </cell>
          <cell r="D355">
            <v>50</v>
          </cell>
          <cell r="F355">
            <v>354</v>
          </cell>
          <cell r="G355" t="str">
            <v>Shaft</v>
          </cell>
          <cell r="H355" t="str">
            <v>N/A</v>
          </cell>
          <cell r="I355" t="str">
            <v>N/A</v>
          </cell>
          <cell r="J355" t="str">
            <v>N/A</v>
          </cell>
          <cell r="K355" t="str">
            <v>N/A</v>
          </cell>
        </row>
        <row r="356">
          <cell r="A356" t="str">
            <v>HEX-HATCH-R-075</v>
          </cell>
          <cell r="B356">
            <v>9</v>
          </cell>
          <cell r="C356">
            <v>282</v>
          </cell>
          <cell r="D356">
            <v>50</v>
          </cell>
          <cell r="F356">
            <v>355</v>
          </cell>
          <cell r="G356" t="str">
            <v>Shaft</v>
          </cell>
          <cell r="H356" t="str">
            <v>N/A</v>
          </cell>
          <cell r="I356" t="str">
            <v>N/A</v>
          </cell>
          <cell r="J356" t="str">
            <v>N/A</v>
          </cell>
          <cell r="K356" t="str">
            <v>N/A</v>
          </cell>
        </row>
        <row r="357">
          <cell r="A357" t="str">
            <v>HEX-HULL-L-050</v>
          </cell>
          <cell r="B357">
            <v>9</v>
          </cell>
          <cell r="C357">
            <v>248</v>
          </cell>
          <cell r="D357">
            <v>50</v>
          </cell>
          <cell r="F357">
            <v>356</v>
          </cell>
          <cell r="G357" t="str">
            <v>Shaft</v>
          </cell>
          <cell r="H357" t="str">
            <v>N/A</v>
          </cell>
          <cell r="I357" t="str">
            <v>N/A</v>
          </cell>
          <cell r="J357" t="str">
            <v>N/A</v>
          </cell>
          <cell r="K357" t="str">
            <v>N/A</v>
          </cell>
        </row>
        <row r="358">
          <cell r="A358" t="str">
            <v>HEX-HULL-L-075</v>
          </cell>
          <cell r="B358">
            <v>9</v>
          </cell>
          <cell r="C358">
            <v>282</v>
          </cell>
          <cell r="D358">
            <v>50</v>
          </cell>
          <cell r="F358">
            <v>357</v>
          </cell>
          <cell r="G358" t="str">
            <v>Shaft</v>
          </cell>
          <cell r="H358" t="str">
            <v>N/A</v>
          </cell>
          <cell r="I358" t="str">
            <v>N/A</v>
          </cell>
          <cell r="J358" t="str">
            <v>N/A</v>
          </cell>
          <cell r="K358" t="str">
            <v>N/A</v>
          </cell>
        </row>
        <row r="359">
          <cell r="A359" t="str">
            <v>HEX-HULL-R-050</v>
          </cell>
          <cell r="B359">
            <v>9</v>
          </cell>
          <cell r="C359">
            <v>248</v>
          </cell>
          <cell r="D359">
            <v>50</v>
          </cell>
          <cell r="F359">
            <v>358</v>
          </cell>
          <cell r="G359" t="str">
            <v>Shaft</v>
          </cell>
          <cell r="H359" t="str">
            <v>N/A</v>
          </cell>
          <cell r="I359" t="str">
            <v>N/A</v>
          </cell>
          <cell r="J359" t="str">
            <v>N/A</v>
          </cell>
          <cell r="K359" t="str">
            <v>N/A</v>
          </cell>
        </row>
        <row r="360">
          <cell r="A360" t="str">
            <v>HEX-HULL-R-075</v>
          </cell>
          <cell r="B360">
            <v>9</v>
          </cell>
          <cell r="C360">
            <v>282</v>
          </cell>
          <cell r="D360">
            <v>50</v>
          </cell>
          <cell r="F360">
            <v>359</v>
          </cell>
          <cell r="G360" t="str">
            <v>Shaft</v>
          </cell>
          <cell r="H360" t="str">
            <v>N/A</v>
          </cell>
          <cell r="I360" t="str">
            <v>N/A</v>
          </cell>
          <cell r="J360" t="str">
            <v>N/A</v>
          </cell>
          <cell r="K360" t="str">
            <v>N/A</v>
          </cell>
        </row>
        <row r="361">
          <cell r="A361" t="str">
            <v>SHR-CBY-11048P</v>
          </cell>
          <cell r="B361">
            <v>9</v>
          </cell>
          <cell r="C361">
            <v>301</v>
          </cell>
          <cell r="D361">
            <v>50</v>
          </cell>
          <cell r="E361">
            <v>1.48</v>
          </cell>
          <cell r="F361">
            <v>360</v>
          </cell>
          <cell r="G361" t="str">
            <v>Shaft</v>
          </cell>
          <cell r="H361" t="str">
            <v>145*29*16</v>
          </cell>
          <cell r="I361">
            <v>145</v>
          </cell>
          <cell r="J361">
            <v>29</v>
          </cell>
          <cell r="K361">
            <v>16</v>
          </cell>
        </row>
        <row r="362">
          <cell r="A362" t="str">
            <v>UPTM2TWS-46</v>
          </cell>
          <cell r="B362">
            <v>9</v>
          </cell>
          <cell r="C362">
            <v>68</v>
          </cell>
          <cell r="D362">
            <v>50</v>
          </cell>
          <cell r="E362">
            <v>0.6</v>
          </cell>
          <cell r="F362">
            <v>361</v>
          </cell>
          <cell r="G362" t="str">
            <v>golf</v>
          </cell>
          <cell r="H362" t="str">
            <v>122*15*10</v>
          </cell>
          <cell r="I362">
            <v>122</v>
          </cell>
          <cell r="J362">
            <v>15</v>
          </cell>
          <cell r="K362">
            <v>10</v>
          </cell>
        </row>
        <row r="363">
          <cell r="A363" t="str">
            <v>BLU85IR-405</v>
          </cell>
          <cell r="B363">
            <v>9</v>
          </cell>
          <cell r="C363">
            <v>87</v>
          </cell>
          <cell r="D363">
            <v>50</v>
          </cell>
          <cell r="E363">
            <v>0.6</v>
          </cell>
          <cell r="F363">
            <v>362</v>
          </cell>
          <cell r="G363" t="str">
            <v>golf</v>
          </cell>
          <cell r="H363" t="str">
            <v>122*15*10</v>
          </cell>
          <cell r="I363">
            <v>122</v>
          </cell>
          <cell r="J363">
            <v>15</v>
          </cell>
          <cell r="K363">
            <v>10</v>
          </cell>
        </row>
        <row r="364">
          <cell r="A364" t="str">
            <v>TAQA-1125-ST-CB-70043</v>
          </cell>
          <cell r="B364">
            <v>9</v>
          </cell>
          <cell r="C364">
            <v>480</v>
          </cell>
          <cell r="D364">
            <v>1</v>
          </cell>
          <cell r="E364">
            <v>0.5</v>
          </cell>
          <cell r="F364">
            <v>363</v>
          </cell>
          <cell r="G364" t="str">
            <v>fork</v>
          </cell>
          <cell r="H364" t="str">
            <v>89*14*9</v>
          </cell>
          <cell r="I364">
            <v>89</v>
          </cell>
          <cell r="J364">
            <v>14</v>
          </cell>
          <cell r="K364">
            <v>9</v>
          </cell>
        </row>
        <row r="365">
          <cell r="A365" t="str">
            <v>TAQS3-1125-ST-CB-70044</v>
          </cell>
          <cell r="B365">
            <v>9</v>
          </cell>
          <cell r="C365">
            <v>370</v>
          </cell>
          <cell r="D365">
            <v>1</v>
          </cell>
          <cell r="E365">
            <v>0.5</v>
          </cell>
          <cell r="F365">
            <v>364</v>
          </cell>
          <cell r="G365" t="str">
            <v>fork</v>
          </cell>
          <cell r="H365" t="str">
            <v>89*14*9</v>
          </cell>
          <cell r="I365">
            <v>89</v>
          </cell>
          <cell r="J365">
            <v>14</v>
          </cell>
          <cell r="K365">
            <v>9</v>
          </cell>
        </row>
        <row r="366">
          <cell r="A366" t="str">
            <v>TAQZ-1125-ST-CB-70041</v>
          </cell>
          <cell r="B366">
            <v>9</v>
          </cell>
          <cell r="C366">
            <v>370</v>
          </cell>
          <cell r="D366">
            <v>1</v>
          </cell>
          <cell r="E366">
            <v>0.5</v>
          </cell>
          <cell r="F366">
            <v>365</v>
          </cell>
          <cell r="G366" t="str">
            <v>fork</v>
          </cell>
          <cell r="H366" t="str">
            <v>89*14*9</v>
          </cell>
          <cell r="I366">
            <v>89</v>
          </cell>
          <cell r="J366">
            <v>14</v>
          </cell>
          <cell r="K366">
            <v>9</v>
          </cell>
        </row>
        <row r="367">
          <cell r="A367" t="str">
            <v>UAGT75WR-45</v>
          </cell>
          <cell r="B367">
            <v>9</v>
          </cell>
          <cell r="C367">
            <v>74</v>
          </cell>
          <cell r="D367">
            <v>50</v>
          </cell>
          <cell r="E367">
            <v>0.6</v>
          </cell>
          <cell r="F367">
            <v>366</v>
          </cell>
          <cell r="G367" t="str">
            <v>golf</v>
          </cell>
          <cell r="H367" t="str">
            <v>122*15*10</v>
          </cell>
          <cell r="I367">
            <v>122</v>
          </cell>
          <cell r="J367">
            <v>15</v>
          </cell>
          <cell r="K367">
            <v>10</v>
          </cell>
        </row>
        <row r="368">
          <cell r="A368" t="str">
            <v>ULAUNCH145MTR-46</v>
          </cell>
          <cell r="B368">
            <v>9</v>
          </cell>
          <cell r="C368">
            <v>77</v>
          </cell>
          <cell r="D368">
            <v>50</v>
          </cell>
          <cell r="E368">
            <v>0.6</v>
          </cell>
          <cell r="F368">
            <v>367</v>
          </cell>
          <cell r="G368" t="str">
            <v>golf</v>
          </cell>
          <cell r="H368" t="str">
            <v>122*15*10</v>
          </cell>
          <cell r="I368">
            <v>122</v>
          </cell>
          <cell r="J368">
            <v>15</v>
          </cell>
          <cell r="K368">
            <v>10</v>
          </cell>
        </row>
        <row r="369">
          <cell r="A369" t="str">
            <v>UW430PFR-44</v>
          </cell>
          <cell r="B369">
            <v>9</v>
          </cell>
          <cell r="C369">
            <v>78</v>
          </cell>
          <cell r="D369">
            <v>50</v>
          </cell>
          <cell r="E369">
            <v>0.6</v>
          </cell>
          <cell r="F369">
            <v>368</v>
          </cell>
          <cell r="G369" t="str">
            <v>golf</v>
          </cell>
          <cell r="H369" t="str">
            <v>122*15*10</v>
          </cell>
          <cell r="I369">
            <v>122</v>
          </cell>
          <cell r="J369">
            <v>15</v>
          </cell>
          <cell r="K369">
            <v>10</v>
          </cell>
        </row>
        <row r="370">
          <cell r="A370" t="str">
            <v>UAGT75WS-45</v>
          </cell>
          <cell r="B370">
            <v>9</v>
          </cell>
          <cell r="C370">
            <v>76</v>
          </cell>
          <cell r="D370">
            <v>50</v>
          </cell>
          <cell r="E370">
            <v>0.6</v>
          </cell>
          <cell r="F370">
            <v>369</v>
          </cell>
          <cell r="G370" t="str">
            <v>golf</v>
          </cell>
          <cell r="H370" t="str">
            <v>122*15*10</v>
          </cell>
          <cell r="I370">
            <v>122</v>
          </cell>
          <cell r="J370">
            <v>15</v>
          </cell>
          <cell r="K370">
            <v>10</v>
          </cell>
        </row>
        <row r="371">
          <cell r="A371" t="str">
            <v>UW430PFA-44</v>
          </cell>
          <cell r="B371">
            <v>9</v>
          </cell>
          <cell r="C371">
            <v>80</v>
          </cell>
          <cell r="D371">
            <v>50</v>
          </cell>
          <cell r="E371">
            <v>0.6</v>
          </cell>
          <cell r="F371">
            <v>370</v>
          </cell>
          <cell r="G371" t="str">
            <v>golf</v>
          </cell>
          <cell r="H371" t="str">
            <v>122*15*10</v>
          </cell>
          <cell r="I371">
            <v>122</v>
          </cell>
          <cell r="J371">
            <v>15</v>
          </cell>
          <cell r="K371">
            <v>10</v>
          </cell>
        </row>
        <row r="372">
          <cell r="A372" t="str">
            <v>AQTB1000-30</v>
          </cell>
          <cell r="B372">
            <v>9</v>
          </cell>
          <cell r="C372">
            <v>0</v>
          </cell>
          <cell r="D372">
            <v>0</v>
          </cell>
          <cell r="F372">
            <v>371</v>
          </cell>
          <cell r="G372" t="str">
            <v>steer tube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A373" t="str">
            <v>AQTB1125-30</v>
          </cell>
          <cell r="B373">
            <v>9</v>
          </cell>
          <cell r="C373">
            <v>0</v>
          </cell>
          <cell r="D373">
            <v>0</v>
          </cell>
          <cell r="F373">
            <v>372</v>
          </cell>
          <cell r="G373" t="str">
            <v>steer tube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AQTB1125-TAN</v>
          </cell>
          <cell r="B374">
            <v>9</v>
          </cell>
          <cell r="C374">
            <v>0</v>
          </cell>
          <cell r="D374">
            <v>0</v>
          </cell>
          <cell r="F374">
            <v>373</v>
          </cell>
          <cell r="G374" t="str">
            <v>steer tube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CCM-VS-09052</v>
          </cell>
          <cell r="B375">
            <v>9</v>
          </cell>
          <cell r="C375">
            <v>320</v>
          </cell>
          <cell r="D375">
            <v>50</v>
          </cell>
          <cell r="E375">
            <v>1.48</v>
          </cell>
          <cell r="F375">
            <v>374</v>
          </cell>
          <cell r="G375" t="str">
            <v>Shaft</v>
          </cell>
          <cell r="H375" t="str">
            <v>145*29*16</v>
          </cell>
          <cell r="I375">
            <v>145</v>
          </cell>
          <cell r="J375">
            <v>29</v>
          </cell>
          <cell r="K375">
            <v>16</v>
          </cell>
        </row>
        <row r="376">
          <cell r="A376" t="str">
            <v>HEX-HULL-L-100-G</v>
          </cell>
          <cell r="B376">
            <v>9</v>
          </cell>
          <cell r="C376">
            <v>305</v>
          </cell>
          <cell r="D376">
            <v>50</v>
          </cell>
          <cell r="F376">
            <v>375</v>
          </cell>
          <cell r="G376" t="str">
            <v>Shaft</v>
          </cell>
          <cell r="H376" t="str">
            <v>N/A</v>
          </cell>
          <cell r="I376" t="str">
            <v>N/A</v>
          </cell>
          <cell r="J376" t="str">
            <v>N/A</v>
          </cell>
          <cell r="K376" t="str">
            <v>N/A</v>
          </cell>
        </row>
        <row r="377">
          <cell r="A377" t="str">
            <v>TAQZ-1125-ST-CB-70044</v>
          </cell>
          <cell r="B377">
            <v>9</v>
          </cell>
          <cell r="C377">
            <v>548</v>
          </cell>
          <cell r="D377">
            <v>1</v>
          </cell>
          <cell r="E377">
            <v>0.5</v>
          </cell>
          <cell r="F377">
            <v>376</v>
          </cell>
          <cell r="G377" t="str">
            <v>fork</v>
          </cell>
          <cell r="H377" t="str">
            <v>89*14*9</v>
          </cell>
          <cell r="I377">
            <v>89</v>
          </cell>
          <cell r="J377">
            <v>14</v>
          </cell>
          <cell r="K377">
            <v>9</v>
          </cell>
        </row>
        <row r="378">
          <cell r="A378" t="str">
            <v>UBLUPNTHY33WR-44</v>
          </cell>
          <cell r="B378">
            <v>9</v>
          </cell>
          <cell r="C378">
            <v>75</v>
          </cell>
          <cell r="D378">
            <v>50</v>
          </cell>
          <cell r="E378">
            <v>0.6</v>
          </cell>
          <cell r="F378">
            <v>377</v>
          </cell>
          <cell r="G378" t="str">
            <v>golf</v>
          </cell>
          <cell r="H378" t="str">
            <v>122*15*10</v>
          </cell>
          <cell r="I378">
            <v>122</v>
          </cell>
          <cell r="J378">
            <v>15</v>
          </cell>
          <cell r="K378">
            <v>10</v>
          </cell>
        </row>
        <row r="379">
          <cell r="A379" t="str">
            <v>UBLUPNTHY33WS-44</v>
          </cell>
          <cell r="B379">
            <v>9</v>
          </cell>
          <cell r="C379">
            <v>75</v>
          </cell>
          <cell r="D379">
            <v>50</v>
          </cell>
          <cell r="E379">
            <v>0.6</v>
          </cell>
          <cell r="F379">
            <v>378</v>
          </cell>
          <cell r="G379" t="str">
            <v>golf</v>
          </cell>
          <cell r="H379" t="str">
            <v>122*15*10</v>
          </cell>
          <cell r="I379">
            <v>122</v>
          </cell>
          <cell r="J379">
            <v>15</v>
          </cell>
          <cell r="K379">
            <v>10</v>
          </cell>
        </row>
        <row r="380">
          <cell r="A380" t="str">
            <v>ULAUNCHADWS-46</v>
          </cell>
          <cell r="B380">
            <v>9</v>
          </cell>
          <cell r="C380">
            <v>70</v>
          </cell>
          <cell r="D380">
            <v>50</v>
          </cell>
          <cell r="E380">
            <v>0.6</v>
          </cell>
          <cell r="F380">
            <v>379</v>
          </cell>
          <cell r="G380" t="str">
            <v>golf</v>
          </cell>
          <cell r="H380" t="str">
            <v>122*15*10</v>
          </cell>
          <cell r="I380">
            <v>122</v>
          </cell>
          <cell r="J380">
            <v>15</v>
          </cell>
          <cell r="K380">
            <v>10</v>
          </cell>
        </row>
        <row r="381">
          <cell r="A381" t="str">
            <v>UWFS4WR-47</v>
          </cell>
          <cell r="B381">
            <v>9</v>
          </cell>
          <cell r="C381">
            <v>69</v>
          </cell>
          <cell r="D381">
            <v>50</v>
          </cell>
          <cell r="E381">
            <v>0.6</v>
          </cell>
          <cell r="F381">
            <v>380</v>
          </cell>
          <cell r="G381" t="str">
            <v>golf</v>
          </cell>
          <cell r="H381" t="str">
            <v>122*15*10</v>
          </cell>
          <cell r="I381">
            <v>122</v>
          </cell>
          <cell r="J381">
            <v>15</v>
          </cell>
          <cell r="K381">
            <v>10</v>
          </cell>
        </row>
        <row r="382">
          <cell r="A382" t="str">
            <v>BAL-SQGL-09052</v>
          </cell>
          <cell r="B382">
            <v>9</v>
          </cell>
          <cell r="C382">
            <v>335</v>
          </cell>
          <cell r="D382">
            <v>50</v>
          </cell>
          <cell r="E382">
            <v>1.48</v>
          </cell>
          <cell r="F382">
            <v>381</v>
          </cell>
          <cell r="G382" t="str">
            <v>Shaft</v>
          </cell>
          <cell r="H382" t="str">
            <v>145*29*16</v>
          </cell>
          <cell r="I382">
            <v>145</v>
          </cell>
          <cell r="J382">
            <v>29</v>
          </cell>
          <cell r="K382">
            <v>16</v>
          </cell>
        </row>
        <row r="383">
          <cell r="A383" t="str">
            <v>BAL-SQGL-10052</v>
          </cell>
          <cell r="B383">
            <v>9</v>
          </cell>
          <cell r="C383">
            <v>341</v>
          </cell>
          <cell r="D383">
            <v>50</v>
          </cell>
          <cell r="E383">
            <v>1.48</v>
          </cell>
          <cell r="F383">
            <v>382</v>
          </cell>
          <cell r="G383" t="str">
            <v>Shaft</v>
          </cell>
          <cell r="H383" t="str">
            <v>145*29*16</v>
          </cell>
          <cell r="I383">
            <v>145</v>
          </cell>
          <cell r="J383">
            <v>29</v>
          </cell>
          <cell r="K383">
            <v>16</v>
          </cell>
        </row>
        <row r="384">
          <cell r="A384" t="str">
            <v>BAL-SQRB-09052</v>
          </cell>
          <cell r="B384">
            <v>9</v>
          </cell>
          <cell r="C384">
            <v>320</v>
          </cell>
          <cell r="D384">
            <v>50</v>
          </cell>
          <cell r="E384">
            <v>1.48</v>
          </cell>
          <cell r="F384">
            <v>383</v>
          </cell>
          <cell r="G384" t="str">
            <v>Shaft</v>
          </cell>
          <cell r="H384" t="str">
            <v>145*29*16</v>
          </cell>
          <cell r="I384">
            <v>145</v>
          </cell>
          <cell r="J384">
            <v>29</v>
          </cell>
          <cell r="K384">
            <v>16</v>
          </cell>
        </row>
        <row r="385">
          <cell r="A385" t="str">
            <v>BAL-SQRB-10052</v>
          </cell>
          <cell r="B385">
            <v>9</v>
          </cell>
          <cell r="C385">
            <v>326</v>
          </cell>
          <cell r="D385">
            <v>50</v>
          </cell>
          <cell r="E385">
            <v>1.48</v>
          </cell>
          <cell r="F385">
            <v>384</v>
          </cell>
          <cell r="G385" t="str">
            <v>Shaft</v>
          </cell>
          <cell r="H385" t="str">
            <v>145*29*16</v>
          </cell>
          <cell r="I385">
            <v>145</v>
          </cell>
          <cell r="J385">
            <v>29</v>
          </cell>
          <cell r="K385">
            <v>16</v>
          </cell>
        </row>
        <row r="386">
          <cell r="A386" t="str">
            <v>BAL-SQRB-11052</v>
          </cell>
          <cell r="B386">
            <v>9</v>
          </cell>
          <cell r="C386">
            <v>326</v>
          </cell>
          <cell r="D386">
            <v>50</v>
          </cell>
          <cell r="E386">
            <v>1.48</v>
          </cell>
          <cell r="F386">
            <v>385</v>
          </cell>
          <cell r="G386" t="str">
            <v>Shaft</v>
          </cell>
          <cell r="H386" t="str">
            <v>145*29*16</v>
          </cell>
          <cell r="I386">
            <v>145</v>
          </cell>
          <cell r="J386">
            <v>29</v>
          </cell>
          <cell r="K386">
            <v>16</v>
          </cell>
        </row>
        <row r="387">
          <cell r="A387" t="str">
            <v>TAQ-1125-ST-CB-70041</v>
          </cell>
          <cell r="B387">
            <v>9</v>
          </cell>
          <cell r="C387">
            <v>430</v>
          </cell>
          <cell r="D387">
            <v>1</v>
          </cell>
          <cell r="E387">
            <v>0.5</v>
          </cell>
          <cell r="F387">
            <v>386</v>
          </cell>
          <cell r="G387" t="str">
            <v>fork</v>
          </cell>
          <cell r="H387" t="str">
            <v>89*14*9</v>
          </cell>
          <cell r="I387">
            <v>89</v>
          </cell>
          <cell r="J387">
            <v>14</v>
          </cell>
          <cell r="K387">
            <v>9</v>
          </cell>
        </row>
        <row r="388">
          <cell r="A388" t="str">
            <v>TAQ-1125-ST-CB-70044</v>
          </cell>
          <cell r="B388">
            <v>9</v>
          </cell>
          <cell r="C388">
            <v>414</v>
          </cell>
          <cell r="D388">
            <v>1</v>
          </cell>
          <cell r="E388">
            <v>0.5</v>
          </cell>
          <cell r="F388">
            <v>387</v>
          </cell>
          <cell r="G388" t="str">
            <v>fork</v>
          </cell>
          <cell r="H388" t="str">
            <v>89*14*9</v>
          </cell>
          <cell r="I388">
            <v>89</v>
          </cell>
          <cell r="J388">
            <v>14</v>
          </cell>
          <cell r="K388">
            <v>9</v>
          </cell>
        </row>
        <row r="389">
          <cell r="A389" t="str">
            <v>TAQ-PLSP-250</v>
          </cell>
          <cell r="B389">
            <v>9</v>
          </cell>
          <cell r="C389">
            <v>135</v>
          </cell>
          <cell r="D389">
            <v>8</v>
          </cell>
          <cell r="E389">
            <v>0.2</v>
          </cell>
          <cell r="F389">
            <v>388</v>
          </cell>
          <cell r="G389" t="str">
            <v>Seat Post</v>
          </cell>
          <cell r="H389" t="str">
            <v>45*26*8</v>
          </cell>
          <cell r="I389">
            <v>45</v>
          </cell>
          <cell r="J389">
            <v>26</v>
          </cell>
          <cell r="K389">
            <v>8</v>
          </cell>
        </row>
        <row r="390">
          <cell r="A390" t="str">
            <v>TAQ-PLSP-350</v>
          </cell>
          <cell r="B390">
            <v>9</v>
          </cell>
          <cell r="C390">
            <v>165</v>
          </cell>
          <cell r="D390">
            <v>8</v>
          </cell>
          <cell r="E390">
            <v>0.2</v>
          </cell>
          <cell r="F390">
            <v>389</v>
          </cell>
          <cell r="G390" t="str">
            <v>Seat Post</v>
          </cell>
          <cell r="H390" t="str">
            <v>45*26*8</v>
          </cell>
          <cell r="I390">
            <v>45</v>
          </cell>
          <cell r="J390">
            <v>26</v>
          </cell>
          <cell r="K390">
            <v>8</v>
          </cell>
        </row>
        <row r="391">
          <cell r="A391" t="str">
            <v>TAQS3-100-ST-CB-70044</v>
          </cell>
          <cell r="B391">
            <v>9</v>
          </cell>
          <cell r="C391">
            <v>430</v>
          </cell>
          <cell r="D391">
            <v>1</v>
          </cell>
          <cell r="E391">
            <v>0.5</v>
          </cell>
          <cell r="F391">
            <v>390</v>
          </cell>
          <cell r="G391" t="str">
            <v>fork</v>
          </cell>
          <cell r="H391" t="str">
            <v>89*14*9</v>
          </cell>
          <cell r="I391">
            <v>89</v>
          </cell>
          <cell r="J391">
            <v>14</v>
          </cell>
          <cell r="K391">
            <v>9</v>
          </cell>
        </row>
        <row r="392">
          <cell r="A392" t="str">
            <v>TAQS3-1125-ST-CB-7004</v>
          </cell>
          <cell r="B392">
            <v>9</v>
          </cell>
          <cell r="C392">
            <v>499.99</v>
          </cell>
          <cell r="D392">
            <v>1</v>
          </cell>
          <cell r="E392">
            <v>0.5</v>
          </cell>
          <cell r="F392">
            <v>391</v>
          </cell>
          <cell r="G392" t="str">
            <v>fork</v>
          </cell>
          <cell r="H392" t="str">
            <v>89*14*9</v>
          </cell>
          <cell r="I392">
            <v>89</v>
          </cell>
          <cell r="J392">
            <v>14</v>
          </cell>
          <cell r="K392">
            <v>9</v>
          </cell>
        </row>
        <row r="393">
          <cell r="A393" t="str">
            <v>TAQS3-1125-ST-CB-70041</v>
          </cell>
          <cell r="B393">
            <v>9</v>
          </cell>
          <cell r="C393">
            <v>370</v>
          </cell>
          <cell r="D393">
            <v>1</v>
          </cell>
          <cell r="E393">
            <v>0.5</v>
          </cell>
          <cell r="F393">
            <v>392</v>
          </cell>
          <cell r="G393" t="str">
            <v>fork</v>
          </cell>
          <cell r="H393" t="str">
            <v>89*14*9</v>
          </cell>
          <cell r="I393">
            <v>89</v>
          </cell>
          <cell r="J393">
            <v>14</v>
          </cell>
          <cell r="K393">
            <v>9</v>
          </cell>
        </row>
        <row r="394">
          <cell r="A394" t="str">
            <v>ULAUNCHADWR-46</v>
          </cell>
          <cell r="B394">
            <v>9</v>
          </cell>
          <cell r="C394">
            <v>70</v>
          </cell>
          <cell r="D394">
            <v>50</v>
          </cell>
          <cell r="E394">
            <v>0.6</v>
          </cell>
          <cell r="F394">
            <v>393</v>
          </cell>
          <cell r="G394" t="str">
            <v>golf</v>
          </cell>
          <cell r="H394" t="str">
            <v>122*15*10</v>
          </cell>
          <cell r="I394">
            <v>122</v>
          </cell>
          <cell r="J394">
            <v>15</v>
          </cell>
          <cell r="K394">
            <v>10</v>
          </cell>
        </row>
        <row r="395">
          <cell r="A395" t="str">
            <v>AQTB1125-TANZ</v>
          </cell>
          <cell r="B395">
            <v>9</v>
          </cell>
          <cell r="C395">
            <v>0</v>
          </cell>
          <cell r="D395">
            <v>0</v>
          </cell>
          <cell r="F395">
            <v>394</v>
          </cell>
          <cell r="G395" t="str">
            <v>steer tube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A396" t="str">
            <v>UDA05GWC-48</v>
          </cell>
          <cell r="B396">
            <v>9</v>
          </cell>
          <cell r="C396">
            <v>77</v>
          </cell>
          <cell r="D396">
            <v>50</v>
          </cell>
          <cell r="E396">
            <v>0.64</v>
          </cell>
          <cell r="F396">
            <v>395</v>
          </cell>
          <cell r="G396" t="str">
            <v>golf</v>
          </cell>
          <cell r="H396" t="str">
            <v>130*15*10</v>
          </cell>
          <cell r="I396">
            <v>130</v>
          </cell>
          <cell r="J396">
            <v>15</v>
          </cell>
          <cell r="K396">
            <v>10</v>
          </cell>
        </row>
        <row r="397">
          <cell r="A397" t="str">
            <v>TAQ-100-ST-CB-70044</v>
          </cell>
          <cell r="B397">
            <v>9</v>
          </cell>
          <cell r="C397">
            <v>370</v>
          </cell>
          <cell r="D397">
            <v>1</v>
          </cell>
          <cell r="E397">
            <v>0.5</v>
          </cell>
          <cell r="F397">
            <v>396</v>
          </cell>
          <cell r="G397" t="str">
            <v>fork</v>
          </cell>
          <cell r="H397" t="str">
            <v>89*14*9</v>
          </cell>
          <cell r="I397">
            <v>89</v>
          </cell>
          <cell r="J397">
            <v>14</v>
          </cell>
          <cell r="K397">
            <v>9</v>
          </cell>
        </row>
        <row r="398">
          <cell r="A398" t="str">
            <v>TAQ-1125-TN-CB-70041</v>
          </cell>
          <cell r="B398">
            <v>9</v>
          </cell>
          <cell r="C398">
            <v>443</v>
          </cell>
          <cell r="D398">
            <v>1</v>
          </cell>
          <cell r="E398">
            <v>0.5</v>
          </cell>
          <cell r="F398">
            <v>397</v>
          </cell>
          <cell r="G398" t="str">
            <v>fork</v>
          </cell>
          <cell r="H398" t="str">
            <v>89*14*9</v>
          </cell>
          <cell r="I398">
            <v>89</v>
          </cell>
          <cell r="J398">
            <v>14</v>
          </cell>
          <cell r="K398">
            <v>9</v>
          </cell>
        </row>
        <row r="399">
          <cell r="A399" t="str">
            <v>TAQ-1125-TN-CB-70044</v>
          </cell>
          <cell r="B399">
            <v>9</v>
          </cell>
          <cell r="C399">
            <v>490</v>
          </cell>
          <cell r="D399">
            <v>1</v>
          </cell>
          <cell r="E399">
            <v>0.5</v>
          </cell>
          <cell r="F399">
            <v>398</v>
          </cell>
          <cell r="G399" t="str">
            <v>fork</v>
          </cell>
          <cell r="H399" t="str">
            <v>89*14*9</v>
          </cell>
          <cell r="I399">
            <v>89</v>
          </cell>
          <cell r="J399">
            <v>14</v>
          </cell>
          <cell r="K399">
            <v>9</v>
          </cell>
        </row>
        <row r="400">
          <cell r="A400" t="str">
            <v>TAQEX-100-ST-CB-70044</v>
          </cell>
          <cell r="B400">
            <v>9</v>
          </cell>
          <cell r="C400">
            <v>375</v>
          </cell>
          <cell r="D400">
            <v>1</v>
          </cell>
          <cell r="E400">
            <v>0.5</v>
          </cell>
          <cell r="F400">
            <v>399</v>
          </cell>
          <cell r="G400" t="str">
            <v>fork</v>
          </cell>
          <cell r="H400" t="str">
            <v>89*14*9</v>
          </cell>
          <cell r="I400">
            <v>89</v>
          </cell>
          <cell r="J400">
            <v>14</v>
          </cell>
          <cell r="K400">
            <v>9</v>
          </cell>
        </row>
        <row r="401">
          <cell r="A401" t="str">
            <v>TAQS3-100-ST-CB-70044-UP</v>
          </cell>
          <cell r="B401">
            <v>9</v>
          </cell>
          <cell r="C401">
            <v>377</v>
          </cell>
          <cell r="D401">
            <v>25</v>
          </cell>
          <cell r="E401">
            <v>2.54</v>
          </cell>
          <cell r="F401">
            <v>400</v>
          </cell>
          <cell r="G401" t="str">
            <v>fork</v>
          </cell>
          <cell r="H401" t="str">
            <v>77*52*32</v>
          </cell>
          <cell r="I401">
            <v>77</v>
          </cell>
          <cell r="J401">
            <v>52</v>
          </cell>
          <cell r="K401">
            <v>32</v>
          </cell>
        </row>
        <row r="402">
          <cell r="A402" t="str">
            <v>UDA05GIC-43</v>
          </cell>
          <cell r="B402">
            <v>9</v>
          </cell>
          <cell r="C402">
            <v>85</v>
          </cell>
          <cell r="D402">
            <v>50</v>
          </cell>
          <cell r="E402">
            <v>0.6</v>
          </cell>
          <cell r="F402">
            <v>401</v>
          </cell>
          <cell r="G402" t="str">
            <v>golf</v>
          </cell>
          <cell r="H402" t="str">
            <v>122*15*10</v>
          </cell>
          <cell r="I402">
            <v>122</v>
          </cell>
          <cell r="J402">
            <v>15</v>
          </cell>
          <cell r="K402">
            <v>10</v>
          </cell>
        </row>
        <row r="403">
          <cell r="A403" t="str">
            <v>BAL-SQGL-08052</v>
          </cell>
          <cell r="B403">
            <v>9</v>
          </cell>
          <cell r="C403">
            <v>320</v>
          </cell>
          <cell r="D403">
            <v>50</v>
          </cell>
          <cell r="E403">
            <v>1.48</v>
          </cell>
          <cell r="F403">
            <v>402</v>
          </cell>
          <cell r="G403" t="str">
            <v>Shaft</v>
          </cell>
          <cell r="H403" t="str">
            <v>145*29*16</v>
          </cell>
          <cell r="I403">
            <v>145</v>
          </cell>
          <cell r="J403">
            <v>29</v>
          </cell>
          <cell r="K403">
            <v>16</v>
          </cell>
        </row>
        <row r="404">
          <cell r="A404" t="str">
            <v>BAL-SQGL-11052</v>
          </cell>
          <cell r="B404">
            <v>9</v>
          </cell>
          <cell r="C404">
            <v>341</v>
          </cell>
          <cell r="D404">
            <v>50</v>
          </cell>
          <cell r="E404">
            <v>1.48</v>
          </cell>
          <cell r="F404">
            <v>403</v>
          </cell>
          <cell r="G404" t="str">
            <v>Shaft</v>
          </cell>
          <cell r="H404" t="str">
            <v>145*29*16</v>
          </cell>
          <cell r="I404">
            <v>145</v>
          </cell>
          <cell r="J404">
            <v>29</v>
          </cell>
          <cell r="K404">
            <v>16</v>
          </cell>
        </row>
        <row r="405">
          <cell r="A405" t="str">
            <v>TAQA-1125-ST-CB-70043-GL</v>
          </cell>
          <cell r="B405">
            <v>9</v>
          </cell>
          <cell r="C405">
            <v>375</v>
          </cell>
          <cell r="D405">
            <v>1</v>
          </cell>
          <cell r="E405">
            <v>0.5</v>
          </cell>
          <cell r="F405">
            <v>404</v>
          </cell>
          <cell r="G405" t="str">
            <v>fork</v>
          </cell>
          <cell r="H405" t="str">
            <v>89*14*9</v>
          </cell>
          <cell r="I405">
            <v>89</v>
          </cell>
          <cell r="J405">
            <v>14</v>
          </cell>
          <cell r="K405">
            <v>9</v>
          </cell>
        </row>
        <row r="406">
          <cell r="A406" t="str">
            <v>UBLUPNTHY33WX-44</v>
          </cell>
          <cell r="B406">
            <v>9</v>
          </cell>
          <cell r="C406">
            <v>75</v>
          </cell>
          <cell r="D406">
            <v>50</v>
          </cell>
          <cell r="E406">
            <v>0.6</v>
          </cell>
          <cell r="F406">
            <v>405</v>
          </cell>
          <cell r="G406" t="str">
            <v>golf</v>
          </cell>
          <cell r="H406" t="str">
            <v>122*15*10</v>
          </cell>
          <cell r="I406">
            <v>122</v>
          </cell>
          <cell r="J406">
            <v>15</v>
          </cell>
          <cell r="K406">
            <v>10</v>
          </cell>
        </row>
        <row r="407">
          <cell r="A407" t="str">
            <v>ULAUNCH145MTS-46</v>
          </cell>
          <cell r="B407">
            <v>9</v>
          </cell>
          <cell r="C407">
            <v>77</v>
          </cell>
          <cell r="D407">
            <v>50</v>
          </cell>
          <cell r="E407">
            <v>0.6</v>
          </cell>
          <cell r="F407">
            <v>406</v>
          </cell>
          <cell r="G407" t="str">
            <v>golf</v>
          </cell>
          <cell r="H407" t="str">
            <v>122*15*10</v>
          </cell>
          <cell r="I407">
            <v>122</v>
          </cell>
          <cell r="J407">
            <v>15</v>
          </cell>
          <cell r="K407">
            <v>10</v>
          </cell>
        </row>
        <row r="408">
          <cell r="A408" t="str">
            <v>TFC100IR-10-355</v>
          </cell>
          <cell r="B408">
            <v>9</v>
          </cell>
          <cell r="C408">
            <v>77.5</v>
          </cell>
          <cell r="D408">
            <v>100</v>
          </cell>
          <cell r="E408">
            <v>0.64</v>
          </cell>
          <cell r="F408">
            <v>407</v>
          </cell>
          <cell r="G408" t="str">
            <v>golf</v>
          </cell>
          <cell r="H408" t="str">
            <v>105*25*11</v>
          </cell>
          <cell r="I408">
            <v>105</v>
          </cell>
          <cell r="J408">
            <v>25</v>
          </cell>
          <cell r="K408">
            <v>11</v>
          </cell>
        </row>
        <row r="409">
          <cell r="A409" t="str">
            <v>TFC100IR-1-40</v>
          </cell>
          <cell r="B409">
            <v>9</v>
          </cell>
          <cell r="C409">
            <v>87.2</v>
          </cell>
          <cell r="D409">
            <v>100</v>
          </cell>
          <cell r="E409">
            <v>0.64</v>
          </cell>
          <cell r="F409">
            <v>408</v>
          </cell>
          <cell r="G409" t="str">
            <v>golf</v>
          </cell>
          <cell r="H409" t="str">
            <v>105*25*11</v>
          </cell>
          <cell r="I409">
            <v>105</v>
          </cell>
          <cell r="J409">
            <v>25</v>
          </cell>
          <cell r="K409">
            <v>11</v>
          </cell>
        </row>
        <row r="410">
          <cell r="A410" t="str">
            <v>TFC100IR-2-395</v>
          </cell>
          <cell r="B410">
            <v>9</v>
          </cell>
          <cell r="C410">
            <v>85.2</v>
          </cell>
          <cell r="D410">
            <v>100</v>
          </cell>
          <cell r="E410">
            <v>0.64</v>
          </cell>
          <cell r="F410">
            <v>409</v>
          </cell>
          <cell r="G410" t="str">
            <v>golf</v>
          </cell>
          <cell r="H410" t="str">
            <v>105*25*11</v>
          </cell>
          <cell r="I410">
            <v>105</v>
          </cell>
          <cell r="J410">
            <v>25</v>
          </cell>
          <cell r="K410">
            <v>11</v>
          </cell>
        </row>
        <row r="411">
          <cell r="A411" t="str">
            <v>TFC100IR-3-39</v>
          </cell>
          <cell r="B411">
            <v>9</v>
          </cell>
          <cell r="C411">
            <v>85.1</v>
          </cell>
          <cell r="D411">
            <v>100</v>
          </cell>
          <cell r="E411">
            <v>0.64</v>
          </cell>
          <cell r="F411">
            <v>410</v>
          </cell>
          <cell r="G411" t="str">
            <v>golf</v>
          </cell>
          <cell r="H411" t="str">
            <v>105*25*11</v>
          </cell>
          <cell r="I411">
            <v>105</v>
          </cell>
          <cell r="J411">
            <v>25</v>
          </cell>
          <cell r="K411">
            <v>11</v>
          </cell>
        </row>
        <row r="412">
          <cell r="A412" t="str">
            <v>TFC100IR-4-385</v>
          </cell>
          <cell r="B412">
            <v>9</v>
          </cell>
          <cell r="C412">
            <v>85.9</v>
          </cell>
          <cell r="D412">
            <v>100</v>
          </cell>
          <cell r="E412">
            <v>0.64</v>
          </cell>
          <cell r="F412">
            <v>411</v>
          </cell>
          <cell r="G412" t="str">
            <v>golf</v>
          </cell>
          <cell r="H412" t="str">
            <v>105*25*11</v>
          </cell>
          <cell r="I412">
            <v>105</v>
          </cell>
          <cell r="J412">
            <v>25</v>
          </cell>
          <cell r="K412">
            <v>11</v>
          </cell>
        </row>
        <row r="413">
          <cell r="A413" t="str">
            <v>TFC100IR-5-38</v>
          </cell>
          <cell r="B413">
            <v>9</v>
          </cell>
          <cell r="C413">
            <v>84</v>
          </cell>
          <cell r="D413">
            <v>100</v>
          </cell>
          <cell r="E413">
            <v>0.64</v>
          </cell>
          <cell r="F413">
            <v>412</v>
          </cell>
          <cell r="G413" t="str">
            <v>golf</v>
          </cell>
          <cell r="H413" t="str">
            <v>105*25*11</v>
          </cell>
          <cell r="I413">
            <v>105</v>
          </cell>
          <cell r="J413">
            <v>25</v>
          </cell>
          <cell r="K413">
            <v>11</v>
          </cell>
        </row>
        <row r="414">
          <cell r="A414" t="str">
            <v>TFC100IR-6-375</v>
          </cell>
          <cell r="B414">
            <v>9</v>
          </cell>
          <cell r="C414">
            <v>81.3</v>
          </cell>
          <cell r="D414">
            <v>100</v>
          </cell>
          <cell r="E414">
            <v>0.64</v>
          </cell>
          <cell r="F414">
            <v>413</v>
          </cell>
          <cell r="G414" t="str">
            <v>golf</v>
          </cell>
          <cell r="H414" t="str">
            <v>105*25*11</v>
          </cell>
          <cell r="I414">
            <v>105</v>
          </cell>
          <cell r="J414">
            <v>25</v>
          </cell>
          <cell r="K414">
            <v>11</v>
          </cell>
        </row>
        <row r="415">
          <cell r="A415" t="str">
            <v>TFC100IR-7-37</v>
          </cell>
          <cell r="B415">
            <v>9</v>
          </cell>
          <cell r="C415">
            <v>81.599999999999994</v>
          </cell>
          <cell r="D415">
            <v>100</v>
          </cell>
          <cell r="E415">
            <v>0.64</v>
          </cell>
          <cell r="F415">
            <v>414</v>
          </cell>
          <cell r="G415" t="str">
            <v>golf</v>
          </cell>
          <cell r="H415" t="str">
            <v>105*25*11</v>
          </cell>
          <cell r="I415">
            <v>105</v>
          </cell>
          <cell r="J415">
            <v>25</v>
          </cell>
          <cell r="K415">
            <v>11</v>
          </cell>
        </row>
        <row r="416">
          <cell r="A416" t="str">
            <v>TFC100IR-8-365</v>
          </cell>
          <cell r="B416">
            <v>9</v>
          </cell>
          <cell r="C416">
            <v>79.2</v>
          </cell>
          <cell r="D416">
            <v>100</v>
          </cell>
          <cell r="E416">
            <v>0.64</v>
          </cell>
          <cell r="F416">
            <v>415</v>
          </cell>
          <cell r="G416" t="str">
            <v>golf</v>
          </cell>
          <cell r="H416" t="str">
            <v>105*25*11</v>
          </cell>
          <cell r="I416">
            <v>105</v>
          </cell>
          <cell r="J416">
            <v>25</v>
          </cell>
          <cell r="K416">
            <v>11</v>
          </cell>
        </row>
        <row r="417">
          <cell r="A417" t="str">
            <v>TFC100IR-9-36</v>
          </cell>
          <cell r="B417">
            <v>9</v>
          </cell>
          <cell r="C417">
            <v>78.099999999999994</v>
          </cell>
          <cell r="D417">
            <v>100</v>
          </cell>
          <cell r="E417">
            <v>0.64</v>
          </cell>
          <cell r="F417">
            <v>416</v>
          </cell>
          <cell r="G417" t="str">
            <v>golf</v>
          </cell>
          <cell r="H417" t="str">
            <v>105*25*11</v>
          </cell>
          <cell r="I417">
            <v>105</v>
          </cell>
          <cell r="J417">
            <v>25</v>
          </cell>
          <cell r="K417">
            <v>11</v>
          </cell>
        </row>
        <row r="418">
          <cell r="A418" t="str">
            <v>TFC100IS-10-355</v>
          </cell>
          <cell r="B418">
            <v>9</v>
          </cell>
          <cell r="C418">
            <v>88</v>
          </cell>
          <cell r="D418">
            <v>100</v>
          </cell>
          <cell r="E418">
            <v>0.64</v>
          </cell>
          <cell r="F418">
            <v>417</v>
          </cell>
          <cell r="G418" t="str">
            <v>golf</v>
          </cell>
          <cell r="H418" t="str">
            <v>105*25*11</v>
          </cell>
          <cell r="I418">
            <v>105</v>
          </cell>
          <cell r="J418">
            <v>25</v>
          </cell>
          <cell r="K418">
            <v>11</v>
          </cell>
        </row>
        <row r="419">
          <cell r="A419" t="str">
            <v>TFC100IS-1-40</v>
          </cell>
          <cell r="B419">
            <v>9</v>
          </cell>
          <cell r="C419">
            <v>96.1</v>
          </cell>
          <cell r="D419">
            <v>100</v>
          </cell>
          <cell r="E419">
            <v>0.64</v>
          </cell>
          <cell r="F419">
            <v>418</v>
          </cell>
          <cell r="G419" t="str">
            <v>golf</v>
          </cell>
          <cell r="H419" t="str">
            <v>105*25*11</v>
          </cell>
          <cell r="I419">
            <v>105</v>
          </cell>
          <cell r="J419">
            <v>25</v>
          </cell>
          <cell r="K419">
            <v>11</v>
          </cell>
        </row>
        <row r="420">
          <cell r="A420" t="str">
            <v>TFC100IS-2-395</v>
          </cell>
          <cell r="B420">
            <v>9</v>
          </cell>
          <cell r="C420">
            <v>94.4</v>
          </cell>
          <cell r="D420">
            <v>100</v>
          </cell>
          <cell r="E420">
            <v>0.64</v>
          </cell>
          <cell r="F420">
            <v>419</v>
          </cell>
          <cell r="G420" t="str">
            <v>golf</v>
          </cell>
          <cell r="H420" t="str">
            <v>105*25*11</v>
          </cell>
          <cell r="I420">
            <v>105</v>
          </cell>
          <cell r="J420">
            <v>25</v>
          </cell>
          <cell r="K420">
            <v>11</v>
          </cell>
        </row>
        <row r="421">
          <cell r="A421" t="str">
            <v>TFC100IS-3-39</v>
          </cell>
          <cell r="B421">
            <v>9</v>
          </cell>
          <cell r="C421">
            <v>93.5</v>
          </cell>
          <cell r="D421">
            <v>100</v>
          </cell>
          <cell r="E421">
            <v>0.64</v>
          </cell>
          <cell r="F421">
            <v>420</v>
          </cell>
          <cell r="G421" t="str">
            <v>golf</v>
          </cell>
          <cell r="H421" t="str">
            <v>105*25*11</v>
          </cell>
          <cell r="I421">
            <v>105</v>
          </cell>
          <cell r="J421">
            <v>25</v>
          </cell>
          <cell r="K421">
            <v>11</v>
          </cell>
        </row>
        <row r="422">
          <cell r="A422" t="str">
            <v>TFC100IS-4-385</v>
          </cell>
          <cell r="B422">
            <v>9</v>
          </cell>
          <cell r="C422">
            <v>93.4</v>
          </cell>
          <cell r="D422">
            <v>100</v>
          </cell>
          <cell r="E422">
            <v>0.64</v>
          </cell>
          <cell r="F422">
            <v>421</v>
          </cell>
          <cell r="G422" t="str">
            <v>golf</v>
          </cell>
          <cell r="H422" t="str">
            <v>105*25*11</v>
          </cell>
          <cell r="I422">
            <v>105</v>
          </cell>
          <cell r="J422">
            <v>25</v>
          </cell>
          <cell r="K422">
            <v>11</v>
          </cell>
        </row>
        <row r="423">
          <cell r="A423" t="str">
            <v>TFC100IS-5-38</v>
          </cell>
          <cell r="B423">
            <v>9</v>
          </cell>
          <cell r="C423">
            <v>91.9</v>
          </cell>
          <cell r="D423">
            <v>100</v>
          </cell>
          <cell r="E423">
            <v>0.64</v>
          </cell>
          <cell r="F423">
            <v>422</v>
          </cell>
          <cell r="G423" t="str">
            <v>golf</v>
          </cell>
          <cell r="H423" t="str">
            <v>105*25*11</v>
          </cell>
          <cell r="I423">
            <v>105</v>
          </cell>
          <cell r="J423">
            <v>25</v>
          </cell>
          <cell r="K423">
            <v>11</v>
          </cell>
        </row>
        <row r="424">
          <cell r="A424" t="str">
            <v>TFC100IS-6-375</v>
          </cell>
          <cell r="B424">
            <v>9</v>
          </cell>
          <cell r="C424">
            <v>90.6</v>
          </cell>
          <cell r="D424">
            <v>100</v>
          </cell>
          <cell r="E424">
            <v>0.64</v>
          </cell>
          <cell r="F424">
            <v>423</v>
          </cell>
          <cell r="G424" t="str">
            <v>golf</v>
          </cell>
          <cell r="H424" t="str">
            <v>105*25*11</v>
          </cell>
          <cell r="I424">
            <v>105</v>
          </cell>
          <cell r="J424">
            <v>25</v>
          </cell>
          <cell r="K424">
            <v>11</v>
          </cell>
        </row>
        <row r="425">
          <cell r="A425" t="str">
            <v>TFC100IS-7-37</v>
          </cell>
          <cell r="B425">
            <v>9</v>
          </cell>
          <cell r="C425">
            <v>89.5</v>
          </cell>
          <cell r="D425">
            <v>100</v>
          </cell>
          <cell r="E425">
            <v>0.64</v>
          </cell>
          <cell r="F425">
            <v>424</v>
          </cell>
          <cell r="G425" t="str">
            <v>golf</v>
          </cell>
          <cell r="H425" t="str">
            <v>105*25*11</v>
          </cell>
          <cell r="I425">
            <v>105</v>
          </cell>
          <cell r="J425">
            <v>25</v>
          </cell>
          <cell r="K425">
            <v>11</v>
          </cell>
        </row>
        <row r="426">
          <cell r="A426" t="str">
            <v>TFC100IS-8-365</v>
          </cell>
          <cell r="B426">
            <v>9</v>
          </cell>
          <cell r="C426">
            <v>89.3</v>
          </cell>
          <cell r="D426">
            <v>100</v>
          </cell>
          <cell r="E426">
            <v>0.64</v>
          </cell>
          <cell r="F426">
            <v>425</v>
          </cell>
          <cell r="G426" t="str">
            <v>golf</v>
          </cell>
          <cell r="H426" t="str">
            <v>105*25*11</v>
          </cell>
          <cell r="I426">
            <v>105</v>
          </cell>
          <cell r="J426">
            <v>25</v>
          </cell>
          <cell r="K426">
            <v>11</v>
          </cell>
        </row>
        <row r="427">
          <cell r="A427" t="str">
            <v>TFC100IS-9-36</v>
          </cell>
          <cell r="B427">
            <v>9</v>
          </cell>
          <cell r="C427">
            <v>85.9</v>
          </cell>
          <cell r="D427">
            <v>100</v>
          </cell>
          <cell r="E427">
            <v>0.64</v>
          </cell>
          <cell r="F427">
            <v>426</v>
          </cell>
          <cell r="G427" t="str">
            <v>golf</v>
          </cell>
          <cell r="H427" t="str">
            <v>105*25*11</v>
          </cell>
          <cell r="I427">
            <v>105</v>
          </cell>
          <cell r="J427">
            <v>25</v>
          </cell>
          <cell r="K427">
            <v>11</v>
          </cell>
        </row>
        <row r="428">
          <cell r="A428" t="str">
            <v>UWTP480DWR-47</v>
          </cell>
          <cell r="B428">
            <v>9</v>
          </cell>
          <cell r="C428">
            <v>69</v>
          </cell>
          <cell r="D428">
            <v>50</v>
          </cell>
          <cell r="E428">
            <v>0.6</v>
          </cell>
          <cell r="F428">
            <v>427</v>
          </cell>
          <cell r="G428" t="str">
            <v>golf</v>
          </cell>
          <cell r="H428" t="str">
            <v>122*15*10</v>
          </cell>
          <cell r="I428">
            <v>122</v>
          </cell>
          <cell r="J428">
            <v>15</v>
          </cell>
          <cell r="K428">
            <v>10</v>
          </cell>
        </row>
        <row r="429">
          <cell r="A429" t="str">
            <v>TFC100IA-1-40</v>
          </cell>
          <cell r="B429">
            <v>9</v>
          </cell>
          <cell r="C429">
            <v>77</v>
          </cell>
          <cell r="D429">
            <v>100</v>
          </cell>
          <cell r="E429">
            <v>0.64</v>
          </cell>
          <cell r="F429">
            <v>428</v>
          </cell>
          <cell r="G429" t="str">
            <v>golf</v>
          </cell>
          <cell r="H429" t="str">
            <v>105*25*11</v>
          </cell>
          <cell r="I429">
            <v>105</v>
          </cell>
          <cell r="J429">
            <v>25</v>
          </cell>
          <cell r="K429">
            <v>11</v>
          </cell>
        </row>
        <row r="430">
          <cell r="A430" t="str">
            <v>SHR-COMP-09563</v>
          </cell>
          <cell r="B430">
            <v>9</v>
          </cell>
          <cell r="C430">
            <v>323</v>
          </cell>
          <cell r="D430">
            <v>50</v>
          </cell>
          <cell r="E430">
            <v>1.6</v>
          </cell>
          <cell r="F430">
            <v>429</v>
          </cell>
          <cell r="G430" t="str">
            <v>Shaft</v>
          </cell>
          <cell r="H430" t="str">
            <v>183*29*16</v>
          </cell>
          <cell r="I430">
            <v>183</v>
          </cell>
          <cell r="J430">
            <v>29</v>
          </cell>
          <cell r="K430">
            <v>16</v>
          </cell>
        </row>
        <row r="431">
          <cell r="A431" t="str">
            <v>TAQA-1125-ST-CB-70043-UP</v>
          </cell>
          <cell r="B431">
            <v>9</v>
          </cell>
          <cell r="C431">
            <v>375</v>
          </cell>
          <cell r="D431">
            <v>25</v>
          </cell>
          <cell r="E431">
            <v>2.54</v>
          </cell>
          <cell r="F431">
            <v>430</v>
          </cell>
          <cell r="G431" t="str">
            <v>fork</v>
          </cell>
          <cell r="H431" t="str">
            <v>77*52*32</v>
          </cell>
          <cell r="I431">
            <v>77</v>
          </cell>
          <cell r="J431">
            <v>52</v>
          </cell>
          <cell r="K431">
            <v>32</v>
          </cell>
        </row>
        <row r="432">
          <cell r="A432" t="str">
            <v>UWNANO2635DWR-46</v>
          </cell>
          <cell r="B432">
            <v>9</v>
          </cell>
          <cell r="C432">
            <v>65</v>
          </cell>
          <cell r="D432">
            <v>50</v>
          </cell>
          <cell r="E432">
            <v>0.6</v>
          </cell>
          <cell r="F432">
            <v>431</v>
          </cell>
          <cell r="G432" t="str">
            <v>golf</v>
          </cell>
          <cell r="H432" t="str">
            <v>122*15*10</v>
          </cell>
          <cell r="I432">
            <v>122</v>
          </cell>
          <cell r="J432">
            <v>15</v>
          </cell>
          <cell r="K432">
            <v>10</v>
          </cell>
        </row>
        <row r="433">
          <cell r="A433" t="str">
            <v>UWNANO2635DWS-46</v>
          </cell>
          <cell r="B433">
            <v>9</v>
          </cell>
          <cell r="C433">
            <v>67</v>
          </cell>
          <cell r="D433">
            <v>50</v>
          </cell>
          <cell r="E433">
            <v>0.6</v>
          </cell>
          <cell r="F433">
            <v>432</v>
          </cell>
          <cell r="G433" t="str">
            <v>golf</v>
          </cell>
          <cell r="H433" t="str">
            <v>122*15*10</v>
          </cell>
          <cell r="I433">
            <v>122</v>
          </cell>
          <cell r="J433">
            <v>15</v>
          </cell>
          <cell r="K433">
            <v>10</v>
          </cell>
        </row>
        <row r="434">
          <cell r="A434" t="str">
            <v>UWNANO2FW3R-44</v>
          </cell>
          <cell r="B434">
            <v>9</v>
          </cell>
          <cell r="C434">
            <v>77</v>
          </cell>
          <cell r="D434">
            <v>50</v>
          </cell>
          <cell r="E434">
            <v>0.6</v>
          </cell>
          <cell r="F434">
            <v>433</v>
          </cell>
          <cell r="G434" t="str">
            <v>golf</v>
          </cell>
          <cell r="H434" t="str">
            <v>122*15*10</v>
          </cell>
          <cell r="I434">
            <v>122</v>
          </cell>
          <cell r="J434">
            <v>15</v>
          </cell>
          <cell r="K434">
            <v>10</v>
          </cell>
        </row>
        <row r="435">
          <cell r="A435" t="str">
            <v>UWNANO2FW3S-44</v>
          </cell>
          <cell r="B435">
            <v>9</v>
          </cell>
          <cell r="C435">
            <v>79</v>
          </cell>
          <cell r="D435">
            <v>50</v>
          </cell>
          <cell r="E435">
            <v>0.6</v>
          </cell>
          <cell r="F435">
            <v>434</v>
          </cell>
          <cell r="G435" t="str">
            <v>golf</v>
          </cell>
          <cell r="H435" t="str">
            <v>122*15*10</v>
          </cell>
          <cell r="I435">
            <v>122</v>
          </cell>
          <cell r="J435">
            <v>15</v>
          </cell>
          <cell r="K435">
            <v>10</v>
          </cell>
        </row>
        <row r="436">
          <cell r="A436" t="str">
            <v>UWTP428FWR-45</v>
          </cell>
          <cell r="B436">
            <v>9</v>
          </cell>
          <cell r="C436">
            <v>71</v>
          </cell>
          <cell r="D436">
            <v>50</v>
          </cell>
          <cell r="E436">
            <v>0.6</v>
          </cell>
          <cell r="F436">
            <v>435</v>
          </cell>
          <cell r="G436" t="str">
            <v>golf</v>
          </cell>
          <cell r="H436" t="str">
            <v>122*15*10</v>
          </cell>
          <cell r="I436">
            <v>122</v>
          </cell>
          <cell r="J436">
            <v>15</v>
          </cell>
          <cell r="K436">
            <v>10</v>
          </cell>
        </row>
        <row r="437">
          <cell r="A437" t="str">
            <v>UWNANO2635DWA-46</v>
          </cell>
          <cell r="B437">
            <v>9</v>
          </cell>
          <cell r="C437">
            <v>65</v>
          </cell>
          <cell r="D437">
            <v>50</v>
          </cell>
          <cell r="E437">
            <v>0.6</v>
          </cell>
          <cell r="F437">
            <v>436</v>
          </cell>
          <cell r="G437" t="str">
            <v>golf</v>
          </cell>
          <cell r="H437" t="str">
            <v>122*15*10</v>
          </cell>
          <cell r="I437">
            <v>122</v>
          </cell>
          <cell r="J437">
            <v>15</v>
          </cell>
          <cell r="K437">
            <v>10</v>
          </cell>
        </row>
        <row r="438">
          <cell r="A438" t="str">
            <v>UWNANO2FW3A-44</v>
          </cell>
          <cell r="B438">
            <v>9</v>
          </cell>
          <cell r="C438">
            <v>76</v>
          </cell>
          <cell r="D438">
            <v>50</v>
          </cell>
          <cell r="E438">
            <v>0.6</v>
          </cell>
          <cell r="F438">
            <v>437</v>
          </cell>
          <cell r="G438" t="str">
            <v>golf</v>
          </cell>
          <cell r="H438" t="str">
            <v>122*15*10</v>
          </cell>
          <cell r="I438">
            <v>122</v>
          </cell>
          <cell r="J438">
            <v>15</v>
          </cell>
          <cell r="K438">
            <v>10</v>
          </cell>
        </row>
        <row r="439">
          <cell r="A439" t="str">
            <v>UWNANO2FW579A-43</v>
          </cell>
          <cell r="B439">
            <v>9</v>
          </cell>
          <cell r="C439">
            <v>76</v>
          </cell>
          <cell r="D439">
            <v>50</v>
          </cell>
          <cell r="E439">
            <v>0.6</v>
          </cell>
          <cell r="F439">
            <v>438</v>
          </cell>
          <cell r="G439" t="str">
            <v>golf</v>
          </cell>
          <cell r="H439" t="str">
            <v>122*15*10</v>
          </cell>
          <cell r="I439">
            <v>122</v>
          </cell>
          <cell r="J439">
            <v>15</v>
          </cell>
          <cell r="K439">
            <v>10</v>
          </cell>
        </row>
        <row r="440">
          <cell r="A440" t="str">
            <v>UWNANO2FW579R-43</v>
          </cell>
          <cell r="B440">
            <v>9</v>
          </cell>
          <cell r="C440">
            <v>77</v>
          </cell>
          <cell r="D440">
            <v>50</v>
          </cell>
          <cell r="E440">
            <v>0.6</v>
          </cell>
          <cell r="F440">
            <v>439</v>
          </cell>
          <cell r="G440" t="str">
            <v>golf</v>
          </cell>
          <cell r="H440" t="str">
            <v>122*15*10</v>
          </cell>
          <cell r="I440">
            <v>122</v>
          </cell>
          <cell r="J440">
            <v>15</v>
          </cell>
          <cell r="K440">
            <v>10</v>
          </cell>
        </row>
        <row r="441">
          <cell r="A441" t="str">
            <v>TAQ-1125-TN-CB-70044-UP</v>
          </cell>
          <cell r="B441">
            <v>9</v>
          </cell>
          <cell r="C441">
            <v>490</v>
          </cell>
          <cell r="D441">
            <v>25</v>
          </cell>
          <cell r="E441">
            <v>2.54</v>
          </cell>
          <cell r="F441">
            <v>440</v>
          </cell>
          <cell r="G441" t="str">
            <v>fork</v>
          </cell>
          <cell r="H441" t="str">
            <v>77*52*32</v>
          </cell>
          <cell r="I441">
            <v>77</v>
          </cell>
          <cell r="J441">
            <v>52</v>
          </cell>
          <cell r="K441">
            <v>32</v>
          </cell>
        </row>
        <row r="442">
          <cell r="A442" t="str">
            <v>TAQS3-1125-IH-ST-CB-70044</v>
          </cell>
          <cell r="B442">
            <v>9</v>
          </cell>
          <cell r="C442">
            <v>380</v>
          </cell>
          <cell r="D442">
            <v>1</v>
          </cell>
          <cell r="E442">
            <v>0.5</v>
          </cell>
          <cell r="F442">
            <v>441</v>
          </cell>
          <cell r="G442" t="str">
            <v>fork</v>
          </cell>
          <cell r="H442" t="str">
            <v>89*14*9</v>
          </cell>
          <cell r="I442">
            <v>89</v>
          </cell>
          <cell r="J442">
            <v>14</v>
          </cell>
          <cell r="K442">
            <v>9</v>
          </cell>
        </row>
        <row r="443">
          <cell r="A443" t="str">
            <v>UWNANO2635DWX-46</v>
          </cell>
          <cell r="B443">
            <v>9</v>
          </cell>
          <cell r="C443">
            <v>69</v>
          </cell>
          <cell r="D443">
            <v>50</v>
          </cell>
          <cell r="E443">
            <v>0.6</v>
          </cell>
          <cell r="F443">
            <v>442</v>
          </cell>
          <cell r="G443" t="str">
            <v>golf</v>
          </cell>
          <cell r="H443" t="str">
            <v>122*15*10</v>
          </cell>
          <cell r="I443">
            <v>122</v>
          </cell>
          <cell r="J443">
            <v>15</v>
          </cell>
          <cell r="K443">
            <v>10</v>
          </cell>
        </row>
        <row r="444">
          <cell r="A444" t="str">
            <v>UWNANO2FW3X-44</v>
          </cell>
          <cell r="B444">
            <v>9</v>
          </cell>
          <cell r="C444">
            <v>77</v>
          </cell>
          <cell r="D444">
            <v>50</v>
          </cell>
          <cell r="E444">
            <v>0.6</v>
          </cell>
          <cell r="F444">
            <v>443</v>
          </cell>
          <cell r="G444" t="str">
            <v>golf</v>
          </cell>
          <cell r="H444" t="str">
            <v>122*15*10</v>
          </cell>
          <cell r="I444">
            <v>122</v>
          </cell>
          <cell r="J444">
            <v>15</v>
          </cell>
          <cell r="K444">
            <v>10</v>
          </cell>
        </row>
        <row r="445">
          <cell r="A445" t="str">
            <v>PASS-TI-09051</v>
          </cell>
          <cell r="B445">
            <v>9</v>
          </cell>
          <cell r="C445">
            <v>315</v>
          </cell>
          <cell r="D445">
            <v>50</v>
          </cell>
          <cell r="E445">
            <v>1.48</v>
          </cell>
          <cell r="F445">
            <v>444</v>
          </cell>
          <cell r="G445" t="str">
            <v>Shaft</v>
          </cell>
          <cell r="H445" t="str">
            <v>145*29*16</v>
          </cell>
          <cell r="I445">
            <v>145</v>
          </cell>
          <cell r="J445">
            <v>29</v>
          </cell>
          <cell r="K445">
            <v>16</v>
          </cell>
        </row>
        <row r="446">
          <cell r="A446" t="str">
            <v>PASS-TI-10051</v>
          </cell>
          <cell r="B446">
            <v>9</v>
          </cell>
          <cell r="C446">
            <v>323</v>
          </cell>
          <cell r="D446">
            <v>50</v>
          </cell>
          <cell r="E446">
            <v>1.48</v>
          </cell>
          <cell r="F446">
            <v>445</v>
          </cell>
          <cell r="G446" t="str">
            <v>Shaft</v>
          </cell>
          <cell r="H446" t="str">
            <v>145*29*16</v>
          </cell>
          <cell r="I446">
            <v>145</v>
          </cell>
          <cell r="J446">
            <v>29</v>
          </cell>
          <cell r="K446">
            <v>16</v>
          </cell>
        </row>
        <row r="447">
          <cell r="A447" t="str">
            <v>PASS-TI-11051</v>
          </cell>
          <cell r="B447">
            <v>9</v>
          </cell>
          <cell r="C447">
            <v>330</v>
          </cell>
          <cell r="D447">
            <v>50</v>
          </cell>
          <cell r="E447">
            <v>1.48</v>
          </cell>
          <cell r="F447">
            <v>446</v>
          </cell>
          <cell r="G447" t="str">
            <v>Shaft</v>
          </cell>
          <cell r="H447" t="str">
            <v>145*29*16</v>
          </cell>
          <cell r="I447">
            <v>145</v>
          </cell>
          <cell r="J447">
            <v>29</v>
          </cell>
          <cell r="K447">
            <v>16</v>
          </cell>
        </row>
        <row r="448">
          <cell r="A448" t="str">
            <v>PASS-TI-12051</v>
          </cell>
          <cell r="B448">
            <v>9</v>
          </cell>
          <cell r="C448">
            <v>328</v>
          </cell>
          <cell r="D448">
            <v>50</v>
          </cell>
          <cell r="E448">
            <v>1.48</v>
          </cell>
          <cell r="F448">
            <v>447</v>
          </cell>
          <cell r="G448" t="str">
            <v>Shaft</v>
          </cell>
          <cell r="H448" t="str">
            <v>145*29*16</v>
          </cell>
          <cell r="I448">
            <v>145</v>
          </cell>
          <cell r="J448">
            <v>29</v>
          </cell>
          <cell r="K448">
            <v>16</v>
          </cell>
        </row>
        <row r="449">
          <cell r="A449" t="str">
            <v>TAQ-1125-IH-ST-CB-70044</v>
          </cell>
          <cell r="B449">
            <v>9</v>
          </cell>
          <cell r="C449">
            <v>435</v>
          </cell>
          <cell r="D449">
            <v>1</v>
          </cell>
          <cell r="E449">
            <v>0.5</v>
          </cell>
          <cell r="F449">
            <v>448</v>
          </cell>
          <cell r="G449" t="str">
            <v>fork</v>
          </cell>
          <cell r="H449" t="str">
            <v>89*14*9</v>
          </cell>
          <cell r="I449">
            <v>89</v>
          </cell>
          <cell r="J449">
            <v>14</v>
          </cell>
          <cell r="K449">
            <v>9</v>
          </cell>
        </row>
        <row r="450">
          <cell r="A450" t="str">
            <v>UWFS3WR-F-44</v>
          </cell>
          <cell r="B450">
            <v>9</v>
          </cell>
          <cell r="C450">
            <v>67</v>
          </cell>
          <cell r="D450">
            <v>50</v>
          </cell>
          <cell r="E450">
            <v>0.6</v>
          </cell>
          <cell r="F450">
            <v>449</v>
          </cell>
          <cell r="G450" t="str">
            <v>golf</v>
          </cell>
          <cell r="H450" t="str">
            <v>122*15*10</v>
          </cell>
          <cell r="I450">
            <v>122</v>
          </cell>
          <cell r="J450">
            <v>15</v>
          </cell>
          <cell r="K450">
            <v>10</v>
          </cell>
        </row>
        <row r="451">
          <cell r="A451" t="str">
            <v>UWFS3WS-F-44</v>
          </cell>
          <cell r="B451">
            <v>9</v>
          </cell>
          <cell r="C451">
            <v>69</v>
          </cell>
          <cell r="D451">
            <v>50</v>
          </cell>
          <cell r="E451">
            <v>0.6</v>
          </cell>
          <cell r="F451">
            <v>450</v>
          </cell>
          <cell r="G451" t="str">
            <v>golf</v>
          </cell>
          <cell r="H451" t="str">
            <v>122*15*10</v>
          </cell>
          <cell r="I451">
            <v>122</v>
          </cell>
          <cell r="J451">
            <v>15</v>
          </cell>
          <cell r="K451">
            <v>10</v>
          </cell>
        </row>
        <row r="452">
          <cell r="A452" t="str">
            <v>AUPL-76-WR-46</v>
          </cell>
          <cell r="B452">
            <v>9</v>
          </cell>
          <cell r="C452">
            <v>67</v>
          </cell>
          <cell r="D452">
            <v>50</v>
          </cell>
          <cell r="E452">
            <v>0.6</v>
          </cell>
          <cell r="F452">
            <v>451</v>
          </cell>
          <cell r="G452" t="str">
            <v>golf</v>
          </cell>
          <cell r="H452" t="str">
            <v>122*15*10</v>
          </cell>
          <cell r="I452">
            <v>122</v>
          </cell>
          <cell r="J452">
            <v>15</v>
          </cell>
          <cell r="K452">
            <v>10</v>
          </cell>
        </row>
        <row r="453">
          <cell r="A453" t="str">
            <v>MGBGS3-45</v>
          </cell>
          <cell r="B453">
            <v>9</v>
          </cell>
          <cell r="C453">
            <v>81</v>
          </cell>
          <cell r="D453">
            <v>50</v>
          </cell>
          <cell r="E453">
            <v>0.6</v>
          </cell>
          <cell r="F453">
            <v>452</v>
          </cell>
          <cell r="G453" t="str">
            <v>golf</v>
          </cell>
          <cell r="H453" t="str">
            <v>122*15*10</v>
          </cell>
          <cell r="I453">
            <v>122</v>
          </cell>
          <cell r="J453">
            <v>15</v>
          </cell>
          <cell r="K453">
            <v>10</v>
          </cell>
        </row>
        <row r="454">
          <cell r="A454" t="str">
            <v>TAQEX-1125-IH-ST-CB-70044</v>
          </cell>
          <cell r="B454">
            <v>9</v>
          </cell>
          <cell r="C454">
            <v>430</v>
          </cell>
          <cell r="D454">
            <v>1</v>
          </cell>
          <cell r="E454">
            <v>0.5</v>
          </cell>
          <cell r="F454">
            <v>453</v>
          </cell>
          <cell r="G454" t="str">
            <v>fork</v>
          </cell>
          <cell r="H454" t="str">
            <v>89*14*9</v>
          </cell>
          <cell r="I454">
            <v>89</v>
          </cell>
          <cell r="J454">
            <v>14</v>
          </cell>
          <cell r="K454">
            <v>9</v>
          </cell>
        </row>
        <row r="455">
          <cell r="A455" t="str">
            <v>UW430PDR-47</v>
          </cell>
          <cell r="B455">
            <v>9</v>
          </cell>
          <cell r="C455">
            <v>69</v>
          </cell>
          <cell r="D455">
            <v>50</v>
          </cell>
          <cell r="E455">
            <v>0.6</v>
          </cell>
          <cell r="F455">
            <v>454</v>
          </cell>
          <cell r="G455" t="str">
            <v>golf</v>
          </cell>
          <cell r="H455" t="str">
            <v>122*15*10</v>
          </cell>
          <cell r="I455">
            <v>122</v>
          </cell>
          <cell r="J455">
            <v>15</v>
          </cell>
          <cell r="K455">
            <v>10</v>
          </cell>
        </row>
        <row r="456">
          <cell r="A456" t="str">
            <v>UW430PDS-47</v>
          </cell>
          <cell r="B456">
            <v>9</v>
          </cell>
          <cell r="C456">
            <v>72</v>
          </cell>
          <cell r="D456">
            <v>50</v>
          </cell>
          <cell r="E456">
            <v>0.6</v>
          </cell>
          <cell r="F456">
            <v>455</v>
          </cell>
          <cell r="G456" t="str">
            <v>golf</v>
          </cell>
          <cell r="H456" t="str">
            <v>122*15*10</v>
          </cell>
          <cell r="I456">
            <v>122</v>
          </cell>
          <cell r="J456">
            <v>15</v>
          </cell>
          <cell r="K456">
            <v>10</v>
          </cell>
        </row>
        <row r="457">
          <cell r="A457" t="str">
            <v>UWFS3WA-47</v>
          </cell>
          <cell r="B457">
            <v>9</v>
          </cell>
          <cell r="C457">
            <v>60</v>
          </cell>
          <cell r="D457">
            <v>50</v>
          </cell>
          <cell r="E457">
            <v>0.6</v>
          </cell>
          <cell r="F457">
            <v>456</v>
          </cell>
          <cell r="G457" t="str">
            <v>golf</v>
          </cell>
          <cell r="H457" t="str">
            <v>122*15*10</v>
          </cell>
          <cell r="I457">
            <v>122</v>
          </cell>
          <cell r="J457">
            <v>15</v>
          </cell>
          <cell r="K457">
            <v>10</v>
          </cell>
        </row>
        <row r="458">
          <cell r="A458" t="str">
            <v>UWFS4WR-47-NC</v>
          </cell>
          <cell r="B458">
            <v>9</v>
          </cell>
          <cell r="C458">
            <v>69</v>
          </cell>
          <cell r="D458">
            <v>50</v>
          </cell>
          <cell r="E458">
            <v>0.6</v>
          </cell>
          <cell r="F458">
            <v>457</v>
          </cell>
          <cell r="G458" t="str">
            <v>golf</v>
          </cell>
          <cell r="H458" t="str">
            <v>122*15*10</v>
          </cell>
          <cell r="I458">
            <v>122</v>
          </cell>
          <cell r="J458">
            <v>15</v>
          </cell>
          <cell r="K458">
            <v>10</v>
          </cell>
        </row>
        <row r="459">
          <cell r="A459" t="str">
            <v>UWFS4WS-47</v>
          </cell>
          <cell r="B459">
            <v>9</v>
          </cell>
          <cell r="C459">
            <v>69</v>
          </cell>
          <cell r="D459">
            <v>50</v>
          </cell>
          <cell r="E459">
            <v>0.6</v>
          </cell>
          <cell r="F459">
            <v>458</v>
          </cell>
          <cell r="G459" t="str">
            <v>golf</v>
          </cell>
          <cell r="H459" t="str">
            <v>122*15*10</v>
          </cell>
          <cell r="I459">
            <v>122</v>
          </cell>
          <cell r="J459">
            <v>15</v>
          </cell>
          <cell r="K459">
            <v>10</v>
          </cell>
        </row>
        <row r="460">
          <cell r="A460" t="str">
            <v>UWNANO2FW579S-43</v>
          </cell>
          <cell r="B460">
            <v>9</v>
          </cell>
          <cell r="C460">
            <v>79</v>
          </cell>
          <cell r="D460">
            <v>50</v>
          </cell>
          <cell r="E460">
            <v>0.6</v>
          </cell>
          <cell r="F460">
            <v>459</v>
          </cell>
          <cell r="G460" t="str">
            <v>golf</v>
          </cell>
          <cell r="H460" t="str">
            <v>122*15*10</v>
          </cell>
          <cell r="I460">
            <v>122</v>
          </cell>
          <cell r="J460">
            <v>15</v>
          </cell>
          <cell r="K460">
            <v>10</v>
          </cell>
        </row>
        <row r="461">
          <cell r="A461" t="str">
            <v>UWNANO2FW579X-43</v>
          </cell>
          <cell r="B461">
            <v>9</v>
          </cell>
          <cell r="C461">
            <v>77</v>
          </cell>
          <cell r="D461">
            <v>50</v>
          </cell>
          <cell r="E461">
            <v>0.6</v>
          </cell>
          <cell r="F461">
            <v>460</v>
          </cell>
          <cell r="G461" t="str">
            <v>golf</v>
          </cell>
          <cell r="H461" t="str">
            <v>122*15*10</v>
          </cell>
          <cell r="I461">
            <v>122</v>
          </cell>
          <cell r="J461">
            <v>15</v>
          </cell>
          <cell r="K461">
            <v>10</v>
          </cell>
        </row>
        <row r="462">
          <cell r="A462" t="str">
            <v>UNZ633WR-46</v>
          </cell>
          <cell r="B462">
            <v>9</v>
          </cell>
          <cell r="C462">
            <v>67</v>
          </cell>
          <cell r="D462">
            <v>50</v>
          </cell>
          <cell r="E462">
            <v>0.6</v>
          </cell>
          <cell r="F462">
            <v>461</v>
          </cell>
          <cell r="G462" t="str">
            <v>golf</v>
          </cell>
          <cell r="H462" t="str">
            <v>122*15*10</v>
          </cell>
          <cell r="I462">
            <v>122</v>
          </cell>
          <cell r="J462">
            <v>15</v>
          </cell>
          <cell r="K462">
            <v>10</v>
          </cell>
        </row>
        <row r="463">
          <cell r="A463" t="str">
            <v>UNZ633WS-46</v>
          </cell>
          <cell r="B463">
            <v>9</v>
          </cell>
          <cell r="C463">
            <v>68</v>
          </cell>
          <cell r="D463">
            <v>50</v>
          </cell>
          <cell r="E463">
            <v>0.6</v>
          </cell>
          <cell r="F463">
            <v>462</v>
          </cell>
          <cell r="G463" t="str">
            <v>golf</v>
          </cell>
          <cell r="H463" t="str">
            <v>122*15*10</v>
          </cell>
          <cell r="I463">
            <v>122</v>
          </cell>
          <cell r="J463">
            <v>15</v>
          </cell>
          <cell r="K463">
            <v>10</v>
          </cell>
        </row>
        <row r="464">
          <cell r="A464" t="str">
            <v>UNZ633WX-46</v>
          </cell>
          <cell r="B464">
            <v>9</v>
          </cell>
          <cell r="C464">
            <v>91</v>
          </cell>
          <cell r="D464">
            <v>50</v>
          </cell>
          <cell r="E464">
            <v>0.6</v>
          </cell>
          <cell r="F464">
            <v>463</v>
          </cell>
          <cell r="G464" t="str">
            <v>golf</v>
          </cell>
          <cell r="H464" t="str">
            <v>122*15*10</v>
          </cell>
          <cell r="I464">
            <v>122</v>
          </cell>
          <cell r="J464">
            <v>15</v>
          </cell>
          <cell r="K464">
            <v>10</v>
          </cell>
        </row>
        <row r="465">
          <cell r="A465" t="str">
            <v>UWFS4WS-47-NC</v>
          </cell>
          <cell r="B465">
            <v>9</v>
          </cell>
          <cell r="C465">
            <v>67</v>
          </cell>
          <cell r="D465">
            <v>50</v>
          </cell>
          <cell r="E465">
            <v>0.6</v>
          </cell>
          <cell r="F465">
            <v>464</v>
          </cell>
          <cell r="G465" t="str">
            <v>golf</v>
          </cell>
          <cell r="H465" t="str">
            <v>122*15*10</v>
          </cell>
          <cell r="I465">
            <v>122</v>
          </cell>
          <cell r="J465">
            <v>15</v>
          </cell>
          <cell r="K465">
            <v>10</v>
          </cell>
        </row>
        <row r="466">
          <cell r="A466" t="str">
            <v>UWFS3WS-47</v>
          </cell>
          <cell r="B466">
            <v>9</v>
          </cell>
          <cell r="C466">
            <v>64</v>
          </cell>
          <cell r="D466">
            <v>50</v>
          </cell>
          <cell r="E466">
            <v>0.6</v>
          </cell>
          <cell r="F466">
            <v>465</v>
          </cell>
          <cell r="G466" t="str">
            <v>golf</v>
          </cell>
          <cell r="H466" t="str">
            <v>122*15*10</v>
          </cell>
          <cell r="I466">
            <v>122</v>
          </cell>
          <cell r="J466">
            <v>15</v>
          </cell>
          <cell r="K466">
            <v>10</v>
          </cell>
        </row>
        <row r="467">
          <cell r="A467" t="str">
            <v>UTEJMQL33WL-46</v>
          </cell>
          <cell r="B467">
            <v>9</v>
          </cell>
          <cell r="C467">
            <v>64</v>
          </cell>
          <cell r="D467">
            <v>50</v>
          </cell>
          <cell r="E467">
            <v>0.6</v>
          </cell>
          <cell r="F467">
            <v>466</v>
          </cell>
          <cell r="G467" t="str">
            <v>golf</v>
          </cell>
          <cell r="H467" t="str">
            <v>122*15*10</v>
          </cell>
          <cell r="I467">
            <v>122</v>
          </cell>
          <cell r="J467">
            <v>15</v>
          </cell>
          <cell r="K467">
            <v>10</v>
          </cell>
        </row>
        <row r="468">
          <cell r="A468" t="str">
            <v>UTEJMQL33WR-46</v>
          </cell>
          <cell r="B468">
            <v>9</v>
          </cell>
          <cell r="C468">
            <v>72</v>
          </cell>
          <cell r="D468">
            <v>50</v>
          </cell>
          <cell r="E468">
            <v>0.6</v>
          </cell>
          <cell r="F468">
            <v>467</v>
          </cell>
          <cell r="G468" t="str">
            <v>golf</v>
          </cell>
          <cell r="H468" t="str">
            <v>122*15*10</v>
          </cell>
          <cell r="I468">
            <v>122</v>
          </cell>
          <cell r="J468">
            <v>15</v>
          </cell>
          <cell r="K468">
            <v>10</v>
          </cell>
        </row>
        <row r="469">
          <cell r="A469" t="str">
            <v>UTEJMQL33WS-46</v>
          </cell>
          <cell r="B469">
            <v>9</v>
          </cell>
          <cell r="C469">
            <v>74</v>
          </cell>
          <cell r="D469">
            <v>50</v>
          </cell>
          <cell r="E469">
            <v>0.6</v>
          </cell>
          <cell r="F469">
            <v>468</v>
          </cell>
          <cell r="G469" t="str">
            <v>golf</v>
          </cell>
          <cell r="H469" t="str">
            <v>122*15*10</v>
          </cell>
          <cell r="I469">
            <v>122</v>
          </cell>
          <cell r="J469">
            <v>15</v>
          </cell>
          <cell r="K469">
            <v>10</v>
          </cell>
        </row>
        <row r="470">
          <cell r="A470" t="str">
            <v>UADA2OSHYIR-42</v>
          </cell>
          <cell r="B470">
            <v>9</v>
          </cell>
          <cell r="C470">
            <v>79</v>
          </cell>
          <cell r="D470">
            <v>100</v>
          </cell>
          <cell r="E470">
            <v>0.72</v>
          </cell>
          <cell r="F470">
            <v>469</v>
          </cell>
          <cell r="G470" t="str">
            <v>golf</v>
          </cell>
          <cell r="H470" t="str">
            <v>111*29*10</v>
          </cell>
          <cell r="I470">
            <v>111</v>
          </cell>
          <cell r="J470">
            <v>29</v>
          </cell>
          <cell r="K470">
            <v>10</v>
          </cell>
        </row>
        <row r="471">
          <cell r="A471" t="str">
            <v>UADA2OSHYIS-42</v>
          </cell>
          <cell r="B471">
            <v>9</v>
          </cell>
          <cell r="C471">
            <v>79</v>
          </cell>
          <cell r="D471">
            <v>100</v>
          </cell>
          <cell r="E471">
            <v>0.72</v>
          </cell>
          <cell r="F471">
            <v>470</v>
          </cell>
          <cell r="G471" t="str">
            <v>golf</v>
          </cell>
          <cell r="H471" t="str">
            <v>111*29*10</v>
          </cell>
          <cell r="I471">
            <v>111</v>
          </cell>
          <cell r="J471">
            <v>29</v>
          </cell>
          <cell r="K471">
            <v>10</v>
          </cell>
        </row>
        <row r="472">
          <cell r="A472" t="str">
            <v>UADA2OSIR-41</v>
          </cell>
          <cell r="B472">
            <v>9</v>
          </cell>
          <cell r="C472">
            <v>76</v>
          </cell>
          <cell r="D472">
            <v>100</v>
          </cell>
          <cell r="E472">
            <v>0.72</v>
          </cell>
          <cell r="F472">
            <v>471</v>
          </cell>
          <cell r="G472" t="str">
            <v>golf</v>
          </cell>
          <cell r="H472" t="str">
            <v>111*29*10</v>
          </cell>
          <cell r="I472">
            <v>111</v>
          </cell>
          <cell r="J472">
            <v>29</v>
          </cell>
          <cell r="K472">
            <v>10</v>
          </cell>
        </row>
        <row r="473">
          <cell r="A473" t="str">
            <v>UADA2OSIS-41</v>
          </cell>
          <cell r="B473">
            <v>9</v>
          </cell>
          <cell r="C473">
            <v>76</v>
          </cell>
          <cell r="D473">
            <v>100</v>
          </cell>
          <cell r="E473">
            <v>0.72</v>
          </cell>
          <cell r="F473">
            <v>472</v>
          </cell>
          <cell r="G473" t="str">
            <v>golf</v>
          </cell>
          <cell r="H473" t="str">
            <v>111*29*10</v>
          </cell>
          <cell r="I473">
            <v>111</v>
          </cell>
          <cell r="J473">
            <v>29</v>
          </cell>
          <cell r="K473">
            <v>10</v>
          </cell>
        </row>
        <row r="474">
          <cell r="A474" t="str">
            <v>UADA2OSIW-405</v>
          </cell>
          <cell r="B474">
            <v>9</v>
          </cell>
          <cell r="C474">
            <v>76</v>
          </cell>
          <cell r="D474">
            <v>100</v>
          </cell>
          <cell r="E474">
            <v>0.72</v>
          </cell>
          <cell r="F474">
            <v>473</v>
          </cell>
          <cell r="G474" t="str">
            <v>golf</v>
          </cell>
          <cell r="H474" t="str">
            <v>111*29*10</v>
          </cell>
          <cell r="I474">
            <v>111</v>
          </cell>
          <cell r="J474">
            <v>29</v>
          </cell>
          <cell r="K474">
            <v>10</v>
          </cell>
        </row>
        <row r="475">
          <cell r="A475" t="str">
            <v>UTEJMQL33WA-46</v>
          </cell>
          <cell r="B475">
            <v>9</v>
          </cell>
          <cell r="C475">
            <v>68</v>
          </cell>
          <cell r="D475">
            <v>50</v>
          </cell>
          <cell r="E475">
            <v>0.6</v>
          </cell>
          <cell r="F475">
            <v>474</v>
          </cell>
          <cell r="G475" t="str">
            <v>golf</v>
          </cell>
          <cell r="H475" t="str">
            <v>122*15*10</v>
          </cell>
          <cell r="I475">
            <v>122</v>
          </cell>
          <cell r="J475">
            <v>15</v>
          </cell>
          <cell r="K475">
            <v>10</v>
          </cell>
        </row>
        <row r="476">
          <cell r="A476" t="str">
            <v>UTEJMQL33WX-46</v>
          </cell>
          <cell r="B476">
            <v>9</v>
          </cell>
          <cell r="C476">
            <v>76</v>
          </cell>
          <cell r="D476">
            <v>50</v>
          </cell>
          <cell r="E476">
            <v>0.6</v>
          </cell>
          <cell r="F476">
            <v>475</v>
          </cell>
          <cell r="G476" t="str">
            <v>golf</v>
          </cell>
          <cell r="H476" t="str">
            <v>122*15*10</v>
          </cell>
          <cell r="I476">
            <v>122</v>
          </cell>
          <cell r="J476">
            <v>15</v>
          </cell>
          <cell r="K476">
            <v>10</v>
          </cell>
        </row>
        <row r="477">
          <cell r="A477" t="str">
            <v>UWFS3WR-47</v>
          </cell>
          <cell r="B477">
            <v>9</v>
          </cell>
          <cell r="C477">
            <v>60</v>
          </cell>
          <cell r="D477">
            <v>50</v>
          </cell>
          <cell r="E477">
            <v>0.6</v>
          </cell>
          <cell r="F477">
            <v>476</v>
          </cell>
          <cell r="G477" t="str">
            <v>golf</v>
          </cell>
          <cell r="H477" t="str">
            <v>122*15*10</v>
          </cell>
          <cell r="I477">
            <v>122</v>
          </cell>
          <cell r="J477">
            <v>15</v>
          </cell>
          <cell r="K477">
            <v>10</v>
          </cell>
        </row>
        <row r="478">
          <cell r="A478" t="str">
            <v>SHR-MOM-S03L</v>
          </cell>
          <cell r="B478">
            <v>9</v>
          </cell>
          <cell r="C478">
            <v>155</v>
          </cell>
          <cell r="D478">
            <v>6</v>
          </cell>
          <cell r="E478">
            <v>0.2</v>
          </cell>
          <cell r="F478">
            <v>477</v>
          </cell>
          <cell r="G478" t="str">
            <v>blade</v>
          </cell>
          <cell r="H478" t="str">
            <v>45*26*8</v>
          </cell>
          <cell r="I478">
            <v>45</v>
          </cell>
          <cell r="J478">
            <v>26</v>
          </cell>
          <cell r="K478">
            <v>8</v>
          </cell>
        </row>
        <row r="479">
          <cell r="A479" t="str">
            <v>SHR-MOM-S03R</v>
          </cell>
          <cell r="B479">
            <v>9</v>
          </cell>
          <cell r="C479">
            <v>155</v>
          </cell>
          <cell r="D479">
            <v>6</v>
          </cell>
          <cell r="E479">
            <v>0.2</v>
          </cell>
          <cell r="F479">
            <v>478</v>
          </cell>
          <cell r="G479" t="str">
            <v>blade</v>
          </cell>
          <cell r="H479" t="str">
            <v>45*26*8</v>
          </cell>
          <cell r="I479">
            <v>45</v>
          </cell>
          <cell r="J479">
            <v>26</v>
          </cell>
          <cell r="K479">
            <v>8</v>
          </cell>
        </row>
        <row r="480">
          <cell r="A480" t="str">
            <v>SHR-MOM-S04L</v>
          </cell>
          <cell r="B480">
            <v>9</v>
          </cell>
          <cell r="C480">
            <v>155</v>
          </cell>
          <cell r="D480">
            <v>6</v>
          </cell>
          <cell r="E480">
            <v>0.2</v>
          </cell>
          <cell r="F480">
            <v>479</v>
          </cell>
          <cell r="G480" t="str">
            <v>blade</v>
          </cell>
          <cell r="H480" t="str">
            <v>45*26*8</v>
          </cell>
          <cell r="I480">
            <v>45</v>
          </cell>
          <cell r="J480">
            <v>26</v>
          </cell>
          <cell r="K480">
            <v>8</v>
          </cell>
        </row>
        <row r="481">
          <cell r="A481" t="str">
            <v>SHR-MOM-S04R</v>
          </cell>
          <cell r="B481">
            <v>9</v>
          </cell>
          <cell r="C481">
            <v>155</v>
          </cell>
          <cell r="D481">
            <v>6</v>
          </cell>
          <cell r="E481">
            <v>0.2</v>
          </cell>
          <cell r="F481">
            <v>480</v>
          </cell>
          <cell r="G481" t="str">
            <v>blade</v>
          </cell>
          <cell r="H481" t="str">
            <v>45*26*8</v>
          </cell>
          <cell r="I481">
            <v>45</v>
          </cell>
          <cell r="J481">
            <v>26</v>
          </cell>
          <cell r="K481">
            <v>8</v>
          </cell>
        </row>
        <row r="482">
          <cell r="A482" t="str">
            <v>SHR-MOM-S07L</v>
          </cell>
          <cell r="B482">
            <v>9</v>
          </cell>
          <cell r="C482">
            <v>155</v>
          </cell>
          <cell r="D482">
            <v>6</v>
          </cell>
          <cell r="E482">
            <v>0.2</v>
          </cell>
          <cell r="F482">
            <v>481</v>
          </cell>
          <cell r="G482" t="str">
            <v>blade</v>
          </cell>
          <cell r="H482" t="str">
            <v>45*26*8</v>
          </cell>
          <cell r="I482">
            <v>45</v>
          </cell>
          <cell r="J482">
            <v>26</v>
          </cell>
          <cell r="K482">
            <v>8</v>
          </cell>
        </row>
        <row r="483">
          <cell r="A483" t="str">
            <v>SHR-MOM-S07R</v>
          </cell>
          <cell r="B483">
            <v>9</v>
          </cell>
          <cell r="C483">
            <v>155</v>
          </cell>
          <cell r="D483">
            <v>6</v>
          </cell>
          <cell r="E483">
            <v>0.2</v>
          </cell>
          <cell r="F483">
            <v>482</v>
          </cell>
          <cell r="G483" t="str">
            <v>blade</v>
          </cell>
          <cell r="H483" t="str">
            <v>45*26*8</v>
          </cell>
          <cell r="I483">
            <v>45</v>
          </cell>
          <cell r="J483">
            <v>26</v>
          </cell>
          <cell r="K483">
            <v>8</v>
          </cell>
        </row>
        <row r="484">
          <cell r="A484" t="str">
            <v>ULAUNCHMDWR-46</v>
          </cell>
          <cell r="B484">
            <v>9</v>
          </cell>
          <cell r="C484">
            <v>67</v>
          </cell>
          <cell r="D484">
            <v>50</v>
          </cell>
          <cell r="E484">
            <v>0.6</v>
          </cell>
          <cell r="F484">
            <v>483</v>
          </cell>
          <cell r="G484" t="str">
            <v>golf</v>
          </cell>
          <cell r="H484" t="str">
            <v>122*15*10</v>
          </cell>
          <cell r="I484">
            <v>122</v>
          </cell>
          <cell r="J484">
            <v>15</v>
          </cell>
          <cell r="K484">
            <v>10</v>
          </cell>
        </row>
        <row r="485">
          <cell r="A485" t="str">
            <v>ULAUNCHMDWS-46</v>
          </cell>
          <cell r="B485">
            <v>9</v>
          </cell>
          <cell r="C485">
            <v>68</v>
          </cell>
          <cell r="D485">
            <v>50</v>
          </cell>
          <cell r="E485">
            <v>0.6</v>
          </cell>
          <cell r="F485">
            <v>484</v>
          </cell>
          <cell r="G485" t="str">
            <v>golf</v>
          </cell>
          <cell r="H485" t="str">
            <v>122*15*10</v>
          </cell>
          <cell r="I485">
            <v>122</v>
          </cell>
          <cell r="J485">
            <v>15</v>
          </cell>
          <cell r="K485">
            <v>10</v>
          </cell>
        </row>
        <row r="486">
          <cell r="A486" t="str">
            <v>UMDPL65WR-46</v>
          </cell>
          <cell r="B486">
            <v>9</v>
          </cell>
          <cell r="C486">
            <v>69</v>
          </cell>
          <cell r="D486">
            <v>50</v>
          </cell>
          <cell r="E486">
            <v>0.6</v>
          </cell>
          <cell r="F486">
            <v>487</v>
          </cell>
          <cell r="G486" t="str">
            <v>golf</v>
          </cell>
          <cell r="H486" t="str">
            <v>122*15*10</v>
          </cell>
          <cell r="I486">
            <v>122</v>
          </cell>
          <cell r="J486">
            <v>15</v>
          </cell>
          <cell r="K486">
            <v>10</v>
          </cell>
        </row>
        <row r="487">
          <cell r="A487" t="str">
            <v>UMDPL65WS-46</v>
          </cell>
          <cell r="B487">
            <v>9</v>
          </cell>
          <cell r="C487">
            <v>71</v>
          </cell>
          <cell r="D487">
            <v>50</v>
          </cell>
          <cell r="E487">
            <v>0.6</v>
          </cell>
          <cell r="F487">
            <v>488</v>
          </cell>
          <cell r="G487" t="str">
            <v>golf</v>
          </cell>
          <cell r="H487" t="str">
            <v>122*15*10</v>
          </cell>
          <cell r="I487">
            <v>122</v>
          </cell>
          <cell r="J487">
            <v>15</v>
          </cell>
          <cell r="K487">
            <v>10</v>
          </cell>
        </row>
        <row r="488">
          <cell r="A488" t="str">
            <v>UPRLTWR-46-MD</v>
          </cell>
          <cell r="B488">
            <v>9</v>
          </cell>
          <cell r="C488">
            <v>72</v>
          </cell>
          <cell r="D488">
            <v>50</v>
          </cell>
          <cell r="E488">
            <v>0.6</v>
          </cell>
          <cell r="F488">
            <v>489</v>
          </cell>
          <cell r="G488" t="str">
            <v>golf</v>
          </cell>
          <cell r="H488" t="str">
            <v>122*15*10</v>
          </cell>
          <cell r="I488">
            <v>122</v>
          </cell>
          <cell r="J488">
            <v>15</v>
          </cell>
          <cell r="K488">
            <v>10</v>
          </cell>
        </row>
        <row r="489">
          <cell r="A489" t="str">
            <v>UPRLTWS-46-MD</v>
          </cell>
          <cell r="B489">
            <v>9</v>
          </cell>
          <cell r="C489">
            <v>74</v>
          </cell>
          <cell r="D489">
            <v>50</v>
          </cell>
          <cell r="E489">
            <v>0.6</v>
          </cell>
          <cell r="F489">
            <v>490</v>
          </cell>
          <cell r="G489" t="str">
            <v>golf</v>
          </cell>
          <cell r="H489" t="str">
            <v>122*15*10</v>
          </cell>
          <cell r="I489">
            <v>122</v>
          </cell>
          <cell r="J489">
            <v>15</v>
          </cell>
          <cell r="K489">
            <v>10</v>
          </cell>
        </row>
        <row r="490">
          <cell r="A490" t="str">
            <v>SHR-MOM-S05L</v>
          </cell>
          <cell r="B490">
            <v>9</v>
          </cell>
          <cell r="C490">
            <v>155</v>
          </cell>
          <cell r="D490">
            <v>6</v>
          </cell>
          <cell r="E490">
            <v>0.2</v>
          </cell>
          <cell r="F490">
            <v>491</v>
          </cell>
          <cell r="G490" t="str">
            <v>blade</v>
          </cell>
          <cell r="H490" t="str">
            <v>45*26*8</v>
          </cell>
          <cell r="I490">
            <v>45</v>
          </cell>
          <cell r="J490">
            <v>26</v>
          </cell>
          <cell r="K490">
            <v>8</v>
          </cell>
        </row>
        <row r="491">
          <cell r="A491" t="str">
            <v>SHR-MOM-S05R</v>
          </cell>
          <cell r="B491">
            <v>9</v>
          </cell>
          <cell r="C491">
            <v>155</v>
          </cell>
          <cell r="D491">
            <v>6</v>
          </cell>
          <cell r="E491">
            <v>0.2</v>
          </cell>
          <cell r="F491">
            <v>492</v>
          </cell>
          <cell r="G491" t="str">
            <v>blade</v>
          </cell>
          <cell r="H491" t="str">
            <v>45*26*8</v>
          </cell>
          <cell r="I491">
            <v>45</v>
          </cell>
          <cell r="J491">
            <v>26</v>
          </cell>
          <cell r="K491">
            <v>8</v>
          </cell>
        </row>
        <row r="492">
          <cell r="A492" t="str">
            <v>ULAUNCHHYMDIR-41</v>
          </cell>
          <cell r="B492">
            <v>9</v>
          </cell>
          <cell r="C492">
            <v>87</v>
          </cell>
          <cell r="D492">
            <v>50</v>
          </cell>
          <cell r="E492">
            <v>0.6</v>
          </cell>
          <cell r="F492">
            <v>493</v>
          </cell>
          <cell r="G492" t="str">
            <v>golf</v>
          </cell>
          <cell r="H492" t="str">
            <v>122*15*10</v>
          </cell>
          <cell r="I492">
            <v>122</v>
          </cell>
          <cell r="J492">
            <v>15</v>
          </cell>
          <cell r="K492">
            <v>10</v>
          </cell>
        </row>
        <row r="493">
          <cell r="A493" t="str">
            <v>ULAUNCHHYMDIS-41</v>
          </cell>
          <cell r="B493">
            <v>9</v>
          </cell>
          <cell r="C493">
            <v>91</v>
          </cell>
          <cell r="D493">
            <v>50</v>
          </cell>
          <cell r="E493">
            <v>0.6</v>
          </cell>
          <cell r="F493">
            <v>494</v>
          </cell>
          <cell r="G493" t="str">
            <v>golf</v>
          </cell>
          <cell r="H493" t="str">
            <v>122*15*10</v>
          </cell>
          <cell r="I493">
            <v>122</v>
          </cell>
          <cell r="J493">
            <v>15</v>
          </cell>
          <cell r="K493">
            <v>10</v>
          </cell>
        </row>
        <row r="494">
          <cell r="A494" t="str">
            <v>QTS20-8-743</v>
          </cell>
          <cell r="B494">
            <v>9</v>
          </cell>
          <cell r="C494">
            <v>483</v>
          </cell>
          <cell r="D494">
            <v>1</v>
          </cell>
          <cell r="E494">
            <v>0.5</v>
          </cell>
          <cell r="F494">
            <v>495</v>
          </cell>
          <cell r="G494" t="str">
            <v>fork</v>
          </cell>
          <cell r="H494" t="str">
            <v>89*14*9</v>
          </cell>
          <cell r="I494">
            <v>89</v>
          </cell>
          <cell r="J494">
            <v>14</v>
          </cell>
          <cell r="K494">
            <v>9</v>
          </cell>
        </row>
        <row r="495">
          <cell r="A495" t="str">
            <v>SHR-MOM-S06L</v>
          </cell>
          <cell r="B495">
            <v>9</v>
          </cell>
          <cell r="C495">
            <v>155</v>
          </cell>
          <cell r="D495">
            <v>6</v>
          </cell>
          <cell r="E495">
            <v>0.2</v>
          </cell>
          <cell r="F495">
            <v>496</v>
          </cell>
          <cell r="G495" t="str">
            <v>blade</v>
          </cell>
          <cell r="H495" t="str">
            <v>45*26*8</v>
          </cell>
          <cell r="I495">
            <v>45</v>
          </cell>
          <cell r="J495">
            <v>26</v>
          </cell>
          <cell r="K495">
            <v>8</v>
          </cell>
        </row>
        <row r="496">
          <cell r="A496" t="str">
            <v>SHR-MOM-S06R</v>
          </cell>
          <cell r="B496">
            <v>9</v>
          </cell>
          <cell r="C496">
            <v>155</v>
          </cell>
          <cell r="D496">
            <v>6</v>
          </cell>
          <cell r="E496">
            <v>0.2</v>
          </cell>
          <cell r="F496">
            <v>497</v>
          </cell>
          <cell r="G496" t="str">
            <v>blade</v>
          </cell>
          <cell r="H496" t="str">
            <v>45*26*8</v>
          </cell>
          <cell r="I496">
            <v>45</v>
          </cell>
          <cell r="J496">
            <v>26</v>
          </cell>
          <cell r="K496">
            <v>8</v>
          </cell>
        </row>
        <row r="497">
          <cell r="A497" t="str">
            <v>BAL-ULTRA-S03L-M-UP</v>
          </cell>
          <cell r="B497">
            <v>9</v>
          </cell>
          <cell r="C497">
            <v>155</v>
          </cell>
          <cell r="D497">
            <v>160</v>
          </cell>
          <cell r="E497">
            <v>1.7</v>
          </cell>
          <cell r="F497">
            <v>498</v>
          </cell>
          <cell r="G497" t="str">
            <v>blade</v>
          </cell>
          <cell r="H497" t="str">
            <v>72*52*32</v>
          </cell>
          <cell r="I497">
            <v>72</v>
          </cell>
          <cell r="J497">
            <v>52</v>
          </cell>
          <cell r="K497">
            <v>32</v>
          </cell>
        </row>
        <row r="498">
          <cell r="A498" t="str">
            <v>BAL-ULTRA-S03R-M-UP</v>
          </cell>
          <cell r="B498">
            <v>9</v>
          </cell>
          <cell r="C498">
            <v>155</v>
          </cell>
          <cell r="D498">
            <v>160</v>
          </cell>
          <cell r="E498">
            <v>1.7</v>
          </cell>
          <cell r="F498">
            <v>499</v>
          </cell>
          <cell r="G498" t="str">
            <v>blade</v>
          </cell>
          <cell r="H498" t="str">
            <v>72*52*32</v>
          </cell>
          <cell r="I498">
            <v>72</v>
          </cell>
          <cell r="J498">
            <v>52</v>
          </cell>
          <cell r="K498">
            <v>32</v>
          </cell>
        </row>
        <row r="499">
          <cell r="A499" t="str">
            <v>BAL-ULTRA-S05L-M-UP</v>
          </cell>
          <cell r="B499">
            <v>9</v>
          </cell>
          <cell r="C499">
            <v>160</v>
          </cell>
          <cell r="D499">
            <v>160</v>
          </cell>
          <cell r="E499">
            <v>1.7</v>
          </cell>
          <cell r="F499">
            <v>500</v>
          </cell>
          <cell r="G499" t="str">
            <v>blade</v>
          </cell>
          <cell r="H499" t="str">
            <v>72*52*32</v>
          </cell>
          <cell r="I499">
            <v>72</v>
          </cell>
          <cell r="J499">
            <v>52</v>
          </cell>
          <cell r="K499">
            <v>32</v>
          </cell>
        </row>
        <row r="500">
          <cell r="A500" t="str">
            <v>BAL-ULTRA-S05R-M-UP</v>
          </cell>
          <cell r="B500">
            <v>9</v>
          </cell>
          <cell r="C500">
            <v>160</v>
          </cell>
          <cell r="D500">
            <v>160</v>
          </cell>
          <cell r="E500">
            <v>1.7</v>
          </cell>
          <cell r="F500">
            <v>501</v>
          </cell>
          <cell r="G500" t="str">
            <v>blade</v>
          </cell>
          <cell r="H500" t="str">
            <v>72*52*32</v>
          </cell>
          <cell r="I500">
            <v>72</v>
          </cell>
          <cell r="J500">
            <v>52</v>
          </cell>
          <cell r="K500">
            <v>32</v>
          </cell>
        </row>
        <row r="501">
          <cell r="A501" t="str">
            <v>BAL-ULTRA-S06L-H-08060</v>
          </cell>
          <cell r="B501">
            <v>9</v>
          </cell>
          <cell r="C501">
            <v>475</v>
          </cell>
          <cell r="D501">
            <v>25</v>
          </cell>
          <cell r="E501">
            <v>1.6</v>
          </cell>
          <cell r="F501">
            <v>502</v>
          </cell>
          <cell r="G501" t="str">
            <v>hockey</v>
          </cell>
          <cell r="H501" t="str">
            <v>183*29*16</v>
          </cell>
          <cell r="I501">
            <v>183</v>
          </cell>
          <cell r="J501">
            <v>29</v>
          </cell>
          <cell r="K501">
            <v>16</v>
          </cell>
        </row>
        <row r="502">
          <cell r="A502" t="str">
            <v>BAL-ULTRA-S06L-M-UP</v>
          </cell>
          <cell r="B502">
            <v>9</v>
          </cell>
          <cell r="C502">
            <v>155</v>
          </cell>
          <cell r="D502">
            <v>160</v>
          </cell>
          <cell r="E502">
            <v>1.7</v>
          </cell>
          <cell r="F502">
            <v>503</v>
          </cell>
          <cell r="G502" t="str">
            <v>blade</v>
          </cell>
          <cell r="H502" t="str">
            <v>72*52*32</v>
          </cell>
          <cell r="I502">
            <v>72</v>
          </cell>
          <cell r="J502">
            <v>52</v>
          </cell>
          <cell r="K502">
            <v>32</v>
          </cell>
        </row>
        <row r="503">
          <cell r="A503" t="str">
            <v>BAL-ULTRA-S06R-H-08060</v>
          </cell>
          <cell r="B503">
            <v>9</v>
          </cell>
          <cell r="C503">
            <v>475</v>
          </cell>
          <cell r="D503">
            <v>25</v>
          </cell>
          <cell r="E503">
            <v>1.6</v>
          </cell>
          <cell r="F503">
            <v>504</v>
          </cell>
          <cell r="G503" t="str">
            <v>hockey</v>
          </cell>
          <cell r="H503" t="str">
            <v>183*29*16</v>
          </cell>
          <cell r="I503">
            <v>183</v>
          </cell>
          <cell r="J503">
            <v>29</v>
          </cell>
          <cell r="K503">
            <v>16</v>
          </cell>
        </row>
        <row r="504">
          <cell r="A504" t="str">
            <v>BAL-ULTRA-S06R-M-UP</v>
          </cell>
          <cell r="B504">
            <v>9</v>
          </cell>
          <cell r="C504">
            <v>155</v>
          </cell>
          <cell r="D504">
            <v>160</v>
          </cell>
          <cell r="E504">
            <v>1.7</v>
          </cell>
          <cell r="F504">
            <v>505</v>
          </cell>
          <cell r="G504" t="str">
            <v>blade</v>
          </cell>
          <cell r="H504" t="str">
            <v>72*52*32</v>
          </cell>
          <cell r="I504">
            <v>72</v>
          </cell>
          <cell r="J504">
            <v>52</v>
          </cell>
          <cell r="K504">
            <v>32</v>
          </cell>
        </row>
        <row r="505">
          <cell r="A505" t="str">
            <v>ULAUNCHHYMDIL-41</v>
          </cell>
          <cell r="B505">
            <v>9</v>
          </cell>
          <cell r="C505">
            <v>79</v>
          </cell>
          <cell r="D505">
            <v>50</v>
          </cell>
          <cell r="E505">
            <v>0.6</v>
          </cell>
          <cell r="F505">
            <v>506</v>
          </cell>
          <cell r="G505" t="str">
            <v>golf</v>
          </cell>
          <cell r="H505" t="str">
            <v>122*15*10</v>
          </cell>
          <cell r="I505">
            <v>122</v>
          </cell>
          <cell r="J505">
            <v>15</v>
          </cell>
          <cell r="K505">
            <v>10</v>
          </cell>
        </row>
        <row r="506">
          <cell r="A506" t="str">
            <v>ULAUNCH833WS-46</v>
          </cell>
          <cell r="B506">
            <v>9</v>
          </cell>
          <cell r="C506">
            <v>89</v>
          </cell>
          <cell r="D506">
            <v>50</v>
          </cell>
          <cell r="E506">
            <v>0.6</v>
          </cell>
          <cell r="F506">
            <v>507</v>
          </cell>
          <cell r="G506" t="str">
            <v>golf</v>
          </cell>
          <cell r="H506" t="str">
            <v>122*15*10</v>
          </cell>
          <cell r="I506">
            <v>122</v>
          </cell>
          <cell r="J506">
            <v>15</v>
          </cell>
          <cell r="K506">
            <v>10</v>
          </cell>
        </row>
        <row r="507">
          <cell r="A507" t="str">
            <v>HEX-ELIAS-L-050-G</v>
          </cell>
          <cell r="B507">
            <v>9</v>
          </cell>
          <cell r="C507">
            <v>248</v>
          </cell>
          <cell r="D507">
            <v>50</v>
          </cell>
          <cell r="F507">
            <v>508</v>
          </cell>
          <cell r="G507" t="str">
            <v>Shaft</v>
          </cell>
          <cell r="H507" t="str">
            <v>N/A</v>
          </cell>
          <cell r="I507" t="str">
            <v>N/A</v>
          </cell>
          <cell r="J507" t="str">
            <v>N/A</v>
          </cell>
          <cell r="K507" t="str">
            <v>N/A</v>
          </cell>
        </row>
        <row r="508">
          <cell r="A508" t="str">
            <v>HEX-ELIAS-L-075-G</v>
          </cell>
          <cell r="B508">
            <v>9</v>
          </cell>
          <cell r="C508">
            <v>282</v>
          </cell>
          <cell r="D508">
            <v>50</v>
          </cell>
          <cell r="F508">
            <v>509</v>
          </cell>
          <cell r="G508" t="str">
            <v>Shaft</v>
          </cell>
          <cell r="H508" t="str">
            <v>N/A</v>
          </cell>
          <cell r="I508" t="str">
            <v>N/A</v>
          </cell>
          <cell r="J508" t="str">
            <v>N/A</v>
          </cell>
          <cell r="K508" t="str">
            <v>N/A</v>
          </cell>
        </row>
        <row r="509">
          <cell r="A509" t="str">
            <v>HEX-HULL-L-050-G</v>
          </cell>
          <cell r="B509">
            <v>9</v>
          </cell>
          <cell r="C509">
            <v>248</v>
          </cell>
          <cell r="D509">
            <v>50</v>
          </cell>
          <cell r="F509">
            <v>510</v>
          </cell>
          <cell r="G509" t="str">
            <v>Shaft</v>
          </cell>
          <cell r="H509" t="str">
            <v>N/A</v>
          </cell>
          <cell r="I509" t="str">
            <v>N/A</v>
          </cell>
          <cell r="J509" t="str">
            <v>N/A</v>
          </cell>
          <cell r="K509" t="str">
            <v>N/A</v>
          </cell>
        </row>
        <row r="510">
          <cell r="A510" t="str">
            <v>TTS-STDSQ-08548P</v>
          </cell>
          <cell r="B510">
            <v>9</v>
          </cell>
          <cell r="C510">
            <v>291</v>
          </cell>
          <cell r="D510">
            <v>50</v>
          </cell>
          <cell r="E510">
            <v>1.48</v>
          </cell>
          <cell r="F510">
            <v>511</v>
          </cell>
          <cell r="G510" t="str">
            <v>shaft</v>
          </cell>
          <cell r="H510" t="str">
            <v>145*29*16</v>
          </cell>
          <cell r="I510">
            <v>145</v>
          </cell>
          <cell r="J510">
            <v>29</v>
          </cell>
          <cell r="K510">
            <v>16</v>
          </cell>
        </row>
        <row r="511">
          <cell r="A511" t="str">
            <v>TTS-STDSQ-10048P</v>
          </cell>
          <cell r="B511">
            <v>9</v>
          </cell>
          <cell r="C511">
            <v>301</v>
          </cell>
          <cell r="D511">
            <v>50</v>
          </cell>
          <cell r="E511">
            <v>1.48</v>
          </cell>
          <cell r="F511">
            <v>512</v>
          </cell>
          <cell r="G511" t="str">
            <v>shaft</v>
          </cell>
          <cell r="H511" t="str">
            <v>145*29*16</v>
          </cell>
          <cell r="I511">
            <v>145</v>
          </cell>
          <cell r="J511">
            <v>29</v>
          </cell>
          <cell r="K511">
            <v>16</v>
          </cell>
        </row>
        <row r="512">
          <cell r="A512" t="str">
            <v>TTS-STDSQ-11048P</v>
          </cell>
          <cell r="B512">
            <v>9</v>
          </cell>
          <cell r="C512">
            <v>301</v>
          </cell>
          <cell r="D512">
            <v>50</v>
          </cell>
          <cell r="E512">
            <v>1.48</v>
          </cell>
          <cell r="F512">
            <v>513</v>
          </cell>
          <cell r="G512" t="str">
            <v>shaft</v>
          </cell>
          <cell r="H512" t="str">
            <v>145*29*16</v>
          </cell>
          <cell r="I512">
            <v>145</v>
          </cell>
          <cell r="J512">
            <v>29</v>
          </cell>
          <cell r="K512">
            <v>16</v>
          </cell>
        </row>
        <row r="513">
          <cell r="A513" t="str">
            <v>TTS-STDSQ-12048P</v>
          </cell>
          <cell r="B513">
            <v>9</v>
          </cell>
          <cell r="C513">
            <v>291</v>
          </cell>
          <cell r="D513">
            <v>50</v>
          </cell>
          <cell r="E513">
            <v>1.48</v>
          </cell>
          <cell r="F513">
            <v>514</v>
          </cell>
          <cell r="G513" t="str">
            <v>shaft</v>
          </cell>
          <cell r="H513" t="str">
            <v>145*29*16</v>
          </cell>
          <cell r="I513">
            <v>145</v>
          </cell>
          <cell r="J513">
            <v>29</v>
          </cell>
          <cell r="K513">
            <v>16</v>
          </cell>
        </row>
        <row r="514">
          <cell r="A514" t="str">
            <v>TTS-STDSQ-14048P</v>
          </cell>
          <cell r="B514">
            <v>9</v>
          </cell>
          <cell r="C514">
            <v>306</v>
          </cell>
          <cell r="D514">
            <v>50</v>
          </cell>
          <cell r="E514">
            <v>1.48</v>
          </cell>
          <cell r="F514">
            <v>515</v>
          </cell>
          <cell r="G514" t="str">
            <v>shaft</v>
          </cell>
          <cell r="H514" t="str">
            <v>145*29*16</v>
          </cell>
          <cell r="I514">
            <v>145</v>
          </cell>
          <cell r="J514">
            <v>29</v>
          </cell>
          <cell r="K514">
            <v>16</v>
          </cell>
        </row>
        <row r="515">
          <cell r="A515" t="str">
            <v>BAL-ULTRA-S03L-H-08060</v>
          </cell>
          <cell r="B515">
            <v>9</v>
          </cell>
          <cell r="C515">
            <v>475</v>
          </cell>
          <cell r="D515">
            <v>25</v>
          </cell>
          <cell r="E515">
            <v>1.6</v>
          </cell>
          <cell r="F515">
            <v>516</v>
          </cell>
          <cell r="G515" t="str">
            <v>hockey</v>
          </cell>
          <cell r="H515" t="str">
            <v>183*29*16</v>
          </cell>
          <cell r="I515">
            <v>183</v>
          </cell>
          <cell r="J515">
            <v>29</v>
          </cell>
          <cell r="K515">
            <v>16</v>
          </cell>
        </row>
        <row r="516">
          <cell r="A516" t="str">
            <v>BAL-ULTRA-S03R-H-08060</v>
          </cell>
          <cell r="B516">
            <v>9</v>
          </cell>
          <cell r="C516">
            <v>475</v>
          </cell>
          <cell r="D516">
            <v>25</v>
          </cell>
          <cell r="E516">
            <v>1.6</v>
          </cell>
          <cell r="F516">
            <v>517</v>
          </cell>
          <cell r="G516" t="str">
            <v>hockey</v>
          </cell>
          <cell r="H516" t="str">
            <v>183*29*16</v>
          </cell>
          <cell r="I516">
            <v>183</v>
          </cell>
          <cell r="J516">
            <v>29</v>
          </cell>
          <cell r="K516">
            <v>16</v>
          </cell>
        </row>
        <row r="517">
          <cell r="A517" t="str">
            <v>BAL-ULTRA-S06L-H-09060</v>
          </cell>
          <cell r="B517">
            <v>9</v>
          </cell>
          <cell r="C517">
            <v>475</v>
          </cell>
          <cell r="D517">
            <v>25</v>
          </cell>
          <cell r="E517">
            <v>1.6</v>
          </cell>
          <cell r="F517">
            <v>518</v>
          </cell>
          <cell r="G517" t="str">
            <v>hockey</v>
          </cell>
          <cell r="H517" t="str">
            <v>183*29*16</v>
          </cell>
          <cell r="I517">
            <v>183</v>
          </cell>
          <cell r="J517">
            <v>29</v>
          </cell>
          <cell r="K517">
            <v>16</v>
          </cell>
        </row>
        <row r="518">
          <cell r="A518" t="str">
            <v>BAL-ULTRA-S06R-H-09060</v>
          </cell>
          <cell r="B518">
            <v>9</v>
          </cell>
          <cell r="C518">
            <v>475</v>
          </cell>
          <cell r="D518">
            <v>25</v>
          </cell>
          <cell r="E518">
            <v>1.6</v>
          </cell>
          <cell r="F518">
            <v>519</v>
          </cell>
          <cell r="G518" t="str">
            <v>hockey</v>
          </cell>
          <cell r="H518" t="str">
            <v>183*29*16</v>
          </cell>
          <cell r="I518">
            <v>183</v>
          </cell>
          <cell r="J518">
            <v>29</v>
          </cell>
          <cell r="K518">
            <v>16</v>
          </cell>
        </row>
        <row r="519">
          <cell r="A519" t="str">
            <v>BAL-ULTRA-S03R-H-09060</v>
          </cell>
          <cell r="B519">
            <v>9</v>
          </cell>
          <cell r="C519">
            <v>475</v>
          </cell>
          <cell r="D519">
            <v>25</v>
          </cell>
          <cell r="E519">
            <v>1.6</v>
          </cell>
          <cell r="F519">
            <v>520</v>
          </cell>
          <cell r="G519" t="str">
            <v>hockey</v>
          </cell>
          <cell r="H519" t="str">
            <v>183*29*16</v>
          </cell>
          <cell r="I519">
            <v>183</v>
          </cell>
          <cell r="J519">
            <v>29</v>
          </cell>
          <cell r="K519">
            <v>16</v>
          </cell>
        </row>
        <row r="520">
          <cell r="A520" t="str">
            <v>BAL-ULTRA-S05L-H-08060</v>
          </cell>
          <cell r="B520">
            <v>9</v>
          </cell>
          <cell r="C520">
            <v>475</v>
          </cell>
          <cell r="D520">
            <v>25</v>
          </cell>
          <cell r="E520">
            <v>1.6</v>
          </cell>
          <cell r="F520">
            <v>521</v>
          </cell>
          <cell r="G520" t="str">
            <v>hockey</v>
          </cell>
          <cell r="H520" t="str">
            <v>183*29*16</v>
          </cell>
          <cell r="I520">
            <v>183</v>
          </cell>
          <cell r="J520">
            <v>29</v>
          </cell>
          <cell r="K520">
            <v>16</v>
          </cell>
        </row>
        <row r="521">
          <cell r="A521" t="str">
            <v>BAL-ULTRA-S05R-H-08060</v>
          </cell>
          <cell r="B521">
            <v>9</v>
          </cell>
          <cell r="C521">
            <v>475</v>
          </cell>
          <cell r="D521">
            <v>25</v>
          </cell>
          <cell r="E521">
            <v>1.6</v>
          </cell>
          <cell r="F521">
            <v>522</v>
          </cell>
          <cell r="G521" t="str">
            <v>hockey</v>
          </cell>
          <cell r="H521" t="str">
            <v>183*29*16</v>
          </cell>
          <cell r="I521">
            <v>183</v>
          </cell>
          <cell r="J521">
            <v>29</v>
          </cell>
          <cell r="K521">
            <v>16</v>
          </cell>
        </row>
        <row r="522">
          <cell r="A522" t="str">
            <v>BAL-ULTRA-S03L-H-09060</v>
          </cell>
          <cell r="B522">
            <v>9</v>
          </cell>
          <cell r="C522">
            <v>475</v>
          </cell>
          <cell r="D522">
            <v>25</v>
          </cell>
          <cell r="E522">
            <v>1.6</v>
          </cell>
          <cell r="F522">
            <v>523</v>
          </cell>
          <cell r="G522" t="str">
            <v>hockey</v>
          </cell>
          <cell r="H522" t="str">
            <v>183*29*16</v>
          </cell>
          <cell r="I522">
            <v>183</v>
          </cell>
          <cell r="J522">
            <v>29</v>
          </cell>
          <cell r="K522">
            <v>16</v>
          </cell>
        </row>
        <row r="523">
          <cell r="A523" t="str">
            <v>BAL-ULTRA-S03L-H-10060</v>
          </cell>
          <cell r="B523">
            <v>9</v>
          </cell>
          <cell r="C523">
            <v>475</v>
          </cell>
          <cell r="D523">
            <v>25</v>
          </cell>
          <cell r="E523">
            <v>1.6</v>
          </cell>
          <cell r="F523">
            <v>524</v>
          </cell>
          <cell r="G523" t="str">
            <v>hockey</v>
          </cell>
          <cell r="H523" t="str">
            <v>183*29*16</v>
          </cell>
          <cell r="I523">
            <v>183</v>
          </cell>
          <cell r="J523">
            <v>29</v>
          </cell>
          <cell r="K523">
            <v>16</v>
          </cell>
        </row>
        <row r="524">
          <cell r="A524" t="str">
            <v>BAL-ULTRA-S03L-H-11060</v>
          </cell>
          <cell r="B524">
            <v>9</v>
          </cell>
          <cell r="C524">
            <v>475</v>
          </cell>
          <cell r="D524">
            <v>25</v>
          </cell>
          <cell r="E524">
            <v>1.6</v>
          </cell>
          <cell r="F524">
            <v>525</v>
          </cell>
          <cell r="G524" t="str">
            <v>hockey</v>
          </cell>
          <cell r="H524" t="str">
            <v>183*29*16</v>
          </cell>
          <cell r="I524">
            <v>183</v>
          </cell>
          <cell r="J524">
            <v>29</v>
          </cell>
          <cell r="K524">
            <v>16</v>
          </cell>
        </row>
        <row r="525">
          <cell r="A525" t="str">
            <v>BAL-ULTRA-S03L-M-08060</v>
          </cell>
          <cell r="B525">
            <v>9</v>
          </cell>
          <cell r="C525">
            <v>475</v>
          </cell>
          <cell r="D525">
            <v>25</v>
          </cell>
          <cell r="E525">
            <v>1.6</v>
          </cell>
          <cell r="F525">
            <v>526</v>
          </cell>
          <cell r="G525" t="str">
            <v>hockey</v>
          </cell>
          <cell r="H525" t="str">
            <v>183*29*16</v>
          </cell>
          <cell r="I525">
            <v>183</v>
          </cell>
          <cell r="J525">
            <v>29</v>
          </cell>
          <cell r="K525">
            <v>16</v>
          </cell>
        </row>
        <row r="526">
          <cell r="A526" t="str">
            <v>BAL-ULTRA-S03L-M-09060</v>
          </cell>
          <cell r="B526">
            <v>9</v>
          </cell>
          <cell r="C526">
            <v>490</v>
          </cell>
          <cell r="D526">
            <v>25</v>
          </cell>
          <cell r="E526">
            <v>1.6</v>
          </cell>
          <cell r="F526">
            <v>527</v>
          </cell>
          <cell r="G526" t="str">
            <v>hockey</v>
          </cell>
          <cell r="H526" t="str">
            <v>183*29*16</v>
          </cell>
          <cell r="I526">
            <v>183</v>
          </cell>
          <cell r="J526">
            <v>29</v>
          </cell>
          <cell r="K526">
            <v>16</v>
          </cell>
        </row>
        <row r="527">
          <cell r="A527" t="str">
            <v>BAL-ULTRA-S03L-M-10060</v>
          </cell>
          <cell r="B527">
            <v>9</v>
          </cell>
          <cell r="C527">
            <v>496</v>
          </cell>
          <cell r="D527">
            <v>25</v>
          </cell>
          <cell r="E527">
            <v>1.6</v>
          </cell>
          <cell r="F527">
            <v>528</v>
          </cell>
          <cell r="G527" t="str">
            <v>hockey</v>
          </cell>
          <cell r="H527" t="str">
            <v>183*29*16</v>
          </cell>
          <cell r="I527">
            <v>183</v>
          </cell>
          <cell r="J527">
            <v>29</v>
          </cell>
          <cell r="K527">
            <v>16</v>
          </cell>
        </row>
        <row r="528">
          <cell r="A528" t="str">
            <v>BAL-ULTRA-S03L-M-11060</v>
          </cell>
          <cell r="B528">
            <v>9</v>
          </cell>
          <cell r="C528">
            <v>496</v>
          </cell>
          <cell r="D528">
            <v>25</v>
          </cell>
          <cell r="E528">
            <v>1.6</v>
          </cell>
          <cell r="F528">
            <v>529</v>
          </cell>
          <cell r="G528" t="str">
            <v>hockey</v>
          </cell>
          <cell r="H528" t="str">
            <v>183*29*16</v>
          </cell>
          <cell r="I528">
            <v>183</v>
          </cell>
          <cell r="J528">
            <v>29</v>
          </cell>
          <cell r="K528">
            <v>16</v>
          </cell>
        </row>
        <row r="529">
          <cell r="A529" t="str">
            <v>BAL-ULTRA-S03R-H-10060</v>
          </cell>
          <cell r="B529">
            <v>9</v>
          </cell>
          <cell r="C529">
            <v>475</v>
          </cell>
          <cell r="D529">
            <v>25</v>
          </cell>
          <cell r="E529">
            <v>1.6</v>
          </cell>
          <cell r="F529">
            <v>530</v>
          </cell>
          <cell r="G529" t="str">
            <v>hockey</v>
          </cell>
          <cell r="H529" t="str">
            <v>183*29*16</v>
          </cell>
          <cell r="I529">
            <v>183</v>
          </cell>
          <cell r="J529">
            <v>29</v>
          </cell>
          <cell r="K529">
            <v>16</v>
          </cell>
        </row>
        <row r="530">
          <cell r="A530" t="str">
            <v>BAL-ULTRA-S03R-H-11060</v>
          </cell>
          <cell r="B530">
            <v>9</v>
          </cell>
          <cell r="C530">
            <v>475</v>
          </cell>
          <cell r="D530">
            <v>25</v>
          </cell>
          <cell r="E530">
            <v>1.6</v>
          </cell>
          <cell r="F530">
            <v>531</v>
          </cell>
          <cell r="G530" t="str">
            <v>hockey</v>
          </cell>
          <cell r="H530" t="str">
            <v>183*29*16</v>
          </cell>
          <cell r="I530">
            <v>183</v>
          </cell>
          <cell r="J530">
            <v>29</v>
          </cell>
          <cell r="K530">
            <v>16</v>
          </cell>
        </row>
        <row r="531">
          <cell r="A531" t="str">
            <v>BAL-ULTRA-S03R-M-08060</v>
          </cell>
          <cell r="B531">
            <v>9</v>
          </cell>
          <cell r="C531">
            <v>475</v>
          </cell>
          <cell r="D531">
            <v>25</v>
          </cell>
          <cell r="E531">
            <v>1.6</v>
          </cell>
          <cell r="F531">
            <v>532</v>
          </cell>
          <cell r="G531" t="str">
            <v>hockey</v>
          </cell>
          <cell r="H531" t="str">
            <v>183*29*16</v>
          </cell>
          <cell r="I531">
            <v>183</v>
          </cell>
          <cell r="J531">
            <v>29</v>
          </cell>
          <cell r="K531">
            <v>16</v>
          </cell>
        </row>
        <row r="532">
          <cell r="A532" t="str">
            <v>BAL-ULTRA-S03R-M-09060</v>
          </cell>
          <cell r="B532">
            <v>9</v>
          </cell>
          <cell r="C532">
            <v>490</v>
          </cell>
          <cell r="D532">
            <v>25</v>
          </cell>
          <cell r="E532">
            <v>1.6</v>
          </cell>
          <cell r="F532">
            <v>533</v>
          </cell>
          <cell r="G532" t="str">
            <v>hockey</v>
          </cell>
          <cell r="H532" t="str">
            <v>183*29*16</v>
          </cell>
          <cell r="I532">
            <v>183</v>
          </cell>
          <cell r="J532">
            <v>29</v>
          </cell>
          <cell r="K532">
            <v>16</v>
          </cell>
        </row>
        <row r="533">
          <cell r="A533" t="str">
            <v>BAL-ULTRA-S03R-M-10060</v>
          </cell>
          <cell r="B533">
            <v>9</v>
          </cell>
          <cell r="C533">
            <v>496</v>
          </cell>
          <cell r="D533">
            <v>25</v>
          </cell>
          <cell r="E533">
            <v>1.6</v>
          </cell>
          <cell r="F533">
            <v>534</v>
          </cell>
          <cell r="G533" t="str">
            <v>hockey</v>
          </cell>
          <cell r="H533" t="str">
            <v>183*29*16</v>
          </cell>
          <cell r="I533">
            <v>183</v>
          </cell>
          <cell r="J533">
            <v>29</v>
          </cell>
          <cell r="K533">
            <v>16</v>
          </cell>
        </row>
        <row r="534">
          <cell r="A534" t="str">
            <v>BAL-ULTRA-S03R-M-11060</v>
          </cell>
          <cell r="B534">
            <v>9</v>
          </cell>
          <cell r="C534">
            <v>496</v>
          </cell>
          <cell r="D534">
            <v>25</v>
          </cell>
          <cell r="E534">
            <v>1.6</v>
          </cell>
          <cell r="F534">
            <v>535</v>
          </cell>
          <cell r="G534" t="str">
            <v>hockey</v>
          </cell>
          <cell r="H534" t="str">
            <v>183*29*16</v>
          </cell>
          <cell r="I534">
            <v>183</v>
          </cell>
          <cell r="J534">
            <v>29</v>
          </cell>
          <cell r="K534">
            <v>16</v>
          </cell>
        </row>
        <row r="535">
          <cell r="A535" t="str">
            <v>BAL-ULTRA-S05L-H-09060</v>
          </cell>
          <cell r="B535">
            <v>9</v>
          </cell>
          <cell r="C535">
            <v>475</v>
          </cell>
          <cell r="D535">
            <v>25</v>
          </cell>
          <cell r="E535">
            <v>1.6</v>
          </cell>
          <cell r="F535">
            <v>536</v>
          </cell>
          <cell r="G535" t="str">
            <v>hockey</v>
          </cell>
          <cell r="H535" t="str">
            <v>183*29*16</v>
          </cell>
          <cell r="I535">
            <v>183</v>
          </cell>
          <cell r="J535">
            <v>29</v>
          </cell>
          <cell r="K535">
            <v>16</v>
          </cell>
        </row>
        <row r="536">
          <cell r="A536" t="str">
            <v>BAL-ULTRA-S05L-H-10060</v>
          </cell>
          <cell r="B536">
            <v>9</v>
          </cell>
          <cell r="C536">
            <v>475</v>
          </cell>
          <cell r="D536">
            <v>25</v>
          </cell>
          <cell r="E536">
            <v>1.6</v>
          </cell>
          <cell r="F536">
            <v>537</v>
          </cell>
          <cell r="G536" t="str">
            <v>hockey</v>
          </cell>
          <cell r="H536" t="str">
            <v>183*29*16</v>
          </cell>
          <cell r="I536">
            <v>183</v>
          </cell>
          <cell r="J536">
            <v>29</v>
          </cell>
          <cell r="K536">
            <v>16</v>
          </cell>
        </row>
        <row r="537">
          <cell r="A537" t="str">
            <v>BAL-ULTRA-S05L-H-11060</v>
          </cell>
          <cell r="B537">
            <v>9</v>
          </cell>
          <cell r="C537">
            <v>475</v>
          </cell>
          <cell r="D537">
            <v>25</v>
          </cell>
          <cell r="E537">
            <v>1.6</v>
          </cell>
          <cell r="F537">
            <v>538</v>
          </cell>
          <cell r="G537" t="str">
            <v>hockey</v>
          </cell>
          <cell r="H537" t="str">
            <v>183*29*16</v>
          </cell>
          <cell r="I537">
            <v>183</v>
          </cell>
          <cell r="J537">
            <v>29</v>
          </cell>
          <cell r="K537">
            <v>16</v>
          </cell>
        </row>
        <row r="538">
          <cell r="A538" t="str">
            <v>BAL-ULTRA-S05L-M-08060</v>
          </cell>
          <cell r="B538">
            <v>9</v>
          </cell>
          <cell r="C538">
            <v>475</v>
          </cell>
          <cell r="D538">
            <v>25</v>
          </cell>
          <cell r="E538">
            <v>1.6</v>
          </cell>
          <cell r="F538">
            <v>539</v>
          </cell>
          <cell r="G538" t="str">
            <v>hockey</v>
          </cell>
          <cell r="H538" t="str">
            <v>183*29*16</v>
          </cell>
          <cell r="I538">
            <v>183</v>
          </cell>
          <cell r="J538">
            <v>29</v>
          </cell>
          <cell r="K538">
            <v>16</v>
          </cell>
        </row>
        <row r="539">
          <cell r="A539" t="str">
            <v>BAL-ULTRA-S05L-M-09060</v>
          </cell>
          <cell r="B539">
            <v>9</v>
          </cell>
          <cell r="C539">
            <v>490</v>
          </cell>
          <cell r="D539">
            <v>25</v>
          </cell>
          <cell r="E539">
            <v>1.6</v>
          </cell>
          <cell r="F539">
            <v>540</v>
          </cell>
          <cell r="G539" t="str">
            <v>hockey</v>
          </cell>
          <cell r="H539" t="str">
            <v>183*29*16</v>
          </cell>
          <cell r="I539">
            <v>183</v>
          </cell>
          <cell r="J539">
            <v>29</v>
          </cell>
          <cell r="K539">
            <v>16</v>
          </cell>
        </row>
        <row r="540">
          <cell r="A540" t="str">
            <v>BAL-ULTRA-S05L-M-10060</v>
          </cell>
          <cell r="B540">
            <v>9</v>
          </cell>
          <cell r="C540">
            <v>496</v>
          </cell>
          <cell r="D540">
            <v>25</v>
          </cell>
          <cell r="E540">
            <v>1.6</v>
          </cell>
          <cell r="F540">
            <v>541</v>
          </cell>
          <cell r="G540" t="str">
            <v>hockey</v>
          </cell>
          <cell r="H540" t="str">
            <v>183*29*16</v>
          </cell>
          <cell r="I540">
            <v>183</v>
          </cell>
          <cell r="J540">
            <v>29</v>
          </cell>
          <cell r="K540">
            <v>16</v>
          </cell>
        </row>
        <row r="541">
          <cell r="A541" t="str">
            <v>BAL-ULTRA-S05L-M-11060</v>
          </cell>
          <cell r="B541">
            <v>9</v>
          </cell>
          <cell r="C541">
            <v>496</v>
          </cell>
          <cell r="D541">
            <v>25</v>
          </cell>
          <cell r="E541">
            <v>1.6</v>
          </cell>
          <cell r="F541">
            <v>542</v>
          </cell>
          <cell r="G541" t="str">
            <v>hockey</v>
          </cell>
          <cell r="H541" t="str">
            <v>183*29*16</v>
          </cell>
          <cell r="I541">
            <v>183</v>
          </cell>
          <cell r="J541">
            <v>29</v>
          </cell>
          <cell r="K541">
            <v>16</v>
          </cell>
        </row>
        <row r="542">
          <cell r="A542" t="str">
            <v>BAL-ULTRA-S05R-H-09060</v>
          </cell>
          <cell r="B542">
            <v>9</v>
          </cell>
          <cell r="C542">
            <v>475</v>
          </cell>
          <cell r="D542">
            <v>25</v>
          </cell>
          <cell r="E542">
            <v>1.6</v>
          </cell>
          <cell r="F542">
            <v>543</v>
          </cell>
          <cell r="G542" t="str">
            <v>hockey</v>
          </cell>
          <cell r="H542" t="str">
            <v>183*29*16</v>
          </cell>
          <cell r="I542">
            <v>183</v>
          </cell>
          <cell r="J542">
            <v>29</v>
          </cell>
          <cell r="K542">
            <v>16</v>
          </cell>
        </row>
        <row r="543">
          <cell r="A543" t="str">
            <v>BAL-ULTRA-S05R-H-10060</v>
          </cell>
          <cell r="B543">
            <v>9</v>
          </cell>
          <cell r="C543">
            <v>475</v>
          </cell>
          <cell r="D543">
            <v>25</v>
          </cell>
          <cell r="E543">
            <v>1.6</v>
          </cell>
          <cell r="F543">
            <v>544</v>
          </cell>
          <cell r="G543" t="str">
            <v>hockey</v>
          </cell>
          <cell r="H543" t="str">
            <v>183*29*16</v>
          </cell>
          <cell r="I543">
            <v>183</v>
          </cell>
          <cell r="J543">
            <v>29</v>
          </cell>
          <cell r="K543">
            <v>16</v>
          </cell>
        </row>
        <row r="544">
          <cell r="A544" t="str">
            <v>BAL-ULTRA-S05R-H-11060</v>
          </cell>
          <cell r="B544">
            <v>9</v>
          </cell>
          <cell r="C544">
            <v>475</v>
          </cell>
          <cell r="D544">
            <v>25</v>
          </cell>
          <cell r="E544">
            <v>1.6</v>
          </cell>
          <cell r="F544">
            <v>545</v>
          </cell>
          <cell r="G544" t="str">
            <v>hockey</v>
          </cell>
          <cell r="H544" t="str">
            <v>183*29*16</v>
          </cell>
          <cell r="I544">
            <v>183</v>
          </cell>
          <cell r="J544">
            <v>29</v>
          </cell>
          <cell r="K544">
            <v>16</v>
          </cell>
        </row>
        <row r="545">
          <cell r="A545" t="str">
            <v>BAL-ULTRA-S05R-M-08060</v>
          </cell>
          <cell r="B545">
            <v>9</v>
          </cell>
          <cell r="C545">
            <v>475</v>
          </cell>
          <cell r="D545">
            <v>25</v>
          </cell>
          <cell r="E545">
            <v>1.6</v>
          </cell>
          <cell r="F545">
            <v>546</v>
          </cell>
          <cell r="G545" t="str">
            <v>hockey</v>
          </cell>
          <cell r="H545" t="str">
            <v>183*29*16</v>
          </cell>
          <cell r="I545">
            <v>183</v>
          </cell>
          <cell r="J545">
            <v>29</v>
          </cell>
          <cell r="K545">
            <v>16</v>
          </cell>
        </row>
        <row r="546">
          <cell r="A546" t="str">
            <v>BAL-ULTRA-S05R-M-09060</v>
          </cell>
          <cell r="B546">
            <v>9</v>
          </cell>
          <cell r="C546">
            <v>490</v>
          </cell>
          <cell r="D546">
            <v>25</v>
          </cell>
          <cell r="E546">
            <v>1.6</v>
          </cell>
          <cell r="F546">
            <v>547</v>
          </cell>
          <cell r="G546" t="str">
            <v>hockey</v>
          </cell>
          <cell r="H546" t="str">
            <v>183*29*16</v>
          </cell>
          <cell r="I546">
            <v>183</v>
          </cell>
          <cell r="J546">
            <v>29</v>
          </cell>
          <cell r="K546">
            <v>16</v>
          </cell>
        </row>
        <row r="547">
          <cell r="A547" t="str">
            <v>BAL-ULTRA-S05R-M-10060</v>
          </cell>
          <cell r="B547">
            <v>9</v>
          </cell>
          <cell r="C547">
            <v>496</v>
          </cell>
          <cell r="D547">
            <v>25</v>
          </cell>
          <cell r="E547">
            <v>1.6</v>
          </cell>
          <cell r="F547">
            <v>548</v>
          </cell>
          <cell r="G547" t="str">
            <v>hockey</v>
          </cell>
          <cell r="H547" t="str">
            <v>183*29*16</v>
          </cell>
          <cell r="I547">
            <v>183</v>
          </cell>
          <cell r="J547">
            <v>29</v>
          </cell>
          <cell r="K547">
            <v>16</v>
          </cell>
        </row>
        <row r="548">
          <cell r="A548" t="str">
            <v>BAL-ULTRA-S05R-M-11060</v>
          </cell>
          <cell r="B548">
            <v>9</v>
          </cell>
          <cell r="C548">
            <v>496</v>
          </cell>
          <cell r="D548">
            <v>25</v>
          </cell>
          <cell r="E548">
            <v>1.6</v>
          </cell>
          <cell r="F548">
            <v>549</v>
          </cell>
          <cell r="G548" t="str">
            <v>hockey</v>
          </cell>
          <cell r="H548" t="str">
            <v>183*29*16</v>
          </cell>
          <cell r="I548">
            <v>183</v>
          </cell>
          <cell r="J548">
            <v>29</v>
          </cell>
          <cell r="K548">
            <v>16</v>
          </cell>
        </row>
        <row r="549">
          <cell r="A549" t="str">
            <v>BAL-ULTRA-S06L-H-10060</v>
          </cell>
          <cell r="B549">
            <v>9</v>
          </cell>
          <cell r="C549">
            <v>475</v>
          </cell>
          <cell r="D549">
            <v>25</v>
          </cell>
          <cell r="E549">
            <v>1.6</v>
          </cell>
          <cell r="F549">
            <v>550</v>
          </cell>
          <cell r="G549" t="str">
            <v>hockey</v>
          </cell>
          <cell r="H549" t="str">
            <v>183*29*16</v>
          </cell>
          <cell r="I549">
            <v>183</v>
          </cell>
          <cell r="J549">
            <v>29</v>
          </cell>
          <cell r="K549">
            <v>16</v>
          </cell>
        </row>
        <row r="550">
          <cell r="A550" t="str">
            <v>BAL-ULTRA-S06L-H-11060</v>
          </cell>
          <cell r="B550">
            <v>9</v>
          </cell>
          <cell r="C550">
            <v>475</v>
          </cell>
          <cell r="D550">
            <v>25</v>
          </cell>
          <cell r="E550">
            <v>1.6</v>
          </cell>
          <cell r="F550">
            <v>551</v>
          </cell>
          <cell r="G550" t="str">
            <v>hockey</v>
          </cell>
          <cell r="H550" t="str">
            <v>183*29*16</v>
          </cell>
          <cell r="I550">
            <v>183</v>
          </cell>
          <cell r="J550">
            <v>29</v>
          </cell>
          <cell r="K550">
            <v>16</v>
          </cell>
        </row>
        <row r="551">
          <cell r="A551" t="str">
            <v>BAL-ULTRA-S06L-M-08060</v>
          </cell>
          <cell r="B551">
            <v>9</v>
          </cell>
          <cell r="C551">
            <v>475</v>
          </cell>
          <cell r="D551">
            <v>25</v>
          </cell>
          <cell r="E551">
            <v>1.6</v>
          </cell>
          <cell r="F551">
            <v>552</v>
          </cell>
          <cell r="G551" t="str">
            <v>hockey</v>
          </cell>
          <cell r="H551" t="str">
            <v>183*29*16</v>
          </cell>
          <cell r="I551">
            <v>183</v>
          </cell>
          <cell r="J551">
            <v>29</v>
          </cell>
          <cell r="K551">
            <v>16</v>
          </cell>
        </row>
        <row r="552">
          <cell r="A552" t="str">
            <v>BAL-ULTRA-S06L-M-09060</v>
          </cell>
          <cell r="B552">
            <v>9</v>
          </cell>
          <cell r="C552">
            <v>490</v>
          </cell>
          <cell r="D552">
            <v>25</v>
          </cell>
          <cell r="E552">
            <v>1.6</v>
          </cell>
          <cell r="F552">
            <v>553</v>
          </cell>
          <cell r="G552" t="str">
            <v>hockey</v>
          </cell>
          <cell r="H552" t="str">
            <v>183*29*16</v>
          </cell>
          <cell r="I552">
            <v>183</v>
          </cell>
          <cell r="J552">
            <v>29</v>
          </cell>
          <cell r="K552">
            <v>16</v>
          </cell>
        </row>
        <row r="553">
          <cell r="A553" t="str">
            <v>BAL-ULTRA-S06L-M-10060</v>
          </cell>
          <cell r="B553">
            <v>9</v>
          </cell>
          <cell r="C553">
            <v>496</v>
          </cell>
          <cell r="D553">
            <v>25</v>
          </cell>
          <cell r="E553">
            <v>1.6</v>
          </cell>
          <cell r="F553">
            <v>554</v>
          </cell>
          <cell r="G553" t="str">
            <v>hockey</v>
          </cell>
          <cell r="H553" t="str">
            <v>183*29*16</v>
          </cell>
          <cell r="I553">
            <v>183</v>
          </cell>
          <cell r="J553">
            <v>29</v>
          </cell>
          <cell r="K553">
            <v>16</v>
          </cell>
        </row>
        <row r="554">
          <cell r="A554" t="str">
            <v>BAL-ULTRA-S06L-M-11060</v>
          </cell>
          <cell r="B554">
            <v>9</v>
          </cell>
          <cell r="C554">
            <v>496</v>
          </cell>
          <cell r="D554">
            <v>25</v>
          </cell>
          <cell r="E554">
            <v>1.6</v>
          </cell>
          <cell r="F554">
            <v>555</v>
          </cell>
          <cell r="G554" t="str">
            <v>hockey</v>
          </cell>
          <cell r="H554" t="str">
            <v>183*29*16</v>
          </cell>
          <cell r="I554">
            <v>183</v>
          </cell>
          <cell r="J554">
            <v>29</v>
          </cell>
          <cell r="K554">
            <v>16</v>
          </cell>
        </row>
        <row r="555">
          <cell r="A555" t="str">
            <v>BAL-ULTRA-S06R-H-10060</v>
          </cell>
          <cell r="B555">
            <v>9</v>
          </cell>
          <cell r="C555">
            <v>475</v>
          </cell>
          <cell r="D555">
            <v>25</v>
          </cell>
          <cell r="E555">
            <v>1.6</v>
          </cell>
          <cell r="F555">
            <v>556</v>
          </cell>
          <cell r="G555" t="str">
            <v>hockey</v>
          </cell>
          <cell r="H555" t="str">
            <v>183*29*16</v>
          </cell>
          <cell r="I555">
            <v>183</v>
          </cell>
          <cell r="J555">
            <v>29</v>
          </cell>
          <cell r="K555">
            <v>16</v>
          </cell>
        </row>
        <row r="556">
          <cell r="A556" t="str">
            <v>BAL-ULTRA-S06R-H-11060</v>
          </cell>
          <cell r="B556">
            <v>9</v>
          </cell>
          <cell r="C556">
            <v>475</v>
          </cell>
          <cell r="D556">
            <v>25</v>
          </cell>
          <cell r="E556">
            <v>1.6</v>
          </cell>
          <cell r="F556">
            <v>557</v>
          </cell>
          <cell r="G556" t="str">
            <v>hockey</v>
          </cell>
          <cell r="H556" t="str">
            <v>183*29*16</v>
          </cell>
          <cell r="I556">
            <v>183</v>
          </cell>
          <cell r="J556">
            <v>29</v>
          </cell>
          <cell r="K556">
            <v>16</v>
          </cell>
        </row>
        <row r="557">
          <cell r="A557" t="str">
            <v>BAL-ULTRA-S06R-M-08060</v>
          </cell>
          <cell r="B557">
            <v>9</v>
          </cell>
          <cell r="C557">
            <v>475</v>
          </cell>
          <cell r="D557">
            <v>25</v>
          </cell>
          <cell r="E557">
            <v>1.6</v>
          </cell>
          <cell r="F557">
            <v>558</v>
          </cell>
          <cell r="G557" t="str">
            <v>hockey</v>
          </cell>
          <cell r="H557" t="str">
            <v>183*29*16</v>
          </cell>
          <cell r="I557">
            <v>183</v>
          </cell>
          <cell r="J557">
            <v>29</v>
          </cell>
          <cell r="K557">
            <v>16</v>
          </cell>
        </row>
        <row r="558">
          <cell r="A558" t="str">
            <v>BAL-ULTRA-S06R-M-09060</v>
          </cell>
          <cell r="B558">
            <v>9</v>
          </cell>
          <cell r="C558">
            <v>490</v>
          </cell>
          <cell r="D558">
            <v>25</v>
          </cell>
          <cell r="E558">
            <v>1.6</v>
          </cell>
          <cell r="F558">
            <v>559</v>
          </cell>
          <cell r="G558" t="str">
            <v>hockey</v>
          </cell>
          <cell r="H558" t="str">
            <v>183*29*16</v>
          </cell>
          <cell r="I558">
            <v>183</v>
          </cell>
          <cell r="J558">
            <v>29</v>
          </cell>
          <cell r="K558">
            <v>16</v>
          </cell>
        </row>
        <row r="559">
          <cell r="A559" t="str">
            <v>BAL-ULTRA-S06R-M-10060</v>
          </cell>
          <cell r="B559">
            <v>9</v>
          </cell>
          <cell r="C559">
            <v>496</v>
          </cell>
          <cell r="D559">
            <v>25</v>
          </cell>
          <cell r="E559">
            <v>1.6</v>
          </cell>
          <cell r="F559">
            <v>560</v>
          </cell>
          <cell r="G559" t="str">
            <v>hockey</v>
          </cell>
          <cell r="H559" t="str">
            <v>183*29*16</v>
          </cell>
          <cell r="I559">
            <v>183</v>
          </cell>
          <cell r="J559">
            <v>29</v>
          </cell>
          <cell r="K559">
            <v>16</v>
          </cell>
        </row>
        <row r="560">
          <cell r="A560" t="str">
            <v>BAL-ULTRA-S06R-M-11060</v>
          </cell>
          <cell r="B560">
            <v>9</v>
          </cell>
          <cell r="C560">
            <v>496</v>
          </cell>
          <cell r="D560">
            <v>25</v>
          </cell>
          <cell r="E560">
            <v>1.6</v>
          </cell>
          <cell r="F560">
            <v>561</v>
          </cell>
          <cell r="G560" t="str">
            <v>hockey</v>
          </cell>
          <cell r="H560" t="str">
            <v>183*29*16</v>
          </cell>
          <cell r="I560">
            <v>183</v>
          </cell>
          <cell r="J560">
            <v>29</v>
          </cell>
          <cell r="K560">
            <v>16</v>
          </cell>
        </row>
        <row r="561">
          <cell r="A561" t="str">
            <v>BAL-ULTRA-SO3R-H-10060</v>
          </cell>
          <cell r="B561">
            <v>9</v>
          </cell>
          <cell r="C561">
            <v>499.99</v>
          </cell>
          <cell r="D561">
            <v>25</v>
          </cell>
          <cell r="E561">
            <v>1.6</v>
          </cell>
          <cell r="F561">
            <v>562</v>
          </cell>
          <cell r="G561" t="str">
            <v>hockey</v>
          </cell>
          <cell r="H561" t="str">
            <v>183*29*16</v>
          </cell>
          <cell r="I561">
            <v>183</v>
          </cell>
          <cell r="J561">
            <v>29</v>
          </cell>
          <cell r="K561">
            <v>16</v>
          </cell>
        </row>
        <row r="562">
          <cell r="A562" t="str">
            <v>BAL-ULTRA-SO6L-H-10060</v>
          </cell>
          <cell r="B562">
            <v>9</v>
          </cell>
          <cell r="C562">
            <v>499.99</v>
          </cell>
          <cell r="D562">
            <v>25</v>
          </cell>
          <cell r="E562">
            <v>1.6</v>
          </cell>
          <cell r="F562">
            <v>563</v>
          </cell>
          <cell r="G562" t="str">
            <v>hockey</v>
          </cell>
          <cell r="H562" t="str">
            <v>183*29*16</v>
          </cell>
          <cell r="I562">
            <v>183</v>
          </cell>
          <cell r="J562">
            <v>29</v>
          </cell>
          <cell r="K562">
            <v>16</v>
          </cell>
        </row>
        <row r="563">
          <cell r="A563" t="str">
            <v>SHR-XD-10552P</v>
          </cell>
          <cell r="B563">
            <v>9</v>
          </cell>
          <cell r="C563">
            <v>339</v>
          </cell>
          <cell r="D563">
            <v>50</v>
          </cell>
          <cell r="E563">
            <v>1.48</v>
          </cell>
          <cell r="F563">
            <v>564</v>
          </cell>
          <cell r="G563" t="str">
            <v>Shaft</v>
          </cell>
          <cell r="H563" t="str">
            <v>145*29*16</v>
          </cell>
          <cell r="I563">
            <v>145</v>
          </cell>
          <cell r="J563">
            <v>29</v>
          </cell>
          <cell r="K563">
            <v>16</v>
          </cell>
        </row>
        <row r="564">
          <cell r="A564" t="str">
            <v>UBLUPNT835WR-46</v>
          </cell>
          <cell r="B564">
            <v>9</v>
          </cell>
          <cell r="C564">
            <v>87</v>
          </cell>
          <cell r="D564">
            <v>50</v>
          </cell>
          <cell r="E564">
            <v>0.6</v>
          </cell>
          <cell r="F564">
            <v>565</v>
          </cell>
          <cell r="G564" t="str">
            <v>golf</v>
          </cell>
          <cell r="H564" t="str">
            <v>122*15*10</v>
          </cell>
          <cell r="I564">
            <v>122</v>
          </cell>
          <cell r="J564">
            <v>15</v>
          </cell>
          <cell r="K564">
            <v>10</v>
          </cell>
        </row>
        <row r="565">
          <cell r="A565" t="str">
            <v>UPMP65WR-46</v>
          </cell>
          <cell r="B565">
            <v>9</v>
          </cell>
          <cell r="C565">
            <v>69</v>
          </cell>
          <cell r="D565">
            <v>50</v>
          </cell>
          <cell r="E565">
            <v>0.6</v>
          </cell>
          <cell r="F565">
            <v>566</v>
          </cell>
          <cell r="G565" t="str">
            <v>golf</v>
          </cell>
          <cell r="H565" t="str">
            <v>122*15*10</v>
          </cell>
          <cell r="I565">
            <v>122</v>
          </cell>
          <cell r="J565">
            <v>15</v>
          </cell>
          <cell r="K565">
            <v>10</v>
          </cell>
        </row>
        <row r="566">
          <cell r="A566" t="str">
            <v>UPMP65WS-46</v>
          </cell>
          <cell r="B566">
            <v>9</v>
          </cell>
          <cell r="C566">
            <v>69</v>
          </cell>
          <cell r="D566">
            <v>50</v>
          </cell>
          <cell r="E566">
            <v>0.6</v>
          </cell>
          <cell r="F566">
            <v>567</v>
          </cell>
          <cell r="G566" t="str">
            <v>golf</v>
          </cell>
          <cell r="H566" t="str">
            <v>122*15*10</v>
          </cell>
          <cell r="I566">
            <v>122</v>
          </cell>
          <cell r="J566">
            <v>15</v>
          </cell>
          <cell r="K566">
            <v>10</v>
          </cell>
        </row>
        <row r="567">
          <cell r="A567" t="str">
            <v>UPMTWS-46</v>
          </cell>
          <cell r="B567">
            <v>9</v>
          </cell>
          <cell r="C567">
            <v>77</v>
          </cell>
          <cell r="D567">
            <v>50</v>
          </cell>
          <cell r="E567">
            <v>0.6</v>
          </cell>
          <cell r="F567">
            <v>568</v>
          </cell>
          <cell r="G567" t="str">
            <v>golf</v>
          </cell>
          <cell r="H567" t="str">
            <v>122*15*10</v>
          </cell>
          <cell r="I567">
            <v>122</v>
          </cell>
          <cell r="J567">
            <v>15</v>
          </cell>
          <cell r="K567">
            <v>10</v>
          </cell>
        </row>
        <row r="568">
          <cell r="A568" t="str">
            <v>UPMTWX-46</v>
          </cell>
          <cell r="B568">
            <v>9</v>
          </cell>
          <cell r="C568">
            <v>78</v>
          </cell>
          <cell r="D568">
            <v>50</v>
          </cell>
          <cell r="E568">
            <v>0.6</v>
          </cell>
          <cell r="F568">
            <v>569</v>
          </cell>
          <cell r="G568" t="str">
            <v>golf</v>
          </cell>
          <cell r="H568" t="str">
            <v>122*15*10</v>
          </cell>
          <cell r="I568">
            <v>122</v>
          </cell>
          <cell r="J568">
            <v>15</v>
          </cell>
          <cell r="K568">
            <v>10</v>
          </cell>
        </row>
        <row r="569">
          <cell r="A569" t="str">
            <v>UPMXD60WR-46</v>
          </cell>
          <cell r="B569">
            <v>9</v>
          </cell>
          <cell r="C569">
            <v>63</v>
          </cell>
          <cell r="D569">
            <v>50</v>
          </cell>
          <cell r="E569">
            <v>0.6</v>
          </cell>
          <cell r="F569">
            <v>570</v>
          </cell>
          <cell r="G569" t="str">
            <v>golf</v>
          </cell>
          <cell r="H569" t="str">
            <v>122*15*10</v>
          </cell>
          <cell r="I569">
            <v>122</v>
          </cell>
          <cell r="J569">
            <v>15</v>
          </cell>
          <cell r="K569">
            <v>10</v>
          </cell>
        </row>
        <row r="570">
          <cell r="A570" t="str">
            <v>UPMXD60WS-46</v>
          </cell>
          <cell r="B570">
            <v>9</v>
          </cell>
          <cell r="C570">
            <v>65</v>
          </cell>
          <cell r="D570">
            <v>50</v>
          </cell>
          <cell r="E570">
            <v>0.6</v>
          </cell>
          <cell r="F570">
            <v>571</v>
          </cell>
          <cell r="G570" t="str">
            <v>golf</v>
          </cell>
          <cell r="H570" t="str">
            <v>122*15*10</v>
          </cell>
          <cell r="I570">
            <v>122</v>
          </cell>
          <cell r="J570">
            <v>15</v>
          </cell>
          <cell r="K570">
            <v>10</v>
          </cell>
        </row>
        <row r="571">
          <cell r="A571" t="str">
            <v>QZ-8-744</v>
          </cell>
          <cell r="B571">
            <v>9</v>
          </cell>
          <cell r="C571">
            <v>535</v>
          </cell>
          <cell r="D571">
            <v>1</v>
          </cell>
          <cell r="E571">
            <v>0.5</v>
          </cell>
          <cell r="F571">
            <v>572</v>
          </cell>
          <cell r="G571" t="str">
            <v>fork</v>
          </cell>
          <cell r="H571" t="str">
            <v>89*14*9</v>
          </cell>
          <cell r="I571">
            <v>89</v>
          </cell>
          <cell r="J571">
            <v>14</v>
          </cell>
          <cell r="K571">
            <v>9</v>
          </cell>
        </row>
        <row r="572">
          <cell r="A572" t="str">
            <v>SHR-XD-08552P</v>
          </cell>
          <cell r="B572">
            <v>9</v>
          </cell>
          <cell r="C572">
            <v>332</v>
          </cell>
          <cell r="D572">
            <v>50</v>
          </cell>
          <cell r="E572">
            <v>1.48</v>
          </cell>
          <cell r="F572">
            <v>573</v>
          </cell>
          <cell r="G572" t="str">
            <v>Shaft</v>
          </cell>
          <cell r="H572" t="str">
            <v>145*29*16</v>
          </cell>
          <cell r="I572">
            <v>145</v>
          </cell>
          <cell r="J572">
            <v>29</v>
          </cell>
          <cell r="K572">
            <v>16</v>
          </cell>
        </row>
        <row r="573">
          <cell r="A573" t="str">
            <v>SHR-XD-09552P</v>
          </cell>
          <cell r="B573">
            <v>9</v>
          </cell>
          <cell r="C573">
            <v>329</v>
          </cell>
          <cell r="D573">
            <v>50</v>
          </cell>
          <cell r="E573">
            <v>1.48</v>
          </cell>
          <cell r="F573">
            <v>574</v>
          </cell>
          <cell r="G573" t="str">
            <v>Shaft</v>
          </cell>
          <cell r="H573" t="str">
            <v>145*29*16</v>
          </cell>
          <cell r="I573">
            <v>145</v>
          </cell>
          <cell r="J573">
            <v>29</v>
          </cell>
          <cell r="K573">
            <v>16</v>
          </cell>
        </row>
        <row r="574">
          <cell r="A574" t="str">
            <v>BAL-ULTRA-S03L-M</v>
          </cell>
          <cell r="B574">
            <v>9</v>
          </cell>
          <cell r="C574">
            <v>155</v>
          </cell>
          <cell r="D574">
            <v>6</v>
          </cell>
          <cell r="E574">
            <v>0.2</v>
          </cell>
          <cell r="F574">
            <v>575</v>
          </cell>
          <cell r="G574" t="str">
            <v>blade</v>
          </cell>
          <cell r="H574" t="str">
            <v>45*26*8</v>
          </cell>
          <cell r="I574">
            <v>45</v>
          </cell>
          <cell r="J574">
            <v>26</v>
          </cell>
          <cell r="K574">
            <v>8</v>
          </cell>
        </row>
        <row r="575">
          <cell r="A575" t="str">
            <v>BAL-ULTRA-S03R-M</v>
          </cell>
          <cell r="B575">
            <v>9</v>
          </cell>
          <cell r="C575">
            <v>155</v>
          </cell>
          <cell r="D575">
            <v>6</v>
          </cell>
          <cell r="E575">
            <v>0.2</v>
          </cell>
          <cell r="F575">
            <v>576</v>
          </cell>
          <cell r="G575" t="str">
            <v>blade</v>
          </cell>
          <cell r="H575" t="str">
            <v>45*26*8</v>
          </cell>
          <cell r="I575">
            <v>45</v>
          </cell>
          <cell r="J575">
            <v>26</v>
          </cell>
          <cell r="K575">
            <v>8</v>
          </cell>
        </row>
        <row r="576">
          <cell r="A576" t="str">
            <v>BAL-ULTRA-S05L-M</v>
          </cell>
          <cell r="B576">
            <v>9</v>
          </cell>
          <cell r="C576">
            <v>160</v>
          </cell>
          <cell r="D576">
            <v>6</v>
          </cell>
          <cell r="E576">
            <v>0.2</v>
          </cell>
          <cell r="F576">
            <v>577</v>
          </cell>
          <cell r="G576" t="str">
            <v>blade</v>
          </cell>
          <cell r="H576" t="str">
            <v>45*26*8</v>
          </cell>
          <cell r="I576">
            <v>45</v>
          </cell>
          <cell r="J576">
            <v>26</v>
          </cell>
          <cell r="K576">
            <v>8</v>
          </cell>
        </row>
        <row r="577">
          <cell r="A577" t="str">
            <v>BAL-ULTRA-S05R-M</v>
          </cell>
          <cell r="B577">
            <v>9</v>
          </cell>
          <cell r="C577">
            <v>160</v>
          </cell>
          <cell r="D577">
            <v>6</v>
          </cell>
          <cell r="E577">
            <v>0.2</v>
          </cell>
          <cell r="F577">
            <v>578</v>
          </cell>
          <cell r="G577" t="str">
            <v>blade</v>
          </cell>
          <cell r="H577" t="str">
            <v>45*26*8</v>
          </cell>
          <cell r="I577">
            <v>45</v>
          </cell>
          <cell r="J577">
            <v>26</v>
          </cell>
          <cell r="K577">
            <v>8</v>
          </cell>
        </row>
        <row r="578">
          <cell r="A578" t="str">
            <v>BAL-ULTRA-S06L-M</v>
          </cell>
          <cell r="B578">
            <v>9</v>
          </cell>
          <cell r="C578">
            <v>155</v>
          </cell>
          <cell r="D578">
            <v>6</v>
          </cell>
          <cell r="E578">
            <v>0.2</v>
          </cell>
          <cell r="F578">
            <v>579</v>
          </cell>
          <cell r="G578" t="str">
            <v>blade</v>
          </cell>
          <cell r="H578" t="str">
            <v>45*26*8</v>
          </cell>
          <cell r="I578">
            <v>45</v>
          </cell>
          <cell r="J578">
            <v>26</v>
          </cell>
          <cell r="K578">
            <v>8</v>
          </cell>
        </row>
        <row r="579">
          <cell r="A579" t="str">
            <v>BAL-ULTRA-S06R-M</v>
          </cell>
          <cell r="B579">
            <v>9</v>
          </cell>
          <cell r="C579">
            <v>155</v>
          </cell>
          <cell r="D579">
            <v>6</v>
          </cell>
          <cell r="E579">
            <v>0.2</v>
          </cell>
          <cell r="F579">
            <v>580</v>
          </cell>
          <cell r="G579" t="str">
            <v>blade</v>
          </cell>
          <cell r="H579" t="str">
            <v>45*26*8</v>
          </cell>
          <cell r="I579">
            <v>45</v>
          </cell>
          <cell r="J579">
            <v>26</v>
          </cell>
          <cell r="K579">
            <v>8</v>
          </cell>
        </row>
        <row r="580">
          <cell r="A580" t="str">
            <v>QCOMPS10-8-744</v>
          </cell>
          <cell r="B580">
            <v>9</v>
          </cell>
          <cell r="C580">
            <v>515</v>
          </cell>
          <cell r="D580">
            <v>1</v>
          </cell>
          <cell r="E580">
            <v>0.5</v>
          </cell>
          <cell r="F580">
            <v>581</v>
          </cell>
          <cell r="G580" t="str">
            <v>fork1</v>
          </cell>
          <cell r="H580" t="str">
            <v>89*14*9</v>
          </cell>
          <cell r="I580">
            <v>89</v>
          </cell>
          <cell r="J580">
            <v>14</v>
          </cell>
          <cell r="K580">
            <v>9</v>
          </cell>
        </row>
        <row r="581">
          <cell r="A581" t="str">
            <v>QGS10-8H-744</v>
          </cell>
          <cell r="B581">
            <v>9</v>
          </cell>
          <cell r="C581">
            <v>382</v>
          </cell>
          <cell r="D581">
            <v>1</v>
          </cell>
          <cell r="E581">
            <v>0.5</v>
          </cell>
          <cell r="F581">
            <v>582</v>
          </cell>
          <cell r="G581" t="str">
            <v>fork</v>
          </cell>
          <cell r="H581" t="str">
            <v>89*14*9</v>
          </cell>
          <cell r="I581">
            <v>89</v>
          </cell>
          <cell r="J581">
            <v>14</v>
          </cell>
          <cell r="K581">
            <v>9</v>
          </cell>
        </row>
        <row r="582">
          <cell r="A582" t="str">
            <v>RHN-EVO-S03L-H-10060-SB</v>
          </cell>
          <cell r="B582">
            <v>9</v>
          </cell>
          <cell r="C582">
            <v>475</v>
          </cell>
          <cell r="D582">
            <v>25</v>
          </cell>
          <cell r="E582">
            <v>1.6</v>
          </cell>
          <cell r="F582">
            <v>583</v>
          </cell>
          <cell r="G582" t="str">
            <v>hockey</v>
          </cell>
          <cell r="H582" t="str">
            <v>183*29*16</v>
          </cell>
          <cell r="I582">
            <v>183</v>
          </cell>
          <cell r="J582">
            <v>29</v>
          </cell>
          <cell r="K582">
            <v>16</v>
          </cell>
        </row>
        <row r="583">
          <cell r="A583" t="str">
            <v>RHN-EVO-S03L-M</v>
          </cell>
          <cell r="B583">
            <v>9</v>
          </cell>
          <cell r="C583">
            <v>155</v>
          </cell>
          <cell r="D583">
            <v>6</v>
          </cell>
          <cell r="E583">
            <v>0.2</v>
          </cell>
          <cell r="F583">
            <v>584</v>
          </cell>
          <cell r="G583" t="str">
            <v>blade</v>
          </cell>
          <cell r="H583" t="str">
            <v>45*26*8</v>
          </cell>
          <cell r="I583">
            <v>45</v>
          </cell>
          <cell r="J583">
            <v>26</v>
          </cell>
          <cell r="K583">
            <v>8</v>
          </cell>
        </row>
        <row r="584">
          <cell r="A584" t="str">
            <v>RHN-EVO-S03L-M-10060-BY</v>
          </cell>
          <cell r="B584">
            <v>9</v>
          </cell>
          <cell r="C584">
            <v>496</v>
          </cell>
          <cell r="D584">
            <v>25</v>
          </cell>
          <cell r="E584">
            <v>1.6</v>
          </cell>
          <cell r="F584">
            <v>585</v>
          </cell>
          <cell r="G584" t="str">
            <v>hockey</v>
          </cell>
          <cell r="H584" t="str">
            <v>183*29*16</v>
          </cell>
          <cell r="I584">
            <v>183</v>
          </cell>
          <cell r="J584">
            <v>29</v>
          </cell>
          <cell r="K584">
            <v>16</v>
          </cell>
        </row>
        <row r="585">
          <cell r="A585" t="str">
            <v>RHN-EVO-S03R-M-10060-BY</v>
          </cell>
          <cell r="B585">
            <v>9</v>
          </cell>
          <cell r="C585">
            <v>496</v>
          </cell>
          <cell r="D585">
            <v>25</v>
          </cell>
          <cell r="E585">
            <v>1.6</v>
          </cell>
          <cell r="F585">
            <v>586</v>
          </cell>
          <cell r="G585" t="str">
            <v>hockey</v>
          </cell>
          <cell r="H585" t="str">
            <v>183*29*16</v>
          </cell>
          <cell r="I585">
            <v>183</v>
          </cell>
          <cell r="J585">
            <v>29</v>
          </cell>
          <cell r="K585">
            <v>16</v>
          </cell>
        </row>
        <row r="586">
          <cell r="A586" t="str">
            <v>RHN-EVO-S03R-M-10060-WB</v>
          </cell>
          <cell r="B586">
            <v>9</v>
          </cell>
          <cell r="C586">
            <v>496</v>
          </cell>
          <cell r="D586">
            <v>25</v>
          </cell>
          <cell r="E586">
            <v>1.6</v>
          </cell>
          <cell r="F586">
            <v>587</v>
          </cell>
          <cell r="G586" t="str">
            <v>hockey</v>
          </cell>
          <cell r="H586" t="str">
            <v>183*29*16</v>
          </cell>
          <cell r="I586">
            <v>183</v>
          </cell>
          <cell r="J586">
            <v>29</v>
          </cell>
          <cell r="K586">
            <v>16</v>
          </cell>
        </row>
        <row r="587">
          <cell r="A587" t="str">
            <v>RHN-EVO-S07L-H-10060-SB</v>
          </cell>
          <cell r="B587">
            <v>9</v>
          </cell>
          <cell r="C587">
            <v>475</v>
          </cell>
          <cell r="D587">
            <v>25</v>
          </cell>
          <cell r="E587">
            <v>1.6</v>
          </cell>
          <cell r="F587">
            <v>588</v>
          </cell>
          <cell r="G587" t="str">
            <v>hockey</v>
          </cell>
          <cell r="H587" t="str">
            <v>183*29*16</v>
          </cell>
          <cell r="I587">
            <v>183</v>
          </cell>
          <cell r="J587">
            <v>29</v>
          </cell>
          <cell r="K587">
            <v>16</v>
          </cell>
        </row>
        <row r="588">
          <cell r="A588" t="str">
            <v>RHN-EVO-S07L-M-10060-WB</v>
          </cell>
          <cell r="B588">
            <v>9</v>
          </cell>
          <cell r="C588">
            <v>496</v>
          </cell>
          <cell r="D588">
            <v>25</v>
          </cell>
          <cell r="E588">
            <v>1.6</v>
          </cell>
          <cell r="F588">
            <v>589</v>
          </cell>
          <cell r="G588" t="str">
            <v>hockey</v>
          </cell>
          <cell r="H588" t="str">
            <v>183*29*16</v>
          </cell>
          <cell r="I588">
            <v>183</v>
          </cell>
          <cell r="J588">
            <v>29</v>
          </cell>
          <cell r="K588">
            <v>16</v>
          </cell>
        </row>
        <row r="589">
          <cell r="A589" t="str">
            <v>RHN-EVO-S07R-M-10060-WB</v>
          </cell>
          <cell r="B589">
            <v>9</v>
          </cell>
          <cell r="C589">
            <v>496</v>
          </cell>
          <cell r="D589">
            <v>25</v>
          </cell>
          <cell r="E589">
            <v>1.6</v>
          </cell>
          <cell r="F589">
            <v>590</v>
          </cell>
          <cell r="G589" t="str">
            <v>hockey</v>
          </cell>
          <cell r="H589" t="str">
            <v>183*29*16</v>
          </cell>
          <cell r="I589">
            <v>183</v>
          </cell>
          <cell r="J589">
            <v>29</v>
          </cell>
          <cell r="K589">
            <v>16</v>
          </cell>
        </row>
        <row r="590">
          <cell r="A590" t="str">
            <v>SHR-COMP-10563</v>
          </cell>
          <cell r="B590">
            <v>9</v>
          </cell>
          <cell r="C590">
            <v>323</v>
          </cell>
          <cell r="D590">
            <v>50</v>
          </cell>
          <cell r="E590">
            <v>1.6</v>
          </cell>
          <cell r="F590">
            <v>591</v>
          </cell>
          <cell r="G590" t="str">
            <v>Shaft</v>
          </cell>
          <cell r="H590" t="str">
            <v>183*29*16</v>
          </cell>
          <cell r="I590">
            <v>183</v>
          </cell>
          <cell r="J590">
            <v>29</v>
          </cell>
          <cell r="K590">
            <v>16</v>
          </cell>
        </row>
        <row r="591">
          <cell r="A591" t="str">
            <v>BAL-ULTRA-S03L-H</v>
          </cell>
          <cell r="B591">
            <v>9</v>
          </cell>
          <cell r="C591">
            <v>143</v>
          </cell>
          <cell r="D591">
            <v>6</v>
          </cell>
          <cell r="E591">
            <v>0.2</v>
          </cell>
          <cell r="F591">
            <v>592</v>
          </cell>
          <cell r="G591" t="str">
            <v>blade</v>
          </cell>
          <cell r="H591" t="str">
            <v>45*26*8</v>
          </cell>
          <cell r="I591">
            <v>45</v>
          </cell>
          <cell r="J591">
            <v>26</v>
          </cell>
          <cell r="K591">
            <v>8</v>
          </cell>
        </row>
        <row r="592">
          <cell r="A592" t="str">
            <v>BAL-ULTRA-S03R-H</v>
          </cell>
          <cell r="B592">
            <v>9</v>
          </cell>
          <cell r="C592">
            <v>143</v>
          </cell>
          <cell r="D592">
            <v>6</v>
          </cell>
          <cell r="E592">
            <v>0.2</v>
          </cell>
          <cell r="F592">
            <v>593</v>
          </cell>
          <cell r="G592" t="str">
            <v>blade</v>
          </cell>
          <cell r="H592" t="str">
            <v>45*26*8</v>
          </cell>
          <cell r="I592">
            <v>45</v>
          </cell>
          <cell r="J592">
            <v>26</v>
          </cell>
          <cell r="K592">
            <v>8</v>
          </cell>
        </row>
        <row r="593">
          <cell r="A593" t="str">
            <v>BAL-ULTRA-S05L-H</v>
          </cell>
          <cell r="B593">
            <v>9</v>
          </cell>
          <cell r="C593">
            <v>147</v>
          </cell>
          <cell r="D593">
            <v>6</v>
          </cell>
          <cell r="E593">
            <v>0.2</v>
          </cell>
          <cell r="F593">
            <v>594</v>
          </cell>
          <cell r="G593" t="str">
            <v>blade</v>
          </cell>
          <cell r="H593" t="str">
            <v>45*26*8</v>
          </cell>
          <cell r="I593">
            <v>45</v>
          </cell>
          <cell r="J593">
            <v>26</v>
          </cell>
          <cell r="K593">
            <v>8</v>
          </cell>
        </row>
        <row r="594">
          <cell r="A594" t="str">
            <v>BAL-ULTRA-S05R-H</v>
          </cell>
          <cell r="B594">
            <v>9</v>
          </cell>
          <cell r="C594">
            <v>147</v>
          </cell>
          <cell r="D594">
            <v>6</v>
          </cell>
          <cell r="E594">
            <v>0.2</v>
          </cell>
          <cell r="F594">
            <v>595</v>
          </cell>
          <cell r="G594" t="str">
            <v>blade</v>
          </cell>
          <cell r="H594" t="str">
            <v>45*26*8</v>
          </cell>
          <cell r="I594">
            <v>45</v>
          </cell>
          <cell r="J594">
            <v>26</v>
          </cell>
          <cell r="K594">
            <v>8</v>
          </cell>
        </row>
        <row r="595">
          <cell r="A595" t="str">
            <v>BAL-ULTRA-S06L-H</v>
          </cell>
          <cell r="B595">
            <v>9</v>
          </cell>
          <cell r="C595">
            <v>145</v>
          </cell>
          <cell r="D595">
            <v>6</v>
          </cell>
          <cell r="E595">
            <v>0.2</v>
          </cell>
          <cell r="F595">
            <v>596</v>
          </cell>
          <cell r="G595" t="str">
            <v>blade</v>
          </cell>
          <cell r="H595" t="str">
            <v>45*26*8</v>
          </cell>
          <cell r="I595">
            <v>45</v>
          </cell>
          <cell r="J595">
            <v>26</v>
          </cell>
          <cell r="K595">
            <v>8</v>
          </cell>
        </row>
        <row r="596">
          <cell r="A596" t="str">
            <v>BAL-ULTRA-S06R-H</v>
          </cell>
          <cell r="B596">
            <v>9</v>
          </cell>
          <cell r="C596">
            <v>145</v>
          </cell>
          <cell r="D596">
            <v>6</v>
          </cell>
          <cell r="E596">
            <v>0.2</v>
          </cell>
          <cell r="F596">
            <v>597</v>
          </cell>
          <cell r="G596" t="str">
            <v>blade</v>
          </cell>
          <cell r="H596" t="str">
            <v>45*26*8</v>
          </cell>
          <cell r="I596">
            <v>45</v>
          </cell>
          <cell r="J596">
            <v>26</v>
          </cell>
          <cell r="K596">
            <v>8</v>
          </cell>
        </row>
        <row r="597">
          <cell r="A597" t="str">
            <v>QCOMPS20-8H-744-KHS</v>
          </cell>
          <cell r="B597">
            <v>9</v>
          </cell>
          <cell r="C597">
            <v>430</v>
          </cell>
          <cell r="D597">
            <v>1</v>
          </cell>
          <cell r="E597">
            <v>0.5</v>
          </cell>
          <cell r="F597">
            <v>598</v>
          </cell>
          <cell r="G597" t="str">
            <v>fork</v>
          </cell>
          <cell r="H597" t="str">
            <v>89*14*9</v>
          </cell>
          <cell r="I597">
            <v>89</v>
          </cell>
          <cell r="J597">
            <v>14</v>
          </cell>
          <cell r="K597">
            <v>9</v>
          </cell>
        </row>
        <row r="598">
          <cell r="A598" t="str">
            <v>RHN-EVO-S03L-M-10060</v>
          </cell>
          <cell r="B598">
            <v>9</v>
          </cell>
          <cell r="C598">
            <v>496</v>
          </cell>
          <cell r="D598">
            <v>25</v>
          </cell>
          <cell r="E598">
            <v>1.6</v>
          </cell>
          <cell r="F598">
            <v>599</v>
          </cell>
          <cell r="G598" t="str">
            <v>hockey</v>
          </cell>
          <cell r="H598" t="str">
            <v>183*29*16</v>
          </cell>
          <cell r="I598">
            <v>183</v>
          </cell>
          <cell r="J598">
            <v>29</v>
          </cell>
          <cell r="K598">
            <v>16</v>
          </cell>
        </row>
        <row r="599">
          <cell r="A599" t="str">
            <v>RHN-EVO-S03L-M-10060-WB</v>
          </cell>
          <cell r="B599">
            <v>9</v>
          </cell>
          <cell r="C599">
            <v>496</v>
          </cell>
          <cell r="D599">
            <v>25</v>
          </cell>
          <cell r="E599">
            <v>1.6</v>
          </cell>
          <cell r="F599">
            <v>600</v>
          </cell>
          <cell r="G599" t="str">
            <v>hockey</v>
          </cell>
          <cell r="H599" t="str">
            <v>183*29*16</v>
          </cell>
          <cell r="I599">
            <v>183</v>
          </cell>
          <cell r="J599">
            <v>29</v>
          </cell>
          <cell r="K599">
            <v>16</v>
          </cell>
        </row>
        <row r="600">
          <cell r="A600" t="str">
            <v>RHN-EVO-S03R-M</v>
          </cell>
          <cell r="B600">
            <v>9</v>
          </cell>
          <cell r="C600">
            <v>155</v>
          </cell>
          <cell r="D600">
            <v>6</v>
          </cell>
          <cell r="E600">
            <v>0.2</v>
          </cell>
          <cell r="F600">
            <v>601</v>
          </cell>
          <cell r="G600" t="str">
            <v>blade</v>
          </cell>
          <cell r="H600" t="str">
            <v>45*26*8</v>
          </cell>
          <cell r="I600">
            <v>45</v>
          </cell>
          <cell r="J600">
            <v>26</v>
          </cell>
          <cell r="K600">
            <v>8</v>
          </cell>
        </row>
        <row r="601">
          <cell r="A601" t="str">
            <v>RHN-EVO-S03R-M-10060</v>
          </cell>
          <cell r="B601">
            <v>9</v>
          </cell>
          <cell r="C601">
            <v>496</v>
          </cell>
          <cell r="D601">
            <v>25</v>
          </cell>
          <cell r="E601">
            <v>1.6</v>
          </cell>
          <cell r="F601">
            <v>602</v>
          </cell>
          <cell r="G601" t="str">
            <v>hockey</v>
          </cell>
          <cell r="H601" t="str">
            <v>183*29*16</v>
          </cell>
          <cell r="I601">
            <v>183</v>
          </cell>
          <cell r="J601">
            <v>29</v>
          </cell>
          <cell r="K601">
            <v>16</v>
          </cell>
        </row>
        <row r="602">
          <cell r="A602" t="str">
            <v>RHN-EVO-S05L-H-10060-SB</v>
          </cell>
          <cell r="B602">
            <v>9</v>
          </cell>
          <cell r="C602">
            <v>475</v>
          </cell>
          <cell r="D602">
            <v>25</v>
          </cell>
          <cell r="E602">
            <v>1.6</v>
          </cell>
          <cell r="F602">
            <v>603</v>
          </cell>
          <cell r="G602" t="str">
            <v>hockey</v>
          </cell>
          <cell r="H602" t="str">
            <v>183*29*16</v>
          </cell>
          <cell r="I602">
            <v>183</v>
          </cell>
          <cell r="J602">
            <v>29</v>
          </cell>
          <cell r="K602">
            <v>16</v>
          </cell>
        </row>
        <row r="603">
          <cell r="A603" t="str">
            <v>RHN-EVO-S05L-M</v>
          </cell>
          <cell r="B603">
            <v>9</v>
          </cell>
          <cell r="C603">
            <v>155</v>
          </cell>
          <cell r="D603">
            <v>6</v>
          </cell>
          <cell r="E603">
            <v>0.2</v>
          </cell>
          <cell r="F603">
            <v>604</v>
          </cell>
          <cell r="G603" t="str">
            <v>blade</v>
          </cell>
          <cell r="H603" t="str">
            <v>45*26*8</v>
          </cell>
          <cell r="I603">
            <v>45</v>
          </cell>
          <cell r="J603">
            <v>26</v>
          </cell>
          <cell r="K603">
            <v>8</v>
          </cell>
        </row>
        <row r="604">
          <cell r="A604" t="str">
            <v>RHN-EVO-S05L-M-10060</v>
          </cell>
          <cell r="B604">
            <v>9</v>
          </cell>
          <cell r="C604">
            <v>496</v>
          </cell>
          <cell r="D604">
            <v>25</v>
          </cell>
          <cell r="E604">
            <v>1.6</v>
          </cell>
          <cell r="F604">
            <v>605</v>
          </cell>
          <cell r="G604" t="str">
            <v>hockey</v>
          </cell>
          <cell r="H604" t="str">
            <v>183*29*16</v>
          </cell>
          <cell r="I604">
            <v>183</v>
          </cell>
          <cell r="J604">
            <v>29</v>
          </cell>
          <cell r="K604">
            <v>16</v>
          </cell>
        </row>
        <row r="605">
          <cell r="A605" t="str">
            <v>RHN-EVO-S05L-M-10060-WB</v>
          </cell>
          <cell r="B605">
            <v>9</v>
          </cell>
          <cell r="C605">
            <v>496</v>
          </cell>
          <cell r="D605">
            <v>25</v>
          </cell>
          <cell r="E605">
            <v>1.6</v>
          </cell>
          <cell r="F605">
            <v>606</v>
          </cell>
          <cell r="G605" t="str">
            <v>hockey</v>
          </cell>
          <cell r="H605" t="str">
            <v>183*29*16</v>
          </cell>
          <cell r="I605">
            <v>183</v>
          </cell>
          <cell r="J605">
            <v>29</v>
          </cell>
          <cell r="K605">
            <v>16</v>
          </cell>
        </row>
        <row r="606">
          <cell r="A606" t="str">
            <v>RHN-EVO-S05R-M</v>
          </cell>
          <cell r="B606">
            <v>9</v>
          </cell>
          <cell r="C606">
            <v>155</v>
          </cell>
          <cell r="D606">
            <v>6</v>
          </cell>
          <cell r="E606">
            <v>0.2</v>
          </cell>
          <cell r="F606">
            <v>607</v>
          </cell>
          <cell r="G606" t="str">
            <v>blade</v>
          </cell>
          <cell r="H606" t="str">
            <v>45*26*8</v>
          </cell>
          <cell r="I606">
            <v>45</v>
          </cell>
          <cell r="J606">
            <v>26</v>
          </cell>
          <cell r="K606">
            <v>8</v>
          </cell>
        </row>
        <row r="607">
          <cell r="A607" t="str">
            <v>RHN-EVO-S05R-M-10060</v>
          </cell>
          <cell r="B607">
            <v>9</v>
          </cell>
          <cell r="C607">
            <v>496</v>
          </cell>
          <cell r="D607">
            <v>25</v>
          </cell>
          <cell r="E607">
            <v>1.6</v>
          </cell>
          <cell r="F607">
            <v>608</v>
          </cell>
          <cell r="G607" t="str">
            <v>hockey</v>
          </cell>
          <cell r="H607" t="str">
            <v>183*29*16</v>
          </cell>
          <cell r="I607">
            <v>183</v>
          </cell>
          <cell r="J607">
            <v>29</v>
          </cell>
          <cell r="K607">
            <v>16</v>
          </cell>
        </row>
        <row r="608">
          <cell r="A608" t="str">
            <v>RHN-EVO-S06L-H-10060-SB</v>
          </cell>
          <cell r="B608">
            <v>9</v>
          </cell>
          <cell r="C608">
            <v>475</v>
          </cell>
          <cell r="D608">
            <v>25</v>
          </cell>
          <cell r="E608">
            <v>1.6</v>
          </cell>
          <cell r="F608">
            <v>609</v>
          </cell>
          <cell r="G608" t="str">
            <v>hockey</v>
          </cell>
          <cell r="H608" t="str">
            <v>183*29*16</v>
          </cell>
          <cell r="I608">
            <v>183</v>
          </cell>
          <cell r="J608">
            <v>29</v>
          </cell>
          <cell r="K608">
            <v>16</v>
          </cell>
        </row>
        <row r="609">
          <cell r="A609" t="str">
            <v>RHN-EVO-S06L-M</v>
          </cell>
          <cell r="B609">
            <v>9</v>
          </cell>
          <cell r="C609">
            <v>155</v>
          </cell>
          <cell r="D609">
            <v>6</v>
          </cell>
          <cell r="E609">
            <v>0.2</v>
          </cell>
          <cell r="F609">
            <v>610</v>
          </cell>
          <cell r="G609" t="str">
            <v>blade</v>
          </cell>
          <cell r="H609" t="str">
            <v>45*26*8</v>
          </cell>
          <cell r="I609">
            <v>45</v>
          </cell>
          <cell r="J609">
            <v>26</v>
          </cell>
          <cell r="K609">
            <v>8</v>
          </cell>
        </row>
        <row r="610">
          <cell r="A610" t="str">
            <v>RHN-EVO-S06L-M-10060</v>
          </cell>
          <cell r="B610">
            <v>9</v>
          </cell>
          <cell r="C610">
            <v>496</v>
          </cell>
          <cell r="D610">
            <v>25</v>
          </cell>
          <cell r="E610">
            <v>1.6</v>
          </cell>
          <cell r="F610">
            <v>611</v>
          </cell>
          <cell r="G610" t="str">
            <v>hockey</v>
          </cell>
          <cell r="H610" t="str">
            <v>183*29*16</v>
          </cell>
          <cell r="I610">
            <v>183</v>
          </cell>
          <cell r="J610">
            <v>29</v>
          </cell>
          <cell r="K610">
            <v>16</v>
          </cell>
        </row>
        <row r="611">
          <cell r="A611" t="str">
            <v>RHN-EVO-S06L-M-10060-BY</v>
          </cell>
          <cell r="B611">
            <v>9</v>
          </cell>
          <cell r="C611">
            <v>496</v>
          </cell>
          <cell r="D611">
            <v>25</v>
          </cell>
          <cell r="E611">
            <v>1.6</v>
          </cell>
          <cell r="F611">
            <v>612</v>
          </cell>
          <cell r="G611" t="str">
            <v>hockey</v>
          </cell>
          <cell r="H611" t="str">
            <v>183*29*16</v>
          </cell>
          <cell r="I611">
            <v>183</v>
          </cell>
          <cell r="J611">
            <v>29</v>
          </cell>
          <cell r="K611">
            <v>16</v>
          </cell>
        </row>
        <row r="612">
          <cell r="A612" t="str">
            <v>RHN-EVO-S06L-M-10060-WB</v>
          </cell>
          <cell r="B612">
            <v>9</v>
          </cell>
          <cell r="C612">
            <v>496</v>
          </cell>
          <cell r="D612">
            <v>25</v>
          </cell>
          <cell r="E612">
            <v>1.6</v>
          </cell>
          <cell r="F612">
            <v>613</v>
          </cell>
          <cell r="G612" t="str">
            <v>hockey</v>
          </cell>
          <cell r="H612" t="str">
            <v>183*29*16</v>
          </cell>
          <cell r="I612">
            <v>183</v>
          </cell>
          <cell r="J612">
            <v>29</v>
          </cell>
          <cell r="K612">
            <v>16</v>
          </cell>
        </row>
        <row r="613">
          <cell r="A613" t="str">
            <v>RHN-EVO-S06R-M</v>
          </cell>
          <cell r="B613">
            <v>9</v>
          </cell>
          <cell r="C613">
            <v>155</v>
          </cell>
          <cell r="D613">
            <v>6</v>
          </cell>
          <cell r="E613">
            <v>0.2</v>
          </cell>
          <cell r="F613">
            <v>614</v>
          </cell>
          <cell r="G613" t="str">
            <v>blade</v>
          </cell>
          <cell r="H613" t="str">
            <v>45*26*8</v>
          </cell>
          <cell r="I613">
            <v>45</v>
          </cell>
          <cell r="J613">
            <v>26</v>
          </cell>
          <cell r="K613">
            <v>8</v>
          </cell>
        </row>
        <row r="614">
          <cell r="A614" t="str">
            <v>RHN-EVO-S06R-M-10060</v>
          </cell>
          <cell r="B614">
            <v>9</v>
          </cell>
          <cell r="C614">
            <v>496</v>
          </cell>
          <cell r="D614">
            <v>25</v>
          </cell>
          <cell r="E614">
            <v>1.6</v>
          </cell>
          <cell r="F614">
            <v>615</v>
          </cell>
          <cell r="G614" t="str">
            <v>hockey</v>
          </cell>
          <cell r="H614" t="str">
            <v>183*29*16</v>
          </cell>
          <cell r="I614">
            <v>183</v>
          </cell>
          <cell r="J614">
            <v>29</v>
          </cell>
          <cell r="K614">
            <v>16</v>
          </cell>
        </row>
        <row r="615">
          <cell r="A615" t="str">
            <v>RHN-EVO-S06R-M-10060-BY</v>
          </cell>
          <cell r="B615">
            <v>9</v>
          </cell>
          <cell r="C615">
            <v>496</v>
          </cell>
          <cell r="D615">
            <v>25</v>
          </cell>
          <cell r="E615">
            <v>1.6</v>
          </cell>
          <cell r="F615">
            <v>616</v>
          </cell>
          <cell r="G615" t="str">
            <v>hockey</v>
          </cell>
          <cell r="H615" t="str">
            <v>183*29*16</v>
          </cell>
          <cell r="I615">
            <v>183</v>
          </cell>
          <cell r="J615">
            <v>29</v>
          </cell>
          <cell r="K615">
            <v>16</v>
          </cell>
        </row>
        <row r="616">
          <cell r="A616" t="str">
            <v>RHN-EVO-S06R-M-10060-WB</v>
          </cell>
          <cell r="B616">
            <v>9</v>
          </cell>
          <cell r="C616">
            <v>496</v>
          </cell>
          <cell r="D616">
            <v>25</v>
          </cell>
          <cell r="E616">
            <v>1.6</v>
          </cell>
          <cell r="F616">
            <v>617</v>
          </cell>
          <cell r="G616" t="str">
            <v>hockey</v>
          </cell>
          <cell r="H616" t="str">
            <v>183*29*16</v>
          </cell>
          <cell r="I616">
            <v>183</v>
          </cell>
          <cell r="J616">
            <v>29</v>
          </cell>
          <cell r="K616">
            <v>16</v>
          </cell>
        </row>
        <row r="617">
          <cell r="A617" t="str">
            <v>RHN-EVO-S07L-M</v>
          </cell>
          <cell r="B617">
            <v>9</v>
          </cell>
          <cell r="C617">
            <v>155</v>
          </cell>
          <cell r="D617">
            <v>6</v>
          </cell>
          <cell r="E617">
            <v>0.2</v>
          </cell>
          <cell r="F617">
            <v>618</v>
          </cell>
          <cell r="G617" t="str">
            <v>blade</v>
          </cell>
          <cell r="H617" t="str">
            <v>45*26*8</v>
          </cell>
          <cell r="I617">
            <v>45</v>
          </cell>
          <cell r="J617">
            <v>26</v>
          </cell>
          <cell r="K617">
            <v>8</v>
          </cell>
        </row>
        <row r="618">
          <cell r="A618" t="str">
            <v>RHN-EVO-S07L-M-10060</v>
          </cell>
          <cell r="B618">
            <v>9</v>
          </cell>
          <cell r="C618">
            <v>496</v>
          </cell>
          <cell r="D618">
            <v>25</v>
          </cell>
          <cell r="E618">
            <v>1.6</v>
          </cell>
          <cell r="F618">
            <v>619</v>
          </cell>
          <cell r="G618" t="str">
            <v>hockey</v>
          </cell>
          <cell r="H618" t="str">
            <v>183*29*16</v>
          </cell>
          <cell r="I618">
            <v>183</v>
          </cell>
          <cell r="J618">
            <v>29</v>
          </cell>
          <cell r="K618">
            <v>16</v>
          </cell>
        </row>
        <row r="619">
          <cell r="A619" t="str">
            <v>RHN-EVO-S07R-M</v>
          </cell>
          <cell r="B619">
            <v>9</v>
          </cell>
          <cell r="C619">
            <v>155</v>
          </cell>
          <cell r="D619">
            <v>6</v>
          </cell>
          <cell r="E619">
            <v>0.2</v>
          </cell>
          <cell r="F619">
            <v>620</v>
          </cell>
          <cell r="G619" t="str">
            <v>blade</v>
          </cell>
          <cell r="H619" t="str">
            <v>45*26*8</v>
          </cell>
          <cell r="I619">
            <v>45</v>
          </cell>
          <cell r="J619">
            <v>26</v>
          </cell>
          <cell r="K619">
            <v>8</v>
          </cell>
        </row>
        <row r="620">
          <cell r="A620" t="str">
            <v>RHN-EVO-S07R-M-10060</v>
          </cell>
          <cell r="B620">
            <v>9</v>
          </cell>
          <cell r="C620">
            <v>496</v>
          </cell>
          <cell r="D620">
            <v>25</v>
          </cell>
          <cell r="E620">
            <v>1.6</v>
          </cell>
          <cell r="F620">
            <v>621</v>
          </cell>
          <cell r="G620" t="str">
            <v>hockey</v>
          </cell>
          <cell r="H620" t="str">
            <v>183*29*16</v>
          </cell>
          <cell r="I620">
            <v>183</v>
          </cell>
          <cell r="J620">
            <v>29</v>
          </cell>
          <cell r="K620">
            <v>16</v>
          </cell>
        </row>
        <row r="621">
          <cell r="A621" t="str">
            <v>UBLUCNOTEIX-41</v>
          </cell>
          <cell r="B621">
            <v>9</v>
          </cell>
          <cell r="C621">
            <v>111</v>
          </cell>
          <cell r="D621">
            <v>50</v>
          </cell>
          <cell r="E621">
            <v>0.6</v>
          </cell>
          <cell r="F621">
            <v>622</v>
          </cell>
          <cell r="G621" t="str">
            <v>golf</v>
          </cell>
          <cell r="H621" t="str">
            <v>122*15*10</v>
          </cell>
          <cell r="I621">
            <v>122</v>
          </cell>
          <cell r="J621">
            <v>15</v>
          </cell>
          <cell r="K621">
            <v>10</v>
          </cell>
        </row>
        <row r="622">
          <cell r="A622" t="str">
            <v>UPRLTWL-46-MD</v>
          </cell>
          <cell r="B622">
            <v>9</v>
          </cell>
          <cell r="C622">
            <v>65</v>
          </cell>
          <cell r="D622">
            <v>50</v>
          </cell>
          <cell r="E622">
            <v>0.6</v>
          </cell>
          <cell r="F622">
            <v>623</v>
          </cell>
          <cell r="G622" t="str">
            <v>golf</v>
          </cell>
          <cell r="H622" t="str">
            <v>122*15*10</v>
          </cell>
          <cell r="I622">
            <v>122</v>
          </cell>
          <cell r="J622">
            <v>15</v>
          </cell>
          <cell r="K622">
            <v>10</v>
          </cell>
        </row>
        <row r="623">
          <cell r="A623" t="str">
            <v>AQTB1125LT-26</v>
          </cell>
          <cell r="B623">
            <v>9</v>
          </cell>
          <cell r="C623">
            <v>0</v>
          </cell>
          <cell r="D623">
            <v>0</v>
          </cell>
          <cell r="F623">
            <v>624</v>
          </cell>
          <cell r="G623" t="str">
            <v>steer tube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</row>
        <row r="624">
          <cell r="A624" t="str">
            <v>QCOMPS10-8H-744</v>
          </cell>
          <cell r="B624">
            <v>9</v>
          </cell>
          <cell r="C624">
            <v>525</v>
          </cell>
          <cell r="D624">
            <v>1</v>
          </cell>
          <cell r="E624">
            <v>0.5</v>
          </cell>
          <cell r="F624">
            <v>625</v>
          </cell>
          <cell r="G624" t="str">
            <v>fork1</v>
          </cell>
          <cell r="H624" t="str">
            <v>89*14*9</v>
          </cell>
          <cell r="I624">
            <v>89</v>
          </cell>
          <cell r="J624">
            <v>14</v>
          </cell>
          <cell r="K624">
            <v>9</v>
          </cell>
        </row>
        <row r="625">
          <cell r="A625" t="str">
            <v>RHN-EVO-S03R-H-10060-SB</v>
          </cell>
          <cell r="B625">
            <v>9</v>
          </cell>
          <cell r="C625">
            <v>475</v>
          </cell>
          <cell r="D625">
            <v>25</v>
          </cell>
          <cell r="E625">
            <v>1.6</v>
          </cell>
          <cell r="F625">
            <v>626</v>
          </cell>
          <cell r="G625" t="str">
            <v>hockey</v>
          </cell>
          <cell r="H625" t="str">
            <v>183*29*16</v>
          </cell>
          <cell r="I625">
            <v>183</v>
          </cell>
          <cell r="J625">
            <v>29</v>
          </cell>
          <cell r="K625">
            <v>16</v>
          </cell>
        </row>
        <row r="626">
          <cell r="A626" t="str">
            <v>SHR-MOM-S07L-M</v>
          </cell>
          <cell r="B626">
            <v>9</v>
          </cell>
          <cell r="C626">
            <v>155</v>
          </cell>
          <cell r="D626">
            <v>6</v>
          </cell>
          <cell r="E626">
            <v>0.2</v>
          </cell>
          <cell r="F626">
            <v>627</v>
          </cell>
          <cell r="G626" t="str">
            <v>blade</v>
          </cell>
          <cell r="H626" t="str">
            <v>45*26*8</v>
          </cell>
          <cell r="I626">
            <v>45</v>
          </cell>
          <cell r="J626">
            <v>26</v>
          </cell>
          <cell r="K626">
            <v>8</v>
          </cell>
        </row>
        <row r="627">
          <cell r="A627" t="str">
            <v>QCOMPS20-1-744</v>
          </cell>
          <cell r="B627">
            <v>9</v>
          </cell>
          <cell r="C627">
            <v>385</v>
          </cell>
          <cell r="D627">
            <v>1</v>
          </cell>
          <cell r="E627">
            <v>0.5</v>
          </cell>
          <cell r="F627">
            <v>628</v>
          </cell>
          <cell r="G627" t="str">
            <v>fork</v>
          </cell>
          <cell r="H627" t="str">
            <v>89*14*9</v>
          </cell>
          <cell r="I627">
            <v>89</v>
          </cell>
          <cell r="J627">
            <v>14</v>
          </cell>
          <cell r="K627">
            <v>9</v>
          </cell>
        </row>
        <row r="628">
          <cell r="A628" t="str">
            <v>QCOMPS20-8-744</v>
          </cell>
          <cell r="B628">
            <v>9</v>
          </cell>
          <cell r="C628">
            <v>423</v>
          </cell>
          <cell r="D628">
            <v>1</v>
          </cell>
          <cell r="E628">
            <v>0.5</v>
          </cell>
          <cell r="F628">
            <v>629</v>
          </cell>
          <cell r="G628" t="str">
            <v>fork</v>
          </cell>
          <cell r="H628" t="str">
            <v>89*14*9</v>
          </cell>
          <cell r="I628">
            <v>89</v>
          </cell>
          <cell r="J628">
            <v>14</v>
          </cell>
          <cell r="K628">
            <v>9</v>
          </cell>
        </row>
        <row r="629">
          <cell r="A629" t="str">
            <v>RHN-EVO-H-SF-10060</v>
          </cell>
          <cell r="B629">
            <v>9</v>
          </cell>
          <cell r="C629">
            <v>460</v>
          </cell>
          <cell r="D629">
            <v>25</v>
          </cell>
          <cell r="E629">
            <v>1.6</v>
          </cell>
          <cell r="F629">
            <v>630</v>
          </cell>
          <cell r="G629" t="str">
            <v>hockey</v>
          </cell>
          <cell r="H629" t="str">
            <v>183*29*16</v>
          </cell>
          <cell r="I629">
            <v>183</v>
          </cell>
          <cell r="J629">
            <v>29</v>
          </cell>
          <cell r="K629">
            <v>16</v>
          </cell>
        </row>
        <row r="630">
          <cell r="A630" t="str">
            <v>RHN-EVO-M-SF-10060</v>
          </cell>
          <cell r="B630">
            <v>9</v>
          </cell>
          <cell r="C630">
            <v>481</v>
          </cell>
          <cell r="D630">
            <v>25</v>
          </cell>
          <cell r="E630">
            <v>1.6</v>
          </cell>
          <cell r="F630">
            <v>631</v>
          </cell>
          <cell r="G630" t="str">
            <v>hockey</v>
          </cell>
          <cell r="H630" t="str">
            <v>183*29*16</v>
          </cell>
          <cell r="I630">
            <v>183</v>
          </cell>
          <cell r="J630">
            <v>29</v>
          </cell>
          <cell r="K630">
            <v>16</v>
          </cell>
        </row>
        <row r="631">
          <cell r="A631" t="str">
            <v>RHN-EVO-M-SF-10060-BY</v>
          </cell>
          <cell r="B631">
            <v>9</v>
          </cell>
          <cell r="C631">
            <v>481</v>
          </cell>
          <cell r="D631">
            <v>25</v>
          </cell>
          <cell r="E631">
            <v>1.6</v>
          </cell>
          <cell r="F631">
            <v>632</v>
          </cell>
          <cell r="G631" t="str">
            <v>hockey</v>
          </cell>
          <cell r="H631" t="str">
            <v>183*29*16</v>
          </cell>
          <cell r="I631">
            <v>183</v>
          </cell>
          <cell r="J631">
            <v>29</v>
          </cell>
          <cell r="K631">
            <v>16</v>
          </cell>
        </row>
        <row r="632">
          <cell r="A632" t="str">
            <v>QGS10-8-744</v>
          </cell>
          <cell r="B632">
            <v>9</v>
          </cell>
          <cell r="C632">
            <v>367</v>
          </cell>
          <cell r="D632">
            <v>1</v>
          </cell>
          <cell r="E632">
            <v>0.5</v>
          </cell>
          <cell r="F632">
            <v>633</v>
          </cell>
          <cell r="G632" t="str">
            <v>fork</v>
          </cell>
          <cell r="H632" t="str">
            <v>89*14*9</v>
          </cell>
          <cell r="I632">
            <v>89</v>
          </cell>
          <cell r="J632">
            <v>14</v>
          </cell>
          <cell r="K632">
            <v>9</v>
          </cell>
        </row>
        <row r="633">
          <cell r="A633" t="str">
            <v>QWOLFSL-8-743</v>
          </cell>
          <cell r="B633">
            <v>9</v>
          </cell>
          <cell r="C633">
            <v>355</v>
          </cell>
          <cell r="D633">
            <v>25</v>
          </cell>
          <cell r="E633">
            <v>2.54</v>
          </cell>
          <cell r="F633">
            <v>634</v>
          </cell>
          <cell r="G633" t="str">
            <v>fork</v>
          </cell>
          <cell r="H633" t="str">
            <v>72*52*32</v>
          </cell>
          <cell r="I633">
            <v>72</v>
          </cell>
          <cell r="J633">
            <v>52</v>
          </cell>
          <cell r="K633">
            <v>32</v>
          </cell>
        </row>
        <row r="634">
          <cell r="A634" t="str">
            <v>QGS10-1-744</v>
          </cell>
          <cell r="B634">
            <v>9</v>
          </cell>
          <cell r="C634">
            <v>345</v>
          </cell>
          <cell r="D634">
            <v>1</v>
          </cell>
          <cell r="E634">
            <v>0.5</v>
          </cell>
          <cell r="F634">
            <v>636</v>
          </cell>
          <cell r="G634" t="str">
            <v>fork</v>
          </cell>
          <cell r="H634" t="str">
            <v>89*14*9</v>
          </cell>
          <cell r="I634">
            <v>89</v>
          </cell>
          <cell r="J634">
            <v>14</v>
          </cell>
          <cell r="K634">
            <v>9</v>
          </cell>
        </row>
        <row r="635">
          <cell r="A635" t="str">
            <v>UBRX35DA-46</v>
          </cell>
          <cell r="B635">
            <v>9</v>
          </cell>
          <cell r="C635">
            <v>80</v>
          </cell>
          <cell r="D635">
            <v>50</v>
          </cell>
          <cell r="E635">
            <v>0.6</v>
          </cell>
          <cell r="F635">
            <v>637</v>
          </cell>
          <cell r="G635" t="str">
            <v>golf</v>
          </cell>
          <cell r="H635" t="str">
            <v>122*15*10</v>
          </cell>
          <cell r="I635">
            <v>122</v>
          </cell>
          <cell r="J635">
            <v>15</v>
          </cell>
          <cell r="K635">
            <v>10</v>
          </cell>
        </row>
        <row r="636">
          <cell r="A636" t="str">
            <v>UBRX35DR-46</v>
          </cell>
          <cell r="B636">
            <v>9</v>
          </cell>
          <cell r="C636">
            <v>80</v>
          </cell>
          <cell r="D636">
            <v>50</v>
          </cell>
          <cell r="E636">
            <v>0.6</v>
          </cell>
          <cell r="F636">
            <v>638</v>
          </cell>
          <cell r="G636" t="str">
            <v>golf</v>
          </cell>
          <cell r="H636" t="str">
            <v>122*15*10</v>
          </cell>
          <cell r="I636">
            <v>122</v>
          </cell>
          <cell r="J636">
            <v>15</v>
          </cell>
          <cell r="K636">
            <v>10</v>
          </cell>
        </row>
        <row r="637">
          <cell r="A637" t="str">
            <v>UBRX35DS-46</v>
          </cell>
          <cell r="B637">
            <v>9</v>
          </cell>
          <cell r="C637">
            <v>80</v>
          </cell>
          <cell r="D637">
            <v>50</v>
          </cell>
          <cell r="E637">
            <v>0.6</v>
          </cell>
          <cell r="F637">
            <v>639</v>
          </cell>
          <cell r="G637" t="str">
            <v>golf</v>
          </cell>
          <cell r="H637" t="str">
            <v>122*15*10</v>
          </cell>
          <cell r="I637">
            <v>122</v>
          </cell>
          <cell r="J637">
            <v>15</v>
          </cell>
          <cell r="K637">
            <v>10</v>
          </cell>
        </row>
        <row r="638">
          <cell r="A638" t="str">
            <v>UBRX35DX-46</v>
          </cell>
          <cell r="B638">
            <v>9</v>
          </cell>
          <cell r="C638">
            <v>80</v>
          </cell>
          <cell r="D638">
            <v>50</v>
          </cell>
          <cell r="E638">
            <v>0.6</v>
          </cell>
          <cell r="F638">
            <v>640</v>
          </cell>
          <cell r="G638" t="str">
            <v>golf</v>
          </cell>
          <cell r="H638" t="str">
            <v>122*15*10</v>
          </cell>
          <cell r="I638">
            <v>122</v>
          </cell>
          <cell r="J638">
            <v>15</v>
          </cell>
          <cell r="K638">
            <v>10</v>
          </cell>
        </row>
        <row r="639">
          <cell r="A639" t="str">
            <v>UBRX35FA-44</v>
          </cell>
          <cell r="B639">
            <v>9</v>
          </cell>
          <cell r="C639">
            <v>80</v>
          </cell>
          <cell r="D639">
            <v>50</v>
          </cell>
          <cell r="E639">
            <v>0.6</v>
          </cell>
          <cell r="F639">
            <v>641</v>
          </cell>
          <cell r="G639" t="str">
            <v>golf</v>
          </cell>
          <cell r="H639" t="str">
            <v>122*15*10</v>
          </cell>
          <cell r="I639">
            <v>122</v>
          </cell>
          <cell r="J639">
            <v>15</v>
          </cell>
          <cell r="K639">
            <v>10</v>
          </cell>
        </row>
        <row r="640">
          <cell r="A640" t="str">
            <v>UBRX35FR-44</v>
          </cell>
          <cell r="B640">
            <v>9</v>
          </cell>
          <cell r="C640">
            <v>80</v>
          </cell>
          <cell r="D640">
            <v>50</v>
          </cell>
          <cell r="E640">
            <v>0.6</v>
          </cell>
          <cell r="F640">
            <v>642</v>
          </cell>
          <cell r="G640" t="str">
            <v>golf</v>
          </cell>
          <cell r="H640" t="str">
            <v>122*15*10</v>
          </cell>
          <cell r="I640">
            <v>122</v>
          </cell>
          <cell r="J640">
            <v>15</v>
          </cell>
          <cell r="K640">
            <v>10</v>
          </cell>
        </row>
        <row r="641">
          <cell r="A641" t="str">
            <v>UBRX35FS-44</v>
          </cell>
          <cell r="B641">
            <v>9</v>
          </cell>
          <cell r="C641">
            <v>80</v>
          </cell>
          <cell r="D641">
            <v>50</v>
          </cell>
          <cell r="E641">
            <v>0.6</v>
          </cell>
          <cell r="F641">
            <v>643</v>
          </cell>
          <cell r="G641" t="str">
            <v>golf</v>
          </cell>
          <cell r="H641" t="str">
            <v>122*15*10</v>
          </cell>
          <cell r="I641">
            <v>122</v>
          </cell>
          <cell r="J641">
            <v>15</v>
          </cell>
          <cell r="K641">
            <v>10</v>
          </cell>
        </row>
        <row r="642">
          <cell r="A642" t="str">
            <v>UBRX35FX-44</v>
          </cell>
          <cell r="B642">
            <v>9</v>
          </cell>
          <cell r="C642">
            <v>80</v>
          </cell>
          <cell r="D642">
            <v>50</v>
          </cell>
          <cell r="E642">
            <v>0.6</v>
          </cell>
          <cell r="F642">
            <v>644</v>
          </cell>
          <cell r="G642" t="str">
            <v>golf</v>
          </cell>
          <cell r="H642" t="str">
            <v>122*15*10</v>
          </cell>
          <cell r="I642">
            <v>122</v>
          </cell>
          <cell r="J642">
            <v>15</v>
          </cell>
          <cell r="K642">
            <v>10</v>
          </cell>
        </row>
        <row r="643">
          <cell r="A643" t="str">
            <v>UBRX848DR-46</v>
          </cell>
          <cell r="B643">
            <v>9</v>
          </cell>
          <cell r="C643">
            <v>80</v>
          </cell>
          <cell r="D643">
            <v>50</v>
          </cell>
          <cell r="E643">
            <v>0.6</v>
          </cell>
          <cell r="F643">
            <v>645</v>
          </cell>
          <cell r="G643" t="str">
            <v>golf</v>
          </cell>
          <cell r="H643" t="str">
            <v>122*15*10</v>
          </cell>
          <cell r="I643">
            <v>122</v>
          </cell>
          <cell r="J643">
            <v>15</v>
          </cell>
          <cell r="K643">
            <v>10</v>
          </cell>
        </row>
        <row r="644">
          <cell r="A644" t="str">
            <v>UBRX848DS-46</v>
          </cell>
          <cell r="B644">
            <v>9</v>
          </cell>
          <cell r="C644">
            <v>80</v>
          </cell>
          <cell r="D644">
            <v>50</v>
          </cell>
          <cell r="E644">
            <v>0.6</v>
          </cell>
          <cell r="F644">
            <v>646</v>
          </cell>
          <cell r="G644" t="str">
            <v>golf</v>
          </cell>
          <cell r="H644" t="str">
            <v>122*15*10</v>
          </cell>
          <cell r="I644">
            <v>122</v>
          </cell>
          <cell r="J644">
            <v>15</v>
          </cell>
          <cell r="K644">
            <v>10</v>
          </cell>
        </row>
        <row r="645">
          <cell r="A645" t="str">
            <v>UBRXDA-46</v>
          </cell>
          <cell r="B645">
            <v>9</v>
          </cell>
          <cell r="C645">
            <v>80</v>
          </cell>
          <cell r="D645">
            <v>50</v>
          </cell>
          <cell r="E645">
            <v>0.6</v>
          </cell>
          <cell r="F645">
            <v>647</v>
          </cell>
          <cell r="G645" t="str">
            <v>golf</v>
          </cell>
          <cell r="H645" t="str">
            <v>122*15*10</v>
          </cell>
          <cell r="I645">
            <v>122</v>
          </cell>
          <cell r="J645">
            <v>15</v>
          </cell>
          <cell r="K645">
            <v>10</v>
          </cell>
        </row>
        <row r="646">
          <cell r="A646" t="str">
            <v>UBRXDS-46</v>
          </cell>
          <cell r="B646">
            <v>9</v>
          </cell>
          <cell r="C646">
            <v>80</v>
          </cell>
          <cell r="D646">
            <v>50</v>
          </cell>
          <cell r="E646">
            <v>0.6</v>
          </cell>
          <cell r="F646">
            <v>648</v>
          </cell>
          <cell r="G646" t="str">
            <v>golf</v>
          </cell>
          <cell r="H646" t="str">
            <v>122*15*10</v>
          </cell>
          <cell r="I646">
            <v>122</v>
          </cell>
          <cell r="J646">
            <v>15</v>
          </cell>
          <cell r="K646">
            <v>10</v>
          </cell>
        </row>
        <row r="647">
          <cell r="A647" t="str">
            <v>UBRXDX-46</v>
          </cell>
          <cell r="B647">
            <v>9</v>
          </cell>
          <cell r="C647">
            <v>80</v>
          </cell>
          <cell r="D647">
            <v>50</v>
          </cell>
          <cell r="E647">
            <v>0.6</v>
          </cell>
          <cell r="F647">
            <v>649</v>
          </cell>
          <cell r="G647" t="str">
            <v>golf</v>
          </cell>
          <cell r="H647" t="str">
            <v>122*15*10</v>
          </cell>
          <cell r="I647">
            <v>122</v>
          </cell>
          <cell r="J647">
            <v>15</v>
          </cell>
          <cell r="K647">
            <v>10</v>
          </cell>
        </row>
        <row r="648">
          <cell r="A648" t="str">
            <v>UBRXFA-44</v>
          </cell>
          <cell r="B648">
            <v>9</v>
          </cell>
          <cell r="C648">
            <v>80</v>
          </cell>
          <cell r="D648">
            <v>50</v>
          </cell>
          <cell r="E648">
            <v>0.6</v>
          </cell>
          <cell r="F648">
            <v>650</v>
          </cell>
          <cell r="G648" t="str">
            <v>golf</v>
          </cell>
          <cell r="H648" t="str">
            <v>122*15*10</v>
          </cell>
          <cell r="I648">
            <v>122</v>
          </cell>
          <cell r="J648">
            <v>15</v>
          </cell>
          <cell r="K648">
            <v>10</v>
          </cell>
        </row>
        <row r="649">
          <cell r="A649" t="str">
            <v>UBRXFX-44</v>
          </cell>
          <cell r="B649">
            <v>9</v>
          </cell>
          <cell r="C649">
            <v>80</v>
          </cell>
          <cell r="D649">
            <v>50</v>
          </cell>
          <cell r="E649">
            <v>0.6</v>
          </cell>
          <cell r="F649">
            <v>651</v>
          </cell>
          <cell r="G649" t="str">
            <v>golf</v>
          </cell>
          <cell r="H649" t="str">
            <v>122*15*10</v>
          </cell>
          <cell r="I649">
            <v>122</v>
          </cell>
          <cell r="J649">
            <v>15</v>
          </cell>
          <cell r="K649">
            <v>10</v>
          </cell>
        </row>
        <row r="650">
          <cell r="A650" t="str">
            <v>UBRXFX-46</v>
          </cell>
          <cell r="B650">
            <v>9</v>
          </cell>
          <cell r="C650">
            <v>80</v>
          </cell>
          <cell r="D650">
            <v>50</v>
          </cell>
          <cell r="E650">
            <v>0.6</v>
          </cell>
          <cell r="F650">
            <v>652</v>
          </cell>
          <cell r="G650" t="str">
            <v>golf</v>
          </cell>
          <cell r="H650" t="str">
            <v>122*15*10</v>
          </cell>
          <cell r="I650">
            <v>122</v>
          </cell>
          <cell r="J650">
            <v>15</v>
          </cell>
          <cell r="K650">
            <v>10</v>
          </cell>
        </row>
        <row r="651">
          <cell r="A651" t="str">
            <v>UPCCLUB35IR-42</v>
          </cell>
          <cell r="B651">
            <v>9</v>
          </cell>
          <cell r="C651">
            <v>69</v>
          </cell>
          <cell r="D651">
            <v>50</v>
          </cell>
          <cell r="E651">
            <v>0.6</v>
          </cell>
          <cell r="F651">
            <v>653</v>
          </cell>
          <cell r="G651" t="str">
            <v>golf</v>
          </cell>
          <cell r="H651" t="str">
            <v>122*15*10</v>
          </cell>
          <cell r="I651">
            <v>122</v>
          </cell>
          <cell r="J651">
            <v>15</v>
          </cell>
          <cell r="K651">
            <v>10</v>
          </cell>
        </row>
        <row r="652">
          <cell r="A652" t="str">
            <v>QZ-8-741</v>
          </cell>
          <cell r="B652">
            <v>9</v>
          </cell>
          <cell r="C652">
            <v>535</v>
          </cell>
          <cell r="D652">
            <v>1</v>
          </cell>
          <cell r="E652">
            <v>0.5</v>
          </cell>
          <cell r="F652">
            <v>655</v>
          </cell>
          <cell r="G652" t="str">
            <v>fork</v>
          </cell>
          <cell r="H652" t="str">
            <v>89*14*9</v>
          </cell>
          <cell r="I652">
            <v>89</v>
          </cell>
          <cell r="J652">
            <v>14</v>
          </cell>
          <cell r="K652">
            <v>9</v>
          </cell>
        </row>
        <row r="653">
          <cell r="A653" t="str">
            <v>UBLUPROTOJDWX-46</v>
          </cell>
          <cell r="B653">
            <v>9</v>
          </cell>
          <cell r="C653">
            <v>91</v>
          </cell>
          <cell r="D653">
            <v>50</v>
          </cell>
          <cell r="E653">
            <v>0.6</v>
          </cell>
          <cell r="F653">
            <v>656</v>
          </cell>
          <cell r="G653" t="str">
            <v>golf</v>
          </cell>
          <cell r="H653" t="str">
            <v>122*15*10</v>
          </cell>
          <cell r="I653">
            <v>122</v>
          </cell>
          <cell r="J653">
            <v>15</v>
          </cell>
          <cell r="K653">
            <v>10</v>
          </cell>
        </row>
        <row r="654">
          <cell r="A654" t="str">
            <v>QGS10-8-741</v>
          </cell>
          <cell r="B654">
            <v>9</v>
          </cell>
          <cell r="C654">
            <v>367</v>
          </cell>
          <cell r="D654">
            <v>1</v>
          </cell>
          <cell r="E654">
            <v>0.5</v>
          </cell>
          <cell r="F654">
            <v>657</v>
          </cell>
          <cell r="G654" t="str">
            <v>fork</v>
          </cell>
          <cell r="H654" t="str">
            <v>89*14*9</v>
          </cell>
          <cell r="I654">
            <v>89</v>
          </cell>
          <cell r="J654">
            <v>14</v>
          </cell>
          <cell r="K654">
            <v>9</v>
          </cell>
        </row>
        <row r="655">
          <cell r="A655" t="str">
            <v>QGS10-1-741</v>
          </cell>
          <cell r="B655">
            <v>9</v>
          </cell>
          <cell r="C655">
            <v>350</v>
          </cell>
          <cell r="D655">
            <v>1</v>
          </cell>
          <cell r="E655">
            <v>0.5</v>
          </cell>
          <cell r="F655">
            <v>659</v>
          </cell>
          <cell r="G655" t="str">
            <v>fork</v>
          </cell>
          <cell r="H655" t="str">
            <v>89*14*9</v>
          </cell>
          <cell r="I655">
            <v>89</v>
          </cell>
          <cell r="J655">
            <v>14</v>
          </cell>
          <cell r="K655">
            <v>9</v>
          </cell>
        </row>
        <row r="656">
          <cell r="A656" t="str">
            <v>SHR-MOM-095</v>
          </cell>
          <cell r="B656">
            <v>9</v>
          </cell>
          <cell r="C656">
            <v>323</v>
          </cell>
          <cell r="D656">
            <v>50</v>
          </cell>
          <cell r="E656">
            <v>1.48</v>
          </cell>
          <cell r="F656">
            <v>660</v>
          </cell>
          <cell r="G656" t="str">
            <v>Shaft</v>
          </cell>
          <cell r="H656" t="str">
            <v>145*29*16</v>
          </cell>
          <cell r="I656">
            <v>145</v>
          </cell>
          <cell r="J656">
            <v>29</v>
          </cell>
          <cell r="K656">
            <v>16</v>
          </cell>
        </row>
        <row r="657">
          <cell r="A657" t="str">
            <v>SHR-MOM-105</v>
          </cell>
          <cell r="B657">
            <v>9</v>
          </cell>
          <cell r="C657">
            <v>321</v>
          </cell>
          <cell r="D657">
            <v>50</v>
          </cell>
          <cell r="E657">
            <v>1.48</v>
          </cell>
          <cell r="F657">
            <v>661</v>
          </cell>
          <cell r="G657" t="str">
            <v>Shaft</v>
          </cell>
          <cell r="H657" t="str">
            <v>145*29*16</v>
          </cell>
          <cell r="I657">
            <v>145</v>
          </cell>
          <cell r="J657">
            <v>29</v>
          </cell>
          <cell r="K657">
            <v>16</v>
          </cell>
        </row>
        <row r="658">
          <cell r="A658" t="str">
            <v>UPNSKRULIL-40</v>
          </cell>
          <cell r="B658">
            <v>9</v>
          </cell>
          <cell r="C658">
            <v>65</v>
          </cell>
          <cell r="D658">
            <v>50</v>
          </cell>
          <cell r="E658">
            <v>0.6</v>
          </cell>
          <cell r="F658">
            <v>662</v>
          </cell>
          <cell r="G658" t="str">
            <v>golf</v>
          </cell>
          <cell r="H658" t="str">
            <v>122*15*10</v>
          </cell>
          <cell r="I658">
            <v>122</v>
          </cell>
          <cell r="J658">
            <v>15</v>
          </cell>
          <cell r="K658">
            <v>10</v>
          </cell>
        </row>
        <row r="659">
          <cell r="A659" t="str">
            <v>QCOMPS20-8H-744</v>
          </cell>
          <cell r="B659">
            <v>9</v>
          </cell>
          <cell r="C659">
            <v>433</v>
          </cell>
          <cell r="D659">
            <v>1</v>
          </cell>
          <cell r="E659">
            <v>0.5</v>
          </cell>
          <cell r="F659">
            <v>663</v>
          </cell>
          <cell r="G659" t="str">
            <v>fork</v>
          </cell>
          <cell r="H659" t="str">
            <v>89*14*9</v>
          </cell>
          <cell r="I659">
            <v>89</v>
          </cell>
          <cell r="J659">
            <v>14</v>
          </cell>
          <cell r="K659">
            <v>9</v>
          </cell>
        </row>
        <row r="660">
          <cell r="A660" t="str">
            <v>UBLUPNT835WS-46</v>
          </cell>
          <cell r="B660">
            <v>9</v>
          </cell>
          <cell r="C660">
            <v>91</v>
          </cell>
          <cell r="D660">
            <v>50</v>
          </cell>
          <cell r="E660">
            <v>0.6</v>
          </cell>
          <cell r="F660">
            <v>664</v>
          </cell>
          <cell r="G660" t="str">
            <v>golf</v>
          </cell>
          <cell r="H660" t="str">
            <v>122*15*10</v>
          </cell>
          <cell r="I660">
            <v>122</v>
          </cell>
          <cell r="J660">
            <v>15</v>
          </cell>
          <cell r="K660">
            <v>10</v>
          </cell>
        </row>
        <row r="661">
          <cell r="A661" t="str">
            <v>UBLUPNT835WX-46</v>
          </cell>
          <cell r="B661">
            <v>9</v>
          </cell>
          <cell r="C661">
            <v>92</v>
          </cell>
          <cell r="D661">
            <v>50</v>
          </cell>
          <cell r="E661">
            <v>0.6</v>
          </cell>
          <cell r="F661">
            <v>665</v>
          </cell>
          <cell r="G661" t="str">
            <v>golf</v>
          </cell>
          <cell r="H661" t="str">
            <v>122*15*10</v>
          </cell>
          <cell r="I661">
            <v>122</v>
          </cell>
          <cell r="J661">
            <v>15</v>
          </cell>
          <cell r="K661">
            <v>10</v>
          </cell>
        </row>
        <row r="662">
          <cell r="A662" t="str">
            <v>CCM-V10-TT-4056</v>
          </cell>
          <cell r="B662">
            <v>9</v>
          </cell>
          <cell r="C662">
            <v>320</v>
          </cell>
          <cell r="D662">
            <v>50</v>
          </cell>
          <cell r="E662">
            <v>1.48</v>
          </cell>
          <cell r="F662">
            <v>666</v>
          </cell>
          <cell r="G662" t="str">
            <v>shaft</v>
          </cell>
          <cell r="H662" t="str">
            <v>145*29*16</v>
          </cell>
          <cell r="I662">
            <v>145</v>
          </cell>
          <cell r="J662">
            <v>29</v>
          </cell>
          <cell r="K662">
            <v>16</v>
          </cell>
        </row>
        <row r="663">
          <cell r="A663" t="str">
            <v>CCM-V8.9-TT-4056</v>
          </cell>
          <cell r="B663">
            <v>9</v>
          </cell>
          <cell r="C663">
            <v>360</v>
          </cell>
          <cell r="D663">
            <v>50</v>
          </cell>
          <cell r="E663">
            <v>1.48</v>
          </cell>
          <cell r="F663">
            <v>667</v>
          </cell>
          <cell r="G663" t="str">
            <v>shaft</v>
          </cell>
          <cell r="H663" t="str">
            <v>145*29*16</v>
          </cell>
          <cell r="I663">
            <v>145</v>
          </cell>
          <cell r="J663">
            <v>29</v>
          </cell>
          <cell r="K663">
            <v>16</v>
          </cell>
        </row>
        <row r="664">
          <cell r="A664" t="str">
            <v>QX2-8-741</v>
          </cell>
          <cell r="B664">
            <v>9</v>
          </cell>
          <cell r="C664">
            <v>383</v>
          </cell>
          <cell r="D664">
            <v>1</v>
          </cell>
          <cell r="E664">
            <v>0.5</v>
          </cell>
          <cell r="F664">
            <v>668</v>
          </cell>
          <cell r="G664" t="str">
            <v>fork</v>
          </cell>
          <cell r="H664" t="str">
            <v>89*14*9</v>
          </cell>
          <cell r="I664">
            <v>89</v>
          </cell>
          <cell r="J664">
            <v>14</v>
          </cell>
          <cell r="K664">
            <v>9</v>
          </cell>
        </row>
        <row r="665">
          <cell r="A665" t="str">
            <v>QX2-8-744</v>
          </cell>
          <cell r="B665">
            <v>9</v>
          </cell>
          <cell r="C665">
            <v>460</v>
          </cell>
          <cell r="D665">
            <v>1</v>
          </cell>
          <cell r="E665">
            <v>0.5</v>
          </cell>
          <cell r="F665">
            <v>669</v>
          </cell>
          <cell r="G665" t="str">
            <v>fork</v>
          </cell>
          <cell r="H665" t="str">
            <v>89*14*9</v>
          </cell>
          <cell r="I665">
            <v>89</v>
          </cell>
          <cell r="J665">
            <v>14</v>
          </cell>
          <cell r="K665">
            <v>9</v>
          </cell>
        </row>
        <row r="666">
          <cell r="A666" t="str">
            <v>SHR-MOM-085</v>
          </cell>
          <cell r="B666">
            <v>9</v>
          </cell>
          <cell r="C666">
            <v>316</v>
          </cell>
          <cell r="D666">
            <v>50</v>
          </cell>
          <cell r="E666">
            <v>1.48</v>
          </cell>
          <cell r="F666">
            <v>670</v>
          </cell>
          <cell r="G666" t="str">
            <v>shaft</v>
          </cell>
          <cell r="H666" t="str">
            <v>145*29*16</v>
          </cell>
          <cell r="I666">
            <v>145</v>
          </cell>
          <cell r="J666">
            <v>29</v>
          </cell>
          <cell r="K666">
            <v>16</v>
          </cell>
        </row>
        <row r="667">
          <cell r="A667" t="str">
            <v>BAL-SQ-08054-UP</v>
          </cell>
          <cell r="B667">
            <v>9</v>
          </cell>
          <cell r="C667">
            <v>320</v>
          </cell>
          <cell r="D667">
            <v>50</v>
          </cell>
          <cell r="E667">
            <v>1.48</v>
          </cell>
          <cell r="F667">
            <v>671</v>
          </cell>
          <cell r="G667" t="str">
            <v>shaft</v>
          </cell>
          <cell r="H667" t="str">
            <v>145*29*16</v>
          </cell>
          <cell r="I667">
            <v>145</v>
          </cell>
          <cell r="J667">
            <v>29</v>
          </cell>
          <cell r="K667">
            <v>16</v>
          </cell>
        </row>
        <row r="668">
          <cell r="A668" t="str">
            <v>BAL-SQ-09054-UP</v>
          </cell>
          <cell r="B668">
            <v>9</v>
          </cell>
          <cell r="C668">
            <v>335</v>
          </cell>
          <cell r="D668">
            <v>50</v>
          </cell>
          <cell r="E668">
            <v>1.48</v>
          </cell>
          <cell r="F668">
            <v>672</v>
          </cell>
          <cell r="G668" t="str">
            <v>shaft</v>
          </cell>
          <cell r="H668" t="str">
            <v>145*29*16</v>
          </cell>
          <cell r="I668">
            <v>145</v>
          </cell>
          <cell r="J668">
            <v>29</v>
          </cell>
          <cell r="K668">
            <v>16</v>
          </cell>
        </row>
        <row r="669">
          <cell r="A669" t="str">
            <v>CCM-V8-TT-4056</v>
          </cell>
          <cell r="B669">
            <v>9</v>
          </cell>
          <cell r="C669">
            <v>360</v>
          </cell>
          <cell r="D669">
            <v>50</v>
          </cell>
          <cell r="E669">
            <v>1.48</v>
          </cell>
          <cell r="F669">
            <v>673</v>
          </cell>
          <cell r="G669" t="str">
            <v>shaft</v>
          </cell>
          <cell r="H669" t="str">
            <v>145*29*16</v>
          </cell>
          <cell r="I669">
            <v>145</v>
          </cell>
          <cell r="J669">
            <v>29</v>
          </cell>
          <cell r="K669">
            <v>16</v>
          </cell>
        </row>
        <row r="670">
          <cell r="A670" t="str">
            <v>QCOMPS20-8-741</v>
          </cell>
          <cell r="B670">
            <v>9</v>
          </cell>
          <cell r="C670">
            <v>423</v>
          </cell>
          <cell r="D670">
            <v>1</v>
          </cell>
          <cell r="E670">
            <v>0.5</v>
          </cell>
          <cell r="F670">
            <v>674</v>
          </cell>
          <cell r="G670" t="str">
            <v>fork</v>
          </cell>
          <cell r="H670" t="str">
            <v>89*14*9</v>
          </cell>
          <cell r="I670">
            <v>89</v>
          </cell>
          <cell r="J670">
            <v>14</v>
          </cell>
          <cell r="K670">
            <v>9</v>
          </cell>
        </row>
        <row r="671">
          <cell r="A671" t="str">
            <v>QCX-1-747</v>
          </cell>
          <cell r="B671">
            <v>9</v>
          </cell>
          <cell r="C671">
            <v>510</v>
          </cell>
          <cell r="D671">
            <v>1</v>
          </cell>
          <cell r="E671">
            <v>0.5</v>
          </cell>
          <cell r="F671">
            <v>676</v>
          </cell>
          <cell r="G671" t="str">
            <v>fork</v>
          </cell>
          <cell r="H671" t="str">
            <v>89*14*9</v>
          </cell>
          <cell r="I671">
            <v>89</v>
          </cell>
          <cell r="J671">
            <v>14</v>
          </cell>
          <cell r="K671">
            <v>9</v>
          </cell>
        </row>
        <row r="672">
          <cell r="A672" t="str">
            <v>UPGF33WR-45</v>
          </cell>
          <cell r="B672">
            <v>9</v>
          </cell>
          <cell r="C672">
            <v>72</v>
          </cell>
          <cell r="D672">
            <v>50</v>
          </cell>
          <cell r="E672">
            <v>0.6</v>
          </cell>
          <cell r="F672">
            <v>679</v>
          </cell>
          <cell r="G672" t="str">
            <v>golf</v>
          </cell>
          <cell r="H672" t="str">
            <v>122*15*10</v>
          </cell>
          <cell r="I672">
            <v>122</v>
          </cell>
          <cell r="J672">
            <v>15</v>
          </cell>
          <cell r="K672">
            <v>10</v>
          </cell>
        </row>
        <row r="673">
          <cell r="A673" t="str">
            <v>UPGF33WS-45</v>
          </cell>
          <cell r="B673">
            <v>9</v>
          </cell>
          <cell r="C673">
            <v>74</v>
          </cell>
          <cell r="D673">
            <v>50</v>
          </cell>
          <cell r="E673">
            <v>0.6</v>
          </cell>
          <cell r="F673">
            <v>680</v>
          </cell>
          <cell r="G673" t="str">
            <v>golf</v>
          </cell>
          <cell r="H673" t="str">
            <v>122*15*10</v>
          </cell>
          <cell r="I673">
            <v>122</v>
          </cell>
          <cell r="J673">
            <v>15</v>
          </cell>
          <cell r="K673">
            <v>10</v>
          </cell>
        </row>
        <row r="674">
          <cell r="A674" t="str">
            <v>SHR-MOM-S13R</v>
          </cell>
          <cell r="B674">
            <v>9</v>
          </cell>
          <cell r="C674">
            <v>155</v>
          </cell>
          <cell r="D674">
            <v>6</v>
          </cell>
          <cell r="E674">
            <v>0.2</v>
          </cell>
          <cell r="F674">
            <v>681</v>
          </cell>
          <cell r="G674" t="str">
            <v>blade</v>
          </cell>
          <cell r="H674" t="str">
            <v>45*26*8</v>
          </cell>
          <cell r="I674">
            <v>45</v>
          </cell>
          <cell r="J674">
            <v>26</v>
          </cell>
          <cell r="K674">
            <v>8</v>
          </cell>
        </row>
        <row r="675">
          <cell r="A675" t="str">
            <v>UBRX35DXX-46</v>
          </cell>
          <cell r="B675">
            <v>9</v>
          </cell>
          <cell r="C675">
            <v>80</v>
          </cell>
          <cell r="D675">
            <v>50</v>
          </cell>
          <cell r="E675">
            <v>0.6</v>
          </cell>
          <cell r="F675">
            <v>682</v>
          </cell>
          <cell r="G675" t="str">
            <v>golf</v>
          </cell>
          <cell r="H675" t="str">
            <v>122*15*10</v>
          </cell>
          <cell r="I675">
            <v>122</v>
          </cell>
          <cell r="J675">
            <v>15</v>
          </cell>
          <cell r="K675">
            <v>10</v>
          </cell>
        </row>
        <row r="676">
          <cell r="A676" t="str">
            <v>UBRX35FXX-44</v>
          </cell>
          <cell r="B676">
            <v>9</v>
          </cell>
          <cell r="C676">
            <v>80</v>
          </cell>
          <cell r="D676">
            <v>50</v>
          </cell>
          <cell r="E676">
            <v>0.6</v>
          </cell>
          <cell r="F676">
            <v>683</v>
          </cell>
          <cell r="G676" t="str">
            <v>golf</v>
          </cell>
          <cell r="H676" t="str">
            <v>122*15*10</v>
          </cell>
          <cell r="I676">
            <v>122</v>
          </cell>
          <cell r="J676">
            <v>15</v>
          </cell>
          <cell r="K676">
            <v>10</v>
          </cell>
        </row>
        <row r="677">
          <cell r="A677" t="str">
            <v>UBRXDR-46</v>
          </cell>
          <cell r="B677">
            <v>9</v>
          </cell>
          <cell r="C677">
            <v>80</v>
          </cell>
          <cell r="D677">
            <v>50</v>
          </cell>
          <cell r="E677">
            <v>0.6</v>
          </cell>
          <cell r="F677">
            <v>684</v>
          </cell>
          <cell r="G677" t="str">
            <v>golf</v>
          </cell>
          <cell r="H677" t="str">
            <v>122*15*10</v>
          </cell>
          <cell r="I677">
            <v>122</v>
          </cell>
          <cell r="J677">
            <v>15</v>
          </cell>
          <cell r="K677">
            <v>10</v>
          </cell>
        </row>
        <row r="678">
          <cell r="A678" t="str">
            <v>UBRXDXX-46</v>
          </cell>
          <cell r="B678">
            <v>9</v>
          </cell>
          <cell r="C678">
            <v>80</v>
          </cell>
          <cell r="D678">
            <v>50</v>
          </cell>
          <cell r="E678">
            <v>0.6</v>
          </cell>
          <cell r="F678">
            <v>685</v>
          </cell>
          <cell r="G678" t="str">
            <v>golf</v>
          </cell>
          <cell r="H678" t="str">
            <v>122*15*10</v>
          </cell>
          <cell r="I678">
            <v>122</v>
          </cell>
          <cell r="J678">
            <v>15</v>
          </cell>
          <cell r="K678">
            <v>10</v>
          </cell>
        </row>
        <row r="679">
          <cell r="A679" t="str">
            <v>UBRXFR-44</v>
          </cell>
          <cell r="B679">
            <v>9</v>
          </cell>
          <cell r="C679">
            <v>80</v>
          </cell>
          <cell r="D679">
            <v>50</v>
          </cell>
          <cell r="E679">
            <v>0.6</v>
          </cell>
          <cell r="F679">
            <v>686</v>
          </cell>
          <cell r="G679" t="str">
            <v>golf</v>
          </cell>
          <cell r="H679" t="str">
            <v>122*15*10</v>
          </cell>
          <cell r="I679">
            <v>122</v>
          </cell>
          <cell r="J679">
            <v>15</v>
          </cell>
          <cell r="K679">
            <v>10</v>
          </cell>
        </row>
        <row r="680">
          <cell r="A680" t="str">
            <v>UBRXFS-44</v>
          </cell>
          <cell r="B680">
            <v>9</v>
          </cell>
          <cell r="C680">
            <v>80</v>
          </cell>
          <cell r="D680">
            <v>50</v>
          </cell>
          <cell r="E680">
            <v>0.6</v>
          </cell>
          <cell r="F680">
            <v>687</v>
          </cell>
          <cell r="G680" t="str">
            <v>golf</v>
          </cell>
          <cell r="H680" t="str">
            <v>122*15*10</v>
          </cell>
          <cell r="I680">
            <v>122</v>
          </cell>
          <cell r="J680">
            <v>15</v>
          </cell>
          <cell r="K680">
            <v>10</v>
          </cell>
        </row>
        <row r="681">
          <cell r="A681" t="str">
            <v>UBRXFXX-44</v>
          </cell>
          <cell r="B681">
            <v>9</v>
          </cell>
          <cell r="C681">
            <v>80</v>
          </cell>
          <cell r="D681">
            <v>50</v>
          </cell>
          <cell r="E681">
            <v>0.6</v>
          </cell>
          <cell r="F681">
            <v>688</v>
          </cell>
          <cell r="G681" t="str">
            <v>golf</v>
          </cell>
          <cell r="H681" t="str">
            <v>122*15*10</v>
          </cell>
          <cell r="I681">
            <v>122</v>
          </cell>
          <cell r="J681">
            <v>15</v>
          </cell>
          <cell r="K681">
            <v>10</v>
          </cell>
        </row>
        <row r="682">
          <cell r="A682" t="str">
            <v>QWOLFCL-8-743</v>
          </cell>
          <cell r="B682">
            <v>9</v>
          </cell>
          <cell r="C682">
            <v>515</v>
          </cell>
          <cell r="D682">
            <v>25</v>
          </cell>
          <cell r="E682">
            <v>2.54</v>
          </cell>
          <cell r="F682">
            <v>689</v>
          </cell>
          <cell r="G682" t="str">
            <v>fork1</v>
          </cell>
          <cell r="H682" t="str">
            <v>72*52*32</v>
          </cell>
          <cell r="I682">
            <v>72</v>
          </cell>
          <cell r="J682">
            <v>52</v>
          </cell>
          <cell r="K682">
            <v>32</v>
          </cell>
        </row>
        <row r="683">
          <cell r="A683" t="str">
            <v>UBRXDA-44</v>
          </cell>
          <cell r="B683">
            <v>9</v>
          </cell>
          <cell r="C683">
            <v>80</v>
          </cell>
          <cell r="D683">
            <v>50</v>
          </cell>
          <cell r="E683">
            <v>0.6</v>
          </cell>
          <cell r="F683">
            <v>690</v>
          </cell>
          <cell r="G683" t="str">
            <v>golf</v>
          </cell>
          <cell r="H683" t="str">
            <v>122*15*10</v>
          </cell>
          <cell r="I683">
            <v>122</v>
          </cell>
          <cell r="J683">
            <v>15</v>
          </cell>
          <cell r="K683">
            <v>10</v>
          </cell>
        </row>
        <row r="684">
          <cell r="A684" t="str">
            <v>USLAL33WR-45</v>
          </cell>
          <cell r="B684">
            <v>9</v>
          </cell>
          <cell r="C684">
            <v>72</v>
          </cell>
          <cell r="D684">
            <v>50</v>
          </cell>
          <cell r="E684">
            <v>0.6</v>
          </cell>
          <cell r="F684">
            <v>691</v>
          </cell>
          <cell r="G684" t="str">
            <v>golf</v>
          </cell>
          <cell r="H684" t="str">
            <v>122*15*10</v>
          </cell>
          <cell r="I684">
            <v>122</v>
          </cell>
          <cell r="J684">
            <v>15</v>
          </cell>
          <cell r="K684">
            <v>10</v>
          </cell>
        </row>
        <row r="685">
          <cell r="A685" t="str">
            <v>USLAL33WS-45</v>
          </cell>
          <cell r="B685">
            <v>9</v>
          </cell>
          <cell r="C685">
            <v>74</v>
          </cell>
          <cell r="D685">
            <v>50</v>
          </cell>
          <cell r="E685">
            <v>0.6</v>
          </cell>
          <cell r="F685">
            <v>692</v>
          </cell>
          <cell r="G685" t="str">
            <v>golf</v>
          </cell>
          <cell r="H685" t="str">
            <v>122*15*10</v>
          </cell>
          <cell r="I685">
            <v>122</v>
          </cell>
          <cell r="J685">
            <v>15</v>
          </cell>
          <cell r="K685">
            <v>10</v>
          </cell>
        </row>
        <row r="686">
          <cell r="A686" t="str">
            <v>USLAL37IR-40</v>
          </cell>
          <cell r="B686">
            <v>9</v>
          </cell>
          <cell r="C686">
            <v>69</v>
          </cell>
          <cell r="D686">
            <v>50</v>
          </cell>
          <cell r="E686">
            <v>0.6</v>
          </cell>
          <cell r="F686">
            <v>693</v>
          </cell>
          <cell r="G686" t="str">
            <v>golf</v>
          </cell>
          <cell r="H686" t="str">
            <v>122*15*10</v>
          </cell>
          <cell r="I686">
            <v>122</v>
          </cell>
          <cell r="J686">
            <v>15</v>
          </cell>
          <cell r="K686">
            <v>10</v>
          </cell>
        </row>
        <row r="687">
          <cell r="A687" t="str">
            <v>ULAUNCH6SEWR-46</v>
          </cell>
          <cell r="B687">
            <v>9</v>
          </cell>
          <cell r="C687">
            <v>69</v>
          </cell>
          <cell r="D687">
            <v>50</v>
          </cell>
          <cell r="E687">
            <v>0.6</v>
          </cell>
          <cell r="F687">
            <v>694</v>
          </cell>
          <cell r="G687" t="str">
            <v>golf</v>
          </cell>
          <cell r="H687" t="str">
            <v>122*15*10</v>
          </cell>
          <cell r="I687">
            <v>122</v>
          </cell>
          <cell r="J687">
            <v>15</v>
          </cell>
          <cell r="K687">
            <v>10</v>
          </cell>
        </row>
        <row r="688">
          <cell r="A688" t="str">
            <v>ULAUNCH6SEWS-46</v>
          </cell>
          <cell r="B688">
            <v>9</v>
          </cell>
          <cell r="C688">
            <v>67</v>
          </cell>
          <cell r="D688">
            <v>50</v>
          </cell>
          <cell r="E688">
            <v>0.6</v>
          </cell>
          <cell r="F688">
            <v>695</v>
          </cell>
          <cell r="G688" t="str">
            <v>golf</v>
          </cell>
          <cell r="H688" t="str">
            <v>122*15*10</v>
          </cell>
          <cell r="I688">
            <v>122</v>
          </cell>
          <cell r="J688">
            <v>15</v>
          </cell>
          <cell r="K688">
            <v>10</v>
          </cell>
        </row>
        <row r="689">
          <cell r="A689" t="str">
            <v>UPRLTRAM33WR-45</v>
          </cell>
          <cell r="B689">
            <v>9</v>
          </cell>
          <cell r="C689">
            <v>72</v>
          </cell>
          <cell r="D689">
            <v>50</v>
          </cell>
          <cell r="E689">
            <v>0.6</v>
          </cell>
          <cell r="F689">
            <v>696</v>
          </cell>
          <cell r="G689" t="str">
            <v>golf</v>
          </cell>
          <cell r="H689" t="str">
            <v>122*15*10</v>
          </cell>
          <cell r="I689">
            <v>122</v>
          </cell>
          <cell r="J689">
            <v>15</v>
          </cell>
          <cell r="K689">
            <v>10</v>
          </cell>
        </row>
        <row r="690">
          <cell r="A690" t="str">
            <v>QGS30-8-744</v>
          </cell>
          <cell r="B690">
            <v>9</v>
          </cell>
          <cell r="C690">
            <v>322</v>
          </cell>
          <cell r="D690">
            <v>1</v>
          </cell>
          <cell r="E690">
            <v>0.5</v>
          </cell>
          <cell r="F690">
            <v>697</v>
          </cell>
          <cell r="G690" t="str">
            <v>fork</v>
          </cell>
          <cell r="H690" t="str">
            <v>89*14*9</v>
          </cell>
          <cell r="I690">
            <v>89</v>
          </cell>
          <cell r="J690">
            <v>14</v>
          </cell>
          <cell r="K690">
            <v>9</v>
          </cell>
        </row>
        <row r="691">
          <cell r="A691" t="str">
            <v>UMGLL733WR-46</v>
          </cell>
          <cell r="B691">
            <v>9</v>
          </cell>
          <cell r="C691">
            <v>76</v>
          </cell>
          <cell r="D691">
            <v>50</v>
          </cell>
          <cell r="E691">
            <v>0.6</v>
          </cell>
          <cell r="F691">
            <v>698</v>
          </cell>
          <cell r="G691" t="str">
            <v>golf</v>
          </cell>
          <cell r="H691" t="str">
            <v>122*15*10</v>
          </cell>
          <cell r="I691">
            <v>122</v>
          </cell>
          <cell r="J691">
            <v>15</v>
          </cell>
          <cell r="K691">
            <v>10</v>
          </cell>
        </row>
        <row r="692">
          <cell r="A692" t="str">
            <v>ULAUNCHADFWR-44</v>
          </cell>
          <cell r="B692">
            <v>9</v>
          </cell>
          <cell r="C692">
            <v>75</v>
          </cell>
          <cell r="D692">
            <v>50</v>
          </cell>
          <cell r="E692">
            <v>0.6</v>
          </cell>
          <cell r="F692">
            <v>699</v>
          </cell>
          <cell r="G692" t="str">
            <v>golf</v>
          </cell>
          <cell r="H692" t="str">
            <v>122*15*10</v>
          </cell>
          <cell r="I692">
            <v>122</v>
          </cell>
          <cell r="J692">
            <v>15</v>
          </cell>
          <cell r="K692">
            <v>10</v>
          </cell>
        </row>
        <row r="693">
          <cell r="A693" t="str">
            <v>UPRLTRAM33WS-45</v>
          </cell>
          <cell r="B693">
            <v>9</v>
          </cell>
          <cell r="C693">
            <v>74</v>
          </cell>
          <cell r="D693">
            <v>50</v>
          </cell>
          <cell r="E693">
            <v>0.6</v>
          </cell>
          <cell r="F693">
            <v>700</v>
          </cell>
          <cell r="G693" t="str">
            <v>golf</v>
          </cell>
          <cell r="H693" t="str">
            <v>122*15*10</v>
          </cell>
          <cell r="I693">
            <v>122</v>
          </cell>
          <cell r="J693">
            <v>15</v>
          </cell>
          <cell r="K693">
            <v>10</v>
          </cell>
        </row>
        <row r="694">
          <cell r="A694" t="str">
            <v>UPRLTRAM33WL-45</v>
          </cell>
          <cell r="B694">
            <v>9</v>
          </cell>
          <cell r="C694">
            <v>64</v>
          </cell>
          <cell r="D694">
            <v>50</v>
          </cell>
          <cell r="E694">
            <v>0.6</v>
          </cell>
          <cell r="F694">
            <v>701</v>
          </cell>
          <cell r="G694" t="str">
            <v>golf</v>
          </cell>
          <cell r="H694" t="str">
            <v>122*15*10</v>
          </cell>
          <cell r="I694">
            <v>122</v>
          </cell>
          <cell r="J694">
            <v>15</v>
          </cell>
          <cell r="K694">
            <v>10</v>
          </cell>
        </row>
        <row r="695">
          <cell r="A695" t="str">
            <v>SHR-FF3-09052P-1</v>
          </cell>
          <cell r="B695">
            <v>9</v>
          </cell>
          <cell r="C695">
            <v>320</v>
          </cell>
          <cell r="D695">
            <v>50</v>
          </cell>
          <cell r="E695">
            <v>1.48</v>
          </cell>
          <cell r="F695">
            <v>702</v>
          </cell>
          <cell r="G695" t="str">
            <v>shaft</v>
          </cell>
          <cell r="H695" t="str">
            <v>145*29*16</v>
          </cell>
          <cell r="I695">
            <v>145</v>
          </cell>
          <cell r="J695">
            <v>29</v>
          </cell>
          <cell r="K695">
            <v>16</v>
          </cell>
        </row>
        <row r="696">
          <cell r="A696" t="str">
            <v>SHR-TF-09552P-1</v>
          </cell>
          <cell r="B696">
            <v>9</v>
          </cell>
          <cell r="C696">
            <v>329</v>
          </cell>
          <cell r="D696">
            <v>50</v>
          </cell>
          <cell r="E696">
            <v>1.48</v>
          </cell>
          <cell r="F696">
            <v>703</v>
          </cell>
          <cell r="G696" t="str">
            <v>shaft</v>
          </cell>
          <cell r="H696" t="str">
            <v>145*29*16</v>
          </cell>
          <cell r="I696">
            <v>145</v>
          </cell>
          <cell r="J696">
            <v>29</v>
          </cell>
          <cell r="K696">
            <v>16</v>
          </cell>
        </row>
        <row r="697">
          <cell r="A697" t="str">
            <v>ULAUNCHADFWS-44</v>
          </cell>
          <cell r="B697">
            <v>9</v>
          </cell>
          <cell r="C697">
            <v>75</v>
          </cell>
          <cell r="D697">
            <v>50</v>
          </cell>
          <cell r="E697">
            <v>0.6</v>
          </cell>
          <cell r="F697">
            <v>704</v>
          </cell>
          <cell r="G697" t="str">
            <v>golf</v>
          </cell>
          <cell r="H697" t="str">
            <v>122*15*10</v>
          </cell>
          <cell r="I697">
            <v>122</v>
          </cell>
          <cell r="J697">
            <v>15</v>
          </cell>
          <cell r="K697">
            <v>10</v>
          </cell>
        </row>
        <row r="698">
          <cell r="A698" t="str">
            <v>UMGMC60WR-45</v>
          </cell>
          <cell r="B698">
            <v>9</v>
          </cell>
          <cell r="C698">
            <v>82</v>
          </cell>
          <cell r="D698">
            <v>50</v>
          </cell>
          <cell r="E698">
            <v>0.6</v>
          </cell>
          <cell r="F698">
            <v>705</v>
          </cell>
          <cell r="G698" t="str">
            <v>golf</v>
          </cell>
          <cell r="H698" t="str">
            <v>122*15*10</v>
          </cell>
          <cell r="I698">
            <v>122</v>
          </cell>
          <cell r="J698">
            <v>15</v>
          </cell>
          <cell r="K698">
            <v>10</v>
          </cell>
        </row>
        <row r="699">
          <cell r="A699" t="str">
            <v>UMGMC60WS-45</v>
          </cell>
          <cell r="B699">
            <v>9</v>
          </cell>
          <cell r="C699">
            <v>81</v>
          </cell>
          <cell r="D699">
            <v>50</v>
          </cell>
          <cell r="E699">
            <v>0.6</v>
          </cell>
          <cell r="F699">
            <v>706</v>
          </cell>
          <cell r="G699" t="str">
            <v>golf</v>
          </cell>
          <cell r="H699" t="str">
            <v>122*15*10</v>
          </cell>
          <cell r="I699">
            <v>122</v>
          </cell>
          <cell r="J699">
            <v>15</v>
          </cell>
          <cell r="K699">
            <v>10</v>
          </cell>
        </row>
        <row r="700">
          <cell r="A700" t="str">
            <v>UMGMC60WA-45</v>
          </cell>
          <cell r="B700">
            <v>9</v>
          </cell>
          <cell r="C700">
            <v>78</v>
          </cell>
          <cell r="D700">
            <v>50</v>
          </cell>
          <cell r="E700">
            <v>0.6</v>
          </cell>
          <cell r="F700">
            <v>707</v>
          </cell>
          <cell r="G700" t="str">
            <v>golf</v>
          </cell>
          <cell r="H700" t="str">
            <v>122*15*10</v>
          </cell>
          <cell r="I700">
            <v>122</v>
          </cell>
          <cell r="J700">
            <v>15</v>
          </cell>
          <cell r="K700">
            <v>10</v>
          </cell>
        </row>
        <row r="701">
          <cell r="A701" t="str">
            <v>UMGMC60WL-45</v>
          </cell>
          <cell r="B701">
            <v>9</v>
          </cell>
          <cell r="C701">
            <v>78</v>
          </cell>
          <cell r="D701">
            <v>50</v>
          </cell>
          <cell r="E701">
            <v>0.6</v>
          </cell>
          <cell r="F701">
            <v>708</v>
          </cell>
          <cell r="G701" t="str">
            <v>golf</v>
          </cell>
          <cell r="H701" t="str">
            <v>122*15*10</v>
          </cell>
          <cell r="I701">
            <v>122</v>
          </cell>
          <cell r="J701">
            <v>15</v>
          </cell>
          <cell r="K701">
            <v>10</v>
          </cell>
        </row>
        <row r="702">
          <cell r="A702" t="str">
            <v>UPRLTPS35WR-46</v>
          </cell>
          <cell r="B702">
            <v>9</v>
          </cell>
          <cell r="C702">
            <v>68</v>
          </cell>
          <cell r="D702">
            <v>50</v>
          </cell>
          <cell r="E702">
            <v>0.6</v>
          </cell>
          <cell r="F702">
            <v>709</v>
          </cell>
          <cell r="G702" t="str">
            <v>golf</v>
          </cell>
          <cell r="H702" t="str">
            <v>122*15*10</v>
          </cell>
          <cell r="I702">
            <v>122</v>
          </cell>
          <cell r="J702">
            <v>15</v>
          </cell>
          <cell r="K702">
            <v>10</v>
          </cell>
        </row>
        <row r="703">
          <cell r="A703" t="str">
            <v>USKMXHYLIL-43</v>
          </cell>
          <cell r="B703">
            <v>9</v>
          </cell>
          <cell r="C703">
            <v>76</v>
          </cell>
          <cell r="D703">
            <v>50</v>
          </cell>
          <cell r="E703">
            <v>0.6</v>
          </cell>
          <cell r="F703">
            <v>710</v>
          </cell>
          <cell r="G703" t="str">
            <v>golf</v>
          </cell>
          <cell r="H703" t="str">
            <v>122*15*10</v>
          </cell>
          <cell r="I703">
            <v>122</v>
          </cell>
          <cell r="J703">
            <v>15</v>
          </cell>
          <cell r="K703">
            <v>10</v>
          </cell>
        </row>
        <row r="704">
          <cell r="A704" t="str">
            <v>UPRLTPS35WS-46</v>
          </cell>
          <cell r="B704">
            <v>9</v>
          </cell>
          <cell r="C704">
            <v>69</v>
          </cell>
          <cell r="D704">
            <v>50</v>
          </cell>
          <cell r="E704">
            <v>0.6</v>
          </cell>
          <cell r="F704">
            <v>711</v>
          </cell>
          <cell r="G704" t="str">
            <v>golf</v>
          </cell>
          <cell r="H704" t="str">
            <v>122*15*10</v>
          </cell>
          <cell r="I704">
            <v>122</v>
          </cell>
          <cell r="J704">
            <v>15</v>
          </cell>
          <cell r="K704">
            <v>10</v>
          </cell>
        </row>
        <row r="705">
          <cell r="A705" t="str">
            <v>USKMXPRLIL-43</v>
          </cell>
          <cell r="B705">
            <v>9</v>
          </cell>
          <cell r="C705">
            <v>76</v>
          </cell>
          <cell r="D705">
            <v>50</v>
          </cell>
          <cell r="E705">
            <v>0.6</v>
          </cell>
          <cell r="F705">
            <v>712</v>
          </cell>
          <cell r="G705" t="str">
            <v>golf</v>
          </cell>
          <cell r="H705" t="str">
            <v>122*15*10</v>
          </cell>
          <cell r="I705">
            <v>122</v>
          </cell>
          <cell r="J705">
            <v>15</v>
          </cell>
          <cell r="K705">
            <v>10</v>
          </cell>
        </row>
        <row r="706">
          <cell r="A706" t="str">
            <v>CCM-VS-10052</v>
          </cell>
          <cell r="B706">
            <v>9</v>
          </cell>
          <cell r="C706">
            <v>326</v>
          </cell>
          <cell r="D706">
            <v>50</v>
          </cell>
          <cell r="E706">
            <v>1.48</v>
          </cell>
          <cell r="F706">
            <v>713</v>
          </cell>
          <cell r="G706" t="str">
            <v>shaft</v>
          </cell>
          <cell r="H706" t="str">
            <v>145*29*16</v>
          </cell>
          <cell r="I706">
            <v>145</v>
          </cell>
          <cell r="J706">
            <v>29</v>
          </cell>
          <cell r="K706">
            <v>16</v>
          </cell>
        </row>
        <row r="707">
          <cell r="A707" t="str">
            <v>USKMXPRLWL-48</v>
          </cell>
          <cell r="B707">
            <v>9</v>
          </cell>
          <cell r="C707">
            <v>71</v>
          </cell>
          <cell r="D707">
            <v>50</v>
          </cell>
          <cell r="E707">
            <v>0.64</v>
          </cell>
          <cell r="F707">
            <v>714</v>
          </cell>
          <cell r="G707" t="str">
            <v>golf</v>
          </cell>
          <cell r="H707" t="str">
            <v>130*15*10</v>
          </cell>
          <cell r="I707">
            <v>130</v>
          </cell>
          <cell r="J707">
            <v>15</v>
          </cell>
          <cell r="K707">
            <v>10</v>
          </cell>
        </row>
        <row r="708">
          <cell r="A708" t="str">
            <v>ULAUNCH833WX-46</v>
          </cell>
          <cell r="B708">
            <v>9</v>
          </cell>
          <cell r="C708">
            <v>88</v>
          </cell>
          <cell r="D708">
            <v>50</v>
          </cell>
          <cell r="E708">
            <v>0.6</v>
          </cell>
          <cell r="F708">
            <v>715</v>
          </cell>
          <cell r="G708" t="str">
            <v>golf</v>
          </cell>
          <cell r="H708" t="str">
            <v>122*15*10</v>
          </cell>
          <cell r="I708">
            <v>122</v>
          </cell>
          <cell r="J708">
            <v>15</v>
          </cell>
          <cell r="K708">
            <v>10</v>
          </cell>
        </row>
        <row r="709">
          <cell r="A709" t="str">
            <v>CCM-V8-SC-4554</v>
          </cell>
          <cell r="B709">
            <v>9</v>
          </cell>
          <cell r="C709">
            <v>327</v>
          </cell>
          <cell r="D709">
            <v>50</v>
          </cell>
          <cell r="E709">
            <v>1.48</v>
          </cell>
          <cell r="F709">
            <v>716</v>
          </cell>
          <cell r="G709" t="str">
            <v>shaft</v>
          </cell>
          <cell r="H709" t="str">
            <v>145*29*16</v>
          </cell>
          <cell r="I709">
            <v>145</v>
          </cell>
          <cell r="J709">
            <v>29</v>
          </cell>
          <cell r="K709">
            <v>16</v>
          </cell>
        </row>
        <row r="710">
          <cell r="A710" t="str">
            <v>CCM-V8-TC-4556</v>
          </cell>
          <cell r="B710">
            <v>9</v>
          </cell>
          <cell r="C710">
            <v>342</v>
          </cell>
          <cell r="D710">
            <v>50</v>
          </cell>
          <cell r="E710">
            <v>1.48</v>
          </cell>
          <cell r="F710">
            <v>717</v>
          </cell>
          <cell r="G710" t="str">
            <v>shaft</v>
          </cell>
          <cell r="H710" t="str">
            <v>145*29*16</v>
          </cell>
          <cell r="I710">
            <v>145</v>
          </cell>
          <cell r="J710">
            <v>29</v>
          </cell>
          <cell r="K710">
            <v>16</v>
          </cell>
        </row>
        <row r="711">
          <cell r="A711" t="str">
            <v>CCM-V8-TC-5056</v>
          </cell>
          <cell r="B711">
            <v>9</v>
          </cell>
          <cell r="C711">
            <v>342</v>
          </cell>
          <cell r="D711">
            <v>50</v>
          </cell>
          <cell r="E711">
            <v>1.48</v>
          </cell>
          <cell r="F711">
            <v>718</v>
          </cell>
          <cell r="G711" t="str">
            <v>shaft</v>
          </cell>
          <cell r="H711" t="str">
            <v>145*29*16</v>
          </cell>
          <cell r="I711">
            <v>145</v>
          </cell>
          <cell r="J711">
            <v>29</v>
          </cell>
          <cell r="K711">
            <v>16</v>
          </cell>
        </row>
        <row r="712">
          <cell r="A712" t="str">
            <v>CCM-V10-TC-4556</v>
          </cell>
          <cell r="B712">
            <v>9</v>
          </cell>
          <cell r="C712">
            <v>312</v>
          </cell>
          <cell r="D712">
            <v>50</v>
          </cell>
          <cell r="E712">
            <v>1.48</v>
          </cell>
          <cell r="F712">
            <v>719</v>
          </cell>
          <cell r="G712" t="str">
            <v>shaft</v>
          </cell>
          <cell r="H712" t="str">
            <v>145*29*16</v>
          </cell>
          <cell r="I712">
            <v>145</v>
          </cell>
          <cell r="J712">
            <v>29</v>
          </cell>
          <cell r="K712">
            <v>16</v>
          </cell>
        </row>
        <row r="713">
          <cell r="A713" t="str">
            <v>CCM-V10-TC-5056</v>
          </cell>
          <cell r="B713">
            <v>9</v>
          </cell>
          <cell r="C713">
            <v>315</v>
          </cell>
          <cell r="D713">
            <v>50</v>
          </cell>
          <cell r="E713">
            <v>1.48</v>
          </cell>
          <cell r="F713">
            <v>720</v>
          </cell>
          <cell r="G713" t="str">
            <v>shaft</v>
          </cell>
          <cell r="H713" t="str">
            <v>145*29*16</v>
          </cell>
          <cell r="I713">
            <v>145</v>
          </cell>
          <cell r="J713">
            <v>29</v>
          </cell>
          <cell r="K713">
            <v>16</v>
          </cell>
        </row>
        <row r="714">
          <cell r="A714" t="str">
            <v>BAL-ULTRA-S07L-H</v>
          </cell>
          <cell r="B714">
            <v>9</v>
          </cell>
          <cell r="C714">
            <v>143</v>
          </cell>
          <cell r="D714">
            <v>6</v>
          </cell>
          <cell r="E714">
            <v>0.2</v>
          </cell>
          <cell r="F714">
            <v>721</v>
          </cell>
          <cell r="G714" t="str">
            <v>blade</v>
          </cell>
          <cell r="H714" t="str">
            <v>45*26*8</v>
          </cell>
          <cell r="I714">
            <v>45</v>
          </cell>
          <cell r="J714">
            <v>26</v>
          </cell>
          <cell r="K714">
            <v>8</v>
          </cell>
        </row>
        <row r="715">
          <cell r="A715" t="str">
            <v>BAL-ULTRA-S07R-H</v>
          </cell>
          <cell r="B715">
            <v>9</v>
          </cell>
          <cell r="C715">
            <v>143</v>
          </cell>
          <cell r="D715">
            <v>6</v>
          </cell>
          <cell r="E715">
            <v>0.2</v>
          </cell>
          <cell r="F715">
            <v>722</v>
          </cell>
          <cell r="G715" t="str">
            <v>blade</v>
          </cell>
          <cell r="H715" t="str">
            <v>45*26*8</v>
          </cell>
          <cell r="I715">
            <v>45</v>
          </cell>
          <cell r="J715">
            <v>26</v>
          </cell>
          <cell r="K715">
            <v>8</v>
          </cell>
        </row>
        <row r="716">
          <cell r="A716" t="str">
            <v>UWBLUPNT635DWR-46</v>
          </cell>
          <cell r="B716">
            <v>9</v>
          </cell>
          <cell r="C716">
            <v>65</v>
          </cell>
          <cell r="D716">
            <v>50</v>
          </cell>
          <cell r="E716">
            <v>0.6</v>
          </cell>
          <cell r="F716">
            <v>723</v>
          </cell>
          <cell r="G716" t="str">
            <v>golf</v>
          </cell>
          <cell r="H716" t="str">
            <v>122*15*10</v>
          </cell>
          <cell r="I716">
            <v>122</v>
          </cell>
          <cell r="J716">
            <v>15</v>
          </cell>
          <cell r="K716">
            <v>10</v>
          </cell>
        </row>
        <row r="717">
          <cell r="A717" t="str">
            <v>SHR-MOM-S13L</v>
          </cell>
          <cell r="B717">
            <v>9</v>
          </cell>
          <cell r="C717">
            <v>155</v>
          </cell>
          <cell r="D717">
            <v>6</v>
          </cell>
          <cell r="E717">
            <v>0.2</v>
          </cell>
          <cell r="F717">
            <v>724</v>
          </cell>
          <cell r="G717" t="str">
            <v>blade</v>
          </cell>
          <cell r="H717" t="str">
            <v>45*26*8</v>
          </cell>
          <cell r="I717">
            <v>45</v>
          </cell>
          <cell r="J717">
            <v>26</v>
          </cell>
          <cell r="K717">
            <v>8</v>
          </cell>
        </row>
        <row r="718">
          <cell r="A718" t="str">
            <v>CCM-V8-SC-4054</v>
          </cell>
          <cell r="B718">
            <v>9</v>
          </cell>
          <cell r="C718">
            <v>327</v>
          </cell>
          <cell r="D718">
            <v>50</v>
          </cell>
          <cell r="E718">
            <v>1.48</v>
          </cell>
          <cell r="F718">
            <v>725</v>
          </cell>
          <cell r="G718" t="str">
            <v>shaft</v>
          </cell>
          <cell r="H718" t="str">
            <v>145*29*16</v>
          </cell>
          <cell r="I718">
            <v>145</v>
          </cell>
          <cell r="J718">
            <v>29</v>
          </cell>
          <cell r="K718">
            <v>16</v>
          </cell>
        </row>
        <row r="719">
          <cell r="A719" t="str">
            <v>SHR-FF3-10052P-1</v>
          </cell>
          <cell r="B719">
            <v>9</v>
          </cell>
          <cell r="C719">
            <v>326</v>
          </cell>
          <cell r="D719">
            <v>50</v>
          </cell>
          <cell r="E719">
            <v>1.48</v>
          </cell>
          <cell r="F719">
            <v>726</v>
          </cell>
          <cell r="G719" t="str">
            <v>shaft</v>
          </cell>
          <cell r="H719" t="str">
            <v>145*29*16</v>
          </cell>
          <cell r="I719">
            <v>145</v>
          </cell>
          <cell r="J719">
            <v>29</v>
          </cell>
          <cell r="K719">
            <v>16</v>
          </cell>
        </row>
        <row r="720">
          <cell r="A720" t="str">
            <v>SHR-FF3-12052P-1</v>
          </cell>
          <cell r="B720">
            <v>9</v>
          </cell>
          <cell r="C720">
            <v>315</v>
          </cell>
          <cell r="D720">
            <v>50</v>
          </cell>
          <cell r="E720">
            <v>1.48</v>
          </cell>
          <cell r="F720">
            <v>727</v>
          </cell>
          <cell r="G720" t="str">
            <v>shaft</v>
          </cell>
          <cell r="H720" t="str">
            <v>145*29*16</v>
          </cell>
          <cell r="I720">
            <v>145</v>
          </cell>
          <cell r="J720">
            <v>29</v>
          </cell>
          <cell r="K720">
            <v>16</v>
          </cell>
        </row>
        <row r="721">
          <cell r="A721" t="str">
            <v>SHR-TF-10552P-1</v>
          </cell>
          <cell r="B721">
            <v>9</v>
          </cell>
          <cell r="C721">
            <v>339</v>
          </cell>
          <cell r="D721">
            <v>50</v>
          </cell>
          <cell r="E721">
            <v>1.48</v>
          </cell>
          <cell r="F721">
            <v>728</v>
          </cell>
          <cell r="G721" t="str">
            <v>shaft</v>
          </cell>
          <cell r="H721" t="str">
            <v>145*29*16</v>
          </cell>
          <cell r="I721">
            <v>145</v>
          </cell>
          <cell r="J721">
            <v>29</v>
          </cell>
          <cell r="K721">
            <v>16</v>
          </cell>
        </row>
        <row r="722">
          <cell r="A722" t="str">
            <v>SHR-TF-08552P-1</v>
          </cell>
          <cell r="B722">
            <v>9</v>
          </cell>
          <cell r="C722">
            <v>332</v>
          </cell>
          <cell r="D722">
            <v>50</v>
          </cell>
          <cell r="E722">
            <v>1.48</v>
          </cell>
          <cell r="F722">
            <v>729</v>
          </cell>
          <cell r="G722" t="str">
            <v>shaft</v>
          </cell>
          <cell r="H722" t="str">
            <v>145*29*16</v>
          </cell>
          <cell r="I722">
            <v>145</v>
          </cell>
          <cell r="J722">
            <v>29</v>
          </cell>
          <cell r="K722">
            <v>16</v>
          </cell>
        </row>
        <row r="723">
          <cell r="A723" t="str">
            <v>UWBLUPNT635DWA-46</v>
          </cell>
          <cell r="B723">
            <v>9</v>
          </cell>
          <cell r="C723">
            <v>65</v>
          </cell>
          <cell r="D723">
            <v>50</v>
          </cell>
          <cell r="E723">
            <v>0.6</v>
          </cell>
          <cell r="F723">
            <v>730</v>
          </cell>
          <cell r="G723" t="str">
            <v>golf</v>
          </cell>
          <cell r="H723" t="str">
            <v>122*15*10</v>
          </cell>
          <cell r="I723">
            <v>122</v>
          </cell>
          <cell r="J723">
            <v>15</v>
          </cell>
          <cell r="K723">
            <v>10</v>
          </cell>
        </row>
        <row r="724">
          <cell r="A724" t="str">
            <v>WWPLWX-46</v>
          </cell>
          <cell r="B724">
            <v>9</v>
          </cell>
          <cell r="C724">
            <v>73</v>
          </cell>
          <cell r="D724">
            <v>50</v>
          </cell>
          <cell r="E724">
            <v>0.6</v>
          </cell>
          <cell r="F724">
            <v>731</v>
          </cell>
          <cell r="G724" t="str">
            <v>golf</v>
          </cell>
          <cell r="H724" t="str">
            <v>122*15*10</v>
          </cell>
          <cell r="I724">
            <v>122</v>
          </cell>
          <cell r="J724">
            <v>15</v>
          </cell>
          <cell r="K724">
            <v>10</v>
          </cell>
        </row>
        <row r="725">
          <cell r="A725" t="str">
            <v>USKMXHYLIS-43</v>
          </cell>
          <cell r="B725">
            <v>9</v>
          </cell>
          <cell r="C725">
            <v>79</v>
          </cell>
          <cell r="D725">
            <v>50</v>
          </cell>
          <cell r="E725">
            <v>0.6</v>
          </cell>
          <cell r="F725">
            <v>732</v>
          </cell>
          <cell r="G725" t="str">
            <v>golf</v>
          </cell>
          <cell r="H725" t="str">
            <v>122*15*10</v>
          </cell>
          <cell r="I725">
            <v>122</v>
          </cell>
          <cell r="J725">
            <v>15</v>
          </cell>
          <cell r="K725">
            <v>10</v>
          </cell>
        </row>
        <row r="726">
          <cell r="A726" t="str">
            <v>URAMIAL-43</v>
          </cell>
          <cell r="B726">
            <v>9</v>
          </cell>
          <cell r="C726">
            <v>76</v>
          </cell>
          <cell r="D726">
            <v>50</v>
          </cell>
          <cell r="E726">
            <v>0.6</v>
          </cell>
          <cell r="F726">
            <v>733</v>
          </cell>
          <cell r="G726" t="str">
            <v>golf</v>
          </cell>
          <cell r="H726" t="str">
            <v>122*15*10</v>
          </cell>
          <cell r="I726">
            <v>122</v>
          </cell>
          <cell r="J726">
            <v>15</v>
          </cell>
          <cell r="K726">
            <v>10</v>
          </cell>
        </row>
        <row r="727">
          <cell r="A727" t="str">
            <v>CCM-V8-SC-5054</v>
          </cell>
          <cell r="B727">
            <v>9</v>
          </cell>
          <cell r="C727">
            <v>327</v>
          </cell>
          <cell r="D727">
            <v>50</v>
          </cell>
          <cell r="E727">
            <v>1.48</v>
          </cell>
          <cell r="F727">
            <v>734</v>
          </cell>
          <cell r="G727" t="str">
            <v>shaft</v>
          </cell>
          <cell r="H727" t="str">
            <v>145*29*16</v>
          </cell>
          <cell r="I727">
            <v>145</v>
          </cell>
          <cell r="J727">
            <v>29</v>
          </cell>
          <cell r="K727">
            <v>16</v>
          </cell>
        </row>
        <row r="728">
          <cell r="A728" t="str">
            <v>FRX-WHT-10052</v>
          </cell>
          <cell r="B728">
            <v>9</v>
          </cell>
          <cell r="C728">
            <v>323</v>
          </cell>
          <cell r="D728">
            <v>50</v>
          </cell>
          <cell r="E728">
            <v>1.48</v>
          </cell>
          <cell r="F728">
            <v>735</v>
          </cell>
          <cell r="G728" t="str">
            <v>shaft</v>
          </cell>
          <cell r="H728" t="str">
            <v>145*29*16</v>
          </cell>
          <cell r="I728">
            <v>145</v>
          </cell>
          <cell r="J728">
            <v>29</v>
          </cell>
          <cell r="K728">
            <v>16</v>
          </cell>
        </row>
        <row r="729">
          <cell r="A729" t="str">
            <v>FRX-WHT-12052</v>
          </cell>
          <cell r="B729">
            <v>9</v>
          </cell>
          <cell r="C729">
            <v>328</v>
          </cell>
          <cell r="D729">
            <v>50</v>
          </cell>
          <cell r="E729">
            <v>1.48</v>
          </cell>
          <cell r="F729">
            <v>736</v>
          </cell>
          <cell r="G729" t="str">
            <v>shaft</v>
          </cell>
          <cell r="H729" t="str">
            <v>145*29*16</v>
          </cell>
          <cell r="I729">
            <v>145</v>
          </cell>
          <cell r="J729">
            <v>29</v>
          </cell>
          <cell r="K729">
            <v>16</v>
          </cell>
        </row>
        <row r="730">
          <cell r="A730" t="str">
            <v>UNZ6SEIR-41</v>
          </cell>
          <cell r="B730">
            <v>9</v>
          </cell>
          <cell r="C730">
            <v>82</v>
          </cell>
          <cell r="D730">
            <v>50</v>
          </cell>
          <cell r="E730">
            <v>0.6</v>
          </cell>
          <cell r="F730">
            <v>737</v>
          </cell>
          <cell r="G730" t="str">
            <v>golf</v>
          </cell>
          <cell r="H730" t="str">
            <v>122*15*10</v>
          </cell>
          <cell r="I730">
            <v>122</v>
          </cell>
          <cell r="J730">
            <v>15</v>
          </cell>
          <cell r="K730">
            <v>10</v>
          </cell>
        </row>
        <row r="731">
          <cell r="A731" t="str">
            <v>UNZ6SEIS-41</v>
          </cell>
          <cell r="B731">
            <v>9</v>
          </cell>
          <cell r="C731">
            <v>82</v>
          </cell>
          <cell r="D731">
            <v>50</v>
          </cell>
          <cell r="E731">
            <v>0.6</v>
          </cell>
          <cell r="F731">
            <v>738</v>
          </cell>
          <cell r="G731" t="str">
            <v>golf</v>
          </cell>
          <cell r="H731" t="str">
            <v>122*15*10</v>
          </cell>
          <cell r="I731">
            <v>122</v>
          </cell>
          <cell r="J731">
            <v>15</v>
          </cell>
          <cell r="K731">
            <v>10</v>
          </cell>
        </row>
        <row r="732">
          <cell r="A732" t="str">
            <v>UNZ633SEWS-46</v>
          </cell>
          <cell r="B732">
            <v>9</v>
          </cell>
          <cell r="C732">
            <v>68</v>
          </cell>
          <cell r="D732">
            <v>50</v>
          </cell>
          <cell r="E732">
            <v>0.6</v>
          </cell>
          <cell r="F732">
            <v>739</v>
          </cell>
          <cell r="G732" t="str">
            <v>golf</v>
          </cell>
          <cell r="H732" t="str">
            <v>122*15*10</v>
          </cell>
          <cell r="I732">
            <v>122</v>
          </cell>
          <cell r="J732">
            <v>15</v>
          </cell>
          <cell r="K732">
            <v>10</v>
          </cell>
        </row>
        <row r="733">
          <cell r="A733" t="str">
            <v>UNZ633SEWR-46</v>
          </cell>
          <cell r="B733">
            <v>9</v>
          </cell>
          <cell r="C733">
            <v>67</v>
          </cell>
          <cell r="D733">
            <v>50</v>
          </cell>
          <cell r="E733">
            <v>0.6</v>
          </cell>
          <cell r="F733">
            <v>740</v>
          </cell>
          <cell r="G733" t="str">
            <v>golf</v>
          </cell>
          <cell r="H733" t="str">
            <v>122*15*10</v>
          </cell>
          <cell r="I733">
            <v>122</v>
          </cell>
          <cell r="J733">
            <v>15</v>
          </cell>
          <cell r="K733">
            <v>10</v>
          </cell>
        </row>
        <row r="734">
          <cell r="A734" t="str">
            <v>CCM-V8-SC-5554</v>
          </cell>
          <cell r="B734">
            <v>9</v>
          </cell>
          <cell r="C734">
            <v>327</v>
          </cell>
          <cell r="D734">
            <v>50</v>
          </cell>
          <cell r="E734">
            <v>1.48</v>
          </cell>
          <cell r="F734">
            <v>741</v>
          </cell>
          <cell r="G734" t="str">
            <v>shaft</v>
          </cell>
          <cell r="H734" t="str">
            <v>145*29*16</v>
          </cell>
          <cell r="I734">
            <v>145</v>
          </cell>
          <cell r="J734">
            <v>29</v>
          </cell>
          <cell r="K734">
            <v>16</v>
          </cell>
        </row>
        <row r="735">
          <cell r="A735" t="str">
            <v>URAM33WAL-48</v>
          </cell>
          <cell r="B735">
            <v>9</v>
          </cell>
          <cell r="C735">
            <v>71</v>
          </cell>
          <cell r="D735">
            <v>50</v>
          </cell>
          <cell r="E735">
            <v>0.64</v>
          </cell>
          <cell r="F735">
            <v>742</v>
          </cell>
          <cell r="G735" t="str">
            <v>golf</v>
          </cell>
          <cell r="H735" t="str">
            <v>130*15*10</v>
          </cell>
          <cell r="I735">
            <v>130</v>
          </cell>
          <cell r="J735">
            <v>15</v>
          </cell>
          <cell r="K735">
            <v>10</v>
          </cell>
        </row>
        <row r="736">
          <cell r="A736" t="str">
            <v>UW430PFL-45</v>
          </cell>
          <cell r="B736">
            <v>9</v>
          </cell>
          <cell r="C736">
            <v>68</v>
          </cell>
          <cell r="D736">
            <v>50</v>
          </cell>
          <cell r="E736">
            <v>0.6</v>
          </cell>
          <cell r="F736">
            <v>743</v>
          </cell>
          <cell r="G736" t="str">
            <v>golf</v>
          </cell>
          <cell r="H736" t="str">
            <v>122*15*10</v>
          </cell>
          <cell r="I736">
            <v>122</v>
          </cell>
          <cell r="J736">
            <v>15</v>
          </cell>
          <cell r="K736">
            <v>10</v>
          </cell>
        </row>
        <row r="737">
          <cell r="A737" t="str">
            <v>URAMIRS-43</v>
          </cell>
          <cell r="B737">
            <v>9</v>
          </cell>
          <cell r="C737">
            <v>79</v>
          </cell>
          <cell r="D737">
            <v>50</v>
          </cell>
          <cell r="E737">
            <v>0.6</v>
          </cell>
          <cell r="F737">
            <v>744</v>
          </cell>
          <cell r="G737" t="str">
            <v>golf</v>
          </cell>
          <cell r="H737" t="str">
            <v>122*15*10</v>
          </cell>
          <cell r="I737">
            <v>122</v>
          </cell>
          <cell r="J737">
            <v>15</v>
          </cell>
          <cell r="K737">
            <v>10</v>
          </cell>
        </row>
        <row r="738">
          <cell r="A738" t="str">
            <v>UW430PDA-47</v>
          </cell>
          <cell r="B738">
            <v>9</v>
          </cell>
          <cell r="C738">
            <v>60</v>
          </cell>
          <cell r="D738">
            <v>50</v>
          </cell>
          <cell r="E738">
            <v>0.6</v>
          </cell>
          <cell r="F738">
            <v>745</v>
          </cell>
          <cell r="G738" t="str">
            <v>golf</v>
          </cell>
          <cell r="H738" t="str">
            <v>122*15*10</v>
          </cell>
          <cell r="I738">
            <v>122</v>
          </cell>
          <cell r="J738">
            <v>15</v>
          </cell>
          <cell r="K738">
            <v>10</v>
          </cell>
        </row>
        <row r="739">
          <cell r="A739" t="str">
            <v>USKMXPRLWS-48</v>
          </cell>
          <cell r="B739">
            <v>9</v>
          </cell>
          <cell r="C739">
            <v>77</v>
          </cell>
          <cell r="D739">
            <v>50</v>
          </cell>
          <cell r="E739">
            <v>0.64</v>
          </cell>
          <cell r="F739">
            <v>746</v>
          </cell>
          <cell r="G739" t="str">
            <v>golf</v>
          </cell>
          <cell r="H739" t="str">
            <v>130*15*10</v>
          </cell>
          <cell r="I739">
            <v>130</v>
          </cell>
          <cell r="J739">
            <v>15</v>
          </cell>
          <cell r="K739">
            <v>10</v>
          </cell>
        </row>
        <row r="740">
          <cell r="A740" t="str">
            <v>URAM33WRS-48</v>
          </cell>
          <cell r="B740">
            <v>9</v>
          </cell>
          <cell r="C740">
            <v>77</v>
          </cell>
          <cell r="D740">
            <v>50</v>
          </cell>
          <cell r="E740">
            <v>0.64</v>
          </cell>
          <cell r="F740">
            <v>747</v>
          </cell>
          <cell r="G740" t="str">
            <v>golf</v>
          </cell>
          <cell r="H740" t="str">
            <v>130*15*10</v>
          </cell>
          <cell r="I740">
            <v>130</v>
          </cell>
          <cell r="J740">
            <v>15</v>
          </cell>
          <cell r="K740">
            <v>10</v>
          </cell>
        </row>
        <row r="741">
          <cell r="A741" t="str">
            <v>USKMXPRLIS-43</v>
          </cell>
          <cell r="B741">
            <v>9</v>
          </cell>
          <cell r="C741">
            <v>79</v>
          </cell>
          <cell r="D741">
            <v>50</v>
          </cell>
          <cell r="E741">
            <v>0.6</v>
          </cell>
          <cell r="F741">
            <v>748</v>
          </cell>
          <cell r="G741" t="str">
            <v>golf</v>
          </cell>
          <cell r="H741" t="str">
            <v>122*15*10</v>
          </cell>
          <cell r="I741">
            <v>122</v>
          </cell>
          <cell r="J741">
            <v>15</v>
          </cell>
          <cell r="K741">
            <v>10</v>
          </cell>
        </row>
        <row r="742">
          <cell r="A742" t="str">
            <v>PASS-EVO-07054</v>
          </cell>
          <cell r="B742">
            <v>9</v>
          </cell>
          <cell r="C742">
            <v>350</v>
          </cell>
          <cell r="D742">
            <v>50</v>
          </cell>
          <cell r="E742">
            <v>1.48</v>
          </cell>
          <cell r="F742">
            <v>749</v>
          </cell>
          <cell r="G742" t="str">
            <v>shaft</v>
          </cell>
          <cell r="H742" t="str">
            <v>145*29*16</v>
          </cell>
          <cell r="I742">
            <v>145</v>
          </cell>
          <cell r="J742">
            <v>29</v>
          </cell>
          <cell r="K742">
            <v>16</v>
          </cell>
        </row>
        <row r="743">
          <cell r="A743" t="str">
            <v>PASS-EVO-09054</v>
          </cell>
          <cell r="B743">
            <v>9</v>
          </cell>
          <cell r="C743">
            <v>350</v>
          </cell>
          <cell r="D743">
            <v>50</v>
          </cell>
          <cell r="E743">
            <v>1.48</v>
          </cell>
          <cell r="F743">
            <v>750</v>
          </cell>
          <cell r="G743" t="str">
            <v>shaft</v>
          </cell>
          <cell r="H743" t="str">
            <v>145*29*16</v>
          </cell>
          <cell r="I743">
            <v>145</v>
          </cell>
          <cell r="J743">
            <v>29</v>
          </cell>
          <cell r="K743">
            <v>16</v>
          </cell>
        </row>
        <row r="744">
          <cell r="A744" t="str">
            <v>PASS-EVO-10054</v>
          </cell>
          <cell r="B744">
            <v>9</v>
          </cell>
          <cell r="C744">
            <v>350</v>
          </cell>
          <cell r="D744">
            <v>50</v>
          </cell>
          <cell r="E744">
            <v>1.48</v>
          </cell>
          <cell r="F744">
            <v>751</v>
          </cell>
          <cell r="G744" t="str">
            <v>shaft</v>
          </cell>
          <cell r="H744" t="str">
            <v>145*29*16</v>
          </cell>
          <cell r="I744">
            <v>145</v>
          </cell>
          <cell r="J744">
            <v>29</v>
          </cell>
          <cell r="K744">
            <v>16</v>
          </cell>
        </row>
        <row r="745">
          <cell r="A745" t="str">
            <v>PASS-EVO-11054</v>
          </cell>
          <cell r="B745">
            <v>9</v>
          </cell>
          <cell r="C745">
            <v>350</v>
          </cell>
          <cell r="D745">
            <v>50</v>
          </cell>
          <cell r="E745">
            <v>1.48</v>
          </cell>
          <cell r="F745">
            <v>752</v>
          </cell>
          <cell r="G745" t="str">
            <v>shaft</v>
          </cell>
          <cell r="H745" t="str">
            <v>145*29*16</v>
          </cell>
          <cell r="I745">
            <v>145</v>
          </cell>
          <cell r="J745">
            <v>29</v>
          </cell>
          <cell r="K745">
            <v>16</v>
          </cell>
        </row>
        <row r="746">
          <cell r="A746" t="str">
            <v>PASS-EVO-12054</v>
          </cell>
          <cell r="B746">
            <v>9</v>
          </cell>
          <cell r="C746">
            <v>350</v>
          </cell>
          <cell r="D746">
            <v>50</v>
          </cell>
          <cell r="E746">
            <v>1.48</v>
          </cell>
          <cell r="F746">
            <v>753</v>
          </cell>
          <cell r="G746" t="str">
            <v>shaft</v>
          </cell>
          <cell r="H746" t="str">
            <v>145*29*16</v>
          </cell>
          <cell r="I746">
            <v>145</v>
          </cell>
          <cell r="J746">
            <v>29</v>
          </cell>
          <cell r="K746">
            <v>16</v>
          </cell>
        </row>
        <row r="747">
          <cell r="A747" t="str">
            <v>PASS-COMP-SF-09052</v>
          </cell>
          <cell r="B747">
            <v>9</v>
          </cell>
          <cell r="C747">
            <v>320</v>
          </cell>
          <cell r="D747">
            <v>50</v>
          </cell>
          <cell r="E747">
            <v>1.48</v>
          </cell>
          <cell r="F747">
            <v>754</v>
          </cell>
          <cell r="G747" t="str">
            <v>shaft</v>
          </cell>
          <cell r="H747" t="str">
            <v>145*29*16</v>
          </cell>
          <cell r="I747">
            <v>145</v>
          </cell>
          <cell r="J747">
            <v>29</v>
          </cell>
          <cell r="K747">
            <v>16</v>
          </cell>
        </row>
        <row r="748">
          <cell r="A748" t="str">
            <v>PASS-COMP-SF-10052</v>
          </cell>
          <cell r="B748">
            <v>9</v>
          </cell>
          <cell r="C748">
            <v>326</v>
          </cell>
          <cell r="D748">
            <v>50</v>
          </cell>
          <cell r="E748">
            <v>1.48</v>
          </cell>
          <cell r="F748">
            <v>755</v>
          </cell>
          <cell r="G748" t="str">
            <v>shaft</v>
          </cell>
          <cell r="H748" t="str">
            <v>145*29*16</v>
          </cell>
          <cell r="I748">
            <v>145</v>
          </cell>
          <cell r="J748">
            <v>29</v>
          </cell>
          <cell r="K748">
            <v>16</v>
          </cell>
        </row>
        <row r="749">
          <cell r="A749" t="str">
            <v>PASS-COMP-SF-11052</v>
          </cell>
          <cell r="B749">
            <v>9</v>
          </cell>
          <cell r="C749">
            <v>326</v>
          </cell>
          <cell r="D749">
            <v>50</v>
          </cell>
          <cell r="E749">
            <v>1.48</v>
          </cell>
          <cell r="F749">
            <v>756</v>
          </cell>
          <cell r="G749" t="str">
            <v>shaft</v>
          </cell>
          <cell r="H749" t="str">
            <v>145*29*16</v>
          </cell>
          <cell r="I749">
            <v>145</v>
          </cell>
          <cell r="J749">
            <v>29</v>
          </cell>
          <cell r="K749">
            <v>16</v>
          </cell>
        </row>
        <row r="750">
          <cell r="A750" t="str">
            <v>PASS-COMP-SF-12052</v>
          </cell>
          <cell r="B750">
            <v>9</v>
          </cell>
          <cell r="C750">
            <v>311</v>
          </cell>
          <cell r="D750">
            <v>50</v>
          </cell>
          <cell r="E750">
            <v>1.48</v>
          </cell>
          <cell r="F750">
            <v>757</v>
          </cell>
          <cell r="G750" t="str">
            <v>shaft</v>
          </cell>
          <cell r="H750" t="str">
            <v>145*29*16</v>
          </cell>
          <cell r="I750">
            <v>145</v>
          </cell>
          <cell r="J750">
            <v>29</v>
          </cell>
          <cell r="K750">
            <v>16</v>
          </cell>
        </row>
        <row r="751">
          <cell r="A751" t="str">
            <v>UBLKIS-41</v>
          </cell>
          <cell r="B751">
            <v>9</v>
          </cell>
          <cell r="C751">
            <v>80</v>
          </cell>
          <cell r="D751">
            <v>50</v>
          </cell>
          <cell r="E751">
            <v>0.6</v>
          </cell>
          <cell r="F751">
            <v>758</v>
          </cell>
          <cell r="G751" t="str">
            <v>golf</v>
          </cell>
          <cell r="H751" t="str">
            <v>122*15*10</v>
          </cell>
          <cell r="I751">
            <v>122</v>
          </cell>
          <cell r="J751">
            <v>15</v>
          </cell>
          <cell r="K751">
            <v>10</v>
          </cell>
        </row>
        <row r="752">
          <cell r="A752" t="str">
            <v>QCS10-8-744</v>
          </cell>
          <cell r="B752">
            <v>9</v>
          </cell>
          <cell r="C752">
            <v>500</v>
          </cell>
          <cell r="D752">
            <v>1</v>
          </cell>
          <cell r="E752">
            <v>0.5</v>
          </cell>
          <cell r="F752">
            <v>759</v>
          </cell>
          <cell r="G752" t="str">
            <v>fork1</v>
          </cell>
          <cell r="H752" t="str">
            <v>89*14*9</v>
          </cell>
          <cell r="I752">
            <v>89</v>
          </cell>
          <cell r="J752">
            <v>14</v>
          </cell>
          <cell r="K752">
            <v>9</v>
          </cell>
        </row>
        <row r="753">
          <cell r="A753" t="str">
            <v>CCM-V8-SC-4054-NG</v>
          </cell>
          <cell r="B753">
            <v>9</v>
          </cell>
          <cell r="C753">
            <v>327</v>
          </cell>
          <cell r="D753">
            <v>50</v>
          </cell>
          <cell r="E753">
            <v>1.48</v>
          </cell>
          <cell r="F753">
            <v>760</v>
          </cell>
          <cell r="G753" t="str">
            <v>shaft</v>
          </cell>
          <cell r="H753" t="str">
            <v>145*29*16</v>
          </cell>
          <cell r="I753">
            <v>145</v>
          </cell>
          <cell r="J753">
            <v>29</v>
          </cell>
          <cell r="K753">
            <v>16</v>
          </cell>
        </row>
        <row r="754">
          <cell r="A754" t="str">
            <v>CCM-V8-SC-4554-NG</v>
          </cell>
          <cell r="B754">
            <v>9</v>
          </cell>
          <cell r="C754">
            <v>327</v>
          </cell>
          <cell r="D754">
            <v>50</v>
          </cell>
          <cell r="E754">
            <v>1.48</v>
          </cell>
          <cell r="F754">
            <v>761</v>
          </cell>
          <cell r="G754" t="str">
            <v>shaft</v>
          </cell>
          <cell r="H754" t="str">
            <v>145*29*16</v>
          </cell>
          <cell r="I754">
            <v>145</v>
          </cell>
          <cell r="J754">
            <v>29</v>
          </cell>
          <cell r="K754">
            <v>16</v>
          </cell>
        </row>
        <row r="755">
          <cell r="A755" t="str">
            <v>CCM-V8-SC-5054-NG</v>
          </cell>
          <cell r="B755">
            <v>9</v>
          </cell>
          <cell r="C755">
            <v>327</v>
          </cell>
          <cell r="D755">
            <v>50</v>
          </cell>
          <cell r="E755">
            <v>1.48</v>
          </cell>
          <cell r="F755">
            <v>762</v>
          </cell>
          <cell r="G755" t="str">
            <v>shaft</v>
          </cell>
          <cell r="H755" t="str">
            <v>145*29*16</v>
          </cell>
          <cell r="I755">
            <v>145</v>
          </cell>
          <cell r="J755">
            <v>29</v>
          </cell>
          <cell r="K755">
            <v>16</v>
          </cell>
        </row>
        <row r="756">
          <cell r="A756" t="str">
            <v>CCM-V8-SC-5554-NG</v>
          </cell>
          <cell r="B756">
            <v>9</v>
          </cell>
          <cell r="C756">
            <v>327</v>
          </cell>
          <cell r="D756">
            <v>50</v>
          </cell>
          <cell r="E756">
            <v>1.48</v>
          </cell>
          <cell r="F756">
            <v>763</v>
          </cell>
          <cell r="G756" t="str">
            <v>shaft</v>
          </cell>
          <cell r="H756" t="str">
            <v>145*29*16</v>
          </cell>
          <cell r="I756">
            <v>145</v>
          </cell>
          <cell r="J756">
            <v>29</v>
          </cell>
          <cell r="K756">
            <v>16</v>
          </cell>
        </row>
        <row r="757">
          <cell r="A757" t="str">
            <v>GSAL355IR-40-T</v>
          </cell>
          <cell r="B757">
            <v>9</v>
          </cell>
          <cell r="C757">
            <v>69</v>
          </cell>
          <cell r="D757">
            <v>50</v>
          </cell>
          <cell r="E757">
            <v>0.6</v>
          </cell>
          <cell r="F757">
            <v>764</v>
          </cell>
          <cell r="G757" t="str">
            <v>golf</v>
          </cell>
          <cell r="H757" t="str">
            <v>122*15*10</v>
          </cell>
          <cell r="I757">
            <v>122</v>
          </cell>
          <cell r="J757">
            <v>15</v>
          </cell>
          <cell r="K757">
            <v>10</v>
          </cell>
        </row>
        <row r="758">
          <cell r="A758" t="str">
            <v>GSAL355IS-40-T</v>
          </cell>
          <cell r="B758">
            <v>9</v>
          </cell>
          <cell r="C758">
            <v>72</v>
          </cell>
          <cell r="D758">
            <v>50</v>
          </cell>
          <cell r="E758">
            <v>0.6</v>
          </cell>
          <cell r="F758">
            <v>765</v>
          </cell>
          <cell r="G758" t="str">
            <v>golf</v>
          </cell>
          <cell r="H758" t="str">
            <v>122*15*10</v>
          </cell>
          <cell r="I758">
            <v>122</v>
          </cell>
          <cell r="J758">
            <v>15</v>
          </cell>
          <cell r="K758">
            <v>10</v>
          </cell>
        </row>
        <row r="759">
          <cell r="A759" t="str">
            <v>CCM-V8-TT-4556</v>
          </cell>
          <cell r="B759">
            <v>9</v>
          </cell>
          <cell r="C759">
            <v>380</v>
          </cell>
          <cell r="D759">
            <v>50</v>
          </cell>
          <cell r="E759">
            <v>1.48</v>
          </cell>
          <cell r="F759">
            <v>766</v>
          </cell>
          <cell r="G759" t="str">
            <v>shaft</v>
          </cell>
          <cell r="H759" t="str">
            <v>145*29*16</v>
          </cell>
          <cell r="I759">
            <v>145</v>
          </cell>
          <cell r="J759">
            <v>29</v>
          </cell>
          <cell r="K759">
            <v>16</v>
          </cell>
        </row>
        <row r="760">
          <cell r="A760" t="str">
            <v>CCM-V8-TT-5056</v>
          </cell>
          <cell r="B760">
            <v>9</v>
          </cell>
          <cell r="C760">
            <v>380</v>
          </cell>
          <cell r="D760">
            <v>50</v>
          </cell>
          <cell r="E760">
            <v>1.48</v>
          </cell>
          <cell r="F760">
            <v>767</v>
          </cell>
          <cell r="G760" t="str">
            <v>shaft</v>
          </cell>
          <cell r="H760" t="str">
            <v>145*29*16</v>
          </cell>
          <cell r="I760">
            <v>145</v>
          </cell>
          <cell r="J760">
            <v>29</v>
          </cell>
          <cell r="K760">
            <v>16</v>
          </cell>
        </row>
        <row r="761">
          <cell r="A761" t="str">
            <v>CCM-V8-TT-5556</v>
          </cell>
          <cell r="B761">
            <v>9</v>
          </cell>
          <cell r="C761">
            <v>380</v>
          </cell>
          <cell r="D761">
            <v>50</v>
          </cell>
          <cell r="E761">
            <v>1.48</v>
          </cell>
          <cell r="F761">
            <v>768</v>
          </cell>
          <cell r="G761" t="str">
            <v>shaft</v>
          </cell>
          <cell r="H761" t="str">
            <v>145*29*16</v>
          </cell>
          <cell r="I761">
            <v>145</v>
          </cell>
          <cell r="J761">
            <v>29</v>
          </cell>
          <cell r="K761">
            <v>16</v>
          </cell>
        </row>
        <row r="762">
          <cell r="A762" t="str">
            <v>UWBLUPNT635DWS-46</v>
          </cell>
          <cell r="B762">
            <v>9</v>
          </cell>
          <cell r="C762">
            <v>67</v>
          </cell>
          <cell r="D762">
            <v>50</v>
          </cell>
          <cell r="E762">
            <v>0.6</v>
          </cell>
          <cell r="F762">
            <v>769</v>
          </cell>
          <cell r="G762" t="str">
            <v>golf</v>
          </cell>
          <cell r="H762" t="str">
            <v>122*15*10</v>
          </cell>
          <cell r="I762">
            <v>122</v>
          </cell>
          <cell r="J762">
            <v>15</v>
          </cell>
          <cell r="K762">
            <v>10</v>
          </cell>
        </row>
        <row r="763">
          <cell r="A763" t="str">
            <v>ULAUNCH635WR-46-WIL</v>
          </cell>
          <cell r="B763">
            <v>9</v>
          </cell>
          <cell r="C763">
            <v>70</v>
          </cell>
          <cell r="D763">
            <v>50</v>
          </cell>
          <cell r="E763">
            <v>0.6</v>
          </cell>
          <cell r="F763">
            <v>770</v>
          </cell>
          <cell r="G763" t="str">
            <v>golf</v>
          </cell>
          <cell r="H763" t="str">
            <v>122*15*10</v>
          </cell>
          <cell r="I763">
            <v>122</v>
          </cell>
          <cell r="J763">
            <v>15</v>
          </cell>
          <cell r="K763">
            <v>10</v>
          </cell>
        </row>
        <row r="764">
          <cell r="A764" t="str">
            <v>ULAUNCH635WS-46-WIL</v>
          </cell>
          <cell r="B764">
            <v>9</v>
          </cell>
          <cell r="C764">
            <v>67</v>
          </cell>
          <cell r="D764">
            <v>50</v>
          </cell>
          <cell r="E764">
            <v>0.6</v>
          </cell>
          <cell r="F764">
            <v>771</v>
          </cell>
          <cell r="G764" t="str">
            <v>golf</v>
          </cell>
          <cell r="H764" t="str">
            <v>122*15*10</v>
          </cell>
          <cell r="I764">
            <v>122</v>
          </cell>
          <cell r="J764">
            <v>15</v>
          </cell>
          <cell r="K764">
            <v>10</v>
          </cell>
        </row>
        <row r="765">
          <cell r="A765" t="str">
            <v>CCM-V8-ST-4054</v>
          </cell>
          <cell r="B765">
            <v>9</v>
          </cell>
          <cell r="C765">
            <v>360</v>
          </cell>
          <cell r="D765">
            <v>50</v>
          </cell>
          <cell r="E765">
            <v>1.48</v>
          </cell>
          <cell r="F765">
            <v>772</v>
          </cell>
          <cell r="G765" t="str">
            <v>shaft</v>
          </cell>
          <cell r="H765" t="str">
            <v>145*29*16</v>
          </cell>
          <cell r="I765">
            <v>145</v>
          </cell>
          <cell r="J765">
            <v>29</v>
          </cell>
          <cell r="K765">
            <v>16</v>
          </cell>
        </row>
        <row r="766">
          <cell r="A766" t="str">
            <v>CCM-V8-ST-4554</v>
          </cell>
          <cell r="B766">
            <v>9</v>
          </cell>
          <cell r="C766">
            <v>360</v>
          </cell>
          <cell r="D766">
            <v>50</v>
          </cell>
          <cell r="E766">
            <v>1.48</v>
          </cell>
          <cell r="F766">
            <v>773</v>
          </cell>
          <cell r="G766" t="str">
            <v>shaft</v>
          </cell>
          <cell r="H766" t="str">
            <v>145*29*16</v>
          </cell>
          <cell r="I766">
            <v>145</v>
          </cell>
          <cell r="J766">
            <v>29</v>
          </cell>
          <cell r="K766">
            <v>16</v>
          </cell>
        </row>
        <row r="767">
          <cell r="A767" t="str">
            <v>CCM-V8-ST-5054</v>
          </cell>
          <cell r="B767">
            <v>9</v>
          </cell>
          <cell r="C767">
            <v>320</v>
          </cell>
          <cell r="D767">
            <v>50</v>
          </cell>
          <cell r="E767">
            <v>1.48</v>
          </cell>
          <cell r="F767">
            <v>774</v>
          </cell>
          <cell r="G767" t="str">
            <v>shaft</v>
          </cell>
          <cell r="H767" t="str">
            <v>145*29*16</v>
          </cell>
          <cell r="I767">
            <v>145</v>
          </cell>
          <cell r="J767">
            <v>29</v>
          </cell>
          <cell r="K767">
            <v>16</v>
          </cell>
        </row>
        <row r="768">
          <cell r="A768" t="str">
            <v>CCM-V8-ST-5554</v>
          </cell>
          <cell r="B768">
            <v>9</v>
          </cell>
          <cell r="C768">
            <v>360</v>
          </cell>
          <cell r="D768">
            <v>50</v>
          </cell>
          <cell r="E768">
            <v>1.48</v>
          </cell>
          <cell r="F768">
            <v>775</v>
          </cell>
          <cell r="G768" t="str">
            <v>shaft</v>
          </cell>
          <cell r="H768" t="str">
            <v>145*29*16</v>
          </cell>
          <cell r="I768">
            <v>145</v>
          </cell>
          <cell r="J768">
            <v>29</v>
          </cell>
          <cell r="K768">
            <v>16</v>
          </cell>
        </row>
        <row r="769">
          <cell r="A769" t="str">
            <v>CCM-V8-TC-4056</v>
          </cell>
          <cell r="B769">
            <v>9</v>
          </cell>
          <cell r="C769">
            <v>342</v>
          </cell>
          <cell r="D769">
            <v>50</v>
          </cell>
          <cell r="E769">
            <v>1.48</v>
          </cell>
          <cell r="F769">
            <v>776</v>
          </cell>
          <cell r="G769" t="str">
            <v>shaft</v>
          </cell>
          <cell r="H769" t="str">
            <v>145*29*16</v>
          </cell>
          <cell r="I769">
            <v>145</v>
          </cell>
          <cell r="J769">
            <v>29</v>
          </cell>
          <cell r="K769">
            <v>16</v>
          </cell>
        </row>
        <row r="770">
          <cell r="A770" t="str">
            <v>CCM-V8-TC-5556</v>
          </cell>
          <cell r="B770">
            <v>9</v>
          </cell>
          <cell r="C770">
            <v>342</v>
          </cell>
          <cell r="D770">
            <v>50</v>
          </cell>
          <cell r="E770">
            <v>1.48</v>
          </cell>
          <cell r="F770">
            <v>777</v>
          </cell>
          <cell r="G770" t="str">
            <v>shaft</v>
          </cell>
          <cell r="H770" t="str">
            <v>145*29*16</v>
          </cell>
          <cell r="I770">
            <v>145</v>
          </cell>
          <cell r="J770">
            <v>29</v>
          </cell>
          <cell r="K770">
            <v>16</v>
          </cell>
        </row>
        <row r="771">
          <cell r="A771" t="str">
            <v>FRX-WHT-S03R-H</v>
          </cell>
          <cell r="B771">
            <v>9</v>
          </cell>
          <cell r="C771">
            <v>145</v>
          </cell>
          <cell r="D771">
            <v>6</v>
          </cell>
          <cell r="E771">
            <v>0.2</v>
          </cell>
          <cell r="F771">
            <v>778</v>
          </cell>
          <cell r="G771" t="str">
            <v>blade</v>
          </cell>
          <cell r="H771" t="str">
            <v>45*26*8</v>
          </cell>
          <cell r="I771">
            <v>45</v>
          </cell>
          <cell r="J771">
            <v>26</v>
          </cell>
          <cell r="K771">
            <v>8</v>
          </cell>
        </row>
        <row r="772">
          <cell r="A772" t="str">
            <v>FRX-WHT-S03L-H</v>
          </cell>
          <cell r="B772">
            <v>9</v>
          </cell>
          <cell r="C772">
            <v>145</v>
          </cell>
          <cell r="D772">
            <v>6</v>
          </cell>
          <cell r="E772">
            <v>0.2</v>
          </cell>
          <cell r="F772">
            <v>779</v>
          </cell>
          <cell r="G772" t="str">
            <v>blade</v>
          </cell>
          <cell r="H772" t="str">
            <v>45*26*8</v>
          </cell>
          <cell r="I772">
            <v>45</v>
          </cell>
          <cell r="J772">
            <v>26</v>
          </cell>
          <cell r="K772">
            <v>8</v>
          </cell>
        </row>
        <row r="773">
          <cell r="A773" t="str">
            <v>CCM-V10-ST-4554</v>
          </cell>
          <cell r="B773">
            <v>9</v>
          </cell>
          <cell r="C773">
            <v>349.99</v>
          </cell>
          <cell r="D773">
            <v>50</v>
          </cell>
          <cell r="E773">
            <v>1.48</v>
          </cell>
          <cell r="F773">
            <v>780</v>
          </cell>
          <cell r="G773" t="str">
            <v>shaft</v>
          </cell>
          <cell r="H773" t="str">
            <v>145*29*16</v>
          </cell>
          <cell r="I773">
            <v>145</v>
          </cell>
          <cell r="J773">
            <v>29</v>
          </cell>
          <cell r="K773">
            <v>16</v>
          </cell>
        </row>
        <row r="774">
          <cell r="A774" t="str">
            <v>CCM-V10-TC-4056</v>
          </cell>
          <cell r="B774">
            <v>9</v>
          </cell>
          <cell r="C774">
            <v>312</v>
          </cell>
          <cell r="D774">
            <v>50</v>
          </cell>
          <cell r="E774">
            <v>1.48</v>
          </cell>
          <cell r="F774">
            <v>781</v>
          </cell>
          <cell r="G774" t="str">
            <v>shaft</v>
          </cell>
          <cell r="H774" t="str">
            <v>145*29*16</v>
          </cell>
          <cell r="I774">
            <v>145</v>
          </cell>
          <cell r="J774">
            <v>29</v>
          </cell>
          <cell r="K774">
            <v>16</v>
          </cell>
        </row>
        <row r="775">
          <cell r="A775" t="str">
            <v>CCM-V8.9-ST-4554</v>
          </cell>
          <cell r="B775">
            <v>9</v>
          </cell>
          <cell r="C775">
            <v>360</v>
          </cell>
          <cell r="D775">
            <v>50</v>
          </cell>
          <cell r="E775">
            <v>1.48</v>
          </cell>
          <cell r="F775">
            <v>782</v>
          </cell>
          <cell r="G775" t="str">
            <v>shaft</v>
          </cell>
          <cell r="H775" t="str">
            <v>145*29*16</v>
          </cell>
          <cell r="I775">
            <v>145</v>
          </cell>
          <cell r="J775">
            <v>29</v>
          </cell>
          <cell r="K775">
            <v>16</v>
          </cell>
        </row>
        <row r="776">
          <cell r="A776" t="str">
            <v>QGS20-8-743</v>
          </cell>
          <cell r="B776">
            <v>9</v>
          </cell>
          <cell r="C776">
            <v>342</v>
          </cell>
          <cell r="D776">
            <v>1</v>
          </cell>
          <cell r="E776">
            <v>0.5</v>
          </cell>
          <cell r="F776">
            <v>783</v>
          </cell>
          <cell r="G776" t="str">
            <v>fork</v>
          </cell>
          <cell r="H776" t="str">
            <v>89*14*9</v>
          </cell>
          <cell r="I776">
            <v>89</v>
          </cell>
          <cell r="J776">
            <v>14</v>
          </cell>
          <cell r="K776">
            <v>9</v>
          </cell>
        </row>
        <row r="777">
          <cell r="A777" t="str">
            <v>UTE33V25WR-46</v>
          </cell>
          <cell r="B777">
            <v>9</v>
          </cell>
          <cell r="C777">
            <v>72</v>
          </cell>
          <cell r="D777">
            <v>50</v>
          </cell>
          <cell r="E777">
            <v>0.6</v>
          </cell>
          <cell r="F777">
            <v>784</v>
          </cell>
          <cell r="G777" t="str">
            <v>golf</v>
          </cell>
          <cell r="H777" t="str">
            <v>122*15*10</v>
          </cell>
          <cell r="I777">
            <v>122</v>
          </cell>
          <cell r="J777">
            <v>15</v>
          </cell>
          <cell r="K777">
            <v>10</v>
          </cell>
        </row>
        <row r="778">
          <cell r="A778" t="str">
            <v>UTE33V25WS-46</v>
          </cell>
          <cell r="B778">
            <v>9</v>
          </cell>
          <cell r="C778">
            <v>70</v>
          </cell>
          <cell r="D778">
            <v>50</v>
          </cell>
          <cell r="E778">
            <v>0.6</v>
          </cell>
          <cell r="F778">
            <v>785</v>
          </cell>
          <cell r="G778" t="str">
            <v>golf</v>
          </cell>
          <cell r="H778" t="str">
            <v>122*15*10</v>
          </cell>
          <cell r="I778">
            <v>122</v>
          </cell>
          <cell r="J778">
            <v>15</v>
          </cell>
          <cell r="K778">
            <v>10</v>
          </cell>
        </row>
        <row r="779">
          <cell r="A779" t="str">
            <v>CCM-V8.9-ST-5054</v>
          </cell>
          <cell r="B779">
            <v>9</v>
          </cell>
          <cell r="C779">
            <v>345</v>
          </cell>
          <cell r="D779">
            <v>50</v>
          </cell>
          <cell r="E779">
            <v>1.48</v>
          </cell>
          <cell r="F779">
            <v>786</v>
          </cell>
          <cell r="G779" t="str">
            <v>shaft</v>
          </cell>
          <cell r="H779" t="str">
            <v>145*29*16</v>
          </cell>
          <cell r="I779">
            <v>145</v>
          </cell>
          <cell r="J779">
            <v>29</v>
          </cell>
          <cell r="K779">
            <v>16</v>
          </cell>
        </row>
        <row r="780">
          <cell r="A780" t="str">
            <v>SHR-TF-11552P-1</v>
          </cell>
          <cell r="B780">
            <v>9</v>
          </cell>
          <cell r="C780">
            <v>364</v>
          </cell>
          <cell r="D780">
            <v>50</v>
          </cell>
          <cell r="E780">
            <v>1.48</v>
          </cell>
          <cell r="F780">
            <v>787</v>
          </cell>
          <cell r="G780" t="str">
            <v>shaft</v>
          </cell>
          <cell r="H780" t="str">
            <v>145*29*16</v>
          </cell>
          <cell r="I780">
            <v>145</v>
          </cell>
          <cell r="J780">
            <v>29</v>
          </cell>
          <cell r="K780">
            <v>16</v>
          </cell>
        </row>
        <row r="781">
          <cell r="A781" t="str">
            <v>CCM-V8.9-ST-5554</v>
          </cell>
          <cell r="B781">
            <v>9</v>
          </cell>
          <cell r="C781">
            <v>350</v>
          </cell>
          <cell r="D781">
            <v>50</v>
          </cell>
          <cell r="E781">
            <v>1.48</v>
          </cell>
          <cell r="F781">
            <v>788</v>
          </cell>
          <cell r="G781" t="str">
            <v>shaft</v>
          </cell>
          <cell r="H781" t="str">
            <v>145*29*16</v>
          </cell>
          <cell r="I781">
            <v>145</v>
          </cell>
          <cell r="J781">
            <v>29</v>
          </cell>
          <cell r="K781">
            <v>16</v>
          </cell>
        </row>
        <row r="782">
          <cell r="A782" t="str">
            <v>UBLULD733W1X-50</v>
          </cell>
          <cell r="B782">
            <v>9</v>
          </cell>
          <cell r="C782">
            <v>77</v>
          </cell>
          <cell r="D782">
            <v>50</v>
          </cell>
          <cell r="E782">
            <v>0.64</v>
          </cell>
          <cell r="F782">
            <v>789</v>
          </cell>
          <cell r="G782" t="str">
            <v>golf</v>
          </cell>
          <cell r="H782" t="str">
            <v>130*15*10</v>
          </cell>
          <cell r="I782">
            <v>130</v>
          </cell>
          <cell r="J782">
            <v>15</v>
          </cell>
          <cell r="K782">
            <v>10</v>
          </cell>
        </row>
        <row r="783">
          <cell r="A783" t="str">
            <v>UBLULD733W2X-50</v>
          </cell>
          <cell r="B783">
            <v>9</v>
          </cell>
          <cell r="C783">
            <v>78</v>
          </cell>
          <cell r="D783">
            <v>50</v>
          </cell>
          <cell r="E783">
            <v>0.64</v>
          </cell>
          <cell r="F783">
            <v>790</v>
          </cell>
          <cell r="G783" t="str">
            <v>golf</v>
          </cell>
          <cell r="H783" t="str">
            <v>130*15*10</v>
          </cell>
          <cell r="I783">
            <v>130</v>
          </cell>
          <cell r="J783">
            <v>15</v>
          </cell>
          <cell r="K783">
            <v>10</v>
          </cell>
        </row>
        <row r="784">
          <cell r="A784" t="str">
            <v>SHR-MOM-S53L</v>
          </cell>
          <cell r="B784">
            <v>9</v>
          </cell>
          <cell r="C784">
            <v>150</v>
          </cell>
          <cell r="D784">
            <v>6</v>
          </cell>
          <cell r="E784">
            <v>0.2</v>
          </cell>
          <cell r="F784">
            <v>791</v>
          </cell>
          <cell r="G784" t="str">
            <v>blade</v>
          </cell>
          <cell r="H784" t="str">
            <v>45*26*8</v>
          </cell>
          <cell r="I784">
            <v>45</v>
          </cell>
          <cell r="J784">
            <v>26</v>
          </cell>
          <cell r="K784">
            <v>8</v>
          </cell>
        </row>
        <row r="785">
          <cell r="A785" t="str">
            <v>SHR-MOM-S53R</v>
          </cell>
          <cell r="B785">
            <v>9</v>
          </cell>
          <cell r="C785">
            <v>150</v>
          </cell>
          <cell r="D785">
            <v>6</v>
          </cell>
          <cell r="E785">
            <v>0.2</v>
          </cell>
          <cell r="F785">
            <v>792</v>
          </cell>
          <cell r="G785" t="str">
            <v>blade</v>
          </cell>
          <cell r="H785" t="str">
            <v>45*26*8</v>
          </cell>
          <cell r="I785">
            <v>45</v>
          </cell>
          <cell r="J785">
            <v>26</v>
          </cell>
          <cell r="K785">
            <v>8</v>
          </cell>
        </row>
        <row r="786">
          <cell r="A786" t="str">
            <v>SHR-MOM-S56L</v>
          </cell>
          <cell r="B786">
            <v>9</v>
          </cell>
          <cell r="C786">
            <v>150</v>
          </cell>
          <cell r="D786">
            <v>6</v>
          </cell>
          <cell r="E786">
            <v>0.2</v>
          </cell>
          <cell r="F786">
            <v>793</v>
          </cell>
          <cell r="G786" t="str">
            <v>blade</v>
          </cell>
          <cell r="H786" t="str">
            <v>45*26*8</v>
          </cell>
          <cell r="I786">
            <v>45</v>
          </cell>
          <cell r="J786">
            <v>26</v>
          </cell>
          <cell r="K786">
            <v>8</v>
          </cell>
        </row>
        <row r="787">
          <cell r="A787" t="str">
            <v>SHR-MOM-S56R</v>
          </cell>
          <cell r="B787">
            <v>9</v>
          </cell>
          <cell r="C787">
            <v>150</v>
          </cell>
          <cell r="D787">
            <v>6</v>
          </cell>
          <cell r="E787">
            <v>0.2</v>
          </cell>
          <cell r="F787">
            <v>794</v>
          </cell>
          <cell r="G787" t="str">
            <v>blade</v>
          </cell>
          <cell r="H787" t="str">
            <v>45*26*8</v>
          </cell>
          <cell r="I787">
            <v>45</v>
          </cell>
          <cell r="J787">
            <v>26</v>
          </cell>
          <cell r="K787">
            <v>8</v>
          </cell>
        </row>
        <row r="788">
          <cell r="A788" t="str">
            <v>ULAUNCH535WA-46</v>
          </cell>
          <cell r="B788">
            <v>9</v>
          </cell>
          <cell r="C788">
            <v>60</v>
          </cell>
          <cell r="D788">
            <v>50</v>
          </cell>
          <cell r="E788">
            <v>0.6</v>
          </cell>
          <cell r="F788">
            <v>795</v>
          </cell>
          <cell r="G788" t="str">
            <v>golf</v>
          </cell>
          <cell r="H788" t="str">
            <v>122*15*10</v>
          </cell>
          <cell r="I788">
            <v>122</v>
          </cell>
          <cell r="J788">
            <v>15</v>
          </cell>
          <cell r="K788">
            <v>10</v>
          </cell>
        </row>
        <row r="789">
          <cell r="A789" t="str">
            <v>SHR-FF3-11052P-1</v>
          </cell>
          <cell r="B789">
            <v>9</v>
          </cell>
          <cell r="C789">
            <v>326</v>
          </cell>
          <cell r="D789">
            <v>50</v>
          </cell>
          <cell r="E789">
            <v>1.48</v>
          </cell>
          <cell r="F789">
            <v>796</v>
          </cell>
          <cell r="G789" t="str">
            <v>shaft</v>
          </cell>
          <cell r="H789" t="str">
            <v>145*29*16</v>
          </cell>
          <cell r="I789">
            <v>145</v>
          </cell>
          <cell r="J789">
            <v>29</v>
          </cell>
          <cell r="K789">
            <v>16</v>
          </cell>
        </row>
        <row r="790">
          <cell r="A790" t="str">
            <v>CCM-V10-TT-4556</v>
          </cell>
          <cell r="B790">
            <v>9</v>
          </cell>
          <cell r="C790">
            <v>340</v>
          </cell>
          <cell r="D790">
            <v>50</v>
          </cell>
          <cell r="E790">
            <v>1.48</v>
          </cell>
          <cell r="F790">
            <v>797</v>
          </cell>
          <cell r="G790" t="str">
            <v>shaft</v>
          </cell>
          <cell r="H790" t="str">
            <v>145*29*16</v>
          </cell>
          <cell r="I790">
            <v>145</v>
          </cell>
          <cell r="J790">
            <v>29</v>
          </cell>
          <cell r="K790">
            <v>16</v>
          </cell>
        </row>
        <row r="791">
          <cell r="A791" t="str">
            <v>CCM-V10-TC-5556</v>
          </cell>
          <cell r="B791">
            <v>9</v>
          </cell>
          <cell r="C791">
            <v>319</v>
          </cell>
          <cell r="D791">
            <v>50</v>
          </cell>
          <cell r="E791">
            <v>1.48</v>
          </cell>
          <cell r="F791">
            <v>798</v>
          </cell>
          <cell r="G791" t="str">
            <v>shaft</v>
          </cell>
          <cell r="H791" t="str">
            <v>145*29*16</v>
          </cell>
          <cell r="I791">
            <v>145</v>
          </cell>
          <cell r="J791">
            <v>29</v>
          </cell>
          <cell r="K791">
            <v>16</v>
          </cell>
        </row>
        <row r="792">
          <cell r="A792" t="str">
            <v>CCM-V10-TC-6056</v>
          </cell>
          <cell r="B792">
            <v>9</v>
          </cell>
          <cell r="C792">
            <v>319</v>
          </cell>
          <cell r="D792">
            <v>50</v>
          </cell>
          <cell r="E792">
            <v>1.48</v>
          </cell>
          <cell r="F792">
            <v>799</v>
          </cell>
          <cell r="G792" t="str">
            <v>shaft</v>
          </cell>
          <cell r="H792" t="str">
            <v>145*29*16</v>
          </cell>
          <cell r="I792">
            <v>145</v>
          </cell>
          <cell r="J792">
            <v>29</v>
          </cell>
          <cell r="K792">
            <v>16</v>
          </cell>
        </row>
        <row r="793">
          <cell r="A793" t="str">
            <v>CCM-V8-SC-6054-NG</v>
          </cell>
          <cell r="B793">
            <v>9</v>
          </cell>
          <cell r="C793">
            <v>327</v>
          </cell>
          <cell r="D793">
            <v>50</v>
          </cell>
          <cell r="E793">
            <v>1.48</v>
          </cell>
          <cell r="F793">
            <v>800</v>
          </cell>
          <cell r="G793" t="str">
            <v>shaft</v>
          </cell>
          <cell r="H793" t="str">
            <v>145*29*16</v>
          </cell>
          <cell r="I793">
            <v>145</v>
          </cell>
          <cell r="J793">
            <v>29</v>
          </cell>
          <cell r="K793">
            <v>16</v>
          </cell>
        </row>
        <row r="794">
          <cell r="A794" t="str">
            <v>QGS30-8H-744</v>
          </cell>
          <cell r="B794">
            <v>9</v>
          </cell>
          <cell r="C794">
            <v>332</v>
          </cell>
          <cell r="D794">
            <v>1</v>
          </cell>
          <cell r="E794">
            <v>0.5</v>
          </cell>
          <cell r="F794">
            <v>801</v>
          </cell>
          <cell r="G794" t="str">
            <v>fork</v>
          </cell>
          <cell r="H794" t="str">
            <v>89*14*9</v>
          </cell>
          <cell r="I794">
            <v>89</v>
          </cell>
          <cell r="J794">
            <v>14</v>
          </cell>
          <cell r="K794">
            <v>9</v>
          </cell>
        </row>
        <row r="795">
          <cell r="A795" t="str">
            <v>CCM-V10-TT-5056</v>
          </cell>
          <cell r="B795">
            <v>9</v>
          </cell>
          <cell r="C795">
            <v>340</v>
          </cell>
          <cell r="D795">
            <v>50</v>
          </cell>
          <cell r="E795">
            <v>1.48</v>
          </cell>
          <cell r="F795">
            <v>802</v>
          </cell>
          <cell r="G795" t="str">
            <v>shaft</v>
          </cell>
          <cell r="H795" t="str">
            <v>145*29*16</v>
          </cell>
          <cell r="I795">
            <v>145</v>
          </cell>
          <cell r="J795">
            <v>29</v>
          </cell>
          <cell r="K795">
            <v>16</v>
          </cell>
        </row>
        <row r="796">
          <cell r="A796" t="str">
            <v>CCM-VS-12052</v>
          </cell>
          <cell r="B796">
            <v>9</v>
          </cell>
          <cell r="C796">
            <v>320</v>
          </cell>
          <cell r="D796">
            <v>50</v>
          </cell>
          <cell r="E796">
            <v>1.48</v>
          </cell>
          <cell r="F796">
            <v>803</v>
          </cell>
          <cell r="G796" t="str">
            <v>shaft</v>
          </cell>
          <cell r="H796" t="str">
            <v>145*29*16</v>
          </cell>
          <cell r="I796">
            <v>145</v>
          </cell>
          <cell r="J796">
            <v>29</v>
          </cell>
          <cell r="K796">
            <v>16</v>
          </cell>
        </row>
        <row r="797">
          <cell r="A797" t="str">
            <v>CCM-V8-SC-3551</v>
          </cell>
          <cell r="B797">
            <v>9</v>
          </cell>
          <cell r="C797">
            <v>310</v>
          </cell>
          <cell r="D797">
            <v>50</v>
          </cell>
          <cell r="E797">
            <v>1.48</v>
          </cell>
          <cell r="F797">
            <v>804</v>
          </cell>
          <cell r="G797" t="str">
            <v>shaft</v>
          </cell>
          <cell r="H797" t="str">
            <v>145*29*16</v>
          </cell>
          <cell r="I797">
            <v>145</v>
          </cell>
          <cell r="J797">
            <v>29</v>
          </cell>
          <cell r="K797">
            <v>16</v>
          </cell>
        </row>
        <row r="798">
          <cell r="A798" t="str">
            <v>UTE33V25WA-46</v>
          </cell>
          <cell r="B798">
            <v>9</v>
          </cell>
          <cell r="C798">
            <v>63</v>
          </cell>
          <cell r="D798">
            <v>50</v>
          </cell>
          <cell r="E798">
            <v>0.6</v>
          </cell>
          <cell r="F798">
            <v>805</v>
          </cell>
          <cell r="G798" t="str">
            <v>golf</v>
          </cell>
          <cell r="H798" t="str">
            <v>122*15*10</v>
          </cell>
          <cell r="I798">
            <v>122</v>
          </cell>
          <cell r="J798">
            <v>15</v>
          </cell>
          <cell r="K798">
            <v>10</v>
          </cell>
        </row>
        <row r="799">
          <cell r="A799" t="str">
            <v>UTE33V25WX-46</v>
          </cell>
          <cell r="B799">
            <v>9</v>
          </cell>
          <cell r="C799">
            <v>68</v>
          </cell>
          <cell r="D799">
            <v>50</v>
          </cell>
          <cell r="E799">
            <v>0.6</v>
          </cell>
          <cell r="F799">
            <v>806</v>
          </cell>
          <cell r="G799" t="str">
            <v>golf</v>
          </cell>
          <cell r="H799" t="str">
            <v>122*15*10</v>
          </cell>
          <cell r="I799">
            <v>122</v>
          </cell>
          <cell r="J799">
            <v>15</v>
          </cell>
          <cell r="K799">
            <v>10</v>
          </cell>
        </row>
        <row r="800">
          <cell r="A800" t="str">
            <v>CCM-VP-ST-5052-NG</v>
          </cell>
          <cell r="B800">
            <v>9</v>
          </cell>
          <cell r="C800">
            <v>326</v>
          </cell>
          <cell r="D800">
            <v>50</v>
          </cell>
          <cell r="E800">
            <v>1.48</v>
          </cell>
          <cell r="F800">
            <v>807</v>
          </cell>
          <cell r="G800" t="str">
            <v>shaft</v>
          </cell>
          <cell r="H800" t="str">
            <v xml:space="preserve"> 145*29*16</v>
          </cell>
          <cell r="I800">
            <v>145</v>
          </cell>
          <cell r="J800">
            <v>29</v>
          </cell>
          <cell r="K800">
            <v>16</v>
          </cell>
        </row>
        <row r="801">
          <cell r="A801" t="str">
            <v>SHR-TF-07544P-1</v>
          </cell>
          <cell r="B801">
            <v>9</v>
          </cell>
          <cell r="C801">
            <v>250</v>
          </cell>
          <cell r="D801">
            <v>50</v>
          </cell>
          <cell r="E801">
            <v>1.48</v>
          </cell>
          <cell r="F801">
            <v>808</v>
          </cell>
          <cell r="G801" t="str">
            <v>shaft</v>
          </cell>
          <cell r="H801" t="str">
            <v>145*29*16</v>
          </cell>
          <cell r="I801">
            <v>145</v>
          </cell>
          <cell r="J801">
            <v>29</v>
          </cell>
          <cell r="K801">
            <v>16</v>
          </cell>
        </row>
        <row r="802">
          <cell r="A802" t="str">
            <v>UPNSKRULIR-40</v>
          </cell>
          <cell r="B802">
            <v>9</v>
          </cell>
          <cell r="C802">
            <v>66</v>
          </cell>
          <cell r="D802">
            <v>50</v>
          </cell>
          <cell r="E802">
            <v>0.6</v>
          </cell>
          <cell r="F802">
            <v>809</v>
          </cell>
          <cell r="G802" t="str">
            <v>golf</v>
          </cell>
          <cell r="H802" t="str">
            <v>122*15*10</v>
          </cell>
          <cell r="I802">
            <v>122</v>
          </cell>
          <cell r="J802">
            <v>15</v>
          </cell>
          <cell r="K802">
            <v>10</v>
          </cell>
        </row>
        <row r="803">
          <cell r="A803" t="str">
            <v>UBLULD33-48-X</v>
          </cell>
          <cell r="B803">
            <v>9</v>
          </cell>
          <cell r="C803">
            <v>69</v>
          </cell>
          <cell r="D803">
            <v>50</v>
          </cell>
          <cell r="E803">
            <v>0.64</v>
          </cell>
          <cell r="F803">
            <v>810</v>
          </cell>
          <cell r="G803" t="str">
            <v>golf</v>
          </cell>
          <cell r="H803" t="str">
            <v>130*15*10</v>
          </cell>
          <cell r="I803">
            <v>130</v>
          </cell>
          <cell r="J803">
            <v>15</v>
          </cell>
          <cell r="K803">
            <v>10</v>
          </cell>
        </row>
        <row r="804">
          <cell r="A804" t="str">
            <v>CCM-V8.9-TT-5056</v>
          </cell>
          <cell r="B804">
            <v>9</v>
          </cell>
          <cell r="C804">
            <v>410</v>
          </cell>
          <cell r="D804">
            <v>50</v>
          </cell>
          <cell r="E804">
            <v>1.48</v>
          </cell>
          <cell r="F804">
            <v>811</v>
          </cell>
          <cell r="G804" t="str">
            <v>shaft</v>
          </cell>
          <cell r="H804" t="str">
            <v>145*29*16</v>
          </cell>
          <cell r="I804">
            <v>145</v>
          </cell>
          <cell r="J804">
            <v>29</v>
          </cell>
          <cell r="K804">
            <v>16</v>
          </cell>
        </row>
        <row r="805">
          <cell r="A805" t="str">
            <v>CCM-V8.9-TT-5556</v>
          </cell>
          <cell r="B805">
            <v>9</v>
          </cell>
          <cell r="C805">
            <v>410</v>
          </cell>
          <cell r="D805">
            <v>50</v>
          </cell>
          <cell r="E805">
            <v>1.48</v>
          </cell>
          <cell r="F805">
            <v>812</v>
          </cell>
          <cell r="G805" t="str">
            <v>shaft</v>
          </cell>
          <cell r="H805" t="str">
            <v>145*29*16</v>
          </cell>
          <cell r="I805">
            <v>145</v>
          </cell>
          <cell r="J805">
            <v>29</v>
          </cell>
          <cell r="K805">
            <v>16</v>
          </cell>
        </row>
        <row r="806">
          <cell r="A806" t="str">
            <v>CCM-V10-TT-5556</v>
          </cell>
          <cell r="B806">
            <v>9</v>
          </cell>
          <cell r="C806">
            <v>340</v>
          </cell>
          <cell r="D806">
            <v>50</v>
          </cell>
          <cell r="E806">
            <v>1.48</v>
          </cell>
          <cell r="F806">
            <v>813</v>
          </cell>
          <cell r="G806" t="str">
            <v>shaft</v>
          </cell>
          <cell r="H806" t="str">
            <v>145*29*16</v>
          </cell>
          <cell r="I806">
            <v>145</v>
          </cell>
          <cell r="J806">
            <v>29</v>
          </cell>
          <cell r="K806">
            <v>16</v>
          </cell>
        </row>
        <row r="807">
          <cell r="A807" t="str">
            <v>CCM-V8.9-SC-4554</v>
          </cell>
          <cell r="B807">
            <v>9</v>
          </cell>
          <cell r="C807">
            <v>327</v>
          </cell>
          <cell r="D807">
            <v>50</v>
          </cell>
          <cell r="E807">
            <v>1.48</v>
          </cell>
          <cell r="F807">
            <v>814</v>
          </cell>
          <cell r="G807" t="str">
            <v>shaft</v>
          </cell>
          <cell r="H807" t="str">
            <v>145*29*16</v>
          </cell>
          <cell r="I807">
            <v>145</v>
          </cell>
          <cell r="J807">
            <v>29</v>
          </cell>
          <cell r="K807">
            <v>16</v>
          </cell>
        </row>
        <row r="808">
          <cell r="A808" t="str">
            <v>CCM-V8-SC-6054</v>
          </cell>
          <cell r="B808">
            <v>9</v>
          </cell>
          <cell r="C808">
            <v>327</v>
          </cell>
          <cell r="D808">
            <v>50</v>
          </cell>
          <cell r="E808">
            <v>1.48</v>
          </cell>
          <cell r="F808">
            <v>816</v>
          </cell>
          <cell r="G808" t="str">
            <v>shaft</v>
          </cell>
          <cell r="H808" t="str">
            <v>145*29*16</v>
          </cell>
          <cell r="I808">
            <v>145</v>
          </cell>
          <cell r="J808">
            <v>29</v>
          </cell>
          <cell r="K808">
            <v>16</v>
          </cell>
        </row>
        <row r="809">
          <cell r="A809" t="str">
            <v>CCM-V10-TT-6056</v>
          </cell>
          <cell r="B809">
            <v>9</v>
          </cell>
          <cell r="C809">
            <v>360</v>
          </cell>
          <cell r="D809">
            <v>50</v>
          </cell>
          <cell r="E809">
            <v>1.48</v>
          </cell>
          <cell r="F809">
            <v>817</v>
          </cell>
          <cell r="G809" t="str">
            <v>shaft</v>
          </cell>
          <cell r="H809" t="str">
            <v>145*29*16</v>
          </cell>
          <cell r="I809">
            <v>145</v>
          </cell>
          <cell r="J809">
            <v>29</v>
          </cell>
          <cell r="K809">
            <v>16</v>
          </cell>
        </row>
        <row r="810">
          <cell r="A810" t="str">
            <v>UPRLTPS35WX-46</v>
          </cell>
          <cell r="B810">
            <v>9</v>
          </cell>
          <cell r="C810">
            <v>73</v>
          </cell>
          <cell r="D810">
            <v>50</v>
          </cell>
          <cell r="E810">
            <v>0.6</v>
          </cell>
          <cell r="F810">
            <v>818</v>
          </cell>
          <cell r="G810" t="str">
            <v>golf</v>
          </cell>
          <cell r="H810" t="str">
            <v>122*15*10</v>
          </cell>
          <cell r="I810">
            <v>122</v>
          </cell>
          <cell r="J810">
            <v>15</v>
          </cell>
          <cell r="K810">
            <v>10</v>
          </cell>
        </row>
        <row r="811">
          <cell r="A811" t="str">
            <v>CCM-V10-TC-3553</v>
          </cell>
          <cell r="B811">
            <v>9</v>
          </cell>
          <cell r="C811">
            <v>285</v>
          </cell>
          <cell r="D811">
            <v>50</v>
          </cell>
          <cell r="E811">
            <v>1.48</v>
          </cell>
          <cell r="F811">
            <v>819</v>
          </cell>
          <cell r="G811" t="str">
            <v>shaft</v>
          </cell>
          <cell r="H811" t="str">
            <v>145*29*16</v>
          </cell>
          <cell r="I811">
            <v>145</v>
          </cell>
          <cell r="J811">
            <v>29</v>
          </cell>
          <cell r="K811">
            <v>16</v>
          </cell>
        </row>
        <row r="812">
          <cell r="A812" t="str">
            <v>CCM-V8.9-SC-3551</v>
          </cell>
          <cell r="B812">
            <v>9</v>
          </cell>
          <cell r="C812">
            <v>310</v>
          </cell>
          <cell r="D812">
            <v>50</v>
          </cell>
          <cell r="E812">
            <v>1.48</v>
          </cell>
          <cell r="F812">
            <v>820</v>
          </cell>
          <cell r="G812" t="str">
            <v>shaft</v>
          </cell>
          <cell r="H812" t="str">
            <v>145*29*16</v>
          </cell>
          <cell r="I812">
            <v>145</v>
          </cell>
          <cell r="J812">
            <v>29</v>
          </cell>
          <cell r="K812">
            <v>16</v>
          </cell>
        </row>
        <row r="813">
          <cell r="A813" t="str">
            <v>CCM-V8.9-SC-6054</v>
          </cell>
          <cell r="B813">
            <v>9</v>
          </cell>
          <cell r="C813">
            <v>327</v>
          </cell>
          <cell r="D813">
            <v>50</v>
          </cell>
          <cell r="E813">
            <v>1.48</v>
          </cell>
          <cell r="F813">
            <v>821</v>
          </cell>
          <cell r="G813" t="str">
            <v>shaft</v>
          </cell>
          <cell r="H813" t="str">
            <v>145*29*16</v>
          </cell>
          <cell r="I813">
            <v>145</v>
          </cell>
          <cell r="J813">
            <v>29</v>
          </cell>
          <cell r="K813">
            <v>16</v>
          </cell>
        </row>
        <row r="814">
          <cell r="A814" t="str">
            <v>CCM-V8.9-ST-4054</v>
          </cell>
          <cell r="B814">
            <v>9</v>
          </cell>
          <cell r="C814">
            <v>340</v>
          </cell>
          <cell r="D814">
            <v>50</v>
          </cell>
          <cell r="E814">
            <v>1.48</v>
          </cell>
          <cell r="F814">
            <v>822</v>
          </cell>
          <cell r="G814" t="str">
            <v>shaft</v>
          </cell>
          <cell r="H814" t="str">
            <v>145*29*16</v>
          </cell>
          <cell r="I814">
            <v>145</v>
          </cell>
          <cell r="J814">
            <v>29</v>
          </cell>
          <cell r="K814">
            <v>16</v>
          </cell>
        </row>
        <row r="815">
          <cell r="A815" t="str">
            <v>CCM-V8-TT-3553</v>
          </cell>
          <cell r="B815">
            <v>9</v>
          </cell>
          <cell r="C815">
            <v>325</v>
          </cell>
          <cell r="D815">
            <v>50</v>
          </cell>
          <cell r="E815">
            <v>1.48</v>
          </cell>
          <cell r="F815">
            <v>823</v>
          </cell>
          <cell r="G815" t="str">
            <v>shaft</v>
          </cell>
          <cell r="H815" t="str">
            <v>145*29*16</v>
          </cell>
          <cell r="I815">
            <v>145</v>
          </cell>
          <cell r="J815">
            <v>29</v>
          </cell>
          <cell r="K815">
            <v>16</v>
          </cell>
        </row>
        <row r="816">
          <cell r="A816" t="str">
            <v>SHR-MOM-S63R</v>
          </cell>
          <cell r="B816">
            <v>9</v>
          </cell>
          <cell r="C816">
            <v>150</v>
          </cell>
          <cell r="D816">
            <v>6</v>
          </cell>
          <cell r="E816">
            <v>0.2</v>
          </cell>
          <cell r="F816">
            <v>824</v>
          </cell>
          <cell r="G816" t="str">
            <v>blade</v>
          </cell>
          <cell r="H816" t="str">
            <v>45*26*8</v>
          </cell>
          <cell r="I816">
            <v>45</v>
          </cell>
          <cell r="J816">
            <v>26</v>
          </cell>
          <cell r="K816">
            <v>8</v>
          </cell>
        </row>
        <row r="817">
          <cell r="A817" t="str">
            <v>SHR-MOM-S63L</v>
          </cell>
          <cell r="B817">
            <v>9</v>
          </cell>
          <cell r="C817">
            <v>150</v>
          </cell>
          <cell r="D817">
            <v>6</v>
          </cell>
          <cell r="E817">
            <v>0.2</v>
          </cell>
          <cell r="F817">
            <v>825</v>
          </cell>
          <cell r="G817" t="str">
            <v>blade</v>
          </cell>
          <cell r="H817" t="str">
            <v>45*26*8</v>
          </cell>
          <cell r="I817">
            <v>45</v>
          </cell>
          <cell r="J817">
            <v>26</v>
          </cell>
          <cell r="K817">
            <v>8</v>
          </cell>
        </row>
        <row r="818">
          <cell r="A818" t="str">
            <v>CCM-V8.9-TT-4556</v>
          </cell>
          <cell r="B818">
            <v>9</v>
          </cell>
          <cell r="C818">
            <v>360</v>
          </cell>
          <cell r="D818">
            <v>50</v>
          </cell>
          <cell r="E818">
            <v>1.48</v>
          </cell>
          <cell r="F818">
            <v>826</v>
          </cell>
          <cell r="G818" t="str">
            <v>shaft</v>
          </cell>
          <cell r="H818" t="str">
            <v>145*29*16</v>
          </cell>
          <cell r="I818">
            <v>145</v>
          </cell>
          <cell r="J818">
            <v>29</v>
          </cell>
          <cell r="K818">
            <v>16</v>
          </cell>
        </row>
        <row r="819">
          <cell r="A819" t="str">
            <v>CCM-V8.9-SC-5554</v>
          </cell>
          <cell r="B819">
            <v>9</v>
          </cell>
          <cell r="C819">
            <v>327</v>
          </cell>
          <cell r="D819">
            <v>50</v>
          </cell>
          <cell r="E819">
            <v>1.48</v>
          </cell>
          <cell r="F819">
            <v>827</v>
          </cell>
          <cell r="G819" t="str">
            <v>shaft</v>
          </cell>
          <cell r="H819" t="str">
            <v>145*29*16</v>
          </cell>
          <cell r="I819">
            <v>145</v>
          </cell>
          <cell r="J819">
            <v>29</v>
          </cell>
          <cell r="K819">
            <v>16</v>
          </cell>
        </row>
        <row r="820">
          <cell r="A820" t="str">
            <v>CCM-V8-TT-6056</v>
          </cell>
          <cell r="B820">
            <v>9</v>
          </cell>
          <cell r="C820">
            <v>380</v>
          </cell>
          <cell r="D820">
            <v>50</v>
          </cell>
          <cell r="E820">
            <v>1.48</v>
          </cell>
          <cell r="F820">
            <v>828</v>
          </cell>
          <cell r="G820" t="str">
            <v>shaft</v>
          </cell>
          <cell r="H820" t="str">
            <v>145*29*16</v>
          </cell>
          <cell r="I820">
            <v>145</v>
          </cell>
          <cell r="J820">
            <v>29</v>
          </cell>
          <cell r="K820">
            <v>16</v>
          </cell>
        </row>
        <row r="821">
          <cell r="A821" t="str">
            <v>CCM-V8-ST-6054</v>
          </cell>
          <cell r="B821">
            <v>9</v>
          </cell>
          <cell r="C821">
            <v>360</v>
          </cell>
          <cell r="D821">
            <v>50</v>
          </cell>
          <cell r="E821">
            <v>1.48</v>
          </cell>
          <cell r="F821">
            <v>829</v>
          </cell>
          <cell r="G821" t="str">
            <v>shaft</v>
          </cell>
          <cell r="H821" t="str">
            <v>145*29*16</v>
          </cell>
          <cell r="I821">
            <v>145</v>
          </cell>
          <cell r="J821">
            <v>29</v>
          </cell>
          <cell r="K821">
            <v>16</v>
          </cell>
        </row>
        <row r="822">
          <cell r="A822" t="str">
            <v>UNKSF65WR-45</v>
          </cell>
          <cell r="B822">
            <v>9</v>
          </cell>
          <cell r="C822">
            <v>72</v>
          </cell>
          <cell r="D822">
            <v>50</v>
          </cell>
          <cell r="E822">
            <v>0.6</v>
          </cell>
          <cell r="F822">
            <v>830</v>
          </cell>
          <cell r="G822" t="str">
            <v>golf</v>
          </cell>
          <cell r="H822" t="str">
            <v>122*15*10</v>
          </cell>
          <cell r="I822">
            <v>122</v>
          </cell>
          <cell r="J822">
            <v>15</v>
          </cell>
          <cell r="K822">
            <v>10</v>
          </cell>
        </row>
        <row r="823">
          <cell r="A823" t="str">
            <v>UNKSF85WR-44</v>
          </cell>
          <cell r="B823">
            <v>9</v>
          </cell>
          <cell r="C823">
            <v>80</v>
          </cell>
          <cell r="D823">
            <v>50</v>
          </cell>
          <cell r="E823">
            <v>0.6</v>
          </cell>
          <cell r="F823">
            <v>831</v>
          </cell>
          <cell r="G823" t="str">
            <v>golf</v>
          </cell>
          <cell r="H823" t="str">
            <v>122*15*10</v>
          </cell>
          <cell r="I823">
            <v>122</v>
          </cell>
          <cell r="J823">
            <v>15</v>
          </cell>
          <cell r="K823">
            <v>10</v>
          </cell>
        </row>
        <row r="824">
          <cell r="A824" t="str">
            <v>CCM-V8-TC-6056</v>
          </cell>
          <cell r="B824">
            <v>9</v>
          </cell>
          <cell r="C824">
            <v>342</v>
          </cell>
          <cell r="D824">
            <v>50</v>
          </cell>
          <cell r="E824">
            <v>1.48</v>
          </cell>
          <cell r="F824">
            <v>832</v>
          </cell>
          <cell r="G824" t="str">
            <v>shaft</v>
          </cell>
          <cell r="H824" t="str">
            <v>145*29*16</v>
          </cell>
          <cell r="I824">
            <v>145</v>
          </cell>
          <cell r="J824">
            <v>29</v>
          </cell>
          <cell r="K824">
            <v>16</v>
          </cell>
        </row>
        <row r="825">
          <cell r="A825" t="str">
            <v>UNKSF85HI-41</v>
          </cell>
          <cell r="B825">
            <v>9</v>
          </cell>
          <cell r="C825">
            <v>76</v>
          </cell>
          <cell r="D825">
            <v>50</v>
          </cell>
          <cell r="E825">
            <v>0.6</v>
          </cell>
          <cell r="F825">
            <v>833</v>
          </cell>
          <cell r="G825" t="str">
            <v>golf</v>
          </cell>
          <cell r="H825" t="str">
            <v>122*15*10</v>
          </cell>
          <cell r="I825">
            <v>122</v>
          </cell>
          <cell r="J825">
            <v>15</v>
          </cell>
          <cell r="K825">
            <v>10</v>
          </cell>
        </row>
        <row r="826">
          <cell r="A826" t="str">
            <v>UNKSF85WS-44</v>
          </cell>
          <cell r="B826">
            <v>9</v>
          </cell>
          <cell r="C826">
            <v>81</v>
          </cell>
          <cell r="D826">
            <v>50</v>
          </cell>
          <cell r="E826">
            <v>0.6</v>
          </cell>
          <cell r="F826">
            <v>834</v>
          </cell>
          <cell r="G826" t="str">
            <v>golf</v>
          </cell>
          <cell r="H826" t="str">
            <v>122*15*10</v>
          </cell>
          <cell r="I826">
            <v>122</v>
          </cell>
          <cell r="J826">
            <v>15</v>
          </cell>
          <cell r="K826">
            <v>10</v>
          </cell>
        </row>
        <row r="827">
          <cell r="A827" t="str">
            <v>ULTOUR33WR-46-RED</v>
          </cell>
          <cell r="B827">
            <v>9</v>
          </cell>
          <cell r="C827">
            <v>67</v>
          </cell>
          <cell r="D827">
            <v>50</v>
          </cell>
          <cell r="E827">
            <v>0.6</v>
          </cell>
          <cell r="F827">
            <v>835</v>
          </cell>
          <cell r="G827" t="str">
            <v>golf</v>
          </cell>
          <cell r="H827" t="str">
            <v>122*15*10</v>
          </cell>
          <cell r="I827">
            <v>122</v>
          </cell>
          <cell r="J827">
            <v>15</v>
          </cell>
          <cell r="K827">
            <v>10</v>
          </cell>
        </row>
        <row r="828">
          <cell r="A828" t="str">
            <v>ULTOUR33WS-46-RED</v>
          </cell>
          <cell r="B828">
            <v>9</v>
          </cell>
          <cell r="C828">
            <v>70</v>
          </cell>
          <cell r="D828">
            <v>50</v>
          </cell>
          <cell r="E828">
            <v>0.6</v>
          </cell>
          <cell r="F828">
            <v>836</v>
          </cell>
          <cell r="G828" t="str">
            <v>golf</v>
          </cell>
          <cell r="H828" t="str">
            <v>122*15*10</v>
          </cell>
          <cell r="I828">
            <v>122</v>
          </cell>
          <cell r="J828">
            <v>15</v>
          </cell>
          <cell r="K828">
            <v>10</v>
          </cell>
        </row>
        <row r="829">
          <cell r="A829" t="str">
            <v>ULTOUR33WR-46-BLUE</v>
          </cell>
          <cell r="B829">
            <v>9</v>
          </cell>
          <cell r="C829">
            <v>70</v>
          </cell>
          <cell r="D829">
            <v>50</v>
          </cell>
          <cell r="E829">
            <v>0.6</v>
          </cell>
          <cell r="F829">
            <v>837</v>
          </cell>
          <cell r="G829" t="str">
            <v>golf</v>
          </cell>
          <cell r="H829" t="str">
            <v>122*15*10</v>
          </cell>
          <cell r="I829">
            <v>122</v>
          </cell>
          <cell r="J829">
            <v>15</v>
          </cell>
          <cell r="K829">
            <v>10</v>
          </cell>
        </row>
        <row r="830">
          <cell r="A830" t="str">
            <v>ULTOUR33WS-46-BLUE</v>
          </cell>
          <cell r="B830">
            <v>9</v>
          </cell>
          <cell r="C830">
            <v>70</v>
          </cell>
          <cell r="D830">
            <v>50</v>
          </cell>
          <cell r="E830">
            <v>0.6</v>
          </cell>
          <cell r="F830">
            <v>838</v>
          </cell>
          <cell r="G830" t="str">
            <v>golf</v>
          </cell>
          <cell r="H830" t="str">
            <v>122*15*10</v>
          </cell>
          <cell r="I830">
            <v>122</v>
          </cell>
          <cell r="J830">
            <v>15</v>
          </cell>
          <cell r="K830">
            <v>10</v>
          </cell>
        </row>
        <row r="831">
          <cell r="A831" t="str">
            <v>UNKSF65WS-45</v>
          </cell>
          <cell r="B831">
            <v>9</v>
          </cell>
          <cell r="C831">
            <v>74</v>
          </cell>
          <cell r="D831">
            <v>50</v>
          </cell>
          <cell r="E831">
            <v>0.6</v>
          </cell>
          <cell r="F831">
            <v>839</v>
          </cell>
          <cell r="G831" t="str">
            <v>golf</v>
          </cell>
          <cell r="H831" t="str">
            <v>122*15*10</v>
          </cell>
          <cell r="I831">
            <v>122</v>
          </cell>
          <cell r="J831">
            <v>15</v>
          </cell>
          <cell r="K831">
            <v>10</v>
          </cell>
        </row>
        <row r="832">
          <cell r="A832" t="str">
            <v>CCM-V8.9-TC-4556</v>
          </cell>
          <cell r="B832">
            <v>9</v>
          </cell>
          <cell r="C832">
            <v>342</v>
          </cell>
          <cell r="D832">
            <v>50</v>
          </cell>
          <cell r="E832">
            <v>1.48</v>
          </cell>
          <cell r="F832">
            <v>840</v>
          </cell>
          <cell r="G832" t="str">
            <v>shaft</v>
          </cell>
          <cell r="H832" t="str">
            <v>145*29*16</v>
          </cell>
          <cell r="I832">
            <v>145</v>
          </cell>
          <cell r="J832">
            <v>29</v>
          </cell>
          <cell r="K832">
            <v>16</v>
          </cell>
        </row>
        <row r="833">
          <cell r="A833" t="str">
            <v>ULAUNCHADFWX-44</v>
          </cell>
          <cell r="B833">
            <v>9</v>
          </cell>
          <cell r="C833">
            <v>75</v>
          </cell>
          <cell r="D833">
            <v>50</v>
          </cell>
          <cell r="E833">
            <v>0.6</v>
          </cell>
          <cell r="F833">
            <v>841</v>
          </cell>
          <cell r="G833" t="str">
            <v>golf</v>
          </cell>
          <cell r="H833" t="str">
            <v>122*15*10</v>
          </cell>
          <cell r="I833">
            <v>122</v>
          </cell>
          <cell r="J833">
            <v>15</v>
          </cell>
          <cell r="K833">
            <v>10</v>
          </cell>
        </row>
        <row r="834">
          <cell r="A834" t="str">
            <v>UPCSPOON35IR-42</v>
          </cell>
          <cell r="B834">
            <v>9</v>
          </cell>
          <cell r="C834">
            <v>69</v>
          </cell>
          <cell r="D834">
            <v>50</v>
          </cell>
          <cell r="E834">
            <v>0.6</v>
          </cell>
          <cell r="F834">
            <v>842</v>
          </cell>
          <cell r="G834" t="str">
            <v>golf</v>
          </cell>
          <cell r="H834" t="str">
            <v>122*15*10</v>
          </cell>
          <cell r="I834">
            <v>122</v>
          </cell>
          <cell r="J834">
            <v>15</v>
          </cell>
          <cell r="K834">
            <v>10</v>
          </cell>
        </row>
        <row r="835">
          <cell r="A835" t="str">
            <v>PASS-TI-07051</v>
          </cell>
          <cell r="B835">
            <v>9</v>
          </cell>
          <cell r="C835">
            <v>320</v>
          </cell>
          <cell r="D835">
            <v>50</v>
          </cell>
          <cell r="E835">
            <v>1.48</v>
          </cell>
          <cell r="F835">
            <v>843</v>
          </cell>
          <cell r="G835" t="str">
            <v>shaft</v>
          </cell>
          <cell r="H835" t="str">
            <v>145*29*16</v>
          </cell>
          <cell r="I835">
            <v>145</v>
          </cell>
          <cell r="J835">
            <v>29</v>
          </cell>
          <cell r="K835">
            <v>16</v>
          </cell>
        </row>
        <row r="836">
          <cell r="A836" t="str">
            <v>CCM-V8.9-SC-4056</v>
          </cell>
          <cell r="B836">
            <v>9</v>
          </cell>
          <cell r="C836">
            <v>390</v>
          </cell>
          <cell r="D836">
            <v>50</v>
          </cell>
          <cell r="E836">
            <v>1.48</v>
          </cell>
          <cell r="F836">
            <v>844</v>
          </cell>
          <cell r="G836" t="str">
            <v>shaft</v>
          </cell>
          <cell r="H836" t="str">
            <v>145*29*16</v>
          </cell>
          <cell r="I836">
            <v>145</v>
          </cell>
          <cell r="J836">
            <v>29</v>
          </cell>
          <cell r="K836">
            <v>16</v>
          </cell>
        </row>
        <row r="837">
          <cell r="A837" t="str">
            <v>CCM-V8.9-TC-6056</v>
          </cell>
          <cell r="B837">
            <v>9</v>
          </cell>
          <cell r="C837">
            <v>342</v>
          </cell>
          <cell r="D837">
            <v>50</v>
          </cell>
          <cell r="E837">
            <v>1.48</v>
          </cell>
          <cell r="F837">
            <v>845</v>
          </cell>
          <cell r="G837" t="str">
            <v>shaft</v>
          </cell>
          <cell r="H837" t="str">
            <v>145*29*16</v>
          </cell>
          <cell r="I837">
            <v>145</v>
          </cell>
          <cell r="J837">
            <v>29</v>
          </cell>
          <cell r="K837">
            <v>16</v>
          </cell>
        </row>
        <row r="838">
          <cell r="A838" t="str">
            <v>CCM-V8.9-TT-6056</v>
          </cell>
          <cell r="B838">
            <v>9</v>
          </cell>
          <cell r="C838">
            <v>390</v>
          </cell>
          <cell r="D838">
            <v>50</v>
          </cell>
          <cell r="E838">
            <v>1.48</v>
          </cell>
          <cell r="F838">
            <v>846</v>
          </cell>
          <cell r="G838" t="str">
            <v>shaft</v>
          </cell>
          <cell r="H838" t="str">
            <v>145*29*16</v>
          </cell>
          <cell r="I838">
            <v>145</v>
          </cell>
          <cell r="J838">
            <v>29</v>
          </cell>
          <cell r="K838">
            <v>16</v>
          </cell>
        </row>
        <row r="839">
          <cell r="A839" t="str">
            <v>ULAUNCHRM633WS-46</v>
          </cell>
          <cell r="B839">
            <v>9</v>
          </cell>
          <cell r="C839">
            <v>67</v>
          </cell>
          <cell r="D839">
            <v>50</v>
          </cell>
          <cell r="E839">
            <v>0.6</v>
          </cell>
          <cell r="F839">
            <v>847</v>
          </cell>
          <cell r="G839" t="str">
            <v>golf</v>
          </cell>
          <cell r="H839" t="str">
            <v>122*15*10</v>
          </cell>
          <cell r="I839">
            <v>122</v>
          </cell>
          <cell r="J839">
            <v>15</v>
          </cell>
          <cell r="K839">
            <v>10</v>
          </cell>
        </row>
        <row r="840">
          <cell r="A840" t="str">
            <v>ULAUNCHRM633WR-46</v>
          </cell>
          <cell r="B840">
            <v>9</v>
          </cell>
          <cell r="C840">
            <v>69</v>
          </cell>
          <cell r="D840">
            <v>50</v>
          </cell>
          <cell r="E840">
            <v>0.6</v>
          </cell>
          <cell r="F840">
            <v>848</v>
          </cell>
          <cell r="G840" t="str">
            <v>golf</v>
          </cell>
          <cell r="H840" t="str">
            <v>122*15*10</v>
          </cell>
          <cell r="I840">
            <v>122</v>
          </cell>
          <cell r="J840">
            <v>15</v>
          </cell>
          <cell r="K840">
            <v>10</v>
          </cell>
        </row>
        <row r="841">
          <cell r="A841" t="str">
            <v>ULAUNCH533WA-46</v>
          </cell>
          <cell r="B841">
            <v>9</v>
          </cell>
          <cell r="C841">
            <v>57</v>
          </cell>
          <cell r="D841">
            <v>50</v>
          </cell>
          <cell r="E841">
            <v>0.6</v>
          </cell>
          <cell r="F841">
            <v>849</v>
          </cell>
          <cell r="G841" t="str">
            <v>golf</v>
          </cell>
          <cell r="H841" t="str">
            <v>122*15*10</v>
          </cell>
          <cell r="I841">
            <v>122</v>
          </cell>
          <cell r="J841">
            <v>15</v>
          </cell>
          <cell r="K841">
            <v>10</v>
          </cell>
        </row>
        <row r="842">
          <cell r="A842" t="str">
            <v>UTCTRHLWR-46</v>
          </cell>
          <cell r="B842">
            <v>9</v>
          </cell>
          <cell r="C842">
            <v>66</v>
          </cell>
          <cell r="D842">
            <v>50</v>
          </cell>
          <cell r="E842">
            <v>0.6</v>
          </cell>
          <cell r="F842">
            <v>850</v>
          </cell>
          <cell r="G842" t="str">
            <v>golf</v>
          </cell>
          <cell r="H842" t="str">
            <v>122*15*10</v>
          </cell>
          <cell r="I842">
            <v>122</v>
          </cell>
          <cell r="J842">
            <v>15</v>
          </cell>
          <cell r="K842">
            <v>10</v>
          </cell>
        </row>
        <row r="843">
          <cell r="A843" t="str">
            <v>UTCTRHLWS-46</v>
          </cell>
          <cell r="B843">
            <v>9</v>
          </cell>
          <cell r="C843">
            <v>68</v>
          </cell>
          <cell r="D843">
            <v>50</v>
          </cell>
          <cell r="E843">
            <v>0.6</v>
          </cell>
          <cell r="F843">
            <v>851</v>
          </cell>
          <cell r="G843" t="str">
            <v>golf</v>
          </cell>
          <cell r="H843" t="str">
            <v>122*15*10</v>
          </cell>
          <cell r="I843">
            <v>122</v>
          </cell>
          <cell r="J843">
            <v>15</v>
          </cell>
          <cell r="K843">
            <v>10</v>
          </cell>
        </row>
        <row r="844">
          <cell r="A844" t="str">
            <v>UAMP33WR-46</v>
          </cell>
          <cell r="B844">
            <v>9</v>
          </cell>
          <cell r="C844">
            <v>67</v>
          </cell>
          <cell r="D844">
            <v>50</v>
          </cell>
          <cell r="E844">
            <v>0.6</v>
          </cell>
          <cell r="F844">
            <v>852</v>
          </cell>
          <cell r="G844" t="str">
            <v>golf</v>
          </cell>
          <cell r="H844" t="str">
            <v>122*15*10</v>
          </cell>
          <cell r="I844">
            <v>122</v>
          </cell>
          <cell r="J844">
            <v>15</v>
          </cell>
          <cell r="K844">
            <v>10</v>
          </cell>
        </row>
        <row r="845">
          <cell r="A845" t="str">
            <v>UAMP33WS-46</v>
          </cell>
          <cell r="B845">
            <v>9</v>
          </cell>
          <cell r="C845">
            <v>70</v>
          </cell>
          <cell r="D845">
            <v>50</v>
          </cell>
          <cell r="E845">
            <v>0.6</v>
          </cell>
          <cell r="F845">
            <v>853</v>
          </cell>
          <cell r="G845" t="str">
            <v>golf</v>
          </cell>
          <cell r="H845" t="str">
            <v>122*15*10</v>
          </cell>
          <cell r="I845">
            <v>122</v>
          </cell>
          <cell r="J845">
            <v>15</v>
          </cell>
          <cell r="K845">
            <v>10</v>
          </cell>
        </row>
        <row r="846">
          <cell r="A846" t="str">
            <v>UAMP33WA-46</v>
          </cell>
          <cell r="B846">
            <v>9</v>
          </cell>
          <cell r="C846">
            <v>65</v>
          </cell>
          <cell r="D846">
            <v>50</v>
          </cell>
          <cell r="E846">
            <v>0.6</v>
          </cell>
          <cell r="F846">
            <v>854</v>
          </cell>
          <cell r="G846" t="str">
            <v>golf</v>
          </cell>
          <cell r="H846" t="str">
            <v>122*15*10</v>
          </cell>
          <cell r="I846">
            <v>122</v>
          </cell>
          <cell r="J846">
            <v>15</v>
          </cell>
          <cell r="K846">
            <v>10</v>
          </cell>
        </row>
        <row r="847">
          <cell r="A847" t="str">
            <v>CCM-V8-TC-3551</v>
          </cell>
          <cell r="B847">
            <v>9</v>
          </cell>
          <cell r="C847">
            <v>340</v>
          </cell>
          <cell r="D847">
            <v>50</v>
          </cell>
          <cell r="E847">
            <v>1.48</v>
          </cell>
          <cell r="F847">
            <v>855</v>
          </cell>
          <cell r="G847" t="str">
            <v>shaft</v>
          </cell>
          <cell r="H847" t="str">
            <v>145*29*16</v>
          </cell>
          <cell r="I847">
            <v>145</v>
          </cell>
          <cell r="J847">
            <v>29</v>
          </cell>
          <cell r="K847">
            <v>16</v>
          </cell>
        </row>
        <row r="848">
          <cell r="A848" t="str">
            <v>M66L-N6-S-03618</v>
          </cell>
          <cell r="B848">
            <v>9</v>
          </cell>
          <cell r="C848">
            <v>67</v>
          </cell>
          <cell r="D848">
            <v>50</v>
          </cell>
          <cell r="E848">
            <v>0.6</v>
          </cell>
          <cell r="F848">
            <v>856</v>
          </cell>
          <cell r="G848" t="str">
            <v>golf</v>
          </cell>
          <cell r="H848" t="str">
            <v>122*15*10</v>
          </cell>
          <cell r="I848">
            <v>122</v>
          </cell>
          <cell r="J848">
            <v>15</v>
          </cell>
          <cell r="K848">
            <v>10</v>
          </cell>
        </row>
        <row r="849">
          <cell r="A849" t="str">
            <v>WWTPWWA-47-P2</v>
          </cell>
          <cell r="B849">
            <v>9</v>
          </cell>
          <cell r="C849">
            <v>79</v>
          </cell>
          <cell r="D849">
            <v>50</v>
          </cell>
          <cell r="E849">
            <v>0.6</v>
          </cell>
          <cell r="F849">
            <v>857</v>
          </cell>
          <cell r="G849" t="str">
            <v>golf</v>
          </cell>
          <cell r="H849" t="str">
            <v>122*15*10</v>
          </cell>
          <cell r="I849">
            <v>122</v>
          </cell>
          <cell r="J849">
            <v>15</v>
          </cell>
          <cell r="K849">
            <v>10</v>
          </cell>
        </row>
        <row r="850">
          <cell r="A850" t="str">
            <v>WWTPWWL-47-P2</v>
          </cell>
          <cell r="B850">
            <v>9</v>
          </cell>
          <cell r="C850">
            <v>79</v>
          </cell>
          <cell r="D850">
            <v>50</v>
          </cell>
          <cell r="E850">
            <v>0.6</v>
          </cell>
          <cell r="F850">
            <v>858</v>
          </cell>
          <cell r="G850" t="str">
            <v>golf</v>
          </cell>
          <cell r="H850" t="str">
            <v>122*15*10</v>
          </cell>
          <cell r="I850">
            <v>122</v>
          </cell>
          <cell r="J850">
            <v>15</v>
          </cell>
          <cell r="K850">
            <v>10</v>
          </cell>
        </row>
        <row r="851">
          <cell r="A851" t="str">
            <v>WWTPWWR-47-P2</v>
          </cell>
          <cell r="B851">
            <v>9</v>
          </cell>
          <cell r="C851">
            <v>79</v>
          </cell>
          <cell r="D851">
            <v>50</v>
          </cell>
          <cell r="E851">
            <v>0.6</v>
          </cell>
          <cell r="F851">
            <v>859</v>
          </cell>
          <cell r="G851" t="str">
            <v>golf</v>
          </cell>
          <cell r="H851" t="str">
            <v>122*15*10</v>
          </cell>
          <cell r="I851">
            <v>122</v>
          </cell>
          <cell r="J851">
            <v>15</v>
          </cell>
          <cell r="K851">
            <v>10</v>
          </cell>
        </row>
        <row r="852">
          <cell r="A852" t="str">
            <v>MIS-STA-S56L-08560</v>
          </cell>
          <cell r="B852">
            <v>9</v>
          </cell>
          <cell r="C852">
            <v>483</v>
          </cell>
          <cell r="D852">
            <v>25</v>
          </cell>
          <cell r="E852">
            <v>1.6</v>
          </cell>
          <cell r="F852">
            <v>860</v>
          </cell>
          <cell r="G852" t="str">
            <v>hockey</v>
          </cell>
          <cell r="H852" t="str">
            <v>183*29*16</v>
          </cell>
          <cell r="I852">
            <v>183</v>
          </cell>
          <cell r="J852">
            <v>29</v>
          </cell>
          <cell r="K852">
            <v>16</v>
          </cell>
        </row>
        <row r="853">
          <cell r="A853" t="str">
            <v>WWTPWWS-47-P2</v>
          </cell>
          <cell r="B853">
            <v>9</v>
          </cell>
          <cell r="C853">
            <v>84</v>
          </cell>
          <cell r="D853">
            <v>50</v>
          </cell>
          <cell r="E853">
            <v>0.6</v>
          </cell>
          <cell r="F853">
            <v>861</v>
          </cell>
          <cell r="G853" t="str">
            <v>golf</v>
          </cell>
          <cell r="H853" t="str">
            <v>122*15*10</v>
          </cell>
          <cell r="I853">
            <v>122</v>
          </cell>
          <cell r="J853">
            <v>15</v>
          </cell>
          <cell r="K853">
            <v>10</v>
          </cell>
        </row>
        <row r="854">
          <cell r="A854" t="str">
            <v>CCM-V8-TC-3051</v>
          </cell>
          <cell r="B854">
            <v>9</v>
          </cell>
          <cell r="C854">
            <v>340</v>
          </cell>
          <cell r="D854">
            <v>50</v>
          </cell>
          <cell r="E854">
            <v>1.48</v>
          </cell>
          <cell r="F854">
            <v>862</v>
          </cell>
          <cell r="G854" t="str">
            <v>shaft</v>
          </cell>
          <cell r="H854" t="str">
            <v>145*29*16</v>
          </cell>
          <cell r="I854">
            <v>145</v>
          </cell>
          <cell r="J854">
            <v>29</v>
          </cell>
          <cell r="K854">
            <v>16</v>
          </cell>
        </row>
        <row r="855">
          <cell r="A855" t="str">
            <v>UWFS4WL-45-NC</v>
          </cell>
          <cell r="B855">
            <v>9</v>
          </cell>
          <cell r="C855">
            <v>52</v>
          </cell>
          <cell r="D855">
            <v>50</v>
          </cell>
          <cell r="E855">
            <v>0.6</v>
          </cell>
          <cell r="F855">
            <v>863</v>
          </cell>
          <cell r="G855" t="str">
            <v>golf</v>
          </cell>
          <cell r="H855" t="str">
            <v>122*15*10</v>
          </cell>
          <cell r="I855">
            <v>122</v>
          </cell>
          <cell r="J855">
            <v>15</v>
          </cell>
          <cell r="K855">
            <v>10</v>
          </cell>
        </row>
        <row r="856">
          <cell r="A856" t="str">
            <v>UTAIR-40</v>
          </cell>
          <cell r="B856">
            <v>9</v>
          </cell>
          <cell r="C856">
            <v>81</v>
          </cell>
          <cell r="D856">
            <v>50</v>
          </cell>
          <cell r="E856">
            <v>0.6</v>
          </cell>
          <cell r="F856">
            <v>864</v>
          </cell>
          <cell r="G856" t="str">
            <v>golf</v>
          </cell>
          <cell r="H856" t="str">
            <v>122*15*10</v>
          </cell>
          <cell r="I856">
            <v>122</v>
          </cell>
          <cell r="J856">
            <v>15</v>
          </cell>
          <cell r="K856">
            <v>10</v>
          </cell>
        </row>
        <row r="857">
          <cell r="A857" t="str">
            <v>UTAFWS-45</v>
          </cell>
          <cell r="B857">
            <v>9</v>
          </cell>
          <cell r="C857">
            <v>81</v>
          </cell>
          <cell r="D857">
            <v>50</v>
          </cell>
          <cell r="E857">
            <v>0.6</v>
          </cell>
          <cell r="F857">
            <v>865</v>
          </cell>
          <cell r="G857" t="str">
            <v>golf</v>
          </cell>
          <cell r="H857" t="str">
            <v>122*15*10</v>
          </cell>
          <cell r="I857">
            <v>122</v>
          </cell>
          <cell r="J857">
            <v>15</v>
          </cell>
          <cell r="K857">
            <v>10</v>
          </cell>
        </row>
        <row r="858">
          <cell r="A858" t="str">
            <v>UTADWS-46</v>
          </cell>
          <cell r="B858">
            <v>9</v>
          </cell>
          <cell r="C858">
            <v>70</v>
          </cell>
          <cell r="D858">
            <v>50</v>
          </cell>
          <cell r="E858">
            <v>0.6</v>
          </cell>
          <cell r="F858">
            <v>866</v>
          </cell>
          <cell r="G858" t="str">
            <v>golf</v>
          </cell>
          <cell r="H858" t="str">
            <v>122*15*10</v>
          </cell>
          <cell r="I858">
            <v>122</v>
          </cell>
          <cell r="J858">
            <v>15</v>
          </cell>
          <cell r="K858">
            <v>10</v>
          </cell>
        </row>
        <row r="859">
          <cell r="A859" t="str">
            <v>UTADWR-46</v>
          </cell>
          <cell r="B859">
            <v>9</v>
          </cell>
          <cell r="C859">
            <v>71</v>
          </cell>
          <cell r="D859">
            <v>50</v>
          </cell>
          <cell r="E859">
            <v>0.6</v>
          </cell>
          <cell r="F859">
            <v>867</v>
          </cell>
          <cell r="G859" t="str">
            <v>golf</v>
          </cell>
          <cell r="H859" t="str">
            <v>122*15*10</v>
          </cell>
          <cell r="I859">
            <v>122</v>
          </cell>
          <cell r="J859">
            <v>15</v>
          </cell>
          <cell r="K859">
            <v>10</v>
          </cell>
        </row>
        <row r="860">
          <cell r="A860" t="str">
            <v>UTAFWR-45</v>
          </cell>
          <cell r="B860">
            <v>9</v>
          </cell>
          <cell r="C860">
            <v>80</v>
          </cell>
          <cell r="D860">
            <v>50</v>
          </cell>
          <cell r="E860">
            <v>0.6</v>
          </cell>
          <cell r="F860">
            <v>868</v>
          </cell>
          <cell r="G860" t="str">
            <v>golf</v>
          </cell>
          <cell r="H860" t="str">
            <v>122*15*10</v>
          </cell>
          <cell r="I860">
            <v>122</v>
          </cell>
          <cell r="J860">
            <v>15</v>
          </cell>
          <cell r="K860">
            <v>10</v>
          </cell>
        </row>
        <row r="861">
          <cell r="A861" t="str">
            <v>CCM-V8.9-TC-5556</v>
          </cell>
          <cell r="B861">
            <v>9</v>
          </cell>
          <cell r="C861">
            <v>342</v>
          </cell>
          <cell r="D861">
            <v>50</v>
          </cell>
          <cell r="E861">
            <v>1.48</v>
          </cell>
          <cell r="F861">
            <v>869</v>
          </cell>
          <cell r="G861" t="str">
            <v>shaft</v>
          </cell>
          <cell r="H861" t="str">
            <v>145*29*16</v>
          </cell>
          <cell r="I861">
            <v>145</v>
          </cell>
          <cell r="J861">
            <v>29</v>
          </cell>
          <cell r="K861">
            <v>16</v>
          </cell>
        </row>
        <row r="862">
          <cell r="A862" t="str">
            <v>CCM-V10-TC-3053</v>
          </cell>
          <cell r="B862">
            <v>9</v>
          </cell>
          <cell r="C862">
            <v>296</v>
          </cell>
          <cell r="D862">
            <v>50</v>
          </cell>
          <cell r="E862">
            <v>1.48</v>
          </cell>
          <cell r="F862">
            <v>870</v>
          </cell>
          <cell r="G862" t="str">
            <v>shaft</v>
          </cell>
          <cell r="H862" t="str">
            <v>145*29*16</v>
          </cell>
          <cell r="I862">
            <v>145</v>
          </cell>
          <cell r="J862">
            <v>29</v>
          </cell>
          <cell r="K862">
            <v>16</v>
          </cell>
        </row>
        <row r="863">
          <cell r="A863" t="str">
            <v>CCM-V8.9-TT-3553</v>
          </cell>
          <cell r="B863">
            <v>9</v>
          </cell>
          <cell r="C863">
            <v>325</v>
          </cell>
          <cell r="D863">
            <v>50</v>
          </cell>
          <cell r="E863">
            <v>1.48</v>
          </cell>
          <cell r="F863">
            <v>871</v>
          </cell>
          <cell r="G863" t="str">
            <v>shaft</v>
          </cell>
          <cell r="H863" t="str">
            <v>145*29*16</v>
          </cell>
          <cell r="I863">
            <v>145</v>
          </cell>
          <cell r="J863">
            <v>29</v>
          </cell>
          <cell r="K863">
            <v>16</v>
          </cell>
        </row>
        <row r="864">
          <cell r="A864" t="str">
            <v>UCNOTEIX-41</v>
          </cell>
          <cell r="B864">
            <v>9</v>
          </cell>
          <cell r="C864">
            <v>111</v>
          </cell>
          <cell r="D864">
            <v>50</v>
          </cell>
          <cell r="E864">
            <v>0.6</v>
          </cell>
          <cell r="F864">
            <v>872</v>
          </cell>
          <cell r="G864" t="str">
            <v>golf</v>
          </cell>
          <cell r="H864" t="str">
            <v>122*15*10</v>
          </cell>
          <cell r="I864">
            <v>122</v>
          </cell>
          <cell r="J864">
            <v>15</v>
          </cell>
          <cell r="K864">
            <v>10</v>
          </cell>
        </row>
        <row r="865">
          <cell r="A865" t="str">
            <v>CCM-V8-ST-3551</v>
          </cell>
          <cell r="B865">
            <v>9</v>
          </cell>
          <cell r="C865">
            <v>340</v>
          </cell>
          <cell r="D865">
            <v>50</v>
          </cell>
          <cell r="E865">
            <v>1.48</v>
          </cell>
          <cell r="F865">
            <v>873</v>
          </cell>
          <cell r="G865" t="str">
            <v>shaft</v>
          </cell>
          <cell r="H865" t="str">
            <v>145*29*16</v>
          </cell>
          <cell r="I865">
            <v>145</v>
          </cell>
          <cell r="J865">
            <v>29</v>
          </cell>
          <cell r="K865">
            <v>16</v>
          </cell>
        </row>
        <row r="866">
          <cell r="A866" t="str">
            <v>UCNOTEIS-41</v>
          </cell>
          <cell r="B866">
            <v>9</v>
          </cell>
          <cell r="C866">
            <v>106</v>
          </cell>
          <cell r="D866">
            <v>50</v>
          </cell>
          <cell r="E866">
            <v>0.6</v>
          </cell>
          <cell r="F866">
            <v>874</v>
          </cell>
          <cell r="G866" t="str">
            <v>golf</v>
          </cell>
          <cell r="H866" t="str">
            <v>122*15*10</v>
          </cell>
          <cell r="I866">
            <v>122</v>
          </cell>
          <cell r="J866">
            <v>15</v>
          </cell>
          <cell r="K866">
            <v>10</v>
          </cell>
        </row>
        <row r="867">
          <cell r="A867" t="str">
            <v>UTE33V25WL-46</v>
          </cell>
          <cell r="B867">
            <v>9</v>
          </cell>
          <cell r="C867">
            <v>64</v>
          </cell>
          <cell r="D867">
            <v>50</v>
          </cell>
          <cell r="E867">
            <v>0.6</v>
          </cell>
          <cell r="F867">
            <v>875</v>
          </cell>
          <cell r="G867" t="str">
            <v>golf</v>
          </cell>
          <cell r="H867" t="str">
            <v>122*15*10</v>
          </cell>
          <cell r="I867">
            <v>122</v>
          </cell>
          <cell r="J867">
            <v>15</v>
          </cell>
          <cell r="K867">
            <v>10</v>
          </cell>
        </row>
        <row r="868">
          <cell r="A868" t="str">
            <v>ULAUNCHPRSTFIR-41</v>
          </cell>
          <cell r="B868">
            <v>9</v>
          </cell>
          <cell r="C868">
            <v>76</v>
          </cell>
          <cell r="D868">
            <v>50</v>
          </cell>
          <cell r="E868">
            <v>0.6</v>
          </cell>
          <cell r="F868">
            <v>876</v>
          </cell>
          <cell r="G868" t="str">
            <v>golf</v>
          </cell>
          <cell r="H868" t="str">
            <v>122*15*10</v>
          </cell>
          <cell r="I868">
            <v>122</v>
          </cell>
          <cell r="J868">
            <v>15</v>
          </cell>
          <cell r="K868">
            <v>10</v>
          </cell>
        </row>
        <row r="869">
          <cell r="A869" t="str">
            <v>ULAUNCHPRSTFWR-46</v>
          </cell>
          <cell r="B869">
            <v>9</v>
          </cell>
          <cell r="C869">
            <v>67</v>
          </cell>
          <cell r="D869">
            <v>50</v>
          </cell>
          <cell r="E869">
            <v>0.6</v>
          </cell>
          <cell r="F869">
            <v>877</v>
          </cell>
          <cell r="G869" t="str">
            <v>golf</v>
          </cell>
          <cell r="H869" t="str">
            <v>122*15*10</v>
          </cell>
          <cell r="I869">
            <v>122</v>
          </cell>
          <cell r="J869">
            <v>15</v>
          </cell>
          <cell r="K869">
            <v>10</v>
          </cell>
        </row>
        <row r="870">
          <cell r="A870" t="str">
            <v>UTCTRMLWR-46</v>
          </cell>
          <cell r="B870">
            <v>9</v>
          </cell>
          <cell r="C870">
            <v>69</v>
          </cell>
          <cell r="D870">
            <v>50</v>
          </cell>
          <cell r="E870">
            <v>0.6</v>
          </cell>
          <cell r="F870">
            <v>878</v>
          </cell>
          <cell r="G870" t="str">
            <v>golf</v>
          </cell>
          <cell r="H870" t="str">
            <v>122*15*10</v>
          </cell>
          <cell r="I870">
            <v>122</v>
          </cell>
          <cell r="J870">
            <v>15</v>
          </cell>
          <cell r="K870">
            <v>10</v>
          </cell>
        </row>
        <row r="871">
          <cell r="A871" t="str">
            <v>UTCTRMLWS-46</v>
          </cell>
          <cell r="B871">
            <v>9</v>
          </cell>
          <cell r="C871">
            <v>68</v>
          </cell>
          <cell r="D871">
            <v>50</v>
          </cell>
          <cell r="E871">
            <v>0.6</v>
          </cell>
          <cell r="F871">
            <v>879</v>
          </cell>
          <cell r="G871" t="str">
            <v>golf</v>
          </cell>
          <cell r="H871" t="str">
            <v>122*15*10</v>
          </cell>
          <cell r="I871">
            <v>122</v>
          </cell>
          <cell r="J871">
            <v>15</v>
          </cell>
          <cell r="K871">
            <v>10</v>
          </cell>
        </row>
        <row r="872">
          <cell r="A872" t="str">
            <v>UTCTRMLWX-46</v>
          </cell>
          <cell r="B872">
            <v>9</v>
          </cell>
          <cell r="C872">
            <v>70</v>
          </cell>
          <cell r="D872">
            <v>50</v>
          </cell>
          <cell r="E872">
            <v>0.6</v>
          </cell>
          <cell r="F872">
            <v>880</v>
          </cell>
          <cell r="G872" t="str">
            <v>golf</v>
          </cell>
          <cell r="H872" t="str">
            <v>122*15*10</v>
          </cell>
          <cell r="I872">
            <v>122</v>
          </cell>
          <cell r="J872">
            <v>15</v>
          </cell>
          <cell r="K872">
            <v>10</v>
          </cell>
        </row>
        <row r="873">
          <cell r="A873" t="str">
            <v>ULAUNCHRED633WR-46</v>
          </cell>
          <cell r="B873">
            <v>9</v>
          </cell>
          <cell r="C873">
            <v>65</v>
          </cell>
          <cell r="D873">
            <v>50</v>
          </cell>
          <cell r="E873">
            <v>0.6</v>
          </cell>
          <cell r="F873">
            <v>881</v>
          </cell>
          <cell r="G873" t="str">
            <v>golf</v>
          </cell>
          <cell r="H873" t="str">
            <v>122*15*10</v>
          </cell>
          <cell r="I873">
            <v>122</v>
          </cell>
          <cell r="J873">
            <v>15</v>
          </cell>
          <cell r="K873">
            <v>10</v>
          </cell>
        </row>
        <row r="874">
          <cell r="A874" t="str">
            <v>ULAUNCHRED633WS-46</v>
          </cell>
          <cell r="B874">
            <v>9</v>
          </cell>
          <cell r="C874">
            <v>67</v>
          </cell>
          <cell r="D874">
            <v>50</v>
          </cell>
          <cell r="E874">
            <v>0.6</v>
          </cell>
          <cell r="F874">
            <v>882</v>
          </cell>
          <cell r="G874" t="str">
            <v>golf</v>
          </cell>
          <cell r="H874" t="str">
            <v>122*15*10</v>
          </cell>
          <cell r="I874">
            <v>122</v>
          </cell>
          <cell r="J874">
            <v>15</v>
          </cell>
          <cell r="K874">
            <v>10</v>
          </cell>
        </row>
        <row r="875">
          <cell r="A875" t="str">
            <v>ULAUNCHRED633WX-46</v>
          </cell>
          <cell r="B875">
            <v>9</v>
          </cell>
          <cell r="C875">
            <v>69</v>
          </cell>
          <cell r="D875">
            <v>50</v>
          </cell>
          <cell r="E875">
            <v>0.6</v>
          </cell>
          <cell r="F875">
            <v>883</v>
          </cell>
          <cell r="G875" t="str">
            <v>golf</v>
          </cell>
          <cell r="H875" t="str">
            <v>122*15*10</v>
          </cell>
          <cell r="I875">
            <v>122</v>
          </cell>
          <cell r="J875">
            <v>15</v>
          </cell>
          <cell r="K875">
            <v>10</v>
          </cell>
        </row>
        <row r="876">
          <cell r="A876" t="str">
            <v>CCM-V8.9-SC-4054</v>
          </cell>
          <cell r="B876">
            <v>9</v>
          </cell>
          <cell r="C876">
            <v>327</v>
          </cell>
          <cell r="D876">
            <v>50</v>
          </cell>
          <cell r="E876">
            <v>1.48</v>
          </cell>
          <cell r="F876">
            <v>884</v>
          </cell>
          <cell r="G876" t="str">
            <v>shaft</v>
          </cell>
          <cell r="H876" t="str">
            <v>145*29*16</v>
          </cell>
          <cell r="I876">
            <v>145</v>
          </cell>
          <cell r="J876">
            <v>29</v>
          </cell>
          <cell r="K876">
            <v>16</v>
          </cell>
        </row>
        <row r="877">
          <cell r="A877" t="str">
            <v>UBLULD33-48-S</v>
          </cell>
          <cell r="B877">
            <v>9</v>
          </cell>
          <cell r="C877">
            <v>69</v>
          </cell>
          <cell r="D877">
            <v>50</v>
          </cell>
          <cell r="E877">
            <v>0.64</v>
          </cell>
          <cell r="F877">
            <v>885</v>
          </cell>
          <cell r="G877" t="str">
            <v>golf</v>
          </cell>
          <cell r="H877" t="str">
            <v>130*15*10</v>
          </cell>
          <cell r="I877">
            <v>130</v>
          </cell>
          <cell r="J877">
            <v>15</v>
          </cell>
          <cell r="K877">
            <v>10</v>
          </cell>
        </row>
        <row r="878">
          <cell r="A878" t="str">
            <v>BAL-ULTRA-S07L-M</v>
          </cell>
          <cell r="B878">
            <v>9</v>
          </cell>
          <cell r="C878">
            <v>155</v>
          </cell>
          <cell r="D878">
            <v>6</v>
          </cell>
          <cell r="E878">
            <v>0.2</v>
          </cell>
          <cell r="F878">
            <v>886</v>
          </cell>
          <cell r="G878" t="str">
            <v>blade</v>
          </cell>
          <cell r="H878" t="str">
            <v>45*26*8</v>
          </cell>
          <cell r="I878">
            <v>45</v>
          </cell>
          <cell r="J878">
            <v>26</v>
          </cell>
          <cell r="K878">
            <v>8</v>
          </cell>
        </row>
        <row r="879">
          <cell r="A879" t="str">
            <v>BAL-ULTRA-S07R-M</v>
          </cell>
          <cell r="B879">
            <v>9</v>
          </cell>
          <cell r="C879">
            <v>155</v>
          </cell>
          <cell r="D879">
            <v>6</v>
          </cell>
          <cell r="E879">
            <v>0.2</v>
          </cell>
          <cell r="F879">
            <v>887</v>
          </cell>
          <cell r="G879" t="str">
            <v>blade</v>
          </cell>
          <cell r="H879" t="str">
            <v>45*26*8</v>
          </cell>
          <cell r="I879">
            <v>45</v>
          </cell>
          <cell r="J879">
            <v>26</v>
          </cell>
          <cell r="K879">
            <v>8</v>
          </cell>
        </row>
        <row r="880">
          <cell r="A880" t="str">
            <v>BAL-ULTRA-S53L-H-09060</v>
          </cell>
          <cell r="B880">
            <v>9</v>
          </cell>
          <cell r="C880">
            <v>475</v>
          </cell>
          <cell r="D880">
            <v>25</v>
          </cell>
          <cell r="E880">
            <v>1.6</v>
          </cell>
          <cell r="F880">
            <v>888</v>
          </cell>
          <cell r="G880" t="str">
            <v>hockey</v>
          </cell>
          <cell r="H880" t="str">
            <v>183*29*16</v>
          </cell>
          <cell r="I880">
            <v>183</v>
          </cell>
          <cell r="J880">
            <v>29</v>
          </cell>
          <cell r="K880">
            <v>16</v>
          </cell>
        </row>
        <row r="881">
          <cell r="A881" t="str">
            <v>BAL-ULTRA-S53L-H-10060</v>
          </cell>
          <cell r="B881">
            <v>9</v>
          </cell>
          <cell r="C881">
            <v>475</v>
          </cell>
          <cell r="D881">
            <v>25</v>
          </cell>
          <cell r="E881">
            <v>1.6</v>
          </cell>
          <cell r="F881">
            <v>889</v>
          </cell>
          <cell r="G881" t="str">
            <v>hockey</v>
          </cell>
          <cell r="H881" t="str">
            <v>183*29*16</v>
          </cell>
          <cell r="I881">
            <v>183</v>
          </cell>
          <cell r="J881">
            <v>29</v>
          </cell>
          <cell r="K881">
            <v>16</v>
          </cell>
        </row>
        <row r="882">
          <cell r="A882" t="str">
            <v>BAL-ULTRA-S53L-M-09060</v>
          </cell>
          <cell r="B882">
            <v>9</v>
          </cell>
          <cell r="C882">
            <v>505</v>
          </cell>
          <cell r="D882">
            <v>25</v>
          </cell>
          <cell r="E882">
            <v>1.6</v>
          </cell>
          <cell r="F882">
            <v>890</v>
          </cell>
          <cell r="G882" t="str">
            <v>hockey</v>
          </cell>
          <cell r="H882" t="str">
            <v>183*29*16</v>
          </cell>
          <cell r="I882">
            <v>183</v>
          </cell>
          <cell r="J882">
            <v>29</v>
          </cell>
          <cell r="K882">
            <v>16</v>
          </cell>
        </row>
        <row r="883">
          <cell r="A883" t="str">
            <v>BAL-ULTRA-S53L-M-10060</v>
          </cell>
          <cell r="B883">
            <v>9</v>
          </cell>
          <cell r="C883">
            <v>505</v>
          </cell>
          <cell r="D883">
            <v>25</v>
          </cell>
          <cell r="E883">
            <v>1.6</v>
          </cell>
          <cell r="F883">
            <v>891</v>
          </cell>
          <cell r="G883" t="str">
            <v>hockey</v>
          </cell>
          <cell r="H883" t="str">
            <v>183*29*16</v>
          </cell>
          <cell r="I883">
            <v>183</v>
          </cell>
          <cell r="J883">
            <v>29</v>
          </cell>
          <cell r="K883">
            <v>16</v>
          </cell>
        </row>
        <row r="884">
          <cell r="A884" t="str">
            <v>BAL-ULTRA-S53R-H-09060</v>
          </cell>
          <cell r="B884">
            <v>9</v>
          </cell>
          <cell r="C884">
            <v>475</v>
          </cell>
          <cell r="D884">
            <v>25</v>
          </cell>
          <cell r="E884">
            <v>1.6</v>
          </cell>
          <cell r="F884">
            <v>892</v>
          </cell>
          <cell r="G884" t="str">
            <v>hockey</v>
          </cell>
          <cell r="H884" t="str">
            <v>183*29*16</v>
          </cell>
          <cell r="I884">
            <v>183</v>
          </cell>
          <cell r="J884">
            <v>29</v>
          </cell>
          <cell r="K884">
            <v>16</v>
          </cell>
        </row>
        <row r="885">
          <cell r="A885" t="str">
            <v>BAL-ULTRA-S53R-H-10060</v>
          </cell>
          <cell r="B885">
            <v>9</v>
          </cell>
          <cell r="C885">
            <v>475</v>
          </cell>
          <cell r="D885">
            <v>25</v>
          </cell>
          <cell r="E885">
            <v>1.6</v>
          </cell>
          <cell r="F885">
            <v>893</v>
          </cell>
          <cell r="G885" t="str">
            <v>hockey</v>
          </cell>
          <cell r="H885" t="str">
            <v>183*29*16</v>
          </cell>
          <cell r="I885">
            <v>183</v>
          </cell>
          <cell r="J885">
            <v>29</v>
          </cell>
          <cell r="K885">
            <v>16</v>
          </cell>
        </row>
        <row r="886">
          <cell r="A886" t="str">
            <v>BAL-ULTRA-S53R-M-09060</v>
          </cell>
          <cell r="B886">
            <v>9</v>
          </cell>
          <cell r="C886">
            <v>505</v>
          </cell>
          <cell r="D886">
            <v>25</v>
          </cell>
          <cell r="E886">
            <v>1.6</v>
          </cell>
          <cell r="F886">
            <v>894</v>
          </cell>
          <cell r="G886" t="str">
            <v>hockey</v>
          </cell>
          <cell r="H886" t="str">
            <v>183*29*16</v>
          </cell>
          <cell r="I886">
            <v>183</v>
          </cell>
          <cell r="J886">
            <v>29</v>
          </cell>
          <cell r="K886">
            <v>16</v>
          </cell>
        </row>
        <row r="887">
          <cell r="A887" t="str">
            <v>BAL-ULTRA-S53R-M-10060</v>
          </cell>
          <cell r="B887">
            <v>9</v>
          </cell>
          <cell r="C887">
            <v>505</v>
          </cell>
          <cell r="D887">
            <v>25</v>
          </cell>
          <cell r="E887">
            <v>1.6</v>
          </cell>
          <cell r="F887">
            <v>895</v>
          </cell>
          <cell r="G887" t="str">
            <v>hockey</v>
          </cell>
          <cell r="H887" t="str">
            <v>183*29*16</v>
          </cell>
          <cell r="I887">
            <v>183</v>
          </cell>
          <cell r="J887">
            <v>29</v>
          </cell>
          <cell r="K887">
            <v>16</v>
          </cell>
        </row>
        <row r="888">
          <cell r="A888" t="str">
            <v>BAL-ULTRA-S55L-H-09060</v>
          </cell>
          <cell r="B888">
            <v>9</v>
          </cell>
          <cell r="C888">
            <v>475</v>
          </cell>
          <cell r="D888">
            <v>25</v>
          </cell>
          <cell r="E888">
            <v>1.6</v>
          </cell>
          <cell r="F888">
            <v>896</v>
          </cell>
          <cell r="G888" t="str">
            <v>hockey</v>
          </cell>
          <cell r="H888" t="str">
            <v>183*29*16</v>
          </cell>
          <cell r="I888">
            <v>183</v>
          </cell>
          <cell r="J888">
            <v>29</v>
          </cell>
          <cell r="K888">
            <v>16</v>
          </cell>
        </row>
        <row r="889">
          <cell r="A889" t="str">
            <v>BAL-ULTRA-S55L-H-10060</v>
          </cell>
          <cell r="B889">
            <v>9</v>
          </cell>
          <cell r="C889">
            <v>475</v>
          </cell>
          <cell r="D889">
            <v>25</v>
          </cell>
          <cell r="E889">
            <v>1.6</v>
          </cell>
          <cell r="F889">
            <v>897</v>
          </cell>
          <cell r="G889" t="str">
            <v>hockey</v>
          </cell>
          <cell r="H889" t="str">
            <v>183*29*16</v>
          </cell>
          <cell r="I889">
            <v>183</v>
          </cell>
          <cell r="J889">
            <v>29</v>
          </cell>
          <cell r="K889">
            <v>16</v>
          </cell>
        </row>
        <row r="890">
          <cell r="A890" t="str">
            <v>BAL-ULTRA-S55L-M-09060</v>
          </cell>
          <cell r="B890">
            <v>9</v>
          </cell>
          <cell r="C890">
            <v>505</v>
          </cell>
          <cell r="D890">
            <v>25</v>
          </cell>
          <cell r="E890">
            <v>1.6</v>
          </cell>
          <cell r="F890">
            <v>898</v>
          </cell>
          <cell r="G890" t="str">
            <v>hockey</v>
          </cell>
          <cell r="H890" t="str">
            <v>183*29*16</v>
          </cell>
          <cell r="I890">
            <v>183</v>
          </cell>
          <cell r="J890">
            <v>29</v>
          </cell>
          <cell r="K890">
            <v>16</v>
          </cell>
        </row>
        <row r="891">
          <cell r="A891" t="str">
            <v>BAL-ULTRA-S55L-M-10060</v>
          </cell>
          <cell r="B891">
            <v>9</v>
          </cell>
          <cell r="C891">
            <v>505</v>
          </cell>
          <cell r="D891">
            <v>25</v>
          </cell>
          <cell r="E891">
            <v>1.6</v>
          </cell>
          <cell r="F891">
            <v>899</v>
          </cell>
          <cell r="G891" t="str">
            <v>hockey</v>
          </cell>
          <cell r="H891" t="str">
            <v>183*29*16</v>
          </cell>
          <cell r="I891">
            <v>183</v>
          </cell>
          <cell r="J891">
            <v>29</v>
          </cell>
          <cell r="K891">
            <v>16</v>
          </cell>
        </row>
        <row r="892">
          <cell r="A892" t="str">
            <v>BAL-ULTRA-S55R-H-09060</v>
          </cell>
          <cell r="B892">
            <v>9</v>
          </cell>
          <cell r="C892">
            <v>475</v>
          </cell>
          <cell r="D892">
            <v>25</v>
          </cell>
          <cell r="E892">
            <v>1.6</v>
          </cell>
          <cell r="F892">
            <v>900</v>
          </cell>
          <cell r="G892" t="str">
            <v>hockey</v>
          </cell>
          <cell r="H892" t="str">
            <v>183*29*16</v>
          </cell>
          <cell r="I892">
            <v>183</v>
          </cell>
          <cell r="J892">
            <v>29</v>
          </cell>
          <cell r="K892">
            <v>16</v>
          </cell>
        </row>
        <row r="893">
          <cell r="A893" t="str">
            <v>BAL-ULTRA-S55R-H-10060</v>
          </cell>
          <cell r="B893">
            <v>9</v>
          </cell>
          <cell r="C893">
            <v>475</v>
          </cell>
          <cell r="D893">
            <v>25</v>
          </cell>
          <cell r="E893">
            <v>1.6</v>
          </cell>
          <cell r="F893">
            <v>901</v>
          </cell>
          <cell r="G893" t="str">
            <v>hockey</v>
          </cell>
          <cell r="H893" t="str">
            <v>183*29*16</v>
          </cell>
          <cell r="I893">
            <v>183</v>
          </cell>
          <cell r="J893">
            <v>29</v>
          </cell>
          <cell r="K893">
            <v>16</v>
          </cell>
        </row>
        <row r="894">
          <cell r="A894" t="str">
            <v>BAL-ULTRA-S55R-M-09060</v>
          </cell>
          <cell r="B894">
            <v>9</v>
          </cell>
          <cell r="C894">
            <v>505</v>
          </cell>
          <cell r="D894">
            <v>25</v>
          </cell>
          <cell r="E894">
            <v>1.6</v>
          </cell>
          <cell r="F894">
            <v>902</v>
          </cell>
          <cell r="G894" t="str">
            <v>hockey</v>
          </cell>
          <cell r="H894" t="str">
            <v>183*29*16</v>
          </cell>
          <cell r="I894">
            <v>183</v>
          </cell>
          <cell r="J894">
            <v>29</v>
          </cell>
          <cell r="K894">
            <v>16</v>
          </cell>
        </row>
        <row r="895">
          <cell r="A895" t="str">
            <v>BAL-ULTRA-S55R-M-10060</v>
          </cell>
          <cell r="B895">
            <v>9</v>
          </cell>
          <cell r="C895">
            <v>505</v>
          </cell>
          <cell r="D895">
            <v>25</v>
          </cell>
          <cell r="E895">
            <v>1.6</v>
          </cell>
          <cell r="F895">
            <v>903</v>
          </cell>
          <cell r="G895" t="str">
            <v>hockey</v>
          </cell>
          <cell r="H895" t="str">
            <v>183*29*16</v>
          </cell>
          <cell r="I895">
            <v>183</v>
          </cell>
          <cell r="J895">
            <v>29</v>
          </cell>
          <cell r="K895">
            <v>16</v>
          </cell>
        </row>
        <row r="896">
          <cell r="A896" t="str">
            <v>UMKIS2-40-RED</v>
          </cell>
          <cell r="B896">
            <v>9</v>
          </cell>
          <cell r="C896">
            <v>72</v>
          </cell>
          <cell r="D896">
            <v>50</v>
          </cell>
          <cell r="E896">
            <v>0.6</v>
          </cell>
          <cell r="F896">
            <v>904</v>
          </cell>
          <cell r="G896" t="str">
            <v>golf</v>
          </cell>
          <cell r="H896" t="str">
            <v>122*15*10</v>
          </cell>
          <cell r="I896">
            <v>122</v>
          </cell>
          <cell r="J896">
            <v>15</v>
          </cell>
          <cell r="K896">
            <v>10</v>
          </cell>
        </row>
        <row r="897">
          <cell r="A897" t="str">
            <v>CCM-V8-SC-3551-NG</v>
          </cell>
          <cell r="B897">
            <v>9</v>
          </cell>
          <cell r="C897">
            <v>340</v>
          </cell>
          <cell r="D897">
            <v>50</v>
          </cell>
          <cell r="E897">
            <v>1.48</v>
          </cell>
          <cell r="F897">
            <v>905</v>
          </cell>
          <cell r="G897" t="str">
            <v>shaft</v>
          </cell>
          <cell r="H897" t="str">
            <v>145*29*16</v>
          </cell>
          <cell r="I897">
            <v>145</v>
          </cell>
          <cell r="J897">
            <v>29</v>
          </cell>
          <cell r="K897">
            <v>16</v>
          </cell>
        </row>
        <row r="898">
          <cell r="A898" t="str">
            <v>ULAUNCHRED635WR-46</v>
          </cell>
          <cell r="B898">
            <v>9</v>
          </cell>
          <cell r="C898">
            <v>68</v>
          </cell>
          <cell r="D898">
            <v>50</v>
          </cell>
          <cell r="E898">
            <v>0.6</v>
          </cell>
          <cell r="F898">
            <v>906</v>
          </cell>
          <cell r="G898" t="str">
            <v>golf</v>
          </cell>
          <cell r="H898" t="str">
            <v>122*15*10</v>
          </cell>
          <cell r="I898">
            <v>122</v>
          </cell>
          <cell r="J898">
            <v>15</v>
          </cell>
          <cell r="K898">
            <v>10</v>
          </cell>
        </row>
        <row r="899">
          <cell r="A899" t="str">
            <v>ULAUNCHRED635WS-46</v>
          </cell>
          <cell r="B899">
            <v>9</v>
          </cell>
          <cell r="C899">
            <v>68</v>
          </cell>
          <cell r="D899">
            <v>50</v>
          </cell>
          <cell r="E899">
            <v>0.6</v>
          </cell>
          <cell r="F899">
            <v>907</v>
          </cell>
          <cell r="G899" t="str">
            <v>golf</v>
          </cell>
          <cell r="H899" t="str">
            <v>122*15*10</v>
          </cell>
          <cell r="I899">
            <v>122</v>
          </cell>
          <cell r="J899">
            <v>15</v>
          </cell>
          <cell r="K899">
            <v>10</v>
          </cell>
        </row>
        <row r="900">
          <cell r="A900" t="str">
            <v>MIS-STA-S56R-08560</v>
          </cell>
          <cell r="B900">
            <v>9</v>
          </cell>
          <cell r="C900">
            <v>473</v>
          </cell>
          <cell r="D900">
            <v>25</v>
          </cell>
          <cell r="E900">
            <v>1.6</v>
          </cell>
          <cell r="F900">
            <v>908</v>
          </cell>
          <cell r="G900" t="str">
            <v>hockey</v>
          </cell>
          <cell r="H900" t="str">
            <v>183*29*16</v>
          </cell>
          <cell r="I900">
            <v>183</v>
          </cell>
          <cell r="J900">
            <v>29</v>
          </cell>
          <cell r="K900">
            <v>16</v>
          </cell>
        </row>
        <row r="901">
          <cell r="A901" t="str">
            <v>UMKLAUNCHWS-46-RED</v>
          </cell>
          <cell r="B901">
            <v>9</v>
          </cell>
          <cell r="C901">
            <v>70</v>
          </cell>
          <cell r="D901">
            <v>50</v>
          </cell>
          <cell r="E901">
            <v>0.6</v>
          </cell>
          <cell r="F901">
            <v>909</v>
          </cell>
          <cell r="G901" t="str">
            <v>golf</v>
          </cell>
          <cell r="H901" t="str">
            <v>122*15*10</v>
          </cell>
          <cell r="I901">
            <v>122</v>
          </cell>
          <cell r="J901">
            <v>15</v>
          </cell>
          <cell r="K901">
            <v>10</v>
          </cell>
        </row>
        <row r="902">
          <cell r="A902" t="str">
            <v>UMK33FWR2-44-RED</v>
          </cell>
          <cell r="B902">
            <v>9</v>
          </cell>
          <cell r="C902">
            <v>80</v>
          </cell>
          <cell r="D902">
            <v>50</v>
          </cell>
          <cell r="E902">
            <v>0.6</v>
          </cell>
          <cell r="F902">
            <v>910</v>
          </cell>
          <cell r="G902" t="str">
            <v>golf</v>
          </cell>
          <cell r="H902" t="str">
            <v>122*15*10</v>
          </cell>
          <cell r="I902">
            <v>122</v>
          </cell>
          <cell r="J902">
            <v>15</v>
          </cell>
          <cell r="K902">
            <v>10</v>
          </cell>
        </row>
        <row r="903">
          <cell r="A903" t="str">
            <v>UMK33FWS2-44-RED</v>
          </cell>
          <cell r="B903">
            <v>9</v>
          </cell>
          <cell r="C903">
            <v>81</v>
          </cell>
          <cell r="D903">
            <v>50</v>
          </cell>
          <cell r="E903">
            <v>0.6</v>
          </cell>
          <cell r="F903">
            <v>911</v>
          </cell>
          <cell r="G903" t="str">
            <v>golf</v>
          </cell>
          <cell r="H903" t="str">
            <v>122*15*10</v>
          </cell>
          <cell r="I903">
            <v>122</v>
          </cell>
          <cell r="J903">
            <v>15</v>
          </cell>
          <cell r="K903">
            <v>10</v>
          </cell>
        </row>
        <row r="904">
          <cell r="A904" t="str">
            <v>UMKIR2-40-RED</v>
          </cell>
          <cell r="B904">
            <v>9</v>
          </cell>
          <cell r="C904">
            <v>68</v>
          </cell>
          <cell r="D904">
            <v>50</v>
          </cell>
          <cell r="E904">
            <v>0.6</v>
          </cell>
          <cell r="F904">
            <v>912</v>
          </cell>
          <cell r="G904" t="str">
            <v>golf</v>
          </cell>
          <cell r="H904" t="str">
            <v>122*15*10</v>
          </cell>
          <cell r="I904">
            <v>122</v>
          </cell>
          <cell r="J904">
            <v>15</v>
          </cell>
          <cell r="K904">
            <v>10</v>
          </cell>
        </row>
        <row r="905">
          <cell r="A905" t="str">
            <v>ULAUNCHRED635WX-46</v>
          </cell>
          <cell r="B905">
            <v>9</v>
          </cell>
          <cell r="C905">
            <v>71</v>
          </cell>
          <cell r="D905">
            <v>50</v>
          </cell>
          <cell r="E905">
            <v>0.6</v>
          </cell>
          <cell r="F905">
            <v>913</v>
          </cell>
          <cell r="G905" t="str">
            <v>golf</v>
          </cell>
          <cell r="H905" t="str">
            <v>122*15*10</v>
          </cell>
          <cell r="I905">
            <v>122</v>
          </cell>
          <cell r="J905">
            <v>15</v>
          </cell>
          <cell r="K905">
            <v>10</v>
          </cell>
        </row>
        <row r="906">
          <cell r="A906" t="str">
            <v>UAXIS733WTX-46</v>
          </cell>
          <cell r="B906">
            <v>9</v>
          </cell>
          <cell r="C906">
            <v>80</v>
          </cell>
          <cell r="D906">
            <v>50</v>
          </cell>
          <cell r="E906">
            <v>0.6</v>
          </cell>
          <cell r="F906">
            <v>914</v>
          </cell>
          <cell r="G906" t="str">
            <v>golf</v>
          </cell>
          <cell r="H906" t="str">
            <v>122*15*10</v>
          </cell>
          <cell r="I906">
            <v>122</v>
          </cell>
          <cell r="J906">
            <v>15</v>
          </cell>
          <cell r="K906">
            <v>10</v>
          </cell>
        </row>
        <row r="907">
          <cell r="A907" t="str">
            <v>UAXIS733WS-46</v>
          </cell>
          <cell r="B907">
            <v>9</v>
          </cell>
          <cell r="C907">
            <v>80</v>
          </cell>
          <cell r="D907">
            <v>50</v>
          </cell>
          <cell r="E907">
            <v>0.6</v>
          </cell>
          <cell r="F907">
            <v>915</v>
          </cell>
          <cell r="G907" t="str">
            <v>golf</v>
          </cell>
          <cell r="H907" t="str">
            <v>122*15*10</v>
          </cell>
          <cell r="I907">
            <v>122</v>
          </cell>
          <cell r="J907">
            <v>15</v>
          </cell>
          <cell r="K907">
            <v>10</v>
          </cell>
        </row>
        <row r="908">
          <cell r="A908" t="str">
            <v>ULAUNCH833WR-46</v>
          </cell>
          <cell r="B908">
            <v>9</v>
          </cell>
          <cell r="C908">
            <v>87</v>
          </cell>
          <cell r="D908">
            <v>50</v>
          </cell>
          <cell r="E908">
            <v>0.6</v>
          </cell>
          <cell r="F908">
            <v>916</v>
          </cell>
          <cell r="G908" t="str">
            <v>golf</v>
          </cell>
          <cell r="H908" t="str">
            <v>122*15*10</v>
          </cell>
          <cell r="I908">
            <v>122</v>
          </cell>
          <cell r="J908">
            <v>15</v>
          </cell>
          <cell r="K908">
            <v>10</v>
          </cell>
        </row>
        <row r="909">
          <cell r="A909" t="str">
            <v>UAXIS733WR-46</v>
          </cell>
          <cell r="B909">
            <v>9</v>
          </cell>
          <cell r="C909">
            <v>80</v>
          </cell>
          <cell r="D909">
            <v>50</v>
          </cell>
          <cell r="E909">
            <v>0.6</v>
          </cell>
          <cell r="F909">
            <v>917</v>
          </cell>
          <cell r="G909" t="str">
            <v>golf</v>
          </cell>
          <cell r="H909" t="str">
            <v>122*15*10</v>
          </cell>
          <cell r="I909">
            <v>122</v>
          </cell>
          <cell r="J909">
            <v>15</v>
          </cell>
          <cell r="K909">
            <v>10</v>
          </cell>
        </row>
        <row r="910">
          <cell r="A910" t="str">
            <v>UAXIS733WX-46</v>
          </cell>
          <cell r="B910">
            <v>9</v>
          </cell>
          <cell r="C910">
            <v>80</v>
          </cell>
          <cell r="D910">
            <v>50</v>
          </cell>
          <cell r="E910">
            <v>0.6</v>
          </cell>
          <cell r="F910">
            <v>918</v>
          </cell>
          <cell r="G910" t="str">
            <v>golf</v>
          </cell>
          <cell r="H910" t="str">
            <v>122*15*10</v>
          </cell>
          <cell r="I910">
            <v>122</v>
          </cell>
          <cell r="J910">
            <v>15</v>
          </cell>
          <cell r="K910">
            <v>10</v>
          </cell>
        </row>
        <row r="911">
          <cell r="A911" t="str">
            <v>BAL-ULTRA-S07L-M-UP</v>
          </cell>
          <cell r="B911">
            <v>9</v>
          </cell>
          <cell r="C911">
            <v>155</v>
          </cell>
          <cell r="D911">
            <v>160</v>
          </cell>
          <cell r="E911">
            <v>1.7</v>
          </cell>
          <cell r="F911">
            <v>919</v>
          </cell>
          <cell r="G911" t="str">
            <v>blade</v>
          </cell>
          <cell r="H911" t="str">
            <v>72*52*32</v>
          </cell>
          <cell r="I911">
            <v>72</v>
          </cell>
          <cell r="J911">
            <v>52</v>
          </cell>
          <cell r="K911">
            <v>32</v>
          </cell>
        </row>
        <row r="912">
          <cell r="A912" t="str">
            <v>BAL-ULTRA-S07R-M-UP</v>
          </cell>
          <cell r="B912">
            <v>9</v>
          </cell>
          <cell r="C912">
            <v>155</v>
          </cell>
          <cell r="D912">
            <v>160</v>
          </cell>
          <cell r="E912">
            <v>1.7</v>
          </cell>
          <cell r="F912">
            <v>920</v>
          </cell>
          <cell r="G912" t="str">
            <v>blade</v>
          </cell>
          <cell r="H912" t="str">
            <v>72*52*32</v>
          </cell>
          <cell r="I912">
            <v>72</v>
          </cell>
          <cell r="J912">
            <v>52</v>
          </cell>
          <cell r="K912">
            <v>32</v>
          </cell>
        </row>
        <row r="913">
          <cell r="A913" t="str">
            <v>SHR-RM19-08563</v>
          </cell>
          <cell r="B913">
            <v>9</v>
          </cell>
          <cell r="C913">
            <v>347</v>
          </cell>
          <cell r="D913">
            <v>50</v>
          </cell>
          <cell r="E913">
            <v>1.6</v>
          </cell>
          <cell r="F913">
            <v>921</v>
          </cell>
          <cell r="G913" t="str">
            <v>shaft</v>
          </cell>
          <cell r="H913" t="str">
            <v>183*29*16</v>
          </cell>
          <cell r="I913">
            <v>183</v>
          </cell>
          <cell r="J913">
            <v>29</v>
          </cell>
          <cell r="K913">
            <v>16</v>
          </cell>
        </row>
        <row r="914">
          <cell r="A914" t="str">
            <v>SHR-RM19-09563</v>
          </cell>
          <cell r="B914">
            <v>9</v>
          </cell>
          <cell r="C914">
            <v>347</v>
          </cell>
          <cell r="D914">
            <v>50</v>
          </cell>
          <cell r="E914">
            <v>1.6</v>
          </cell>
          <cell r="F914">
            <v>922</v>
          </cell>
          <cell r="G914" t="str">
            <v>shaft</v>
          </cell>
          <cell r="H914" t="str">
            <v>183*29*16</v>
          </cell>
          <cell r="I914">
            <v>183</v>
          </cell>
          <cell r="J914">
            <v>29</v>
          </cell>
          <cell r="K914">
            <v>16</v>
          </cell>
        </row>
        <row r="915">
          <cell r="A915" t="str">
            <v>QGS10-8H-744-M</v>
          </cell>
          <cell r="B915">
            <v>9</v>
          </cell>
          <cell r="C915">
            <v>382</v>
          </cell>
          <cell r="D915">
            <v>1</v>
          </cell>
          <cell r="E915">
            <v>0.5</v>
          </cell>
          <cell r="F915">
            <v>923</v>
          </cell>
          <cell r="G915" t="str">
            <v>fork</v>
          </cell>
          <cell r="H915" t="str">
            <v>89*14*9</v>
          </cell>
          <cell r="I915">
            <v>89</v>
          </cell>
          <cell r="J915">
            <v>14</v>
          </cell>
          <cell r="K915">
            <v>9</v>
          </cell>
        </row>
        <row r="916">
          <cell r="A916" t="str">
            <v>QGS10-8-744-UP</v>
          </cell>
          <cell r="B916">
            <v>9</v>
          </cell>
          <cell r="C916">
            <v>400</v>
          </cell>
          <cell r="D916">
            <v>25</v>
          </cell>
          <cell r="E916">
            <v>2.54</v>
          </cell>
          <cell r="F916">
            <v>924</v>
          </cell>
          <cell r="G916" t="str">
            <v>fork</v>
          </cell>
          <cell r="H916" t="str">
            <v>77*52*32</v>
          </cell>
          <cell r="I916">
            <v>77</v>
          </cell>
          <cell r="J916">
            <v>52</v>
          </cell>
          <cell r="K916">
            <v>32</v>
          </cell>
        </row>
        <row r="917">
          <cell r="A917" t="str">
            <v>SHR-RM19-07563</v>
          </cell>
          <cell r="B917">
            <v>9</v>
          </cell>
          <cell r="C917">
            <v>347</v>
          </cell>
          <cell r="D917">
            <v>50</v>
          </cell>
          <cell r="E917">
            <v>1.6</v>
          </cell>
          <cell r="F917">
            <v>925</v>
          </cell>
          <cell r="G917" t="str">
            <v>shaft</v>
          </cell>
          <cell r="H917" t="str">
            <v>183*29*16</v>
          </cell>
          <cell r="I917">
            <v>183</v>
          </cell>
          <cell r="J917">
            <v>29</v>
          </cell>
          <cell r="K917">
            <v>16</v>
          </cell>
        </row>
        <row r="918">
          <cell r="A918" t="str">
            <v>SHR-RM19-10563</v>
          </cell>
          <cell r="B918">
            <v>9</v>
          </cell>
          <cell r="C918">
            <v>347</v>
          </cell>
          <cell r="D918">
            <v>50</v>
          </cell>
          <cell r="E918">
            <v>1.6</v>
          </cell>
          <cell r="F918">
            <v>926</v>
          </cell>
          <cell r="G918" t="str">
            <v>shaft</v>
          </cell>
          <cell r="H918" t="str">
            <v>183*29*16</v>
          </cell>
          <cell r="I918">
            <v>183</v>
          </cell>
          <cell r="J918">
            <v>29</v>
          </cell>
          <cell r="K918">
            <v>16</v>
          </cell>
        </row>
        <row r="919">
          <cell r="A919" t="str">
            <v>BAL-C410-08055-UP</v>
          </cell>
          <cell r="B919">
            <v>9</v>
          </cell>
          <cell r="C919">
            <v>290</v>
          </cell>
          <cell r="D919">
            <v>50</v>
          </cell>
          <cell r="E919">
            <v>1.48</v>
          </cell>
          <cell r="F919">
            <v>927</v>
          </cell>
          <cell r="G919" t="str">
            <v>shaft</v>
          </cell>
          <cell r="H919" t="str">
            <v>145*29*16</v>
          </cell>
          <cell r="I919">
            <v>145</v>
          </cell>
          <cell r="J919">
            <v>29</v>
          </cell>
          <cell r="K919">
            <v>16</v>
          </cell>
        </row>
        <row r="920">
          <cell r="A920" t="str">
            <v>BAL-C410-09055-UP</v>
          </cell>
          <cell r="B920">
            <v>9</v>
          </cell>
          <cell r="C920">
            <v>290</v>
          </cell>
          <cell r="D920">
            <v>50</v>
          </cell>
          <cell r="E920">
            <v>1.48</v>
          </cell>
          <cell r="F920">
            <v>928</v>
          </cell>
          <cell r="G920" t="str">
            <v>shaft</v>
          </cell>
          <cell r="H920" t="str">
            <v>145*29*16</v>
          </cell>
          <cell r="I920">
            <v>145</v>
          </cell>
          <cell r="J920">
            <v>29</v>
          </cell>
          <cell r="K920">
            <v>16</v>
          </cell>
        </row>
        <row r="921">
          <cell r="A921" t="str">
            <v>BAL-C410-10055-UP</v>
          </cell>
          <cell r="B921">
            <v>9</v>
          </cell>
          <cell r="C921">
            <v>290</v>
          </cell>
          <cell r="D921">
            <v>50</v>
          </cell>
          <cell r="E921">
            <v>1.48</v>
          </cell>
          <cell r="F921">
            <v>929</v>
          </cell>
          <cell r="G921" t="str">
            <v>shaft</v>
          </cell>
          <cell r="H921" t="str">
            <v>145*29*16</v>
          </cell>
          <cell r="I921">
            <v>145</v>
          </cell>
          <cell r="J921">
            <v>29</v>
          </cell>
          <cell r="K921">
            <v>16</v>
          </cell>
        </row>
        <row r="922">
          <cell r="A922" t="str">
            <v>UPRLTIR-41-MD</v>
          </cell>
          <cell r="B922">
            <v>9</v>
          </cell>
          <cell r="C922">
            <v>76</v>
          </cell>
          <cell r="D922">
            <v>50</v>
          </cell>
          <cell r="E922">
            <v>0.6</v>
          </cell>
          <cell r="F922">
            <v>930</v>
          </cell>
          <cell r="G922" t="str">
            <v>golf</v>
          </cell>
          <cell r="H922" t="str">
            <v>122*15*10</v>
          </cell>
          <cell r="I922">
            <v>122</v>
          </cell>
          <cell r="J922">
            <v>15</v>
          </cell>
          <cell r="K922">
            <v>10</v>
          </cell>
        </row>
        <row r="923">
          <cell r="A923" t="str">
            <v>BAL-C410-11055-UP</v>
          </cell>
          <cell r="B923">
            <v>9</v>
          </cell>
          <cell r="C923">
            <v>290</v>
          </cell>
          <cell r="D923">
            <v>50</v>
          </cell>
          <cell r="E923">
            <v>1.48</v>
          </cell>
          <cell r="F923">
            <v>931</v>
          </cell>
          <cell r="G923" t="str">
            <v>shaft</v>
          </cell>
          <cell r="H923" t="str">
            <v>145*29*16</v>
          </cell>
          <cell r="I923">
            <v>145</v>
          </cell>
          <cell r="J923">
            <v>29</v>
          </cell>
          <cell r="K923">
            <v>16</v>
          </cell>
        </row>
        <row r="924">
          <cell r="A924" t="str">
            <v>CNOTEIS-41</v>
          </cell>
          <cell r="B924">
            <v>9</v>
          </cell>
          <cell r="C924">
            <v>106</v>
          </cell>
          <cell r="D924">
            <v>50</v>
          </cell>
          <cell r="E924">
            <v>0.6</v>
          </cell>
          <cell r="F924">
            <v>932</v>
          </cell>
          <cell r="G924" t="str">
            <v>golf</v>
          </cell>
          <cell r="H924" t="str">
            <v>122*15*10</v>
          </cell>
          <cell r="I924">
            <v>122</v>
          </cell>
          <cell r="J924">
            <v>15</v>
          </cell>
          <cell r="K924">
            <v>10</v>
          </cell>
        </row>
        <row r="925">
          <cell r="A925" t="str">
            <v>CNOTEIX-41</v>
          </cell>
          <cell r="B925">
            <v>9</v>
          </cell>
          <cell r="C925">
            <v>111</v>
          </cell>
          <cell r="D925">
            <v>50</v>
          </cell>
          <cell r="E925">
            <v>0.6</v>
          </cell>
          <cell r="F925">
            <v>933</v>
          </cell>
          <cell r="G925" t="str">
            <v>golf</v>
          </cell>
          <cell r="H925" t="str">
            <v>122*15*10</v>
          </cell>
          <cell r="I925">
            <v>122</v>
          </cell>
          <cell r="J925">
            <v>15</v>
          </cell>
          <cell r="K925">
            <v>10</v>
          </cell>
        </row>
        <row r="926">
          <cell r="A926" t="str">
            <v>MIS-STA-S53L-08560</v>
          </cell>
          <cell r="B926">
            <v>9</v>
          </cell>
          <cell r="C926">
            <v>483</v>
          </cell>
          <cell r="D926">
            <v>25</v>
          </cell>
          <cell r="E926">
            <v>1.6</v>
          </cell>
          <cell r="F926">
            <v>934</v>
          </cell>
          <cell r="G926" t="str">
            <v>hockey</v>
          </cell>
          <cell r="H926" t="str">
            <v>183*29*16</v>
          </cell>
          <cell r="I926">
            <v>183</v>
          </cell>
          <cell r="J926">
            <v>29</v>
          </cell>
          <cell r="K926">
            <v>16</v>
          </cell>
        </row>
        <row r="927">
          <cell r="A927" t="str">
            <v>MIS-STA-S53R-08560</v>
          </cell>
          <cell r="B927">
            <v>9</v>
          </cell>
          <cell r="C927">
            <v>483</v>
          </cell>
          <cell r="D927">
            <v>25</v>
          </cell>
          <cell r="E927">
            <v>1.6</v>
          </cell>
          <cell r="F927">
            <v>935</v>
          </cell>
          <cell r="G927" t="str">
            <v>hockey</v>
          </cell>
          <cell r="H927" t="str">
            <v>183*29*16</v>
          </cell>
          <cell r="I927">
            <v>183</v>
          </cell>
          <cell r="J927">
            <v>29</v>
          </cell>
          <cell r="K927">
            <v>16</v>
          </cell>
        </row>
        <row r="928">
          <cell r="A928" t="str">
            <v>QCOMPS10-8-744-2</v>
          </cell>
          <cell r="B928">
            <v>9</v>
          </cell>
          <cell r="C928">
            <v>515</v>
          </cell>
          <cell r="D928">
            <v>1</v>
          </cell>
          <cell r="E928">
            <v>0.5</v>
          </cell>
          <cell r="F928">
            <v>936</v>
          </cell>
          <cell r="G928" t="str">
            <v>fork1</v>
          </cell>
          <cell r="H928" t="str">
            <v>89*14*9</v>
          </cell>
          <cell r="I928">
            <v>89</v>
          </cell>
          <cell r="J928">
            <v>14</v>
          </cell>
          <cell r="K928">
            <v>9</v>
          </cell>
        </row>
        <row r="929">
          <cell r="A929" t="str">
            <v>UPRLTIL-41-MD</v>
          </cell>
          <cell r="B929">
            <v>9</v>
          </cell>
          <cell r="C929">
            <v>71</v>
          </cell>
          <cell r="D929">
            <v>50</v>
          </cell>
          <cell r="E929">
            <v>0.6</v>
          </cell>
          <cell r="F929">
            <v>937</v>
          </cell>
          <cell r="G929" t="str">
            <v>golf</v>
          </cell>
          <cell r="H929" t="str">
            <v>122*15*10</v>
          </cell>
          <cell r="I929">
            <v>122</v>
          </cell>
          <cell r="J929">
            <v>15</v>
          </cell>
          <cell r="K929">
            <v>10</v>
          </cell>
        </row>
        <row r="930">
          <cell r="A930" t="str">
            <v>M66L-N6X+-03618</v>
          </cell>
          <cell r="B930">
            <v>9</v>
          </cell>
          <cell r="C930">
            <v>70</v>
          </cell>
          <cell r="D930">
            <v>50</v>
          </cell>
          <cell r="E930">
            <v>0.6</v>
          </cell>
          <cell r="F930">
            <v>938</v>
          </cell>
          <cell r="G930" t="str">
            <v>golf</v>
          </cell>
          <cell r="H930" t="str">
            <v>122*15*10</v>
          </cell>
          <cell r="I930">
            <v>122</v>
          </cell>
          <cell r="J930">
            <v>15</v>
          </cell>
          <cell r="K930">
            <v>10</v>
          </cell>
        </row>
        <row r="931">
          <cell r="A931" t="str">
            <v>MIS-STA-ULT-07056</v>
          </cell>
          <cell r="B931">
            <v>9</v>
          </cell>
          <cell r="C931">
            <v>290</v>
          </cell>
          <cell r="D931">
            <v>50</v>
          </cell>
          <cell r="E931">
            <v>1.48</v>
          </cell>
          <cell r="F931">
            <v>939</v>
          </cell>
          <cell r="G931" t="str">
            <v>shaft</v>
          </cell>
          <cell r="H931" t="str">
            <v>145*29*16</v>
          </cell>
          <cell r="I931">
            <v>145</v>
          </cell>
          <cell r="J931">
            <v>29</v>
          </cell>
          <cell r="K931">
            <v>16</v>
          </cell>
        </row>
        <row r="932">
          <cell r="A932" t="str">
            <v>MIS-STA-ULT-08056</v>
          </cell>
          <cell r="B932">
            <v>9</v>
          </cell>
          <cell r="C932">
            <v>290</v>
          </cell>
          <cell r="D932">
            <v>50</v>
          </cell>
          <cell r="E932">
            <v>1.48</v>
          </cell>
          <cell r="F932">
            <v>940</v>
          </cell>
          <cell r="G932" t="str">
            <v>shaft</v>
          </cell>
          <cell r="H932" t="str">
            <v>145*29*16</v>
          </cell>
          <cell r="I932">
            <v>145</v>
          </cell>
          <cell r="J932">
            <v>29</v>
          </cell>
          <cell r="K932">
            <v>16</v>
          </cell>
        </row>
        <row r="933">
          <cell r="A933" t="str">
            <v>MIS-STA-ULT-10056</v>
          </cell>
          <cell r="B933">
            <v>9</v>
          </cell>
          <cell r="C933">
            <v>290</v>
          </cell>
          <cell r="D933">
            <v>50</v>
          </cell>
          <cell r="E933">
            <v>1.48</v>
          </cell>
          <cell r="F933">
            <v>941</v>
          </cell>
          <cell r="G933" t="str">
            <v>shaft</v>
          </cell>
          <cell r="H933" t="str">
            <v>145*29*16</v>
          </cell>
          <cell r="I933">
            <v>145</v>
          </cell>
          <cell r="J933">
            <v>29</v>
          </cell>
          <cell r="K933">
            <v>16</v>
          </cell>
        </row>
        <row r="934">
          <cell r="A934" t="str">
            <v>BAL-ULTRA-S53L-M-08060</v>
          </cell>
          <cell r="B934">
            <v>9</v>
          </cell>
          <cell r="C934">
            <v>505</v>
          </cell>
          <cell r="D934">
            <v>25</v>
          </cell>
          <cell r="E934">
            <v>1.6</v>
          </cell>
          <cell r="F934">
            <v>942</v>
          </cell>
          <cell r="G934" t="str">
            <v>hockey</v>
          </cell>
          <cell r="H934" t="str">
            <v>183*29*16</v>
          </cell>
          <cell r="I934">
            <v>183</v>
          </cell>
          <cell r="J934">
            <v>29</v>
          </cell>
          <cell r="K934">
            <v>16</v>
          </cell>
        </row>
        <row r="935">
          <cell r="A935" t="str">
            <v>BAL-ULTRA-S55L-M-08060</v>
          </cell>
          <cell r="B935">
            <v>9</v>
          </cell>
          <cell r="C935">
            <v>505</v>
          </cell>
          <cell r="D935">
            <v>25</v>
          </cell>
          <cell r="E935">
            <v>1.6</v>
          </cell>
          <cell r="F935">
            <v>943</v>
          </cell>
          <cell r="G935" t="str">
            <v>hockey</v>
          </cell>
          <cell r="H935" t="str">
            <v>183*29*16</v>
          </cell>
          <cell r="I935">
            <v>183</v>
          </cell>
          <cell r="J935">
            <v>29</v>
          </cell>
          <cell r="K935">
            <v>16</v>
          </cell>
        </row>
        <row r="936">
          <cell r="A936" t="str">
            <v>BAL-ULTRA-S55R-M-08060</v>
          </cell>
          <cell r="B936">
            <v>9</v>
          </cell>
          <cell r="C936">
            <v>505</v>
          </cell>
          <cell r="D936">
            <v>25</v>
          </cell>
          <cell r="E936">
            <v>1.6</v>
          </cell>
          <cell r="F936">
            <v>944</v>
          </cell>
          <cell r="G936" t="str">
            <v>hockey</v>
          </cell>
          <cell r="H936" t="str">
            <v>183*29*16</v>
          </cell>
          <cell r="I936">
            <v>183</v>
          </cell>
          <cell r="J936">
            <v>29</v>
          </cell>
          <cell r="K936">
            <v>16</v>
          </cell>
        </row>
        <row r="937">
          <cell r="A937" t="str">
            <v>QCX-8-747-2</v>
          </cell>
          <cell r="B937">
            <v>9</v>
          </cell>
          <cell r="C937">
            <v>495</v>
          </cell>
          <cell r="D937">
            <v>1</v>
          </cell>
          <cell r="E937">
            <v>0.5</v>
          </cell>
          <cell r="F937">
            <v>945</v>
          </cell>
          <cell r="G937" t="str">
            <v>fork</v>
          </cell>
          <cell r="H937" t="str">
            <v>89*14*9</v>
          </cell>
          <cell r="I937">
            <v>89</v>
          </cell>
          <cell r="J937">
            <v>14</v>
          </cell>
          <cell r="K937">
            <v>9</v>
          </cell>
        </row>
        <row r="938">
          <cell r="A938" t="str">
            <v>BAL-ULTRA-S53R-M-11060</v>
          </cell>
          <cell r="B938">
            <v>9</v>
          </cell>
          <cell r="C938">
            <v>505</v>
          </cell>
          <cell r="D938">
            <v>25</v>
          </cell>
          <cell r="E938">
            <v>1.6</v>
          </cell>
          <cell r="F938">
            <v>946</v>
          </cell>
          <cell r="G938" t="str">
            <v>hockey</v>
          </cell>
          <cell r="H938" t="str">
            <v>183*29*16</v>
          </cell>
          <cell r="I938">
            <v>183</v>
          </cell>
          <cell r="J938">
            <v>29</v>
          </cell>
          <cell r="K938">
            <v>16</v>
          </cell>
        </row>
        <row r="939">
          <cell r="A939" t="str">
            <v>BAL-ULTRA-S53R-M-08060</v>
          </cell>
          <cell r="B939">
            <v>9</v>
          </cell>
          <cell r="C939">
            <v>505</v>
          </cell>
          <cell r="D939">
            <v>25</v>
          </cell>
          <cell r="E939">
            <v>1.6</v>
          </cell>
          <cell r="F939">
            <v>947</v>
          </cell>
          <cell r="G939" t="str">
            <v>hockey</v>
          </cell>
          <cell r="H939" t="str">
            <v>183*29*16</v>
          </cell>
          <cell r="I939">
            <v>183</v>
          </cell>
          <cell r="J939">
            <v>29</v>
          </cell>
          <cell r="K939">
            <v>16</v>
          </cell>
        </row>
        <row r="940">
          <cell r="A940" t="str">
            <v>BAL-ULTRA-S53L-M-11060</v>
          </cell>
          <cell r="B940">
            <v>9</v>
          </cell>
          <cell r="C940">
            <v>505</v>
          </cell>
          <cell r="D940">
            <v>25</v>
          </cell>
          <cell r="E940">
            <v>1.6</v>
          </cell>
          <cell r="F940">
            <v>948</v>
          </cell>
          <cell r="G940" t="str">
            <v>hockey</v>
          </cell>
          <cell r="H940" t="str">
            <v>183*29*16</v>
          </cell>
          <cell r="I940">
            <v>183</v>
          </cell>
          <cell r="J940">
            <v>29</v>
          </cell>
          <cell r="K940">
            <v>16</v>
          </cell>
        </row>
        <row r="941">
          <cell r="A941" t="str">
            <v>BAL-ULTRA-S55L-M-11060</v>
          </cell>
          <cell r="B941">
            <v>9</v>
          </cell>
          <cell r="C941">
            <v>505</v>
          </cell>
          <cell r="D941">
            <v>25</v>
          </cell>
          <cell r="E941">
            <v>1.6</v>
          </cell>
          <cell r="F941">
            <v>949</v>
          </cell>
          <cell r="G941" t="str">
            <v>hockey</v>
          </cell>
          <cell r="H941" t="str">
            <v>183*29*16</v>
          </cell>
          <cell r="I941">
            <v>183</v>
          </cell>
          <cell r="J941">
            <v>29</v>
          </cell>
          <cell r="K941">
            <v>16</v>
          </cell>
        </row>
        <row r="942">
          <cell r="A942" t="str">
            <v>BAL-ULTRA-S55R-M-11060</v>
          </cell>
          <cell r="B942">
            <v>9</v>
          </cell>
          <cell r="C942">
            <v>505</v>
          </cell>
          <cell r="D942">
            <v>25</v>
          </cell>
          <cell r="E942">
            <v>1.6</v>
          </cell>
          <cell r="F942">
            <v>950</v>
          </cell>
          <cell r="G942" t="str">
            <v>hockey</v>
          </cell>
          <cell r="H942" t="str">
            <v>183*29*16</v>
          </cell>
          <cell r="I942">
            <v>183</v>
          </cell>
          <cell r="J942">
            <v>29</v>
          </cell>
          <cell r="K942">
            <v>16</v>
          </cell>
        </row>
        <row r="943">
          <cell r="A943" t="str">
            <v>ULAUNCHMSTWR-45</v>
          </cell>
          <cell r="B943">
            <v>9</v>
          </cell>
          <cell r="C943">
            <v>72</v>
          </cell>
          <cell r="D943">
            <v>50</v>
          </cell>
          <cell r="E943">
            <v>0.6</v>
          </cell>
          <cell r="F943">
            <v>951</v>
          </cell>
          <cell r="G943" t="str">
            <v>golf</v>
          </cell>
          <cell r="H943" t="str">
            <v>122*15*10</v>
          </cell>
          <cell r="I943">
            <v>122</v>
          </cell>
          <cell r="J943">
            <v>15</v>
          </cell>
          <cell r="K943">
            <v>10</v>
          </cell>
        </row>
        <row r="944">
          <cell r="A944" t="str">
            <v>ULAUNCHMSTIR-41</v>
          </cell>
          <cell r="B944">
            <v>9</v>
          </cell>
          <cell r="C944">
            <v>68</v>
          </cell>
          <cell r="D944">
            <v>50</v>
          </cell>
          <cell r="E944">
            <v>0.6</v>
          </cell>
          <cell r="F944">
            <v>952</v>
          </cell>
          <cell r="G944" t="str">
            <v>golf</v>
          </cell>
          <cell r="H944" t="str">
            <v>122*15*10</v>
          </cell>
          <cell r="I944">
            <v>122</v>
          </cell>
          <cell r="J944">
            <v>15</v>
          </cell>
          <cell r="K944">
            <v>10</v>
          </cell>
        </row>
        <row r="945">
          <cell r="A945" t="str">
            <v>BAL-ULTRA-S53L-H-08060</v>
          </cell>
          <cell r="B945">
            <v>9</v>
          </cell>
          <cell r="C945">
            <v>475</v>
          </cell>
          <cell r="D945">
            <v>25</v>
          </cell>
          <cell r="E945">
            <v>1.6</v>
          </cell>
          <cell r="F945">
            <v>953</v>
          </cell>
          <cell r="G945" t="str">
            <v>hockey</v>
          </cell>
          <cell r="H945" t="str">
            <v>183*29*16</v>
          </cell>
          <cell r="I945">
            <v>183</v>
          </cell>
          <cell r="J945">
            <v>29</v>
          </cell>
          <cell r="K945">
            <v>16</v>
          </cell>
        </row>
        <row r="946">
          <cell r="A946" t="str">
            <v>BAL-ULTRA-S53L-H-11060</v>
          </cell>
          <cell r="B946">
            <v>9</v>
          </cell>
          <cell r="C946">
            <v>475</v>
          </cell>
          <cell r="D946">
            <v>25</v>
          </cell>
          <cell r="E946">
            <v>1.6</v>
          </cell>
          <cell r="F946">
            <v>954</v>
          </cell>
          <cell r="G946" t="str">
            <v>hockey</v>
          </cell>
          <cell r="H946" t="str">
            <v>183*29*16</v>
          </cell>
          <cell r="I946">
            <v>183</v>
          </cell>
          <cell r="J946">
            <v>29</v>
          </cell>
          <cell r="K946">
            <v>16</v>
          </cell>
        </row>
        <row r="947">
          <cell r="A947" t="str">
            <v>BAL-ULTRA-S53R-H-11060</v>
          </cell>
          <cell r="B947">
            <v>9</v>
          </cell>
          <cell r="C947">
            <v>475</v>
          </cell>
          <cell r="D947">
            <v>25</v>
          </cell>
          <cell r="E947">
            <v>1.6</v>
          </cell>
          <cell r="F947">
            <v>955</v>
          </cell>
          <cell r="G947" t="str">
            <v>hockey</v>
          </cell>
          <cell r="H947" t="str">
            <v>183*29*16</v>
          </cell>
          <cell r="I947">
            <v>183</v>
          </cell>
          <cell r="J947">
            <v>29</v>
          </cell>
          <cell r="K947">
            <v>16</v>
          </cell>
        </row>
        <row r="948">
          <cell r="A948" t="str">
            <v>BAL-ULTRA-S55L-H-08060</v>
          </cell>
          <cell r="B948">
            <v>9</v>
          </cell>
          <cell r="C948">
            <v>475</v>
          </cell>
          <cell r="D948">
            <v>25</v>
          </cell>
          <cell r="E948">
            <v>1.6</v>
          </cell>
          <cell r="F948">
            <v>956</v>
          </cell>
          <cell r="G948" t="str">
            <v>hockey</v>
          </cell>
          <cell r="H948" t="str">
            <v>183*29*16</v>
          </cell>
          <cell r="I948">
            <v>183</v>
          </cell>
          <cell r="J948">
            <v>29</v>
          </cell>
          <cell r="K948">
            <v>16</v>
          </cell>
        </row>
        <row r="949">
          <cell r="A949" t="str">
            <v>BAL-ULTRA-S55L-H-11060</v>
          </cell>
          <cell r="B949">
            <v>9</v>
          </cell>
          <cell r="C949">
            <v>475</v>
          </cell>
          <cell r="D949">
            <v>25</v>
          </cell>
          <cell r="E949">
            <v>1.6</v>
          </cell>
          <cell r="F949">
            <v>957</v>
          </cell>
          <cell r="G949" t="str">
            <v>hockey</v>
          </cell>
          <cell r="H949" t="str">
            <v>183*29*16</v>
          </cell>
          <cell r="I949">
            <v>183</v>
          </cell>
          <cell r="J949">
            <v>29</v>
          </cell>
          <cell r="K949">
            <v>16</v>
          </cell>
        </row>
        <row r="950">
          <cell r="A950" t="str">
            <v>BAL-ULTRA-S55R-H-08060</v>
          </cell>
          <cell r="B950">
            <v>9</v>
          </cell>
          <cell r="C950">
            <v>475</v>
          </cell>
          <cell r="D950">
            <v>25</v>
          </cell>
          <cell r="E950">
            <v>1.6</v>
          </cell>
          <cell r="F950">
            <v>958</v>
          </cell>
          <cell r="G950" t="str">
            <v>hockey</v>
          </cell>
          <cell r="H950" t="str">
            <v>183*29*16</v>
          </cell>
          <cell r="I950">
            <v>183</v>
          </cell>
          <cell r="J950">
            <v>29</v>
          </cell>
          <cell r="K950">
            <v>16</v>
          </cell>
        </row>
        <row r="951">
          <cell r="A951" t="str">
            <v>BAL-ULTRA-S55R-H-11060</v>
          </cell>
          <cell r="B951">
            <v>9</v>
          </cell>
          <cell r="C951">
            <v>475</v>
          </cell>
          <cell r="D951">
            <v>25</v>
          </cell>
          <cell r="E951">
            <v>1.6</v>
          </cell>
          <cell r="F951">
            <v>959</v>
          </cell>
          <cell r="G951" t="str">
            <v>hockey</v>
          </cell>
          <cell r="H951" t="str">
            <v>183*29*16</v>
          </cell>
          <cell r="I951">
            <v>183</v>
          </cell>
          <cell r="J951">
            <v>29</v>
          </cell>
          <cell r="K951">
            <v>16</v>
          </cell>
        </row>
        <row r="952">
          <cell r="A952" t="str">
            <v>BAL-ULTRA-S57L-H-08060</v>
          </cell>
          <cell r="B952">
            <v>9</v>
          </cell>
          <cell r="C952">
            <v>475</v>
          </cell>
          <cell r="D952">
            <v>25</v>
          </cell>
          <cell r="E952">
            <v>1.6</v>
          </cell>
          <cell r="F952">
            <v>960</v>
          </cell>
          <cell r="G952" t="str">
            <v>hockey</v>
          </cell>
          <cell r="H952" t="str">
            <v>183*29*16</v>
          </cell>
          <cell r="I952">
            <v>183</v>
          </cell>
          <cell r="J952">
            <v>29</v>
          </cell>
          <cell r="K952">
            <v>16</v>
          </cell>
        </row>
        <row r="953">
          <cell r="A953" t="str">
            <v>BAL-ULTRA-S57L-H-09060</v>
          </cell>
          <cell r="B953">
            <v>9</v>
          </cell>
          <cell r="C953">
            <v>475</v>
          </cell>
          <cell r="D953">
            <v>25</v>
          </cell>
          <cell r="E953">
            <v>1.6</v>
          </cell>
          <cell r="F953">
            <v>961</v>
          </cell>
          <cell r="G953" t="str">
            <v>hockey</v>
          </cell>
          <cell r="H953" t="str">
            <v>183*29*16</v>
          </cell>
          <cell r="I953">
            <v>183</v>
          </cell>
          <cell r="J953">
            <v>29</v>
          </cell>
          <cell r="K953">
            <v>16</v>
          </cell>
        </row>
        <row r="954">
          <cell r="A954" t="str">
            <v>BAL-ULTRA-S57L-H-11060</v>
          </cell>
          <cell r="B954">
            <v>9</v>
          </cell>
          <cell r="C954">
            <v>475</v>
          </cell>
          <cell r="D954">
            <v>25</v>
          </cell>
          <cell r="E954">
            <v>1.6</v>
          </cell>
          <cell r="F954">
            <v>962</v>
          </cell>
          <cell r="G954" t="str">
            <v>hockey</v>
          </cell>
          <cell r="H954" t="str">
            <v>183*29*16</v>
          </cell>
          <cell r="I954">
            <v>183</v>
          </cell>
          <cell r="J954">
            <v>29</v>
          </cell>
          <cell r="K954">
            <v>16</v>
          </cell>
        </row>
        <row r="955">
          <cell r="A955" t="str">
            <v>BAL-ULTRA-S57L-M-08060</v>
          </cell>
          <cell r="B955">
            <v>9</v>
          </cell>
          <cell r="C955">
            <v>505</v>
          </cell>
          <cell r="D955">
            <v>25</v>
          </cell>
          <cell r="E955">
            <v>1.6</v>
          </cell>
          <cell r="F955">
            <v>963</v>
          </cell>
          <cell r="G955" t="str">
            <v>hockey</v>
          </cell>
          <cell r="H955" t="str">
            <v>183*29*16</v>
          </cell>
          <cell r="I955">
            <v>183</v>
          </cell>
          <cell r="J955">
            <v>29</v>
          </cell>
          <cell r="K955">
            <v>16</v>
          </cell>
        </row>
        <row r="956">
          <cell r="A956" t="str">
            <v>BAL-ULTRA-S57L-M-09060</v>
          </cell>
          <cell r="B956">
            <v>9</v>
          </cell>
          <cell r="C956">
            <v>505</v>
          </cell>
          <cell r="D956">
            <v>25</v>
          </cell>
          <cell r="E956">
            <v>1.6</v>
          </cell>
          <cell r="F956">
            <v>964</v>
          </cell>
          <cell r="G956" t="str">
            <v>hockey</v>
          </cell>
          <cell r="H956" t="str">
            <v>183*29*16</v>
          </cell>
          <cell r="I956">
            <v>183</v>
          </cell>
          <cell r="J956">
            <v>29</v>
          </cell>
          <cell r="K956">
            <v>16</v>
          </cell>
        </row>
        <row r="957">
          <cell r="A957" t="str">
            <v>BAL-ULTRA-S57L-M-10060</v>
          </cell>
          <cell r="B957">
            <v>9</v>
          </cell>
          <cell r="C957">
            <v>505</v>
          </cell>
          <cell r="D957">
            <v>25</v>
          </cell>
          <cell r="E957">
            <v>1.6</v>
          </cell>
          <cell r="F957">
            <v>965</v>
          </cell>
          <cell r="G957" t="str">
            <v>hockey</v>
          </cell>
          <cell r="H957" t="str">
            <v>183*29*16</v>
          </cell>
          <cell r="I957">
            <v>183</v>
          </cell>
          <cell r="J957">
            <v>29</v>
          </cell>
          <cell r="K957">
            <v>16</v>
          </cell>
        </row>
        <row r="958">
          <cell r="A958" t="str">
            <v>BAL-ULTRA-S57L-M-11060</v>
          </cell>
          <cell r="B958">
            <v>9</v>
          </cell>
          <cell r="C958">
            <v>505</v>
          </cell>
          <cell r="D958">
            <v>25</v>
          </cell>
          <cell r="E958">
            <v>1.6</v>
          </cell>
          <cell r="F958">
            <v>966</v>
          </cell>
          <cell r="G958" t="str">
            <v>hockey</v>
          </cell>
          <cell r="H958" t="str">
            <v>183*29*16</v>
          </cell>
          <cell r="I958">
            <v>183</v>
          </cell>
          <cell r="J958">
            <v>29</v>
          </cell>
          <cell r="K958">
            <v>16</v>
          </cell>
        </row>
        <row r="959">
          <cell r="A959" t="str">
            <v>BAL-ULTRA-S57R-H-08060</v>
          </cell>
          <cell r="B959">
            <v>9</v>
          </cell>
          <cell r="C959">
            <v>475</v>
          </cell>
          <cell r="D959">
            <v>25</v>
          </cell>
          <cell r="E959">
            <v>1.6</v>
          </cell>
          <cell r="F959">
            <v>967</v>
          </cell>
          <cell r="G959" t="str">
            <v>hockey</v>
          </cell>
          <cell r="H959" t="str">
            <v>183*29*16</v>
          </cell>
          <cell r="I959">
            <v>183</v>
          </cell>
          <cell r="J959">
            <v>29</v>
          </cell>
          <cell r="K959">
            <v>16</v>
          </cell>
        </row>
        <row r="960">
          <cell r="A960" t="str">
            <v>BAL-ULTRA-S57R-H-09060</v>
          </cell>
          <cell r="B960">
            <v>9</v>
          </cell>
          <cell r="C960">
            <v>475</v>
          </cell>
          <cell r="D960">
            <v>25</v>
          </cell>
          <cell r="E960">
            <v>1.6</v>
          </cell>
          <cell r="F960">
            <v>968</v>
          </cell>
          <cell r="G960" t="str">
            <v>hockey</v>
          </cell>
          <cell r="H960" t="str">
            <v>183*29*16</v>
          </cell>
          <cell r="I960">
            <v>183</v>
          </cell>
          <cell r="J960">
            <v>29</v>
          </cell>
          <cell r="K960">
            <v>16</v>
          </cell>
        </row>
        <row r="961">
          <cell r="A961" t="str">
            <v>BAL-ULTRA-S57R-M-08060</v>
          </cell>
          <cell r="B961">
            <v>9</v>
          </cell>
          <cell r="C961">
            <v>505</v>
          </cell>
          <cell r="D961">
            <v>25</v>
          </cell>
          <cell r="E961">
            <v>1.6</v>
          </cell>
          <cell r="F961">
            <v>969</v>
          </cell>
          <cell r="G961" t="str">
            <v>hockey</v>
          </cell>
          <cell r="H961" t="str">
            <v>183*29*16</v>
          </cell>
          <cell r="I961">
            <v>183</v>
          </cell>
          <cell r="J961">
            <v>29</v>
          </cell>
          <cell r="K961">
            <v>16</v>
          </cell>
        </row>
        <row r="962">
          <cell r="A962" t="str">
            <v>BAL-ULTRA-S57R-M-09060</v>
          </cell>
          <cell r="B962">
            <v>9</v>
          </cell>
          <cell r="C962">
            <v>505</v>
          </cell>
          <cell r="D962">
            <v>25</v>
          </cell>
          <cell r="E962">
            <v>1.6</v>
          </cell>
          <cell r="F962">
            <v>970</v>
          </cell>
          <cell r="G962" t="str">
            <v>hockey</v>
          </cell>
          <cell r="H962" t="str">
            <v>183*29*16</v>
          </cell>
          <cell r="I962">
            <v>183</v>
          </cell>
          <cell r="J962">
            <v>29</v>
          </cell>
          <cell r="K962">
            <v>16</v>
          </cell>
        </row>
        <row r="963">
          <cell r="A963" t="str">
            <v>BAL-ULTRA-S57R-M-10060</v>
          </cell>
          <cell r="B963">
            <v>9</v>
          </cell>
          <cell r="C963">
            <v>505</v>
          </cell>
          <cell r="D963">
            <v>25</v>
          </cell>
          <cell r="E963">
            <v>1.6</v>
          </cell>
          <cell r="F963">
            <v>971</v>
          </cell>
          <cell r="G963" t="str">
            <v>hockey</v>
          </cell>
          <cell r="H963" t="str">
            <v>183*29*16</v>
          </cell>
          <cell r="I963">
            <v>183</v>
          </cell>
          <cell r="J963">
            <v>29</v>
          </cell>
          <cell r="K963">
            <v>16</v>
          </cell>
        </row>
        <row r="964">
          <cell r="A964" t="str">
            <v>BAL-ULTRA-S57R-M-11060</v>
          </cell>
          <cell r="B964">
            <v>9</v>
          </cell>
          <cell r="C964">
            <v>505</v>
          </cell>
          <cell r="D964">
            <v>25</v>
          </cell>
          <cell r="E964">
            <v>1.6</v>
          </cell>
          <cell r="F964">
            <v>972</v>
          </cell>
          <cell r="G964" t="str">
            <v>hockey</v>
          </cell>
          <cell r="H964" t="str">
            <v>183*29*16</v>
          </cell>
          <cell r="I964">
            <v>183</v>
          </cell>
          <cell r="J964">
            <v>29</v>
          </cell>
          <cell r="K964">
            <v>16</v>
          </cell>
        </row>
        <row r="965">
          <cell r="A965" t="str">
            <v>BAL-ULTRA-S64L-H-09060</v>
          </cell>
          <cell r="B965">
            <v>9</v>
          </cell>
          <cell r="C965">
            <v>475</v>
          </cell>
          <cell r="D965">
            <v>25</v>
          </cell>
          <cell r="E965">
            <v>1.6</v>
          </cell>
          <cell r="F965">
            <v>973</v>
          </cell>
          <cell r="G965" t="str">
            <v>hockey</v>
          </cell>
          <cell r="H965" t="str">
            <v>183*29*16</v>
          </cell>
          <cell r="I965">
            <v>183</v>
          </cell>
          <cell r="J965">
            <v>29</v>
          </cell>
          <cell r="K965">
            <v>16</v>
          </cell>
        </row>
        <row r="966">
          <cell r="A966" t="str">
            <v>BAL-ULTRA-S64L-H-10060</v>
          </cell>
          <cell r="B966">
            <v>9</v>
          </cell>
          <cell r="C966">
            <v>475</v>
          </cell>
          <cell r="D966">
            <v>25</v>
          </cell>
          <cell r="E966">
            <v>1.6</v>
          </cell>
          <cell r="F966">
            <v>974</v>
          </cell>
          <cell r="G966" t="str">
            <v>hockey</v>
          </cell>
          <cell r="H966" t="str">
            <v>183*29*16</v>
          </cell>
          <cell r="I966">
            <v>183</v>
          </cell>
          <cell r="J966">
            <v>29</v>
          </cell>
          <cell r="K966">
            <v>16</v>
          </cell>
        </row>
        <row r="967">
          <cell r="A967" t="str">
            <v>BAL-ULTRA-S64L-M-08060</v>
          </cell>
          <cell r="B967">
            <v>9</v>
          </cell>
          <cell r="C967">
            <v>505</v>
          </cell>
          <cell r="D967">
            <v>25</v>
          </cell>
          <cell r="E967">
            <v>1.6</v>
          </cell>
          <cell r="F967">
            <v>975</v>
          </cell>
          <cell r="G967" t="str">
            <v>hockey</v>
          </cell>
          <cell r="H967" t="str">
            <v>183*29*16</v>
          </cell>
          <cell r="I967">
            <v>183</v>
          </cell>
          <cell r="J967">
            <v>29</v>
          </cell>
          <cell r="K967">
            <v>16</v>
          </cell>
        </row>
        <row r="968">
          <cell r="A968" t="str">
            <v>BAL-ULTRA-S64L-M-09060</v>
          </cell>
          <cell r="B968">
            <v>9</v>
          </cell>
          <cell r="C968">
            <v>505</v>
          </cell>
          <cell r="D968">
            <v>25</v>
          </cell>
          <cell r="E968">
            <v>1.6</v>
          </cell>
          <cell r="F968">
            <v>976</v>
          </cell>
          <cell r="G968" t="str">
            <v>hockey</v>
          </cell>
          <cell r="H968" t="str">
            <v>183*29*16</v>
          </cell>
          <cell r="I968">
            <v>183</v>
          </cell>
          <cell r="J968">
            <v>29</v>
          </cell>
          <cell r="K968">
            <v>16</v>
          </cell>
        </row>
        <row r="969">
          <cell r="A969" t="str">
            <v>BAL-ULTRA-S64L-M-10060</v>
          </cell>
          <cell r="B969">
            <v>9</v>
          </cell>
          <cell r="C969">
            <v>505</v>
          </cell>
          <cell r="D969">
            <v>25</v>
          </cell>
          <cell r="E969">
            <v>1.6</v>
          </cell>
          <cell r="F969">
            <v>977</v>
          </cell>
          <cell r="G969" t="str">
            <v>hockey</v>
          </cell>
          <cell r="H969" t="str">
            <v>183*29*16</v>
          </cell>
          <cell r="I969">
            <v>183</v>
          </cell>
          <cell r="J969">
            <v>29</v>
          </cell>
          <cell r="K969">
            <v>16</v>
          </cell>
        </row>
        <row r="970">
          <cell r="A970" t="str">
            <v>BAL-ULTRA-S64L-M-11060</v>
          </cell>
          <cell r="B970">
            <v>9</v>
          </cell>
          <cell r="C970">
            <v>505</v>
          </cell>
          <cell r="D970">
            <v>25</v>
          </cell>
          <cell r="E970">
            <v>1.6</v>
          </cell>
          <cell r="F970">
            <v>978</v>
          </cell>
          <cell r="G970" t="str">
            <v>hockey</v>
          </cell>
          <cell r="H970" t="str">
            <v>183*29*16</v>
          </cell>
          <cell r="I970">
            <v>183</v>
          </cell>
          <cell r="J970">
            <v>29</v>
          </cell>
          <cell r="K970">
            <v>16</v>
          </cell>
        </row>
        <row r="971">
          <cell r="A971" t="str">
            <v>BAL-ULTRA-S64R-H-09060</v>
          </cell>
          <cell r="B971">
            <v>9</v>
          </cell>
          <cell r="C971">
            <v>475</v>
          </cell>
          <cell r="D971">
            <v>25</v>
          </cell>
          <cell r="E971">
            <v>1.6</v>
          </cell>
          <cell r="F971">
            <v>979</v>
          </cell>
          <cell r="G971" t="str">
            <v>hockey</v>
          </cell>
          <cell r="H971" t="str">
            <v>183*29*16</v>
          </cell>
          <cell r="I971">
            <v>183</v>
          </cell>
          <cell r="J971">
            <v>29</v>
          </cell>
          <cell r="K971">
            <v>16</v>
          </cell>
        </row>
        <row r="972">
          <cell r="A972" t="str">
            <v>BAL-ULTRA-S64R-H-10060</v>
          </cell>
          <cell r="B972">
            <v>9</v>
          </cell>
          <cell r="C972">
            <v>475</v>
          </cell>
          <cell r="D972">
            <v>25</v>
          </cell>
          <cell r="E972">
            <v>1.6</v>
          </cell>
          <cell r="F972">
            <v>980</v>
          </cell>
          <cell r="G972" t="str">
            <v>hockey</v>
          </cell>
          <cell r="H972" t="str">
            <v>183*29*16</v>
          </cell>
          <cell r="I972">
            <v>183</v>
          </cell>
          <cell r="J972">
            <v>29</v>
          </cell>
          <cell r="K972">
            <v>16</v>
          </cell>
        </row>
        <row r="973">
          <cell r="A973" t="str">
            <v>BAL-ULTRA-S64R-M-08060</v>
          </cell>
          <cell r="B973">
            <v>9</v>
          </cell>
          <cell r="C973">
            <v>505</v>
          </cell>
          <cell r="D973">
            <v>25</v>
          </cell>
          <cell r="E973">
            <v>1.6</v>
          </cell>
          <cell r="F973">
            <v>981</v>
          </cell>
          <cell r="G973" t="str">
            <v>hockey</v>
          </cell>
          <cell r="H973" t="str">
            <v>183*29*16</v>
          </cell>
          <cell r="I973">
            <v>183</v>
          </cell>
          <cell r="J973">
            <v>29</v>
          </cell>
          <cell r="K973">
            <v>16</v>
          </cell>
        </row>
        <row r="974">
          <cell r="A974" t="str">
            <v>BAL-ULTRA-S64R-M-09060</v>
          </cell>
          <cell r="B974">
            <v>9</v>
          </cell>
          <cell r="C974">
            <v>505</v>
          </cell>
          <cell r="D974">
            <v>25</v>
          </cell>
          <cell r="E974">
            <v>1.6</v>
          </cell>
          <cell r="F974">
            <v>982</v>
          </cell>
          <cell r="G974" t="str">
            <v>hockey</v>
          </cell>
          <cell r="H974" t="str">
            <v>183*29*16</v>
          </cell>
          <cell r="I974">
            <v>183</v>
          </cell>
          <cell r="J974">
            <v>29</v>
          </cell>
          <cell r="K974">
            <v>16</v>
          </cell>
        </row>
        <row r="975">
          <cell r="A975" t="str">
            <v>BAL-ULTRA-S64R-M-10060</v>
          </cell>
          <cell r="B975">
            <v>9</v>
          </cell>
          <cell r="C975">
            <v>505</v>
          </cell>
          <cell r="D975">
            <v>25</v>
          </cell>
          <cell r="E975">
            <v>1.6</v>
          </cell>
          <cell r="F975">
            <v>983</v>
          </cell>
          <cell r="G975" t="str">
            <v>hockey</v>
          </cell>
          <cell r="H975" t="str">
            <v>183*29*16</v>
          </cell>
          <cell r="I975">
            <v>183</v>
          </cell>
          <cell r="J975">
            <v>29</v>
          </cell>
          <cell r="K975">
            <v>16</v>
          </cell>
        </row>
        <row r="976">
          <cell r="A976" t="str">
            <v>BAL-ULTRA-S64R-M-11060</v>
          </cell>
          <cell r="B976">
            <v>9</v>
          </cell>
          <cell r="C976">
            <v>505</v>
          </cell>
          <cell r="D976">
            <v>25</v>
          </cell>
          <cell r="E976">
            <v>1.6</v>
          </cell>
          <cell r="F976">
            <v>984</v>
          </cell>
          <cell r="G976" t="str">
            <v>hockey</v>
          </cell>
          <cell r="H976" t="str">
            <v>183*29*16</v>
          </cell>
          <cell r="I976">
            <v>183</v>
          </cell>
          <cell r="J976">
            <v>29</v>
          </cell>
          <cell r="K976">
            <v>16</v>
          </cell>
        </row>
        <row r="977">
          <cell r="A977" t="str">
            <v>UPLT-65-WS-46</v>
          </cell>
          <cell r="B977">
            <v>9</v>
          </cell>
          <cell r="C977">
            <v>69</v>
          </cell>
          <cell r="D977">
            <v>50</v>
          </cell>
          <cell r="E977">
            <v>0.6</v>
          </cell>
          <cell r="F977">
            <v>985</v>
          </cell>
          <cell r="G977" t="str">
            <v>golf</v>
          </cell>
          <cell r="H977" t="str">
            <v>122*15*10</v>
          </cell>
          <cell r="I977">
            <v>122</v>
          </cell>
          <cell r="J977">
            <v>15</v>
          </cell>
          <cell r="K977">
            <v>10</v>
          </cell>
        </row>
        <row r="978">
          <cell r="A978" t="str">
            <v>QCX20-8-747</v>
          </cell>
          <cell r="B978">
            <v>9</v>
          </cell>
          <cell r="C978">
            <v>475</v>
          </cell>
          <cell r="D978">
            <v>1</v>
          </cell>
          <cell r="E978">
            <v>0.5</v>
          </cell>
          <cell r="F978">
            <v>986</v>
          </cell>
          <cell r="G978" t="str">
            <v>fork</v>
          </cell>
          <cell r="H978" t="str">
            <v>89*14*9</v>
          </cell>
          <cell r="I978">
            <v>89</v>
          </cell>
          <cell r="J978">
            <v>14</v>
          </cell>
          <cell r="K978">
            <v>9</v>
          </cell>
        </row>
        <row r="979">
          <cell r="A979" t="str">
            <v>BAL-ULTRA-S57L-H-10060</v>
          </cell>
          <cell r="B979">
            <v>9</v>
          </cell>
          <cell r="C979">
            <v>475</v>
          </cell>
          <cell r="D979">
            <v>25</v>
          </cell>
          <cell r="E979">
            <v>1.6</v>
          </cell>
          <cell r="F979">
            <v>987</v>
          </cell>
          <cell r="G979" t="str">
            <v>hockey</v>
          </cell>
          <cell r="H979" t="str">
            <v>183*29*16</v>
          </cell>
          <cell r="I979">
            <v>183</v>
          </cell>
          <cell r="J979">
            <v>29</v>
          </cell>
          <cell r="K979">
            <v>16</v>
          </cell>
        </row>
        <row r="980">
          <cell r="A980" t="str">
            <v>BAL-ULTRA-S57R-H-10060</v>
          </cell>
          <cell r="B980">
            <v>9</v>
          </cell>
          <cell r="C980">
            <v>475</v>
          </cell>
          <cell r="D980">
            <v>25</v>
          </cell>
          <cell r="E980">
            <v>1.6</v>
          </cell>
          <cell r="F980">
            <v>988</v>
          </cell>
          <cell r="G980" t="str">
            <v>hockey</v>
          </cell>
          <cell r="H980" t="str">
            <v>183*29*16</v>
          </cell>
          <cell r="I980">
            <v>183</v>
          </cell>
          <cell r="J980">
            <v>29</v>
          </cell>
          <cell r="K980">
            <v>16</v>
          </cell>
        </row>
        <row r="981">
          <cell r="A981" t="str">
            <v>BAL-ULTRA-S57R-H-11060</v>
          </cell>
          <cell r="B981">
            <v>9</v>
          </cell>
          <cell r="C981">
            <v>475</v>
          </cell>
          <cell r="D981">
            <v>25</v>
          </cell>
          <cell r="E981">
            <v>1.6</v>
          </cell>
          <cell r="F981">
            <v>989</v>
          </cell>
          <cell r="G981" t="str">
            <v>hockey</v>
          </cell>
          <cell r="H981" t="str">
            <v>183*29*16</v>
          </cell>
          <cell r="I981">
            <v>183</v>
          </cell>
          <cell r="J981">
            <v>29</v>
          </cell>
          <cell r="K981">
            <v>16</v>
          </cell>
        </row>
        <row r="982">
          <cell r="A982" t="str">
            <v>BAL-ULTRA-S64L-H-08060</v>
          </cell>
          <cell r="B982">
            <v>9</v>
          </cell>
          <cell r="C982">
            <v>475</v>
          </cell>
          <cell r="D982">
            <v>25</v>
          </cell>
          <cell r="E982">
            <v>1.6</v>
          </cell>
          <cell r="F982">
            <v>990</v>
          </cell>
          <cell r="G982" t="str">
            <v>hockey</v>
          </cell>
          <cell r="H982" t="str">
            <v>183*29*16</v>
          </cell>
          <cell r="I982">
            <v>183</v>
          </cell>
          <cell r="J982">
            <v>29</v>
          </cell>
          <cell r="K982">
            <v>16</v>
          </cell>
        </row>
        <row r="983">
          <cell r="A983" t="str">
            <v>BAL-ULTRA-S64R-H-08060</v>
          </cell>
          <cell r="B983">
            <v>9</v>
          </cell>
          <cell r="C983">
            <v>475</v>
          </cell>
          <cell r="D983">
            <v>25</v>
          </cell>
          <cell r="E983">
            <v>1.6</v>
          </cell>
          <cell r="F983">
            <v>991</v>
          </cell>
          <cell r="G983" t="str">
            <v>hockey</v>
          </cell>
          <cell r="H983" t="str">
            <v>183*29*16</v>
          </cell>
          <cell r="I983">
            <v>183</v>
          </cell>
          <cell r="J983">
            <v>29</v>
          </cell>
          <cell r="K983">
            <v>16</v>
          </cell>
        </row>
        <row r="984">
          <cell r="A984" t="str">
            <v>BAL-ULTRA-S64L-H-11060</v>
          </cell>
          <cell r="B984">
            <v>9</v>
          </cell>
          <cell r="C984">
            <v>475</v>
          </cell>
          <cell r="D984">
            <v>25</v>
          </cell>
          <cell r="E984">
            <v>1.6</v>
          </cell>
          <cell r="F984">
            <v>992</v>
          </cell>
          <cell r="G984" t="str">
            <v>hockey</v>
          </cell>
          <cell r="H984" t="str">
            <v>183*29*16</v>
          </cell>
          <cell r="I984">
            <v>183</v>
          </cell>
          <cell r="J984">
            <v>29</v>
          </cell>
          <cell r="K984">
            <v>16</v>
          </cell>
        </row>
        <row r="985">
          <cell r="A985" t="str">
            <v>BAL-ULTRA-S64R-H-11060</v>
          </cell>
          <cell r="B985">
            <v>9</v>
          </cell>
          <cell r="C985">
            <v>475</v>
          </cell>
          <cell r="D985">
            <v>25</v>
          </cell>
          <cell r="E985">
            <v>1.6</v>
          </cell>
          <cell r="F985">
            <v>993</v>
          </cell>
          <cell r="G985" t="str">
            <v>hockey</v>
          </cell>
          <cell r="H985" t="str">
            <v>183*29*16</v>
          </cell>
          <cell r="I985">
            <v>183</v>
          </cell>
          <cell r="J985">
            <v>29</v>
          </cell>
          <cell r="K985">
            <v>16</v>
          </cell>
        </row>
        <row r="986">
          <cell r="A986" t="str">
            <v>BAL-ULTRA-S53R-H-08060</v>
          </cell>
          <cell r="B986">
            <v>9</v>
          </cell>
          <cell r="C986">
            <v>475</v>
          </cell>
          <cell r="D986">
            <v>25</v>
          </cell>
          <cell r="E986">
            <v>1.6</v>
          </cell>
          <cell r="F986">
            <v>994</v>
          </cell>
          <cell r="G986" t="str">
            <v>hockey</v>
          </cell>
          <cell r="H986" t="str">
            <v>183*29*16</v>
          </cell>
          <cell r="I986">
            <v>183</v>
          </cell>
          <cell r="J986">
            <v>29</v>
          </cell>
          <cell r="K986">
            <v>16</v>
          </cell>
        </row>
        <row r="987">
          <cell r="A987" t="str">
            <v>BAL-ULTRA-S14L-H</v>
          </cell>
          <cell r="B987">
            <v>9</v>
          </cell>
          <cell r="C987">
            <v>145</v>
          </cell>
          <cell r="D987">
            <v>6</v>
          </cell>
          <cell r="E987">
            <v>0.2</v>
          </cell>
          <cell r="F987">
            <v>995</v>
          </cell>
          <cell r="G987" t="str">
            <v>blade</v>
          </cell>
          <cell r="H987" t="str">
            <v>45*26*8</v>
          </cell>
          <cell r="I987">
            <v>45</v>
          </cell>
          <cell r="J987">
            <v>26</v>
          </cell>
          <cell r="K987">
            <v>8</v>
          </cell>
        </row>
        <row r="988">
          <cell r="A988" t="str">
            <v>BAL-ULTRA-S14L-M</v>
          </cell>
          <cell r="B988">
            <v>9</v>
          </cell>
          <cell r="C988">
            <v>155</v>
          </cell>
          <cell r="D988">
            <v>6</v>
          </cell>
          <cell r="E988">
            <v>0.2</v>
          </cell>
          <cell r="F988">
            <v>996</v>
          </cell>
          <cell r="G988" t="str">
            <v>blade</v>
          </cell>
          <cell r="H988" t="str">
            <v>45*26*8</v>
          </cell>
          <cell r="I988">
            <v>45</v>
          </cell>
          <cell r="J988">
            <v>26</v>
          </cell>
          <cell r="K988">
            <v>8</v>
          </cell>
        </row>
        <row r="989">
          <cell r="A989" t="str">
            <v>BAL-ULTRA-S14R-H</v>
          </cell>
          <cell r="B989">
            <v>9</v>
          </cell>
          <cell r="C989">
            <v>145</v>
          </cell>
          <cell r="D989">
            <v>6</v>
          </cell>
          <cell r="E989">
            <v>0.2</v>
          </cell>
          <cell r="F989">
            <v>997</v>
          </cell>
          <cell r="G989" t="str">
            <v>blade</v>
          </cell>
          <cell r="H989" t="str">
            <v>45*26*8</v>
          </cell>
          <cell r="I989">
            <v>45</v>
          </cell>
          <cell r="J989">
            <v>26</v>
          </cell>
          <cell r="K989">
            <v>8</v>
          </cell>
        </row>
        <row r="990">
          <cell r="A990" t="str">
            <v>BAL-ULTRA-S14R-M</v>
          </cell>
          <cell r="B990">
            <v>9</v>
          </cell>
          <cell r="C990">
            <v>155</v>
          </cell>
          <cell r="D990">
            <v>6</v>
          </cell>
          <cell r="E990">
            <v>0.2</v>
          </cell>
          <cell r="F990">
            <v>998</v>
          </cell>
          <cell r="G990" t="str">
            <v>blade</v>
          </cell>
          <cell r="H990" t="str">
            <v>45*26*8</v>
          </cell>
          <cell r="I990">
            <v>45</v>
          </cell>
          <cell r="J990">
            <v>26</v>
          </cell>
          <cell r="K990">
            <v>8</v>
          </cell>
        </row>
        <row r="991">
          <cell r="A991" t="str">
            <v>BAL-ULTRA-S14L-M-UP</v>
          </cell>
          <cell r="B991">
            <v>9</v>
          </cell>
          <cell r="C991">
            <v>155</v>
          </cell>
          <cell r="D991">
            <v>160</v>
          </cell>
          <cell r="E991">
            <v>1.7</v>
          </cell>
          <cell r="F991">
            <v>999</v>
          </cell>
          <cell r="G991" t="str">
            <v>blade</v>
          </cell>
          <cell r="H991" t="str">
            <v>72*52*32</v>
          </cell>
          <cell r="I991">
            <v>72</v>
          </cell>
          <cell r="J991">
            <v>52</v>
          </cell>
          <cell r="K991">
            <v>32</v>
          </cell>
        </row>
        <row r="992">
          <cell r="A992" t="str">
            <v>BAL-ULTRA-S14R-M-UP</v>
          </cell>
          <cell r="B992">
            <v>9</v>
          </cell>
          <cell r="C992">
            <v>155</v>
          </cell>
          <cell r="D992">
            <v>160</v>
          </cell>
          <cell r="E992">
            <v>1.7</v>
          </cell>
          <cell r="F992">
            <v>1000</v>
          </cell>
          <cell r="G992" t="str">
            <v>blade</v>
          </cell>
          <cell r="H992" t="str">
            <v>72*52*32</v>
          </cell>
          <cell r="I992">
            <v>72</v>
          </cell>
          <cell r="J992">
            <v>52</v>
          </cell>
          <cell r="K992">
            <v>32</v>
          </cell>
        </row>
        <row r="993">
          <cell r="A993" t="str">
            <v>UTAIS-40</v>
          </cell>
          <cell r="B993">
            <v>9</v>
          </cell>
          <cell r="C993">
            <v>86</v>
          </cell>
          <cell r="D993">
            <v>50</v>
          </cell>
          <cell r="E993">
            <v>0.6</v>
          </cell>
          <cell r="F993">
            <v>1001</v>
          </cell>
          <cell r="G993" t="str">
            <v>golf</v>
          </cell>
          <cell r="H993" t="str">
            <v>122*15*10</v>
          </cell>
          <cell r="I993">
            <v>122</v>
          </cell>
          <cell r="J993">
            <v>15</v>
          </cell>
          <cell r="K993">
            <v>10</v>
          </cell>
        </row>
        <row r="994">
          <cell r="A994" t="str">
            <v>RBK-VIP-11048-SC</v>
          </cell>
          <cell r="B994">
            <v>9</v>
          </cell>
          <cell r="C994">
            <v>301</v>
          </cell>
          <cell r="D994">
            <v>50</v>
          </cell>
          <cell r="E994">
            <v>1.48</v>
          </cell>
          <cell r="F994">
            <v>1002</v>
          </cell>
          <cell r="G994" t="str">
            <v>shaft</v>
          </cell>
          <cell r="H994" t="str">
            <v>145*29*16</v>
          </cell>
          <cell r="I994">
            <v>145</v>
          </cell>
          <cell r="J994">
            <v>29</v>
          </cell>
          <cell r="K994">
            <v>16</v>
          </cell>
        </row>
        <row r="995">
          <cell r="A995" t="str">
            <v>MIS-STA-J51R-5051</v>
          </cell>
          <cell r="B995">
            <v>9</v>
          </cell>
          <cell r="C995">
            <v>395</v>
          </cell>
          <cell r="D995">
            <v>35</v>
          </cell>
          <cell r="E995">
            <v>1.6</v>
          </cell>
          <cell r="F995">
            <v>1003</v>
          </cell>
          <cell r="G995" t="str">
            <v>hockey</v>
          </cell>
          <cell r="H995" t="str">
            <v>183*29*16</v>
          </cell>
          <cell r="I995">
            <v>183</v>
          </cell>
          <cell r="J995">
            <v>29</v>
          </cell>
          <cell r="K995">
            <v>16</v>
          </cell>
        </row>
        <row r="996">
          <cell r="A996" t="str">
            <v>MIS-STA-J51L-5051</v>
          </cell>
          <cell r="B996">
            <v>9</v>
          </cell>
          <cell r="C996">
            <v>395</v>
          </cell>
          <cell r="D996">
            <v>35</v>
          </cell>
          <cell r="E996">
            <v>1.6</v>
          </cell>
          <cell r="F996">
            <v>1004</v>
          </cell>
          <cell r="G996" t="str">
            <v>hockey</v>
          </cell>
          <cell r="H996" t="str">
            <v>183*29*16</v>
          </cell>
          <cell r="I996">
            <v>183</v>
          </cell>
          <cell r="J996">
            <v>29</v>
          </cell>
          <cell r="K996">
            <v>16</v>
          </cell>
        </row>
        <row r="997">
          <cell r="A997" t="str">
            <v>UBLULD733W3X-50</v>
          </cell>
          <cell r="B997">
            <v>9</v>
          </cell>
          <cell r="C997">
            <v>79</v>
          </cell>
          <cell r="D997">
            <v>50</v>
          </cell>
          <cell r="E997">
            <v>0.64</v>
          </cell>
          <cell r="F997">
            <v>1005</v>
          </cell>
          <cell r="G997" t="str">
            <v>golf</v>
          </cell>
          <cell r="H997" t="str">
            <v>130*15*10</v>
          </cell>
          <cell r="I997">
            <v>130</v>
          </cell>
          <cell r="J997">
            <v>15</v>
          </cell>
          <cell r="K997">
            <v>10</v>
          </cell>
        </row>
        <row r="998">
          <cell r="A998" t="str">
            <v>PGT233WS-46</v>
          </cell>
          <cell r="B998">
            <v>9</v>
          </cell>
          <cell r="C998">
            <v>67</v>
          </cell>
          <cell r="D998">
            <v>50</v>
          </cell>
          <cell r="E998">
            <v>0.6</v>
          </cell>
          <cell r="F998">
            <v>1006</v>
          </cell>
          <cell r="G998" t="str">
            <v>golf</v>
          </cell>
          <cell r="H998" t="str">
            <v>122*15*10</v>
          </cell>
          <cell r="I998">
            <v>122</v>
          </cell>
          <cell r="J998">
            <v>15</v>
          </cell>
          <cell r="K998">
            <v>10</v>
          </cell>
        </row>
        <row r="999">
          <cell r="A999" t="str">
            <v>AQTB1125-26-2</v>
          </cell>
          <cell r="B999">
            <v>9</v>
          </cell>
          <cell r="C999">
            <v>0</v>
          </cell>
          <cell r="D999">
            <v>0</v>
          </cell>
          <cell r="F999">
            <v>1007</v>
          </cell>
          <cell r="G999" t="str">
            <v>steer tube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</row>
        <row r="1000">
          <cell r="A1000" t="str">
            <v>UWFS3WL-45</v>
          </cell>
          <cell r="B1000">
            <v>9</v>
          </cell>
          <cell r="C1000">
            <v>52</v>
          </cell>
          <cell r="D1000">
            <v>50</v>
          </cell>
          <cell r="E1000">
            <v>0.6</v>
          </cell>
          <cell r="F1000">
            <v>1008</v>
          </cell>
          <cell r="G1000" t="str">
            <v>golf</v>
          </cell>
          <cell r="H1000" t="str">
            <v>122*15*10</v>
          </cell>
          <cell r="I1000">
            <v>122</v>
          </cell>
          <cell r="J1000">
            <v>15</v>
          </cell>
          <cell r="K1000">
            <v>10</v>
          </cell>
        </row>
        <row r="1001">
          <cell r="A1001" t="str">
            <v>QGS30-8-744-UP</v>
          </cell>
          <cell r="B1001">
            <v>9</v>
          </cell>
          <cell r="C1001">
            <v>300</v>
          </cell>
          <cell r="D1001">
            <v>25</v>
          </cell>
          <cell r="E1001">
            <v>2.54</v>
          </cell>
          <cell r="F1001">
            <v>1009</v>
          </cell>
          <cell r="G1001" t="str">
            <v>fork</v>
          </cell>
          <cell r="H1001" t="str">
            <v>77*52*32</v>
          </cell>
          <cell r="I1001">
            <v>77</v>
          </cell>
          <cell r="J1001">
            <v>52</v>
          </cell>
          <cell r="K1001">
            <v>32</v>
          </cell>
        </row>
        <row r="1002">
          <cell r="A1002" t="str">
            <v>BAL-ULTRA-T-08055-UP</v>
          </cell>
          <cell r="B1002">
            <v>9</v>
          </cell>
          <cell r="C1002">
            <v>320</v>
          </cell>
          <cell r="D1002">
            <v>50</v>
          </cell>
          <cell r="E1002">
            <v>1.48</v>
          </cell>
          <cell r="F1002">
            <v>1010</v>
          </cell>
          <cell r="G1002" t="str">
            <v>shaft</v>
          </cell>
          <cell r="H1002" t="str">
            <v>145*29*16</v>
          </cell>
          <cell r="I1002">
            <v>145</v>
          </cell>
          <cell r="J1002">
            <v>29</v>
          </cell>
          <cell r="K1002">
            <v>16</v>
          </cell>
        </row>
        <row r="1003">
          <cell r="A1003" t="str">
            <v>BAL-ULTRA-T-09055-UP</v>
          </cell>
          <cell r="B1003">
            <v>9</v>
          </cell>
          <cell r="C1003">
            <v>320</v>
          </cell>
          <cell r="D1003">
            <v>50</v>
          </cell>
          <cell r="E1003">
            <v>1.48</v>
          </cell>
          <cell r="F1003">
            <v>1011</v>
          </cell>
          <cell r="G1003" t="str">
            <v>shaft</v>
          </cell>
          <cell r="H1003" t="str">
            <v>145*29*16</v>
          </cell>
          <cell r="I1003">
            <v>145</v>
          </cell>
          <cell r="J1003">
            <v>29</v>
          </cell>
          <cell r="K1003">
            <v>16</v>
          </cell>
        </row>
        <row r="1004">
          <cell r="A1004" t="str">
            <v>BAL-ULTRA-T-10055-UP</v>
          </cell>
          <cell r="B1004">
            <v>9</v>
          </cell>
          <cell r="C1004">
            <v>320</v>
          </cell>
          <cell r="D1004">
            <v>50</v>
          </cell>
          <cell r="E1004">
            <v>1.48</v>
          </cell>
          <cell r="F1004">
            <v>1012</v>
          </cell>
          <cell r="G1004" t="str">
            <v>shaft</v>
          </cell>
          <cell r="H1004" t="str">
            <v>145*29*16</v>
          </cell>
          <cell r="I1004">
            <v>145</v>
          </cell>
          <cell r="J1004">
            <v>29</v>
          </cell>
          <cell r="K1004">
            <v>16</v>
          </cell>
        </row>
        <row r="1005">
          <cell r="A1005" t="str">
            <v>BAL-ULTRA-T-11055-UP</v>
          </cell>
          <cell r="B1005">
            <v>9</v>
          </cell>
          <cell r="C1005">
            <v>320</v>
          </cell>
          <cell r="D1005">
            <v>50</v>
          </cell>
          <cell r="E1005">
            <v>1.48</v>
          </cell>
          <cell r="F1005">
            <v>1013</v>
          </cell>
          <cell r="G1005" t="str">
            <v>shaft</v>
          </cell>
          <cell r="H1005" t="str">
            <v>145*29*16</v>
          </cell>
          <cell r="I1005">
            <v>145</v>
          </cell>
          <cell r="J1005">
            <v>29</v>
          </cell>
          <cell r="K1005">
            <v>16</v>
          </cell>
        </row>
        <row r="1006">
          <cell r="A1006" t="str">
            <v>MIS-STA-J51R-6555</v>
          </cell>
          <cell r="B1006">
            <v>9</v>
          </cell>
          <cell r="C1006">
            <v>433</v>
          </cell>
          <cell r="D1006">
            <v>35</v>
          </cell>
          <cell r="E1006">
            <v>1.6</v>
          </cell>
          <cell r="F1006">
            <v>1014</v>
          </cell>
          <cell r="G1006" t="str">
            <v>hockey</v>
          </cell>
          <cell r="H1006" t="str">
            <v>183*29*16</v>
          </cell>
          <cell r="I1006">
            <v>183</v>
          </cell>
          <cell r="J1006">
            <v>29</v>
          </cell>
          <cell r="K1006">
            <v>16</v>
          </cell>
        </row>
        <row r="1007">
          <cell r="A1007" t="str">
            <v>MIS-STA-J52L-5051</v>
          </cell>
          <cell r="B1007">
            <v>9</v>
          </cell>
          <cell r="C1007">
            <v>395</v>
          </cell>
          <cell r="D1007">
            <v>35</v>
          </cell>
          <cell r="E1007">
            <v>1.6</v>
          </cell>
          <cell r="F1007">
            <v>1015</v>
          </cell>
          <cell r="G1007" t="str">
            <v>hockey</v>
          </cell>
          <cell r="H1007" t="str">
            <v>183*29*16</v>
          </cell>
          <cell r="I1007">
            <v>183</v>
          </cell>
          <cell r="J1007">
            <v>29</v>
          </cell>
          <cell r="K1007">
            <v>16</v>
          </cell>
        </row>
        <row r="1008">
          <cell r="A1008" t="str">
            <v>MIS-STA-J52L-6555</v>
          </cell>
          <cell r="B1008">
            <v>9</v>
          </cell>
          <cell r="C1008">
            <v>433</v>
          </cell>
          <cell r="D1008">
            <v>35</v>
          </cell>
          <cell r="E1008">
            <v>1.6</v>
          </cell>
          <cell r="F1008">
            <v>1016</v>
          </cell>
          <cell r="G1008" t="str">
            <v>hockey</v>
          </cell>
          <cell r="H1008" t="str">
            <v>183*29*16</v>
          </cell>
          <cell r="I1008">
            <v>183</v>
          </cell>
          <cell r="J1008">
            <v>29</v>
          </cell>
          <cell r="K1008">
            <v>16</v>
          </cell>
        </row>
        <row r="1009">
          <cell r="A1009" t="str">
            <v>MIS-STA-J52R-6555</v>
          </cell>
          <cell r="B1009">
            <v>9</v>
          </cell>
          <cell r="C1009">
            <v>433</v>
          </cell>
          <cell r="D1009">
            <v>35</v>
          </cell>
          <cell r="E1009">
            <v>1.6</v>
          </cell>
          <cell r="F1009">
            <v>1017</v>
          </cell>
          <cell r="G1009" t="str">
            <v>hockey</v>
          </cell>
          <cell r="H1009" t="str">
            <v>183*29*16</v>
          </cell>
          <cell r="I1009">
            <v>183</v>
          </cell>
          <cell r="J1009">
            <v>29</v>
          </cell>
          <cell r="K1009">
            <v>16</v>
          </cell>
        </row>
        <row r="1010">
          <cell r="A1010" t="str">
            <v>MIS-STA-J51L-6555</v>
          </cell>
          <cell r="B1010">
            <v>9</v>
          </cell>
          <cell r="C1010">
            <v>433</v>
          </cell>
          <cell r="D1010">
            <v>35</v>
          </cell>
          <cell r="E1010">
            <v>1.6</v>
          </cell>
          <cell r="F1010">
            <v>1018</v>
          </cell>
          <cell r="G1010" t="str">
            <v>hockey</v>
          </cell>
          <cell r="H1010" t="str">
            <v>183*29*16</v>
          </cell>
          <cell r="I1010">
            <v>183</v>
          </cell>
          <cell r="J1010">
            <v>29</v>
          </cell>
          <cell r="K1010">
            <v>16</v>
          </cell>
        </row>
        <row r="1011">
          <cell r="A1011" t="str">
            <v>BAL-C410-S53L-10060</v>
          </cell>
          <cell r="B1011">
            <v>9</v>
          </cell>
          <cell r="C1011">
            <v>445</v>
          </cell>
          <cell r="D1011">
            <v>25</v>
          </cell>
          <cell r="E1011">
            <v>1.6</v>
          </cell>
          <cell r="F1011">
            <v>1019</v>
          </cell>
          <cell r="G1011" t="str">
            <v>hockey</v>
          </cell>
          <cell r="H1011" t="str">
            <v>183*29*16</v>
          </cell>
          <cell r="I1011">
            <v>183</v>
          </cell>
          <cell r="J1011">
            <v>29</v>
          </cell>
          <cell r="K1011">
            <v>16</v>
          </cell>
        </row>
        <row r="1012">
          <cell r="A1012" t="str">
            <v>BAL-C410-S55L-10060</v>
          </cell>
          <cell r="B1012">
            <v>9</v>
          </cell>
          <cell r="C1012">
            <v>445</v>
          </cell>
          <cell r="D1012">
            <v>25</v>
          </cell>
          <cell r="E1012">
            <v>1.6</v>
          </cell>
          <cell r="F1012">
            <v>1020</v>
          </cell>
          <cell r="G1012" t="str">
            <v>hockey</v>
          </cell>
          <cell r="H1012" t="str">
            <v>183*29*16</v>
          </cell>
          <cell r="I1012">
            <v>183</v>
          </cell>
          <cell r="J1012">
            <v>29</v>
          </cell>
          <cell r="K1012">
            <v>16</v>
          </cell>
        </row>
        <row r="1013">
          <cell r="A1013" t="str">
            <v>BAL-C410-S57L-10060</v>
          </cell>
          <cell r="B1013">
            <v>9</v>
          </cell>
          <cell r="C1013">
            <v>445</v>
          </cell>
          <cell r="D1013">
            <v>25</v>
          </cell>
          <cell r="E1013">
            <v>1.6</v>
          </cell>
          <cell r="F1013">
            <v>1021</v>
          </cell>
          <cell r="G1013" t="str">
            <v>hockey</v>
          </cell>
          <cell r="H1013" t="str">
            <v>183*29*16</v>
          </cell>
          <cell r="I1013">
            <v>183</v>
          </cell>
          <cell r="J1013">
            <v>29</v>
          </cell>
          <cell r="K1013">
            <v>16</v>
          </cell>
        </row>
        <row r="1014">
          <cell r="A1014" t="str">
            <v>BAL-C410-S64L-10060</v>
          </cell>
          <cell r="B1014">
            <v>9</v>
          </cell>
          <cell r="C1014">
            <v>445</v>
          </cell>
          <cell r="D1014">
            <v>25</v>
          </cell>
          <cell r="E1014">
            <v>1.6</v>
          </cell>
          <cell r="F1014">
            <v>1022</v>
          </cell>
          <cell r="G1014" t="str">
            <v>hockey</v>
          </cell>
          <cell r="H1014" t="str">
            <v>183*29*16</v>
          </cell>
          <cell r="I1014">
            <v>183</v>
          </cell>
          <cell r="J1014">
            <v>29</v>
          </cell>
          <cell r="K1014">
            <v>16</v>
          </cell>
        </row>
        <row r="1015">
          <cell r="A1015" t="str">
            <v>BAL-C410-S53R-10060</v>
          </cell>
          <cell r="B1015">
            <v>9</v>
          </cell>
          <cell r="C1015">
            <v>445</v>
          </cell>
          <cell r="D1015">
            <v>25</v>
          </cell>
          <cell r="E1015">
            <v>1.6</v>
          </cell>
          <cell r="F1015">
            <v>1023</v>
          </cell>
          <cell r="G1015" t="str">
            <v>hockey</v>
          </cell>
          <cell r="H1015" t="str">
            <v>183*29*16</v>
          </cell>
          <cell r="I1015">
            <v>183</v>
          </cell>
          <cell r="J1015">
            <v>29</v>
          </cell>
          <cell r="K1015">
            <v>16</v>
          </cell>
        </row>
        <row r="1016">
          <cell r="A1016" t="str">
            <v>BAL-C410-S55R-10060</v>
          </cell>
          <cell r="B1016">
            <v>9</v>
          </cell>
          <cell r="C1016">
            <v>445</v>
          </cell>
          <cell r="D1016">
            <v>25</v>
          </cell>
          <cell r="E1016">
            <v>1.6</v>
          </cell>
          <cell r="F1016">
            <v>1024</v>
          </cell>
          <cell r="G1016" t="str">
            <v>hockey</v>
          </cell>
          <cell r="H1016" t="str">
            <v>183*29*16</v>
          </cell>
          <cell r="I1016">
            <v>183</v>
          </cell>
          <cell r="J1016">
            <v>29</v>
          </cell>
          <cell r="K1016">
            <v>16</v>
          </cell>
        </row>
        <row r="1017">
          <cell r="A1017" t="str">
            <v>BAL-C410-S57R-10060</v>
          </cell>
          <cell r="B1017">
            <v>9</v>
          </cell>
          <cell r="C1017">
            <v>445</v>
          </cell>
          <cell r="D1017">
            <v>25</v>
          </cell>
          <cell r="E1017">
            <v>1.6</v>
          </cell>
          <cell r="F1017">
            <v>1025</v>
          </cell>
          <cell r="G1017" t="str">
            <v>hockey</v>
          </cell>
          <cell r="H1017" t="str">
            <v>183*29*16</v>
          </cell>
          <cell r="I1017">
            <v>183</v>
          </cell>
          <cell r="J1017">
            <v>29</v>
          </cell>
          <cell r="K1017">
            <v>16</v>
          </cell>
        </row>
        <row r="1018">
          <cell r="A1018" t="str">
            <v>BAL-C410-S64R-10060</v>
          </cell>
          <cell r="B1018">
            <v>9</v>
          </cell>
          <cell r="C1018">
            <v>445</v>
          </cell>
          <cell r="D1018">
            <v>25</v>
          </cell>
          <cell r="E1018">
            <v>1.6</v>
          </cell>
          <cell r="F1018">
            <v>1026</v>
          </cell>
          <cell r="G1018" t="str">
            <v>hockey</v>
          </cell>
          <cell r="H1018" t="str">
            <v>183*29*16</v>
          </cell>
          <cell r="I1018">
            <v>183</v>
          </cell>
          <cell r="J1018">
            <v>29</v>
          </cell>
          <cell r="K1018">
            <v>16</v>
          </cell>
        </row>
        <row r="1019">
          <cell r="A1019" t="str">
            <v>BAL-C410-S53L-08060</v>
          </cell>
          <cell r="B1019">
            <v>9</v>
          </cell>
          <cell r="C1019">
            <v>445</v>
          </cell>
          <cell r="D1019">
            <v>25</v>
          </cell>
          <cell r="E1019">
            <v>1.6</v>
          </cell>
          <cell r="F1019">
            <v>1027</v>
          </cell>
          <cell r="G1019" t="str">
            <v>hockey</v>
          </cell>
          <cell r="H1019" t="str">
            <v>183*29*16</v>
          </cell>
          <cell r="I1019">
            <v>183</v>
          </cell>
          <cell r="J1019">
            <v>29</v>
          </cell>
          <cell r="K1019">
            <v>16</v>
          </cell>
        </row>
        <row r="1020">
          <cell r="A1020" t="str">
            <v>BAL-C410-S53L-09060</v>
          </cell>
          <cell r="B1020">
            <v>9</v>
          </cell>
          <cell r="C1020">
            <v>445</v>
          </cell>
          <cell r="D1020">
            <v>25</v>
          </cell>
          <cell r="E1020">
            <v>1.6</v>
          </cell>
          <cell r="F1020">
            <v>1028</v>
          </cell>
          <cell r="G1020" t="str">
            <v>hockey</v>
          </cell>
          <cell r="H1020" t="str">
            <v>183*29*16</v>
          </cell>
          <cell r="I1020">
            <v>183</v>
          </cell>
          <cell r="J1020">
            <v>29</v>
          </cell>
          <cell r="K1020">
            <v>16</v>
          </cell>
        </row>
        <row r="1021">
          <cell r="A1021" t="str">
            <v>BAL-C410-S53L-11060</v>
          </cell>
          <cell r="B1021">
            <v>9</v>
          </cell>
          <cell r="C1021">
            <v>445</v>
          </cell>
          <cell r="D1021">
            <v>25</v>
          </cell>
          <cell r="E1021">
            <v>1.6</v>
          </cell>
          <cell r="F1021">
            <v>1029</v>
          </cell>
          <cell r="G1021" t="str">
            <v>hockey</v>
          </cell>
          <cell r="H1021" t="str">
            <v>183*29*16</v>
          </cell>
          <cell r="I1021">
            <v>183</v>
          </cell>
          <cell r="J1021">
            <v>29</v>
          </cell>
          <cell r="K1021">
            <v>16</v>
          </cell>
        </row>
        <row r="1022">
          <cell r="A1022" t="str">
            <v>BAL-C410-S53R-09060</v>
          </cell>
          <cell r="B1022">
            <v>9</v>
          </cell>
          <cell r="C1022">
            <v>445</v>
          </cell>
          <cell r="D1022">
            <v>25</v>
          </cell>
          <cell r="E1022">
            <v>1.6</v>
          </cell>
          <cell r="F1022">
            <v>1030</v>
          </cell>
          <cell r="G1022" t="str">
            <v>hockey</v>
          </cell>
          <cell r="H1022" t="str">
            <v>183*29*16</v>
          </cell>
          <cell r="I1022">
            <v>183</v>
          </cell>
          <cell r="J1022">
            <v>29</v>
          </cell>
          <cell r="K1022">
            <v>16</v>
          </cell>
        </row>
        <row r="1023">
          <cell r="A1023" t="str">
            <v>BAL-C410-S53R-11060</v>
          </cell>
          <cell r="B1023">
            <v>9</v>
          </cell>
          <cell r="C1023">
            <v>445</v>
          </cell>
          <cell r="D1023">
            <v>25</v>
          </cell>
          <cell r="E1023">
            <v>1.6</v>
          </cell>
          <cell r="F1023">
            <v>1031</v>
          </cell>
          <cell r="G1023" t="str">
            <v>hockey</v>
          </cell>
          <cell r="H1023" t="str">
            <v>183*29*16</v>
          </cell>
          <cell r="I1023">
            <v>183</v>
          </cell>
          <cell r="J1023">
            <v>29</v>
          </cell>
          <cell r="K1023">
            <v>16</v>
          </cell>
        </row>
        <row r="1024">
          <cell r="A1024" t="str">
            <v>BAL-C410-S55L-08060</v>
          </cell>
          <cell r="B1024">
            <v>9</v>
          </cell>
          <cell r="C1024">
            <v>445</v>
          </cell>
          <cell r="D1024">
            <v>25</v>
          </cell>
          <cell r="E1024">
            <v>1.6</v>
          </cell>
          <cell r="F1024">
            <v>1032</v>
          </cell>
          <cell r="G1024" t="str">
            <v>hockey</v>
          </cell>
          <cell r="H1024" t="str">
            <v>183*29*16</v>
          </cell>
          <cell r="I1024">
            <v>183</v>
          </cell>
          <cell r="J1024">
            <v>29</v>
          </cell>
          <cell r="K1024">
            <v>16</v>
          </cell>
        </row>
        <row r="1025">
          <cell r="A1025" t="str">
            <v>BAL-C410-S55L-11060</v>
          </cell>
          <cell r="B1025">
            <v>9</v>
          </cell>
          <cell r="C1025">
            <v>445</v>
          </cell>
          <cell r="D1025">
            <v>25</v>
          </cell>
          <cell r="E1025">
            <v>1.6</v>
          </cell>
          <cell r="F1025">
            <v>1033</v>
          </cell>
          <cell r="G1025" t="str">
            <v>hockey</v>
          </cell>
          <cell r="H1025" t="str">
            <v>183*29*16</v>
          </cell>
          <cell r="I1025">
            <v>183</v>
          </cell>
          <cell r="J1025">
            <v>29</v>
          </cell>
          <cell r="K1025">
            <v>16</v>
          </cell>
        </row>
        <row r="1026">
          <cell r="A1026" t="str">
            <v>BAL-C410-S55R-08060</v>
          </cell>
          <cell r="B1026">
            <v>9</v>
          </cell>
          <cell r="C1026">
            <v>445</v>
          </cell>
          <cell r="D1026">
            <v>25</v>
          </cell>
          <cell r="E1026">
            <v>1.6</v>
          </cell>
          <cell r="F1026">
            <v>1034</v>
          </cell>
          <cell r="G1026" t="str">
            <v>hockey</v>
          </cell>
          <cell r="H1026" t="str">
            <v>183*29*16</v>
          </cell>
          <cell r="I1026">
            <v>183</v>
          </cell>
          <cell r="J1026">
            <v>29</v>
          </cell>
          <cell r="K1026">
            <v>16</v>
          </cell>
        </row>
        <row r="1027">
          <cell r="A1027" t="str">
            <v>BAL-C410-S55R-09060</v>
          </cell>
          <cell r="B1027">
            <v>9</v>
          </cell>
          <cell r="C1027">
            <v>445</v>
          </cell>
          <cell r="D1027">
            <v>25</v>
          </cell>
          <cell r="E1027">
            <v>1.6</v>
          </cell>
          <cell r="F1027">
            <v>1035</v>
          </cell>
          <cell r="G1027" t="str">
            <v>hockey</v>
          </cell>
          <cell r="H1027" t="str">
            <v>183*29*16</v>
          </cell>
          <cell r="I1027">
            <v>183</v>
          </cell>
          <cell r="J1027">
            <v>29</v>
          </cell>
          <cell r="K1027">
            <v>16</v>
          </cell>
        </row>
        <row r="1028">
          <cell r="A1028" t="str">
            <v>BAL-C410-S55R-11060</v>
          </cell>
          <cell r="B1028">
            <v>9</v>
          </cell>
          <cell r="C1028">
            <v>445</v>
          </cell>
          <cell r="D1028">
            <v>25</v>
          </cell>
          <cell r="E1028">
            <v>1.6</v>
          </cell>
          <cell r="F1028">
            <v>1036</v>
          </cell>
          <cell r="G1028" t="str">
            <v>hockey</v>
          </cell>
          <cell r="H1028" t="str">
            <v>183*29*16</v>
          </cell>
          <cell r="I1028">
            <v>183</v>
          </cell>
          <cell r="J1028">
            <v>29</v>
          </cell>
          <cell r="K1028">
            <v>16</v>
          </cell>
        </row>
        <row r="1029">
          <cell r="A1029" t="str">
            <v>BAL-C410-S57L-08060</v>
          </cell>
          <cell r="B1029">
            <v>9</v>
          </cell>
          <cell r="C1029">
            <v>445</v>
          </cell>
          <cell r="D1029">
            <v>25</v>
          </cell>
          <cell r="E1029">
            <v>1.6</v>
          </cell>
          <cell r="F1029">
            <v>1037</v>
          </cell>
          <cell r="G1029" t="str">
            <v>hockey</v>
          </cell>
          <cell r="H1029" t="str">
            <v>183*29*16</v>
          </cell>
          <cell r="I1029">
            <v>183</v>
          </cell>
          <cell r="J1029">
            <v>29</v>
          </cell>
          <cell r="K1029">
            <v>16</v>
          </cell>
        </row>
        <row r="1030">
          <cell r="A1030" t="str">
            <v>BAL-C410-S57L-09060</v>
          </cell>
          <cell r="B1030">
            <v>9</v>
          </cell>
          <cell r="C1030">
            <v>445</v>
          </cell>
          <cell r="D1030">
            <v>25</v>
          </cell>
          <cell r="E1030">
            <v>1.6</v>
          </cell>
          <cell r="F1030">
            <v>1038</v>
          </cell>
          <cell r="G1030" t="str">
            <v>hockey</v>
          </cell>
          <cell r="H1030" t="str">
            <v>183*29*16</v>
          </cell>
          <cell r="I1030">
            <v>183</v>
          </cell>
          <cell r="J1030">
            <v>29</v>
          </cell>
          <cell r="K1030">
            <v>16</v>
          </cell>
        </row>
        <row r="1031">
          <cell r="A1031" t="str">
            <v>BAL-C410-S57R-08060</v>
          </cell>
          <cell r="B1031">
            <v>9</v>
          </cell>
          <cell r="C1031">
            <v>445</v>
          </cell>
          <cell r="D1031">
            <v>25</v>
          </cell>
          <cell r="E1031">
            <v>1.6</v>
          </cell>
          <cell r="F1031">
            <v>1039</v>
          </cell>
          <cell r="G1031" t="str">
            <v>hockey</v>
          </cell>
          <cell r="H1031" t="str">
            <v>183*29*16</v>
          </cell>
          <cell r="I1031">
            <v>183</v>
          </cell>
          <cell r="J1031">
            <v>29</v>
          </cell>
          <cell r="K1031">
            <v>16</v>
          </cell>
        </row>
        <row r="1032">
          <cell r="A1032" t="str">
            <v>BAL-C410-S57R-09060</v>
          </cell>
          <cell r="B1032">
            <v>9</v>
          </cell>
          <cell r="C1032">
            <v>445</v>
          </cell>
          <cell r="D1032">
            <v>25</v>
          </cell>
          <cell r="E1032">
            <v>1.6</v>
          </cell>
          <cell r="F1032">
            <v>1040</v>
          </cell>
          <cell r="G1032" t="str">
            <v>hockey</v>
          </cell>
          <cell r="H1032" t="str">
            <v>183*29*16</v>
          </cell>
          <cell r="I1032">
            <v>183</v>
          </cell>
          <cell r="J1032">
            <v>29</v>
          </cell>
          <cell r="K1032">
            <v>16</v>
          </cell>
        </row>
        <row r="1033">
          <cell r="A1033" t="str">
            <v>BAL-C410-S57R-11060</v>
          </cell>
          <cell r="B1033">
            <v>9</v>
          </cell>
          <cell r="C1033">
            <v>445</v>
          </cell>
          <cell r="D1033">
            <v>25</v>
          </cell>
          <cell r="E1033">
            <v>1.6</v>
          </cell>
          <cell r="F1033">
            <v>1041</v>
          </cell>
          <cell r="G1033" t="str">
            <v>hockey</v>
          </cell>
          <cell r="H1033" t="str">
            <v>183*29*16</v>
          </cell>
          <cell r="I1033">
            <v>183</v>
          </cell>
          <cell r="J1033">
            <v>29</v>
          </cell>
          <cell r="K1033">
            <v>16</v>
          </cell>
        </row>
        <row r="1034">
          <cell r="A1034" t="str">
            <v>BAL-C410-S64L-08060</v>
          </cell>
          <cell r="B1034">
            <v>9</v>
          </cell>
          <cell r="C1034">
            <v>445</v>
          </cell>
          <cell r="D1034">
            <v>25</v>
          </cell>
          <cell r="E1034">
            <v>1.6</v>
          </cell>
          <cell r="F1034">
            <v>1042</v>
          </cell>
          <cell r="G1034" t="str">
            <v>hockey</v>
          </cell>
          <cell r="H1034" t="str">
            <v>183*29*16</v>
          </cell>
          <cell r="I1034">
            <v>183</v>
          </cell>
          <cell r="J1034">
            <v>29</v>
          </cell>
          <cell r="K1034">
            <v>16</v>
          </cell>
        </row>
        <row r="1035">
          <cell r="A1035" t="str">
            <v>BAL-C410-S64L-09060</v>
          </cell>
          <cell r="B1035">
            <v>9</v>
          </cell>
          <cell r="C1035">
            <v>445</v>
          </cell>
          <cell r="D1035">
            <v>25</v>
          </cell>
          <cell r="E1035">
            <v>1.6</v>
          </cell>
          <cell r="F1035">
            <v>1043</v>
          </cell>
          <cell r="G1035" t="str">
            <v>hockey</v>
          </cell>
          <cell r="H1035" t="str">
            <v>183*29*16</v>
          </cell>
          <cell r="I1035">
            <v>183</v>
          </cell>
          <cell r="J1035">
            <v>29</v>
          </cell>
          <cell r="K1035">
            <v>16</v>
          </cell>
        </row>
        <row r="1036">
          <cell r="A1036" t="str">
            <v>BAL-C410-S64L-11060</v>
          </cell>
          <cell r="B1036">
            <v>9</v>
          </cell>
          <cell r="C1036">
            <v>445</v>
          </cell>
          <cell r="D1036">
            <v>25</v>
          </cell>
          <cell r="E1036">
            <v>1.6</v>
          </cell>
          <cell r="F1036">
            <v>1044</v>
          </cell>
          <cell r="G1036" t="str">
            <v>hockey</v>
          </cell>
          <cell r="H1036" t="str">
            <v>183*29*16</v>
          </cell>
          <cell r="I1036">
            <v>183</v>
          </cell>
          <cell r="J1036">
            <v>29</v>
          </cell>
          <cell r="K1036">
            <v>16</v>
          </cell>
        </row>
        <row r="1037">
          <cell r="A1037" t="str">
            <v>BAL-C410-S64R-08060</v>
          </cell>
          <cell r="B1037">
            <v>9</v>
          </cell>
          <cell r="C1037">
            <v>445</v>
          </cell>
          <cell r="D1037">
            <v>25</v>
          </cell>
          <cell r="E1037">
            <v>1.6</v>
          </cell>
          <cell r="F1037">
            <v>1045</v>
          </cell>
          <cell r="G1037" t="str">
            <v>hockey</v>
          </cell>
          <cell r="H1037" t="str">
            <v>183*29*16</v>
          </cell>
          <cell r="I1037">
            <v>183</v>
          </cell>
          <cell r="J1037">
            <v>29</v>
          </cell>
          <cell r="K1037">
            <v>16</v>
          </cell>
        </row>
        <row r="1038">
          <cell r="A1038" t="str">
            <v>BAL-C410-S64R-09060</v>
          </cell>
          <cell r="B1038">
            <v>9</v>
          </cell>
          <cell r="C1038">
            <v>445</v>
          </cell>
          <cell r="D1038">
            <v>25</v>
          </cell>
          <cell r="E1038">
            <v>1.6</v>
          </cell>
          <cell r="F1038">
            <v>1046</v>
          </cell>
          <cell r="G1038" t="str">
            <v>hockey</v>
          </cell>
          <cell r="H1038" t="str">
            <v>183*29*16</v>
          </cell>
          <cell r="I1038">
            <v>183</v>
          </cell>
          <cell r="J1038">
            <v>29</v>
          </cell>
          <cell r="K1038">
            <v>16</v>
          </cell>
        </row>
        <row r="1039">
          <cell r="A1039" t="str">
            <v>BAL-C410-S64R-11060</v>
          </cell>
          <cell r="B1039">
            <v>9</v>
          </cell>
          <cell r="C1039">
            <v>445</v>
          </cell>
          <cell r="D1039">
            <v>25</v>
          </cell>
          <cell r="E1039">
            <v>1.6</v>
          </cell>
          <cell r="F1039">
            <v>1047</v>
          </cell>
          <cell r="G1039" t="str">
            <v>hockey</v>
          </cell>
          <cell r="H1039" t="str">
            <v>183*29*16</v>
          </cell>
          <cell r="I1039">
            <v>183</v>
          </cell>
          <cell r="J1039">
            <v>29</v>
          </cell>
          <cell r="K1039">
            <v>16</v>
          </cell>
        </row>
        <row r="1040">
          <cell r="A1040" t="str">
            <v>BAL-C410-S53R-08060</v>
          </cell>
          <cell r="B1040">
            <v>9</v>
          </cell>
          <cell r="C1040">
            <v>445</v>
          </cell>
          <cell r="D1040">
            <v>25</v>
          </cell>
          <cell r="E1040">
            <v>1.6</v>
          </cell>
          <cell r="F1040">
            <v>1048</v>
          </cell>
          <cell r="G1040" t="str">
            <v>hockey</v>
          </cell>
          <cell r="H1040" t="str">
            <v>183*29*16</v>
          </cell>
          <cell r="I1040">
            <v>183</v>
          </cell>
          <cell r="J1040">
            <v>29</v>
          </cell>
          <cell r="K1040">
            <v>16</v>
          </cell>
        </row>
        <row r="1041">
          <cell r="A1041" t="str">
            <v>BAL-C410-S55L-09060</v>
          </cell>
          <cell r="B1041">
            <v>9</v>
          </cell>
          <cell r="C1041">
            <v>445</v>
          </cell>
          <cell r="D1041">
            <v>25</v>
          </cell>
          <cell r="E1041">
            <v>1.6</v>
          </cell>
          <cell r="F1041">
            <v>1049</v>
          </cell>
          <cell r="G1041" t="str">
            <v>hockey</v>
          </cell>
          <cell r="H1041" t="str">
            <v>183*29*16</v>
          </cell>
          <cell r="I1041">
            <v>183</v>
          </cell>
          <cell r="J1041">
            <v>29</v>
          </cell>
          <cell r="K1041">
            <v>16</v>
          </cell>
        </row>
        <row r="1042">
          <cell r="A1042" t="str">
            <v>BAL-C410-S57L-11060</v>
          </cell>
          <cell r="B1042">
            <v>9</v>
          </cell>
          <cell r="C1042">
            <v>445</v>
          </cell>
          <cell r="D1042">
            <v>25</v>
          </cell>
          <cell r="E1042">
            <v>1.6</v>
          </cell>
          <cell r="F1042">
            <v>1050</v>
          </cell>
          <cell r="G1042" t="str">
            <v>hockey</v>
          </cell>
          <cell r="H1042" t="str">
            <v>183*29*16</v>
          </cell>
          <cell r="I1042">
            <v>183</v>
          </cell>
          <cell r="J1042">
            <v>29</v>
          </cell>
          <cell r="K1042">
            <v>16</v>
          </cell>
        </row>
        <row r="1043">
          <cell r="A1043" t="str">
            <v>QGS30-8-744-B</v>
          </cell>
          <cell r="B1043">
            <v>9</v>
          </cell>
          <cell r="C1043">
            <v>322</v>
          </cell>
          <cell r="D1043">
            <v>1</v>
          </cell>
          <cell r="E1043">
            <v>0.5</v>
          </cell>
          <cell r="F1043">
            <v>1051</v>
          </cell>
          <cell r="G1043" t="str">
            <v>fork</v>
          </cell>
          <cell r="H1043" t="str">
            <v>89*14*9</v>
          </cell>
          <cell r="I1043">
            <v>89</v>
          </cell>
          <cell r="J1043">
            <v>14</v>
          </cell>
          <cell r="K1043">
            <v>9</v>
          </cell>
        </row>
        <row r="1044">
          <cell r="A1044" t="str">
            <v>MIS-STA-S53R-10060</v>
          </cell>
          <cell r="B1044">
            <v>9</v>
          </cell>
          <cell r="C1044">
            <v>483</v>
          </cell>
          <cell r="D1044">
            <v>25</v>
          </cell>
          <cell r="E1044">
            <v>1.6</v>
          </cell>
          <cell r="F1044">
            <v>1052</v>
          </cell>
          <cell r="G1044" t="str">
            <v>hockey</v>
          </cell>
          <cell r="H1044" t="str">
            <v>183*29*16</v>
          </cell>
          <cell r="I1044">
            <v>183</v>
          </cell>
          <cell r="J1044">
            <v>29</v>
          </cell>
          <cell r="K1044">
            <v>16</v>
          </cell>
        </row>
        <row r="1045">
          <cell r="A1045" t="str">
            <v>MIS-STA-S53L-10060</v>
          </cell>
          <cell r="B1045">
            <v>9</v>
          </cell>
          <cell r="C1045">
            <v>483</v>
          </cell>
          <cell r="D1045">
            <v>25</v>
          </cell>
          <cell r="E1045">
            <v>1.6</v>
          </cell>
          <cell r="F1045">
            <v>1053</v>
          </cell>
          <cell r="G1045" t="str">
            <v>hockey</v>
          </cell>
          <cell r="H1045" t="str">
            <v>183*29*16</v>
          </cell>
          <cell r="I1045">
            <v>183</v>
          </cell>
          <cell r="J1045">
            <v>29</v>
          </cell>
          <cell r="K1045">
            <v>16</v>
          </cell>
        </row>
        <row r="1046">
          <cell r="A1046" t="str">
            <v>MIS-STA-J52R-5051</v>
          </cell>
          <cell r="B1046">
            <v>9</v>
          </cell>
          <cell r="C1046">
            <v>395</v>
          </cell>
          <cell r="D1046">
            <v>35</v>
          </cell>
          <cell r="E1046">
            <v>1.6</v>
          </cell>
          <cell r="F1046">
            <v>1054</v>
          </cell>
          <cell r="G1046" t="str">
            <v>hockey</v>
          </cell>
          <cell r="H1046" t="str">
            <v>183*29*16</v>
          </cell>
          <cell r="I1046">
            <v>183</v>
          </cell>
          <cell r="J1046">
            <v>29</v>
          </cell>
          <cell r="K1046">
            <v>16</v>
          </cell>
        </row>
        <row r="1047">
          <cell r="A1047" t="str">
            <v>QCX-8-747</v>
          </cell>
          <cell r="B1047">
            <v>9</v>
          </cell>
          <cell r="C1047">
            <v>530</v>
          </cell>
          <cell r="D1047">
            <v>1</v>
          </cell>
          <cell r="E1047">
            <v>0.5</v>
          </cell>
          <cell r="F1047">
            <v>1055</v>
          </cell>
          <cell r="G1047" t="str">
            <v>fork</v>
          </cell>
          <cell r="H1047" t="str">
            <v>89*14*9</v>
          </cell>
          <cell r="I1047">
            <v>89</v>
          </cell>
          <cell r="J1047">
            <v>14</v>
          </cell>
          <cell r="K1047">
            <v>9</v>
          </cell>
        </row>
        <row r="1048">
          <cell r="A1048" t="str">
            <v>MIS-STA-S56R-10060</v>
          </cell>
          <cell r="B1048">
            <v>9</v>
          </cell>
          <cell r="C1048">
            <v>444</v>
          </cell>
          <cell r="D1048">
            <v>25</v>
          </cell>
          <cell r="E1048">
            <v>1.6</v>
          </cell>
          <cell r="F1048">
            <v>1056</v>
          </cell>
          <cell r="G1048" t="str">
            <v>hockey</v>
          </cell>
          <cell r="H1048" t="str">
            <v>183*29*16</v>
          </cell>
          <cell r="I1048">
            <v>183</v>
          </cell>
          <cell r="J1048">
            <v>29</v>
          </cell>
          <cell r="K1048">
            <v>16</v>
          </cell>
        </row>
        <row r="1049">
          <cell r="A1049" t="str">
            <v>MIS-STA-S56L-10060</v>
          </cell>
          <cell r="B1049">
            <v>9</v>
          </cell>
          <cell r="C1049">
            <v>427</v>
          </cell>
          <cell r="D1049">
            <v>25</v>
          </cell>
          <cell r="E1049">
            <v>1.6</v>
          </cell>
          <cell r="F1049">
            <v>1057</v>
          </cell>
          <cell r="G1049" t="str">
            <v>hockey</v>
          </cell>
          <cell r="H1049" t="str">
            <v>183*29*16</v>
          </cell>
          <cell r="I1049">
            <v>183</v>
          </cell>
          <cell r="J1049">
            <v>29</v>
          </cell>
          <cell r="K1049">
            <v>16</v>
          </cell>
        </row>
        <row r="1050">
          <cell r="A1050" t="str">
            <v>UWFS3WL-F-45</v>
          </cell>
          <cell r="B1050">
            <v>9</v>
          </cell>
          <cell r="C1050">
            <v>52</v>
          </cell>
          <cell r="D1050">
            <v>50</v>
          </cell>
          <cell r="E1050">
            <v>0.6</v>
          </cell>
          <cell r="F1050">
            <v>1058</v>
          </cell>
          <cell r="G1050" t="str">
            <v>golf</v>
          </cell>
          <cell r="H1050" t="str">
            <v>122*15*10</v>
          </cell>
          <cell r="I1050">
            <v>122</v>
          </cell>
          <cell r="J1050">
            <v>15</v>
          </cell>
          <cell r="K1050">
            <v>10</v>
          </cell>
        </row>
        <row r="1051">
          <cell r="A1051" t="str">
            <v>QGS10-8-741-UP</v>
          </cell>
          <cell r="B1051">
            <v>9</v>
          </cell>
          <cell r="C1051">
            <v>400</v>
          </cell>
          <cell r="D1051">
            <v>25</v>
          </cell>
          <cell r="E1051">
            <v>2.54</v>
          </cell>
          <cell r="F1051">
            <v>1059</v>
          </cell>
          <cell r="G1051" t="str">
            <v>fork</v>
          </cell>
          <cell r="H1051" t="str">
            <v>77*52*32</v>
          </cell>
          <cell r="I1051">
            <v>77</v>
          </cell>
          <cell r="J1051">
            <v>52</v>
          </cell>
          <cell r="K1051">
            <v>32</v>
          </cell>
        </row>
        <row r="1052">
          <cell r="A1052" t="str">
            <v>ULAUNCHPSWR-46</v>
          </cell>
          <cell r="B1052">
            <v>9</v>
          </cell>
          <cell r="C1052">
            <v>67</v>
          </cell>
          <cell r="D1052">
            <v>50</v>
          </cell>
          <cell r="E1052">
            <v>0.6</v>
          </cell>
          <cell r="F1052">
            <v>1060</v>
          </cell>
          <cell r="G1052" t="str">
            <v>golf</v>
          </cell>
          <cell r="H1052" t="str">
            <v>122*15*10</v>
          </cell>
          <cell r="I1052">
            <v>122</v>
          </cell>
          <cell r="J1052">
            <v>15</v>
          </cell>
          <cell r="K1052">
            <v>10</v>
          </cell>
        </row>
        <row r="1053">
          <cell r="A1053" t="str">
            <v>ULAUNCHPSWL-46</v>
          </cell>
          <cell r="B1053">
            <v>9</v>
          </cell>
          <cell r="C1053">
            <v>65</v>
          </cell>
          <cell r="D1053">
            <v>50</v>
          </cell>
          <cell r="E1053">
            <v>0.6</v>
          </cell>
          <cell r="F1053">
            <v>1061</v>
          </cell>
          <cell r="G1053" t="str">
            <v>golf</v>
          </cell>
          <cell r="H1053" t="str">
            <v>122*15*10</v>
          </cell>
          <cell r="I1053">
            <v>122</v>
          </cell>
          <cell r="J1053">
            <v>15</v>
          </cell>
          <cell r="K1053">
            <v>10</v>
          </cell>
        </row>
        <row r="1054">
          <cell r="A1054" t="str">
            <v>ULAUNCHPSWS-46</v>
          </cell>
          <cell r="B1054">
            <v>9</v>
          </cell>
          <cell r="C1054">
            <v>70</v>
          </cell>
          <cell r="D1054">
            <v>50</v>
          </cell>
          <cell r="E1054">
            <v>0.6</v>
          </cell>
          <cell r="F1054">
            <v>1062</v>
          </cell>
          <cell r="G1054" t="str">
            <v>golf</v>
          </cell>
          <cell r="H1054" t="str">
            <v>122*15*10</v>
          </cell>
          <cell r="I1054">
            <v>122</v>
          </cell>
          <cell r="J1054">
            <v>15</v>
          </cell>
          <cell r="K1054">
            <v>10</v>
          </cell>
        </row>
        <row r="1055">
          <cell r="A1055" t="str">
            <v>UTADWL-46</v>
          </cell>
          <cell r="B1055">
            <v>9</v>
          </cell>
          <cell r="C1055">
            <v>65</v>
          </cell>
          <cell r="D1055">
            <v>50</v>
          </cell>
          <cell r="E1055">
            <v>0.6</v>
          </cell>
          <cell r="F1055">
            <v>1063</v>
          </cell>
          <cell r="G1055" t="str">
            <v>golf</v>
          </cell>
          <cell r="H1055" t="str">
            <v>122*15*10</v>
          </cell>
          <cell r="I1055">
            <v>122</v>
          </cell>
          <cell r="J1055">
            <v>15</v>
          </cell>
          <cell r="K1055">
            <v>10</v>
          </cell>
        </row>
        <row r="1056">
          <cell r="A1056" t="str">
            <v>ULAUNCHPSWA-46</v>
          </cell>
          <cell r="B1056">
            <v>9</v>
          </cell>
          <cell r="C1056">
            <v>63</v>
          </cell>
          <cell r="D1056">
            <v>50</v>
          </cell>
          <cell r="E1056">
            <v>0.6</v>
          </cell>
          <cell r="F1056">
            <v>1064</v>
          </cell>
          <cell r="G1056" t="str">
            <v>golf</v>
          </cell>
          <cell r="H1056" t="str">
            <v>122*15*10</v>
          </cell>
          <cell r="I1056">
            <v>122</v>
          </cell>
          <cell r="J1056">
            <v>15</v>
          </cell>
          <cell r="K1056">
            <v>10</v>
          </cell>
        </row>
        <row r="1057">
          <cell r="A1057" t="str">
            <v>USRXTSWR-45</v>
          </cell>
          <cell r="B1057">
            <v>9</v>
          </cell>
          <cell r="C1057">
            <v>67</v>
          </cell>
          <cell r="D1057">
            <v>50</v>
          </cell>
          <cell r="E1057">
            <v>0.6</v>
          </cell>
          <cell r="F1057">
            <v>1065</v>
          </cell>
          <cell r="G1057" t="str">
            <v>golf</v>
          </cell>
          <cell r="H1057" t="str">
            <v>122*15*10</v>
          </cell>
          <cell r="I1057">
            <v>122</v>
          </cell>
          <cell r="J1057">
            <v>15</v>
          </cell>
          <cell r="K1057">
            <v>10</v>
          </cell>
        </row>
        <row r="1058">
          <cell r="A1058" t="str">
            <v>USRXTSIR-41</v>
          </cell>
          <cell r="B1058">
            <v>9</v>
          </cell>
          <cell r="C1058">
            <v>76</v>
          </cell>
          <cell r="D1058">
            <v>50</v>
          </cell>
          <cell r="E1058">
            <v>0.6</v>
          </cell>
          <cell r="F1058">
            <v>1066</v>
          </cell>
          <cell r="G1058" t="str">
            <v>golf</v>
          </cell>
          <cell r="H1058" t="str">
            <v>122*15*10</v>
          </cell>
          <cell r="I1058">
            <v>122</v>
          </cell>
          <cell r="J1058">
            <v>15</v>
          </cell>
          <cell r="K1058">
            <v>10</v>
          </cell>
        </row>
        <row r="1059">
          <cell r="A1059" t="str">
            <v>USRXTSIL-39</v>
          </cell>
          <cell r="B1059">
            <v>9</v>
          </cell>
          <cell r="C1059">
            <v>71</v>
          </cell>
          <cell r="D1059">
            <v>50</v>
          </cell>
          <cell r="E1059">
            <v>0.6</v>
          </cell>
          <cell r="F1059">
            <v>1067</v>
          </cell>
          <cell r="G1059" t="str">
            <v>golf</v>
          </cell>
          <cell r="H1059" t="str">
            <v>122*15*10</v>
          </cell>
          <cell r="I1059">
            <v>122</v>
          </cell>
          <cell r="J1059">
            <v>15</v>
          </cell>
          <cell r="K1059">
            <v>10</v>
          </cell>
        </row>
        <row r="1060">
          <cell r="A1060" t="str">
            <v>USRXTSWL-45</v>
          </cell>
          <cell r="B1060">
            <v>9</v>
          </cell>
          <cell r="C1060">
            <v>65</v>
          </cell>
          <cell r="D1060">
            <v>50</v>
          </cell>
          <cell r="E1060">
            <v>0.6</v>
          </cell>
          <cell r="F1060">
            <v>1068</v>
          </cell>
          <cell r="G1060" t="str">
            <v>golf</v>
          </cell>
          <cell r="H1060" t="str">
            <v>122*15*10</v>
          </cell>
          <cell r="I1060">
            <v>122</v>
          </cell>
          <cell r="J1060">
            <v>15</v>
          </cell>
          <cell r="K1060">
            <v>10</v>
          </cell>
        </row>
        <row r="1061">
          <cell r="A1061" t="str">
            <v>ULAUNCHFW33R-44</v>
          </cell>
          <cell r="B1061">
            <v>9</v>
          </cell>
          <cell r="C1061">
            <v>84</v>
          </cell>
          <cell r="D1061">
            <v>50</v>
          </cell>
          <cell r="E1061">
            <v>0.6</v>
          </cell>
          <cell r="F1061">
            <v>1069</v>
          </cell>
          <cell r="G1061" t="str">
            <v>golf</v>
          </cell>
          <cell r="H1061" t="str">
            <v>122*15*10</v>
          </cell>
          <cell r="I1061">
            <v>122</v>
          </cell>
          <cell r="J1061">
            <v>15</v>
          </cell>
          <cell r="K1061">
            <v>10</v>
          </cell>
        </row>
        <row r="1062">
          <cell r="A1062" t="str">
            <v>ULAUNCHFW33S-44</v>
          </cell>
          <cell r="B1062">
            <v>9</v>
          </cell>
          <cell r="C1062">
            <v>87</v>
          </cell>
          <cell r="D1062">
            <v>50</v>
          </cell>
          <cell r="E1062">
            <v>0.6</v>
          </cell>
          <cell r="F1062">
            <v>1070</v>
          </cell>
          <cell r="G1062" t="str">
            <v>golf</v>
          </cell>
          <cell r="H1062" t="str">
            <v>122*15*10</v>
          </cell>
          <cell r="I1062">
            <v>122</v>
          </cell>
          <cell r="J1062">
            <v>15</v>
          </cell>
          <cell r="K1062">
            <v>10</v>
          </cell>
        </row>
        <row r="1063">
          <cell r="A1063" t="str">
            <v>ULAUNCHFW33A-44</v>
          </cell>
          <cell r="B1063">
            <v>9</v>
          </cell>
          <cell r="C1063">
            <v>83</v>
          </cell>
          <cell r="D1063">
            <v>50</v>
          </cell>
          <cell r="E1063">
            <v>0.6</v>
          </cell>
          <cell r="F1063">
            <v>1071</v>
          </cell>
          <cell r="G1063" t="str">
            <v>golf</v>
          </cell>
          <cell r="H1063" t="str">
            <v>122*15*10</v>
          </cell>
          <cell r="I1063">
            <v>122</v>
          </cell>
          <cell r="J1063">
            <v>15</v>
          </cell>
          <cell r="K1063">
            <v>10</v>
          </cell>
        </row>
        <row r="1064">
          <cell r="A1064" t="str">
            <v>UPLT-65-WX-46</v>
          </cell>
          <cell r="B1064">
            <v>9</v>
          </cell>
          <cell r="C1064">
            <v>67</v>
          </cell>
          <cell r="D1064">
            <v>50</v>
          </cell>
          <cell r="E1064">
            <v>0.6</v>
          </cell>
          <cell r="F1064">
            <v>1072</v>
          </cell>
          <cell r="G1064" t="str">
            <v>golf</v>
          </cell>
          <cell r="H1064" t="str">
            <v>122*15*10</v>
          </cell>
          <cell r="I1064">
            <v>122</v>
          </cell>
          <cell r="J1064">
            <v>15</v>
          </cell>
          <cell r="K1064">
            <v>10</v>
          </cell>
        </row>
        <row r="1065">
          <cell r="A1065" t="str">
            <v>UTFC10035DR-46</v>
          </cell>
          <cell r="B1065">
            <v>9</v>
          </cell>
          <cell r="C1065">
            <v>68</v>
          </cell>
          <cell r="D1065">
            <v>50</v>
          </cell>
          <cell r="E1065">
            <v>0.6</v>
          </cell>
          <cell r="F1065">
            <v>1073</v>
          </cell>
          <cell r="G1065" t="str">
            <v>golf</v>
          </cell>
          <cell r="H1065" t="str">
            <v>122*15*10</v>
          </cell>
          <cell r="I1065">
            <v>122</v>
          </cell>
          <cell r="J1065">
            <v>15</v>
          </cell>
          <cell r="K1065">
            <v>10</v>
          </cell>
        </row>
        <row r="1066">
          <cell r="A1066" t="str">
            <v>UTFC10035DS-46</v>
          </cell>
          <cell r="B1066">
            <v>9</v>
          </cell>
          <cell r="C1066">
            <v>69</v>
          </cell>
          <cell r="D1066">
            <v>50</v>
          </cell>
          <cell r="E1066">
            <v>0.6</v>
          </cell>
          <cell r="F1066">
            <v>1074</v>
          </cell>
          <cell r="G1066" t="str">
            <v>golf</v>
          </cell>
          <cell r="H1066" t="str">
            <v>122*15*10</v>
          </cell>
          <cell r="I1066">
            <v>122</v>
          </cell>
          <cell r="J1066">
            <v>15</v>
          </cell>
          <cell r="K1066">
            <v>10</v>
          </cell>
        </row>
        <row r="1067">
          <cell r="A1067" t="str">
            <v>SAMPEC</v>
          </cell>
          <cell r="B1067">
            <v>9</v>
          </cell>
          <cell r="C1067">
            <v>80</v>
          </cell>
          <cell r="D1067">
            <v>50</v>
          </cell>
          <cell r="E1067">
            <v>0.6</v>
          </cell>
          <cell r="F1067">
            <v>1075</v>
          </cell>
          <cell r="G1067" t="str">
            <v>golf</v>
          </cell>
          <cell r="H1067" t="str">
            <v>122*15*10</v>
          </cell>
          <cell r="I1067">
            <v>122</v>
          </cell>
          <cell r="J1067">
            <v>15</v>
          </cell>
          <cell r="K1067">
            <v>10</v>
          </cell>
        </row>
        <row r="1068">
          <cell r="A1068" t="str">
            <v>USRXTSIS-41</v>
          </cell>
          <cell r="B1068">
            <v>9</v>
          </cell>
          <cell r="C1068">
            <v>76</v>
          </cell>
          <cell r="D1068">
            <v>50</v>
          </cell>
          <cell r="E1068">
            <v>0.6</v>
          </cell>
          <cell r="F1068">
            <v>1076</v>
          </cell>
          <cell r="G1068" t="str">
            <v>golf</v>
          </cell>
          <cell r="H1068" t="str">
            <v>122*15*10</v>
          </cell>
          <cell r="I1068">
            <v>122</v>
          </cell>
          <cell r="J1068">
            <v>15</v>
          </cell>
          <cell r="K1068">
            <v>10</v>
          </cell>
        </row>
        <row r="1069">
          <cell r="A1069" t="str">
            <v>CLITEIS-41</v>
          </cell>
          <cell r="B1069">
            <v>9</v>
          </cell>
          <cell r="C1069">
            <v>85</v>
          </cell>
          <cell r="D1069">
            <v>50</v>
          </cell>
          <cell r="E1069">
            <v>0.6</v>
          </cell>
          <cell r="F1069">
            <v>1077</v>
          </cell>
          <cell r="G1069" t="str">
            <v>golf</v>
          </cell>
          <cell r="H1069" t="str">
            <v>122*15*10</v>
          </cell>
          <cell r="I1069">
            <v>122</v>
          </cell>
          <cell r="J1069">
            <v>15</v>
          </cell>
          <cell r="K1069">
            <v>10</v>
          </cell>
        </row>
        <row r="1070">
          <cell r="A1070" t="str">
            <v>UCLITEIX-41</v>
          </cell>
          <cell r="B1070">
            <v>9</v>
          </cell>
          <cell r="C1070">
            <v>86</v>
          </cell>
          <cell r="D1070">
            <v>50</v>
          </cell>
          <cell r="E1070">
            <v>0.6</v>
          </cell>
          <cell r="F1070">
            <v>1078</v>
          </cell>
          <cell r="G1070" t="str">
            <v>golf</v>
          </cell>
          <cell r="H1070" t="str">
            <v>122*15*10</v>
          </cell>
          <cell r="I1070">
            <v>122</v>
          </cell>
          <cell r="J1070">
            <v>15</v>
          </cell>
          <cell r="K1070">
            <v>10</v>
          </cell>
        </row>
        <row r="1071">
          <cell r="A1071" t="str">
            <v>UCLITEIS-41</v>
          </cell>
          <cell r="B1071">
            <v>9</v>
          </cell>
          <cell r="C1071">
            <v>85</v>
          </cell>
          <cell r="D1071">
            <v>50</v>
          </cell>
          <cell r="E1071">
            <v>0.6</v>
          </cell>
          <cell r="F1071">
            <v>1079</v>
          </cell>
          <cell r="G1071" t="str">
            <v>golf</v>
          </cell>
          <cell r="H1071" t="str">
            <v>122*15*10</v>
          </cell>
          <cell r="I1071">
            <v>122</v>
          </cell>
          <cell r="J1071">
            <v>15</v>
          </cell>
          <cell r="K1071">
            <v>10</v>
          </cell>
        </row>
        <row r="1072">
          <cell r="A1072" t="str">
            <v>USRXTSIA-41</v>
          </cell>
          <cell r="B1072">
            <v>9</v>
          </cell>
          <cell r="C1072">
            <v>71</v>
          </cell>
          <cell r="D1072">
            <v>50</v>
          </cell>
          <cell r="E1072">
            <v>0.6</v>
          </cell>
          <cell r="F1072">
            <v>1080</v>
          </cell>
          <cell r="G1072" t="str">
            <v>golf</v>
          </cell>
          <cell r="H1072" t="str">
            <v>122*15*10</v>
          </cell>
          <cell r="I1072">
            <v>122</v>
          </cell>
          <cell r="J1072">
            <v>15</v>
          </cell>
          <cell r="K1072">
            <v>10</v>
          </cell>
        </row>
        <row r="1073">
          <cell r="A1073" t="str">
            <v>USRXTSWA-45</v>
          </cell>
          <cell r="B1073">
            <v>9</v>
          </cell>
          <cell r="C1073">
            <v>63</v>
          </cell>
          <cell r="D1073">
            <v>50</v>
          </cell>
          <cell r="E1073">
            <v>0.6</v>
          </cell>
          <cell r="F1073">
            <v>1081</v>
          </cell>
          <cell r="G1073" t="str">
            <v>golf</v>
          </cell>
          <cell r="H1073" t="str">
            <v>122*15*10</v>
          </cell>
          <cell r="I1073">
            <v>122</v>
          </cell>
          <cell r="J1073">
            <v>15</v>
          </cell>
          <cell r="K1073">
            <v>10</v>
          </cell>
        </row>
        <row r="1074">
          <cell r="A1074" t="str">
            <v>USRXTSWS-45</v>
          </cell>
          <cell r="B1074">
            <v>9</v>
          </cell>
          <cell r="C1074">
            <v>70</v>
          </cell>
          <cell r="D1074">
            <v>50</v>
          </cell>
          <cell r="E1074">
            <v>0.6</v>
          </cell>
          <cell r="F1074">
            <v>1082</v>
          </cell>
          <cell r="G1074" t="str">
            <v>golf</v>
          </cell>
          <cell r="H1074" t="str">
            <v>122*15*10</v>
          </cell>
          <cell r="I1074">
            <v>122</v>
          </cell>
          <cell r="J1074">
            <v>15</v>
          </cell>
          <cell r="K1074">
            <v>10</v>
          </cell>
        </row>
        <row r="1075">
          <cell r="A1075" t="str">
            <v>UBLUPNTHY35WX-44</v>
          </cell>
          <cell r="B1075">
            <v>9</v>
          </cell>
          <cell r="C1075">
            <v>80</v>
          </cell>
          <cell r="D1075">
            <v>50</v>
          </cell>
          <cell r="E1075">
            <v>0.6</v>
          </cell>
          <cell r="F1075">
            <v>1083</v>
          </cell>
          <cell r="G1075" t="str">
            <v>golf</v>
          </cell>
          <cell r="H1075" t="str">
            <v>122*15*10</v>
          </cell>
          <cell r="I1075">
            <v>122</v>
          </cell>
          <cell r="J1075">
            <v>15</v>
          </cell>
          <cell r="K1075">
            <v>10</v>
          </cell>
        </row>
        <row r="1076">
          <cell r="A1076" t="str">
            <v>CCM-V8-TC-4556-1</v>
          </cell>
          <cell r="B1076">
            <v>9</v>
          </cell>
          <cell r="C1076">
            <v>350</v>
          </cell>
          <cell r="D1076">
            <v>50</v>
          </cell>
          <cell r="E1076">
            <v>1.48</v>
          </cell>
          <cell r="F1076">
            <v>1084</v>
          </cell>
          <cell r="G1076" t="str">
            <v>shaft</v>
          </cell>
          <cell r="H1076" t="str">
            <v>145*29*16</v>
          </cell>
          <cell r="I1076">
            <v>145</v>
          </cell>
          <cell r="J1076">
            <v>29</v>
          </cell>
          <cell r="K1076">
            <v>16</v>
          </cell>
        </row>
        <row r="1077">
          <cell r="A1077" t="str">
            <v>UALJLFWL-45</v>
          </cell>
          <cell r="B1077">
            <v>9</v>
          </cell>
          <cell r="C1077">
            <v>60</v>
          </cell>
          <cell r="D1077">
            <v>50</v>
          </cell>
          <cell r="E1077">
            <v>0.6</v>
          </cell>
          <cell r="F1077">
            <v>1085</v>
          </cell>
          <cell r="G1077" t="str">
            <v>golf</v>
          </cell>
          <cell r="H1077" t="str">
            <v>122*15*10</v>
          </cell>
          <cell r="I1077">
            <v>122</v>
          </cell>
          <cell r="J1077">
            <v>15</v>
          </cell>
          <cell r="K1077">
            <v>10</v>
          </cell>
        </row>
        <row r="1078">
          <cell r="A1078" t="str">
            <v>UALJLIL-40</v>
          </cell>
          <cell r="B1078">
            <v>9</v>
          </cell>
          <cell r="C1078">
            <v>60</v>
          </cell>
          <cell r="D1078">
            <v>50</v>
          </cell>
          <cell r="E1078">
            <v>0.6</v>
          </cell>
          <cell r="F1078">
            <v>1086</v>
          </cell>
          <cell r="G1078" t="str">
            <v>golf</v>
          </cell>
          <cell r="H1078" t="str">
            <v>122*15*10</v>
          </cell>
          <cell r="I1078">
            <v>122</v>
          </cell>
          <cell r="J1078">
            <v>15</v>
          </cell>
          <cell r="K1078">
            <v>10</v>
          </cell>
        </row>
        <row r="1079">
          <cell r="A1079" t="str">
            <v>UALJLWL-45</v>
          </cell>
          <cell r="B1079">
            <v>9</v>
          </cell>
          <cell r="C1079">
            <v>60</v>
          </cell>
          <cell r="D1079">
            <v>50</v>
          </cell>
          <cell r="E1079">
            <v>0.6</v>
          </cell>
          <cell r="F1079">
            <v>1087</v>
          </cell>
          <cell r="G1079" t="str">
            <v>golf</v>
          </cell>
          <cell r="H1079" t="str">
            <v>122*15*10</v>
          </cell>
          <cell r="I1079">
            <v>122</v>
          </cell>
          <cell r="J1079">
            <v>15</v>
          </cell>
          <cell r="K1079">
            <v>10</v>
          </cell>
        </row>
        <row r="1080">
          <cell r="A1080" t="str">
            <v>ULAUNCHHYJLIR-41</v>
          </cell>
          <cell r="B1080">
            <v>9</v>
          </cell>
          <cell r="C1080">
            <v>80</v>
          </cell>
          <cell r="D1080">
            <v>50</v>
          </cell>
          <cell r="E1080">
            <v>0.6</v>
          </cell>
          <cell r="F1080">
            <v>1088</v>
          </cell>
          <cell r="G1080" t="str">
            <v>golf</v>
          </cell>
          <cell r="H1080" t="str">
            <v>122*15*10</v>
          </cell>
          <cell r="I1080">
            <v>122</v>
          </cell>
          <cell r="J1080">
            <v>15</v>
          </cell>
          <cell r="K1080">
            <v>10</v>
          </cell>
        </row>
        <row r="1081">
          <cell r="A1081" t="str">
            <v>ULAUNCHJLFWS-44</v>
          </cell>
          <cell r="B1081">
            <v>9</v>
          </cell>
          <cell r="C1081">
            <v>80</v>
          </cell>
          <cell r="D1081">
            <v>50</v>
          </cell>
          <cell r="E1081">
            <v>0.6</v>
          </cell>
          <cell r="F1081">
            <v>1089</v>
          </cell>
          <cell r="G1081" t="str">
            <v>golf</v>
          </cell>
          <cell r="H1081" t="str">
            <v>122*15*10</v>
          </cell>
          <cell r="I1081">
            <v>122</v>
          </cell>
          <cell r="J1081">
            <v>15</v>
          </cell>
          <cell r="K1081">
            <v>10</v>
          </cell>
        </row>
        <row r="1082">
          <cell r="A1082" t="str">
            <v>ULAUNCHJLIR-41</v>
          </cell>
          <cell r="B1082">
            <v>9</v>
          </cell>
          <cell r="C1082">
            <v>80</v>
          </cell>
          <cell r="D1082">
            <v>50</v>
          </cell>
          <cell r="E1082">
            <v>0.6</v>
          </cell>
          <cell r="F1082">
            <v>1090</v>
          </cell>
          <cell r="G1082" t="str">
            <v>golf</v>
          </cell>
          <cell r="H1082" t="str">
            <v>122*15*10</v>
          </cell>
          <cell r="I1082">
            <v>122</v>
          </cell>
          <cell r="J1082">
            <v>15</v>
          </cell>
          <cell r="K1082">
            <v>10</v>
          </cell>
        </row>
        <row r="1083">
          <cell r="A1083" t="str">
            <v>ULAUNCHJLWR-46</v>
          </cell>
          <cell r="B1083">
            <v>9</v>
          </cell>
          <cell r="C1083">
            <v>70</v>
          </cell>
          <cell r="D1083">
            <v>50</v>
          </cell>
          <cell r="E1083">
            <v>0.6</v>
          </cell>
          <cell r="F1083">
            <v>1091</v>
          </cell>
          <cell r="G1083" t="str">
            <v>golf</v>
          </cell>
          <cell r="H1083" t="str">
            <v>122*15*10</v>
          </cell>
          <cell r="I1083">
            <v>122</v>
          </cell>
          <cell r="J1083">
            <v>15</v>
          </cell>
          <cell r="K1083">
            <v>10</v>
          </cell>
        </row>
        <row r="1084">
          <cell r="A1084" t="str">
            <v>ULAUNCHJLWS-46</v>
          </cell>
          <cell r="B1084">
            <v>9</v>
          </cell>
          <cell r="C1084">
            <v>80</v>
          </cell>
          <cell r="D1084">
            <v>50</v>
          </cell>
          <cell r="E1084">
            <v>0.6</v>
          </cell>
          <cell r="F1084">
            <v>1092</v>
          </cell>
          <cell r="G1084" t="str">
            <v>golf</v>
          </cell>
          <cell r="H1084" t="str">
            <v>122*15*10</v>
          </cell>
          <cell r="I1084">
            <v>122</v>
          </cell>
          <cell r="J1084">
            <v>15</v>
          </cell>
          <cell r="K1084">
            <v>10</v>
          </cell>
        </row>
        <row r="1085">
          <cell r="A1085" t="str">
            <v>CUR-SIG-1848</v>
          </cell>
          <cell r="B1085">
            <v>9</v>
          </cell>
          <cell r="C1085">
            <v>194</v>
          </cell>
          <cell r="D1085">
            <v>12</v>
          </cell>
          <cell r="E1085">
            <v>0.64</v>
          </cell>
          <cell r="F1085">
            <v>1093</v>
          </cell>
          <cell r="G1085" t="str">
            <v>冰壶杆</v>
          </cell>
          <cell r="H1085" t="str">
            <v>130*15*10</v>
          </cell>
          <cell r="I1085">
            <v>130</v>
          </cell>
          <cell r="J1085">
            <v>15</v>
          </cell>
          <cell r="K1085">
            <v>10</v>
          </cell>
        </row>
        <row r="1086">
          <cell r="A1086" t="str">
            <v>CUR-SIG-148</v>
          </cell>
          <cell r="B1086">
            <v>9</v>
          </cell>
          <cell r="C1086">
            <v>163</v>
          </cell>
          <cell r="D1086">
            <v>12</v>
          </cell>
          <cell r="E1086">
            <v>0.64</v>
          </cell>
          <cell r="F1086">
            <v>1094</v>
          </cell>
          <cell r="G1086" t="str">
            <v>冰壶杆</v>
          </cell>
          <cell r="H1086" t="str">
            <v>130*15*10</v>
          </cell>
          <cell r="I1086">
            <v>130</v>
          </cell>
          <cell r="J1086">
            <v>15</v>
          </cell>
          <cell r="K1086">
            <v>10</v>
          </cell>
        </row>
        <row r="1087">
          <cell r="A1087" t="str">
            <v>ULAUNCHREDFWWS-44</v>
          </cell>
          <cell r="B1087">
            <v>9</v>
          </cell>
          <cell r="C1087">
            <v>78</v>
          </cell>
          <cell r="D1087">
            <v>50</v>
          </cell>
          <cell r="E1087">
            <v>0.6</v>
          </cell>
          <cell r="F1087">
            <v>1095</v>
          </cell>
          <cell r="G1087" t="str">
            <v>golf</v>
          </cell>
          <cell r="H1087" t="str">
            <v>122*15*10</v>
          </cell>
          <cell r="I1087">
            <v>122</v>
          </cell>
          <cell r="J1087">
            <v>15</v>
          </cell>
          <cell r="K1087">
            <v>10</v>
          </cell>
        </row>
        <row r="1088">
          <cell r="A1088" t="str">
            <v>ULAUNCHREDFWWX-44</v>
          </cell>
          <cell r="B1088">
            <v>9</v>
          </cell>
          <cell r="C1088">
            <v>78</v>
          </cell>
          <cell r="D1088">
            <v>50</v>
          </cell>
          <cell r="E1088">
            <v>0.6</v>
          </cell>
          <cell r="F1088">
            <v>1096</v>
          </cell>
          <cell r="G1088" t="str">
            <v>golf</v>
          </cell>
          <cell r="H1088" t="str">
            <v>122*15*10</v>
          </cell>
          <cell r="I1088">
            <v>122</v>
          </cell>
          <cell r="J1088">
            <v>15</v>
          </cell>
          <cell r="K1088">
            <v>10</v>
          </cell>
        </row>
        <row r="1089">
          <cell r="A1089" t="str">
            <v>UGPB33DX-46-BLACK</v>
          </cell>
          <cell r="B1089">
            <v>9</v>
          </cell>
          <cell r="C1089">
            <v>80</v>
          </cell>
          <cell r="D1089">
            <v>50</v>
          </cell>
          <cell r="E1089">
            <v>0.6</v>
          </cell>
          <cell r="F1089">
            <v>1097</v>
          </cell>
          <cell r="G1089" t="str">
            <v>golf</v>
          </cell>
          <cell r="H1089" t="str">
            <v>122*15*10</v>
          </cell>
          <cell r="I1089">
            <v>122</v>
          </cell>
          <cell r="J1089">
            <v>15</v>
          </cell>
          <cell r="K1089">
            <v>10</v>
          </cell>
        </row>
        <row r="1090">
          <cell r="A1090" t="str">
            <v>UMAXFLIMIRS-43</v>
          </cell>
          <cell r="B1090">
            <v>9</v>
          </cell>
          <cell r="C1090">
            <v>79</v>
          </cell>
          <cell r="D1090">
            <v>50</v>
          </cell>
          <cell r="E1090">
            <v>0.6</v>
          </cell>
          <cell r="F1090">
            <v>1098</v>
          </cell>
          <cell r="G1090" t="str">
            <v>golf</v>
          </cell>
          <cell r="H1090" t="str">
            <v>122*15*10</v>
          </cell>
          <cell r="I1090">
            <v>122</v>
          </cell>
          <cell r="J1090">
            <v>15</v>
          </cell>
          <cell r="K1090">
            <v>10</v>
          </cell>
        </row>
        <row r="1091">
          <cell r="A1091" t="str">
            <v>UMAXFLIMWRS-48</v>
          </cell>
          <cell r="B1091">
            <v>9</v>
          </cell>
          <cell r="C1091">
            <v>77</v>
          </cell>
          <cell r="D1091">
            <v>50</v>
          </cell>
          <cell r="E1091">
            <v>0.64</v>
          </cell>
          <cell r="F1091">
            <v>1099</v>
          </cell>
          <cell r="G1091" t="str">
            <v>golf</v>
          </cell>
          <cell r="H1091" t="str">
            <v>130*15*10</v>
          </cell>
          <cell r="I1091">
            <v>130</v>
          </cell>
          <cell r="J1091">
            <v>15</v>
          </cell>
          <cell r="K1091">
            <v>10</v>
          </cell>
        </row>
        <row r="1092">
          <cell r="A1092" t="str">
            <v>UMAXFLIMWAL-48</v>
          </cell>
          <cell r="B1092">
            <v>9</v>
          </cell>
          <cell r="C1092">
            <v>71</v>
          </cell>
          <cell r="D1092">
            <v>50</v>
          </cell>
          <cell r="E1092">
            <v>0.64</v>
          </cell>
          <cell r="F1092">
            <v>1100</v>
          </cell>
          <cell r="G1092" t="str">
            <v>golf</v>
          </cell>
          <cell r="H1092" t="str">
            <v>130*15*10</v>
          </cell>
          <cell r="I1092">
            <v>130</v>
          </cell>
          <cell r="J1092">
            <v>15</v>
          </cell>
          <cell r="K1092">
            <v>10</v>
          </cell>
        </row>
        <row r="1093">
          <cell r="A1093" t="str">
            <v>UMAXFLIMIAL-43</v>
          </cell>
          <cell r="B1093">
            <v>9</v>
          </cell>
          <cell r="C1093">
            <v>76</v>
          </cell>
          <cell r="D1093">
            <v>50</v>
          </cell>
          <cell r="E1093">
            <v>0.6</v>
          </cell>
          <cell r="F1093">
            <v>1101</v>
          </cell>
          <cell r="G1093" t="str">
            <v>golf</v>
          </cell>
          <cell r="H1093" t="str">
            <v>122*15*10</v>
          </cell>
          <cell r="I1093">
            <v>122</v>
          </cell>
          <cell r="J1093">
            <v>15</v>
          </cell>
          <cell r="K1093">
            <v>10</v>
          </cell>
        </row>
        <row r="1094">
          <cell r="A1094" t="str">
            <v>QCOMPS10-8H-744-2</v>
          </cell>
          <cell r="B1094">
            <v>9</v>
          </cell>
          <cell r="C1094">
            <v>470</v>
          </cell>
          <cell r="D1094">
            <v>1</v>
          </cell>
          <cell r="E1094">
            <v>0.5</v>
          </cell>
          <cell r="F1094">
            <v>1102</v>
          </cell>
          <cell r="G1094" t="str">
            <v>fork1</v>
          </cell>
          <cell r="H1094" t="str">
            <v>89*14*9</v>
          </cell>
          <cell r="I1094">
            <v>89</v>
          </cell>
          <cell r="J1094">
            <v>14</v>
          </cell>
          <cell r="K1094">
            <v>9</v>
          </cell>
        </row>
        <row r="1095">
          <cell r="A1095" t="str">
            <v>ESP10BEL</v>
          </cell>
          <cell r="B1095">
            <v>9</v>
          </cell>
          <cell r="C1095">
            <v>445</v>
          </cell>
          <cell r="D1095">
            <v>25</v>
          </cell>
          <cell r="E1095">
            <v>1.6</v>
          </cell>
          <cell r="F1095">
            <v>1103</v>
          </cell>
          <cell r="G1095" t="str">
            <v>hockey</v>
          </cell>
          <cell r="H1095" t="str">
            <v>183*29*16</v>
          </cell>
          <cell r="I1095">
            <v>183</v>
          </cell>
          <cell r="J1095">
            <v>29</v>
          </cell>
          <cell r="K1095">
            <v>16</v>
          </cell>
        </row>
        <row r="1096">
          <cell r="A1096" t="str">
            <v>ESP10BER</v>
          </cell>
          <cell r="B1096">
            <v>9</v>
          </cell>
          <cell r="C1096">
            <v>445</v>
          </cell>
          <cell r="D1096">
            <v>25</v>
          </cell>
          <cell r="E1096">
            <v>1.6</v>
          </cell>
          <cell r="F1096">
            <v>1104</v>
          </cell>
          <cell r="G1096" t="str">
            <v>hockey</v>
          </cell>
          <cell r="H1096" t="str">
            <v>183*29*16</v>
          </cell>
          <cell r="I1096">
            <v>183</v>
          </cell>
          <cell r="J1096">
            <v>29</v>
          </cell>
          <cell r="K1096">
            <v>16</v>
          </cell>
        </row>
        <row r="1097">
          <cell r="A1097" t="str">
            <v>ESP10CLL</v>
          </cell>
          <cell r="B1097">
            <v>9</v>
          </cell>
          <cell r="C1097">
            <v>445</v>
          </cell>
          <cell r="D1097">
            <v>25</v>
          </cell>
          <cell r="E1097">
            <v>1.6</v>
          </cell>
          <cell r="F1097">
            <v>1105</v>
          </cell>
          <cell r="G1097" t="str">
            <v>hockey</v>
          </cell>
          <cell r="H1097" t="str">
            <v>183*29*16</v>
          </cell>
          <cell r="I1097">
            <v>183</v>
          </cell>
          <cell r="J1097">
            <v>29</v>
          </cell>
          <cell r="K1097">
            <v>16</v>
          </cell>
        </row>
        <row r="1098">
          <cell r="A1098" t="str">
            <v>ESP10CLR</v>
          </cell>
          <cell r="B1098">
            <v>9</v>
          </cell>
          <cell r="C1098">
            <v>445</v>
          </cell>
          <cell r="D1098">
            <v>25</v>
          </cell>
          <cell r="E1098">
            <v>1.6</v>
          </cell>
          <cell r="F1098">
            <v>1106</v>
          </cell>
          <cell r="G1098" t="str">
            <v>hockey</v>
          </cell>
          <cell r="H1098" t="str">
            <v>183*29*16</v>
          </cell>
          <cell r="I1098">
            <v>183</v>
          </cell>
          <cell r="J1098">
            <v>29</v>
          </cell>
          <cell r="K1098">
            <v>16</v>
          </cell>
        </row>
        <row r="1099">
          <cell r="A1099" t="str">
            <v>ESP10TAL</v>
          </cell>
          <cell r="B1099">
            <v>9</v>
          </cell>
          <cell r="C1099">
            <v>445</v>
          </cell>
          <cell r="D1099">
            <v>25</v>
          </cell>
          <cell r="E1099">
            <v>1.6</v>
          </cell>
          <cell r="F1099">
            <v>1107</v>
          </cell>
          <cell r="G1099" t="str">
            <v>hockey</v>
          </cell>
          <cell r="H1099" t="str">
            <v>183*29*16</v>
          </cell>
          <cell r="I1099">
            <v>183</v>
          </cell>
          <cell r="J1099">
            <v>29</v>
          </cell>
          <cell r="K1099">
            <v>16</v>
          </cell>
        </row>
        <row r="1100">
          <cell r="A1100" t="str">
            <v>ESP70BEL</v>
          </cell>
          <cell r="B1100">
            <v>9</v>
          </cell>
          <cell r="C1100">
            <v>445</v>
          </cell>
          <cell r="D1100">
            <v>25</v>
          </cell>
          <cell r="E1100">
            <v>1.6</v>
          </cell>
          <cell r="F1100">
            <v>1108</v>
          </cell>
          <cell r="G1100" t="str">
            <v>hockey</v>
          </cell>
          <cell r="H1100" t="str">
            <v>183*29*16</v>
          </cell>
          <cell r="I1100">
            <v>183</v>
          </cell>
          <cell r="J1100">
            <v>29</v>
          </cell>
          <cell r="K1100">
            <v>16</v>
          </cell>
        </row>
        <row r="1101">
          <cell r="A1101" t="str">
            <v>ESP70BER</v>
          </cell>
          <cell r="B1101">
            <v>9</v>
          </cell>
          <cell r="C1101">
            <v>445</v>
          </cell>
          <cell r="D1101">
            <v>25</v>
          </cell>
          <cell r="E1101">
            <v>1.6</v>
          </cell>
          <cell r="F1101">
            <v>1109</v>
          </cell>
          <cell r="G1101" t="str">
            <v>hockey</v>
          </cell>
          <cell r="H1101" t="str">
            <v>183*29*16</v>
          </cell>
          <cell r="I1101">
            <v>183</v>
          </cell>
          <cell r="J1101">
            <v>29</v>
          </cell>
          <cell r="K1101">
            <v>16</v>
          </cell>
        </row>
        <row r="1102">
          <cell r="A1102" t="str">
            <v>ESP70CLL</v>
          </cell>
          <cell r="B1102">
            <v>9</v>
          </cell>
          <cell r="C1102">
            <v>445</v>
          </cell>
          <cell r="D1102">
            <v>25</v>
          </cell>
          <cell r="E1102">
            <v>1.6</v>
          </cell>
          <cell r="F1102">
            <v>1110</v>
          </cell>
          <cell r="G1102" t="str">
            <v>hockey</v>
          </cell>
          <cell r="H1102" t="str">
            <v>183*29*16</v>
          </cell>
          <cell r="I1102">
            <v>183</v>
          </cell>
          <cell r="J1102">
            <v>29</v>
          </cell>
          <cell r="K1102">
            <v>16</v>
          </cell>
        </row>
        <row r="1103">
          <cell r="A1103" t="str">
            <v>ESP70CLR</v>
          </cell>
          <cell r="B1103">
            <v>9</v>
          </cell>
          <cell r="C1103">
            <v>445</v>
          </cell>
          <cell r="D1103">
            <v>25</v>
          </cell>
          <cell r="E1103">
            <v>1.6</v>
          </cell>
          <cell r="F1103">
            <v>1111</v>
          </cell>
          <cell r="G1103" t="str">
            <v>hockey</v>
          </cell>
          <cell r="H1103" t="str">
            <v>183*29*16</v>
          </cell>
          <cell r="I1103">
            <v>183</v>
          </cell>
          <cell r="J1103">
            <v>29</v>
          </cell>
          <cell r="K1103">
            <v>16</v>
          </cell>
        </row>
        <row r="1104">
          <cell r="A1104" t="str">
            <v>ESP70TAL</v>
          </cell>
          <cell r="B1104">
            <v>9</v>
          </cell>
          <cell r="C1104">
            <v>445</v>
          </cell>
          <cell r="D1104">
            <v>25</v>
          </cell>
          <cell r="E1104">
            <v>1.6</v>
          </cell>
          <cell r="F1104">
            <v>1112</v>
          </cell>
          <cell r="G1104" t="str">
            <v>hockey</v>
          </cell>
          <cell r="H1104" t="str">
            <v>183*29*16</v>
          </cell>
          <cell r="I1104">
            <v>183</v>
          </cell>
          <cell r="J1104">
            <v>29</v>
          </cell>
          <cell r="K1104">
            <v>16</v>
          </cell>
        </row>
        <row r="1105">
          <cell r="A1105" t="str">
            <v>ESP70TAR</v>
          </cell>
          <cell r="B1105">
            <v>9</v>
          </cell>
          <cell r="C1105">
            <v>445</v>
          </cell>
          <cell r="D1105">
            <v>25</v>
          </cell>
          <cell r="E1105">
            <v>1.6</v>
          </cell>
          <cell r="F1105">
            <v>1113</v>
          </cell>
          <cell r="G1105" t="str">
            <v>hockey</v>
          </cell>
          <cell r="H1105" t="str">
            <v>183*29*16</v>
          </cell>
          <cell r="I1105">
            <v>183</v>
          </cell>
          <cell r="J1105">
            <v>29</v>
          </cell>
          <cell r="K1105">
            <v>16</v>
          </cell>
        </row>
        <row r="1106">
          <cell r="A1106" t="str">
            <v>ESP80BEL</v>
          </cell>
          <cell r="B1106">
            <v>9</v>
          </cell>
          <cell r="C1106">
            <v>445</v>
          </cell>
          <cell r="D1106">
            <v>25</v>
          </cell>
          <cell r="E1106">
            <v>1.6</v>
          </cell>
          <cell r="F1106">
            <v>1114</v>
          </cell>
          <cell r="G1106" t="str">
            <v>hockey</v>
          </cell>
          <cell r="H1106" t="str">
            <v>183*29*16</v>
          </cell>
          <cell r="I1106">
            <v>183</v>
          </cell>
          <cell r="J1106">
            <v>29</v>
          </cell>
          <cell r="K1106">
            <v>16</v>
          </cell>
        </row>
        <row r="1107">
          <cell r="A1107" t="str">
            <v>ESP80BER</v>
          </cell>
          <cell r="B1107">
            <v>9</v>
          </cell>
          <cell r="C1107">
            <v>445</v>
          </cell>
          <cell r="D1107">
            <v>25</v>
          </cell>
          <cell r="E1107">
            <v>1.6</v>
          </cell>
          <cell r="F1107">
            <v>1115</v>
          </cell>
          <cell r="G1107" t="str">
            <v>hockey</v>
          </cell>
          <cell r="H1107" t="str">
            <v>183*29*16</v>
          </cell>
          <cell r="I1107">
            <v>183</v>
          </cell>
          <cell r="J1107">
            <v>29</v>
          </cell>
          <cell r="K1107">
            <v>16</v>
          </cell>
        </row>
        <row r="1108">
          <cell r="A1108" t="str">
            <v>ESP80CLL</v>
          </cell>
          <cell r="B1108">
            <v>9</v>
          </cell>
          <cell r="C1108">
            <v>445</v>
          </cell>
          <cell r="D1108">
            <v>25</v>
          </cell>
          <cell r="E1108">
            <v>1.6</v>
          </cell>
          <cell r="F1108">
            <v>1116</v>
          </cell>
          <cell r="G1108" t="str">
            <v>hockey</v>
          </cell>
          <cell r="H1108" t="str">
            <v>183*29*16</v>
          </cell>
          <cell r="I1108">
            <v>183</v>
          </cell>
          <cell r="J1108">
            <v>29</v>
          </cell>
          <cell r="K1108">
            <v>16</v>
          </cell>
        </row>
        <row r="1109">
          <cell r="A1109" t="str">
            <v>ESP80CLR</v>
          </cell>
          <cell r="B1109">
            <v>9</v>
          </cell>
          <cell r="C1109">
            <v>445</v>
          </cell>
          <cell r="D1109">
            <v>25</v>
          </cell>
          <cell r="E1109">
            <v>1.6</v>
          </cell>
          <cell r="F1109">
            <v>1117</v>
          </cell>
          <cell r="G1109" t="str">
            <v>hockey</v>
          </cell>
          <cell r="H1109" t="str">
            <v>183*29*16</v>
          </cell>
          <cell r="I1109">
            <v>183</v>
          </cell>
          <cell r="J1109">
            <v>29</v>
          </cell>
          <cell r="K1109">
            <v>16</v>
          </cell>
        </row>
        <row r="1110">
          <cell r="A1110" t="str">
            <v>ESP80TAL</v>
          </cell>
          <cell r="B1110">
            <v>9</v>
          </cell>
          <cell r="C1110">
            <v>445</v>
          </cell>
          <cell r="D1110">
            <v>25</v>
          </cell>
          <cell r="E1110">
            <v>1.6</v>
          </cell>
          <cell r="F1110">
            <v>1118</v>
          </cell>
          <cell r="G1110" t="str">
            <v>hockey</v>
          </cell>
          <cell r="H1110" t="str">
            <v>183*29*16</v>
          </cell>
          <cell r="I1110">
            <v>183</v>
          </cell>
          <cell r="J1110">
            <v>29</v>
          </cell>
          <cell r="K1110">
            <v>16</v>
          </cell>
        </row>
        <row r="1111">
          <cell r="A1111" t="str">
            <v>ESP80TAR</v>
          </cell>
          <cell r="B1111">
            <v>9</v>
          </cell>
          <cell r="C1111">
            <v>445</v>
          </cell>
          <cell r="D1111">
            <v>25</v>
          </cell>
          <cell r="E1111">
            <v>1.6</v>
          </cell>
          <cell r="F1111">
            <v>1119</v>
          </cell>
          <cell r="G1111" t="str">
            <v>hockey</v>
          </cell>
          <cell r="H1111" t="str">
            <v>183*29*16</v>
          </cell>
          <cell r="I1111">
            <v>183</v>
          </cell>
          <cell r="J1111">
            <v>29</v>
          </cell>
          <cell r="K1111">
            <v>16</v>
          </cell>
        </row>
        <row r="1112">
          <cell r="A1112" t="str">
            <v>ESP90BEL</v>
          </cell>
          <cell r="B1112">
            <v>9</v>
          </cell>
          <cell r="C1112">
            <v>445</v>
          </cell>
          <cell r="D1112">
            <v>25</v>
          </cell>
          <cell r="E1112">
            <v>1.6</v>
          </cell>
          <cell r="F1112">
            <v>1120</v>
          </cell>
          <cell r="G1112" t="str">
            <v>hockey</v>
          </cell>
          <cell r="H1112" t="str">
            <v>183*29*16</v>
          </cell>
          <cell r="I1112">
            <v>183</v>
          </cell>
          <cell r="J1112">
            <v>29</v>
          </cell>
          <cell r="K1112">
            <v>16</v>
          </cell>
        </row>
        <row r="1113">
          <cell r="A1113" t="str">
            <v>ESP90BER</v>
          </cell>
          <cell r="B1113">
            <v>9</v>
          </cell>
          <cell r="C1113">
            <v>445</v>
          </cell>
          <cell r="D1113">
            <v>25</v>
          </cell>
          <cell r="E1113">
            <v>1.6</v>
          </cell>
          <cell r="F1113">
            <v>1121</v>
          </cell>
          <cell r="G1113" t="str">
            <v>hockey</v>
          </cell>
          <cell r="H1113" t="str">
            <v>183*29*16</v>
          </cell>
          <cell r="I1113">
            <v>183</v>
          </cell>
          <cell r="J1113">
            <v>29</v>
          </cell>
          <cell r="K1113">
            <v>16</v>
          </cell>
        </row>
        <row r="1114">
          <cell r="A1114" t="str">
            <v>ESP90CLL</v>
          </cell>
          <cell r="B1114">
            <v>9</v>
          </cell>
          <cell r="C1114">
            <v>445</v>
          </cell>
          <cell r="D1114">
            <v>25</v>
          </cell>
          <cell r="E1114">
            <v>1.6</v>
          </cell>
          <cell r="F1114">
            <v>1122</v>
          </cell>
          <cell r="G1114" t="str">
            <v>hockey</v>
          </cell>
          <cell r="H1114" t="str">
            <v>183*29*16</v>
          </cell>
          <cell r="I1114">
            <v>183</v>
          </cell>
          <cell r="J1114">
            <v>29</v>
          </cell>
          <cell r="K1114">
            <v>16</v>
          </cell>
        </row>
        <row r="1115">
          <cell r="A1115" t="str">
            <v>ESP90CLR</v>
          </cell>
          <cell r="B1115">
            <v>9</v>
          </cell>
          <cell r="C1115">
            <v>445</v>
          </cell>
          <cell r="D1115">
            <v>25</v>
          </cell>
          <cell r="E1115">
            <v>1.6</v>
          </cell>
          <cell r="F1115">
            <v>1123</v>
          </cell>
          <cell r="G1115" t="str">
            <v>hockey</v>
          </cell>
          <cell r="H1115" t="str">
            <v>183*29*16</v>
          </cell>
          <cell r="I1115">
            <v>183</v>
          </cell>
          <cell r="J1115">
            <v>29</v>
          </cell>
          <cell r="K1115">
            <v>16</v>
          </cell>
        </row>
        <row r="1116">
          <cell r="A1116" t="str">
            <v>ESP90TAL</v>
          </cell>
          <cell r="B1116">
            <v>9</v>
          </cell>
          <cell r="C1116">
            <v>445</v>
          </cell>
          <cell r="D1116">
            <v>25</v>
          </cell>
          <cell r="E1116">
            <v>1.6</v>
          </cell>
          <cell r="F1116">
            <v>1124</v>
          </cell>
          <cell r="G1116" t="str">
            <v>hockey</v>
          </cell>
          <cell r="H1116" t="str">
            <v>183*29*16</v>
          </cell>
          <cell r="I1116">
            <v>183</v>
          </cell>
          <cell r="J1116">
            <v>29</v>
          </cell>
          <cell r="K1116">
            <v>16</v>
          </cell>
        </row>
        <row r="1117">
          <cell r="A1117" t="str">
            <v>ESP90TAR</v>
          </cell>
          <cell r="B1117">
            <v>9</v>
          </cell>
          <cell r="C1117">
            <v>445</v>
          </cell>
          <cell r="D1117">
            <v>25</v>
          </cell>
          <cell r="E1117">
            <v>1.6</v>
          </cell>
          <cell r="F1117">
            <v>1125</v>
          </cell>
          <cell r="G1117" t="str">
            <v>hockey</v>
          </cell>
          <cell r="H1117" t="str">
            <v>183*29*16</v>
          </cell>
          <cell r="I1117">
            <v>183</v>
          </cell>
          <cell r="J1117">
            <v>29</v>
          </cell>
          <cell r="K1117">
            <v>16</v>
          </cell>
        </row>
        <row r="1118">
          <cell r="A1118" t="str">
            <v>UFRMR70IS-45</v>
          </cell>
          <cell r="B1118">
            <v>9</v>
          </cell>
          <cell r="C1118">
            <v>70</v>
          </cell>
          <cell r="D1118">
            <v>54</v>
          </cell>
          <cell r="E1118">
            <v>0.6</v>
          </cell>
          <cell r="F1118">
            <v>1126</v>
          </cell>
          <cell r="G1118" t="str">
            <v>golf</v>
          </cell>
          <cell r="H1118" t="str">
            <v>122*15*10</v>
          </cell>
          <cell r="I1118">
            <v>122</v>
          </cell>
          <cell r="J1118">
            <v>15</v>
          </cell>
          <cell r="K1118">
            <v>10</v>
          </cell>
        </row>
        <row r="1119">
          <cell r="A1119" t="str">
            <v>UFRMR70WR-48</v>
          </cell>
          <cell r="B1119">
            <v>9</v>
          </cell>
          <cell r="C1119">
            <v>44</v>
          </cell>
          <cell r="D1119">
            <v>54</v>
          </cell>
          <cell r="E1119">
            <v>0.64</v>
          </cell>
          <cell r="F1119">
            <v>1127</v>
          </cell>
          <cell r="G1119" t="str">
            <v>golf</v>
          </cell>
          <cell r="H1119" t="str">
            <v>130*15*10</v>
          </cell>
          <cell r="I1119">
            <v>130</v>
          </cell>
          <cell r="J1119">
            <v>15</v>
          </cell>
          <cell r="K1119">
            <v>10</v>
          </cell>
        </row>
        <row r="1120">
          <cell r="A1120" t="str">
            <v>UFRMR70WS-48</v>
          </cell>
          <cell r="B1120">
            <v>9</v>
          </cell>
          <cell r="C1120">
            <v>45</v>
          </cell>
          <cell r="D1120">
            <v>54</v>
          </cell>
          <cell r="E1120">
            <v>0.64</v>
          </cell>
          <cell r="F1120">
            <v>1128</v>
          </cell>
          <cell r="G1120" t="str">
            <v>golf</v>
          </cell>
          <cell r="H1120" t="str">
            <v>130*15*10</v>
          </cell>
          <cell r="I1120">
            <v>130</v>
          </cell>
          <cell r="J1120">
            <v>15</v>
          </cell>
          <cell r="K1120">
            <v>10</v>
          </cell>
        </row>
        <row r="1121">
          <cell r="A1121" t="str">
            <v>ESP10TAR</v>
          </cell>
          <cell r="B1121">
            <v>9</v>
          </cell>
          <cell r="C1121">
            <v>445</v>
          </cell>
          <cell r="D1121">
            <v>25</v>
          </cell>
          <cell r="E1121">
            <v>1.6</v>
          </cell>
          <cell r="F1121">
            <v>1131</v>
          </cell>
          <cell r="G1121" t="str">
            <v>hockey</v>
          </cell>
          <cell r="H1121" t="str">
            <v>183*29*16</v>
          </cell>
          <cell r="I1121">
            <v>183</v>
          </cell>
          <cell r="J1121">
            <v>29</v>
          </cell>
          <cell r="K1121">
            <v>16</v>
          </cell>
        </row>
        <row r="1122">
          <cell r="A1122" t="str">
            <v>QGS10-8H-744-2-M</v>
          </cell>
          <cell r="B1122">
            <v>9</v>
          </cell>
          <cell r="C1122">
            <v>352</v>
          </cell>
          <cell r="D1122">
            <v>1</v>
          </cell>
          <cell r="E1122">
            <v>0.5</v>
          </cell>
          <cell r="F1122">
            <v>1132</v>
          </cell>
          <cell r="G1122" t="str">
            <v>fork</v>
          </cell>
          <cell r="H1122" t="str">
            <v>89*14*9</v>
          </cell>
          <cell r="I1122">
            <v>89</v>
          </cell>
          <cell r="J1122">
            <v>14</v>
          </cell>
          <cell r="K1122">
            <v>9</v>
          </cell>
        </row>
        <row r="1123">
          <cell r="A1123" t="str">
            <v>UAXIS933WS-46</v>
          </cell>
          <cell r="B1123">
            <v>9</v>
          </cell>
          <cell r="C1123">
            <v>80</v>
          </cell>
          <cell r="D1123">
            <v>50</v>
          </cell>
          <cell r="E1123">
            <v>0.6</v>
          </cell>
          <cell r="F1123">
            <v>1133</v>
          </cell>
          <cell r="G1123" t="str">
            <v>golf</v>
          </cell>
          <cell r="H1123" t="str">
            <v>122*15*10</v>
          </cell>
          <cell r="I1123">
            <v>122</v>
          </cell>
          <cell r="J1123">
            <v>15</v>
          </cell>
          <cell r="K1123">
            <v>10</v>
          </cell>
        </row>
        <row r="1124">
          <cell r="A1124" t="str">
            <v>UAXIS933WX-46</v>
          </cell>
          <cell r="B1124">
            <v>9</v>
          </cell>
          <cell r="C1124">
            <v>90</v>
          </cell>
          <cell r="D1124">
            <v>50</v>
          </cell>
          <cell r="E1124">
            <v>0.6</v>
          </cell>
          <cell r="F1124">
            <v>1134</v>
          </cell>
          <cell r="G1124" t="str">
            <v>golf</v>
          </cell>
          <cell r="H1124" t="str">
            <v>122*15*10</v>
          </cell>
          <cell r="I1124">
            <v>122</v>
          </cell>
          <cell r="J1124">
            <v>15</v>
          </cell>
          <cell r="K1124">
            <v>10</v>
          </cell>
        </row>
        <row r="1125">
          <cell r="A1125" t="str">
            <v>QTS20-8-743-2</v>
          </cell>
          <cell r="B1125">
            <v>9</v>
          </cell>
          <cell r="C1125">
            <v>477</v>
          </cell>
          <cell r="D1125">
            <v>1</v>
          </cell>
          <cell r="E1125">
            <v>0.5</v>
          </cell>
          <cell r="F1125">
            <v>1135</v>
          </cell>
          <cell r="G1125" t="str">
            <v>fork</v>
          </cell>
          <cell r="H1125" t="str">
            <v>89*14*9</v>
          </cell>
          <cell r="I1125">
            <v>89</v>
          </cell>
          <cell r="J1125">
            <v>14</v>
          </cell>
          <cell r="K1125">
            <v>9</v>
          </cell>
        </row>
        <row r="1126">
          <cell r="A1126" t="str">
            <v>ULAUNCHFW33X-44</v>
          </cell>
          <cell r="B1126">
            <v>9</v>
          </cell>
          <cell r="C1126">
            <v>88</v>
          </cell>
          <cell r="D1126">
            <v>50</v>
          </cell>
          <cell r="E1126">
            <v>0.6</v>
          </cell>
          <cell r="F1126">
            <v>1136</v>
          </cell>
          <cell r="G1126" t="str">
            <v>golf</v>
          </cell>
          <cell r="H1126" t="str">
            <v>122*15*10</v>
          </cell>
          <cell r="I1126">
            <v>122</v>
          </cell>
          <cell r="J1126">
            <v>15</v>
          </cell>
          <cell r="K1126">
            <v>10</v>
          </cell>
        </row>
        <row r="1127">
          <cell r="A1127" t="str">
            <v>UTCTRHLWX-46</v>
          </cell>
          <cell r="B1127">
            <v>9</v>
          </cell>
          <cell r="C1127">
            <v>68</v>
          </cell>
          <cell r="D1127">
            <v>50</v>
          </cell>
          <cell r="E1127">
            <v>0.6</v>
          </cell>
          <cell r="F1127">
            <v>1137</v>
          </cell>
          <cell r="G1127" t="str">
            <v>golf</v>
          </cell>
          <cell r="H1127" t="str">
            <v>122*15*10</v>
          </cell>
          <cell r="I1127">
            <v>122</v>
          </cell>
          <cell r="J1127">
            <v>15</v>
          </cell>
          <cell r="K1127">
            <v>10</v>
          </cell>
        </row>
        <row r="1128">
          <cell r="A1128" t="str">
            <v>TFC100HYS-41</v>
          </cell>
          <cell r="B1128">
            <v>9</v>
          </cell>
          <cell r="C1128">
            <v>84</v>
          </cell>
          <cell r="D1128">
            <v>50</v>
          </cell>
          <cell r="E1128">
            <v>0.6</v>
          </cell>
          <cell r="F1128">
            <v>1138</v>
          </cell>
          <cell r="G1128" t="str">
            <v>golf</v>
          </cell>
          <cell r="H1128" t="str">
            <v>122*15*10</v>
          </cell>
          <cell r="I1128">
            <v>122</v>
          </cell>
          <cell r="J1128">
            <v>15</v>
          </cell>
          <cell r="K1128">
            <v>10</v>
          </cell>
        </row>
        <row r="1129">
          <cell r="A1129" t="str">
            <v>TFC100HYR-41</v>
          </cell>
          <cell r="B1129">
            <v>9</v>
          </cell>
          <cell r="C1129">
            <v>82</v>
          </cell>
          <cell r="D1129">
            <v>50</v>
          </cell>
          <cell r="E1129">
            <v>0.6</v>
          </cell>
          <cell r="F1129">
            <v>1139</v>
          </cell>
          <cell r="G1129" t="str">
            <v>golf</v>
          </cell>
          <cell r="H1129" t="str">
            <v>122*15*10</v>
          </cell>
          <cell r="I1129">
            <v>122</v>
          </cell>
          <cell r="J1129">
            <v>15</v>
          </cell>
          <cell r="K1129">
            <v>10</v>
          </cell>
        </row>
        <row r="1130">
          <cell r="A1130" t="str">
            <v>CCM-VP-ST-5052-TH</v>
          </cell>
          <cell r="B1130">
            <v>9</v>
          </cell>
          <cell r="C1130">
            <v>340</v>
          </cell>
          <cell r="D1130">
            <v>50</v>
          </cell>
          <cell r="E1130">
            <v>1.48</v>
          </cell>
          <cell r="F1130">
            <v>1140</v>
          </cell>
          <cell r="G1130" t="str">
            <v>shaft</v>
          </cell>
          <cell r="H1130" t="str">
            <v>145*29*16</v>
          </cell>
          <cell r="I1130">
            <v>145</v>
          </cell>
          <cell r="J1130">
            <v>29</v>
          </cell>
          <cell r="K1130">
            <v>16</v>
          </cell>
        </row>
        <row r="1131">
          <cell r="A1131" t="str">
            <v>RBK-7K-SC-4554</v>
          </cell>
          <cell r="B1131">
            <v>9</v>
          </cell>
          <cell r="C1131">
            <v>350</v>
          </cell>
          <cell r="D1131">
            <v>50</v>
          </cell>
          <cell r="E1131">
            <v>1.48</v>
          </cell>
          <cell r="F1131">
            <v>1141</v>
          </cell>
          <cell r="G1131" t="str">
            <v>shaft</v>
          </cell>
          <cell r="H1131" t="str">
            <v>145*29*16</v>
          </cell>
          <cell r="I1131">
            <v>145</v>
          </cell>
          <cell r="J1131">
            <v>29</v>
          </cell>
          <cell r="K1131">
            <v>16</v>
          </cell>
        </row>
        <row r="1132">
          <cell r="A1132" t="str">
            <v>QGS10-8-744-2</v>
          </cell>
          <cell r="B1132">
            <v>9</v>
          </cell>
          <cell r="C1132">
            <v>337</v>
          </cell>
          <cell r="D1132">
            <v>1</v>
          </cell>
          <cell r="E1132">
            <v>0.5</v>
          </cell>
          <cell r="F1132">
            <v>1142</v>
          </cell>
          <cell r="G1132" t="str">
            <v>fork</v>
          </cell>
          <cell r="H1132" t="str">
            <v>89*14*9</v>
          </cell>
          <cell r="I1132">
            <v>89</v>
          </cell>
          <cell r="J1132">
            <v>14</v>
          </cell>
          <cell r="K1132">
            <v>9</v>
          </cell>
        </row>
        <row r="1133">
          <cell r="A1133" t="str">
            <v>UMAXFLIROYALWRS-48</v>
          </cell>
          <cell r="B1133">
            <v>9</v>
          </cell>
          <cell r="C1133">
            <v>77</v>
          </cell>
          <cell r="D1133">
            <v>50</v>
          </cell>
          <cell r="E1133">
            <v>0.64</v>
          </cell>
          <cell r="F1133">
            <v>1143</v>
          </cell>
          <cell r="G1133" t="str">
            <v>golf</v>
          </cell>
          <cell r="H1133" t="str">
            <v>130*15*10</v>
          </cell>
          <cell r="I1133">
            <v>130</v>
          </cell>
          <cell r="J1133">
            <v>15</v>
          </cell>
          <cell r="K1133">
            <v>10</v>
          </cell>
        </row>
        <row r="1134">
          <cell r="A1134" t="str">
            <v>UTAIL-40</v>
          </cell>
          <cell r="B1134">
            <v>9</v>
          </cell>
          <cell r="C1134">
            <v>84</v>
          </cell>
          <cell r="D1134">
            <v>50</v>
          </cell>
          <cell r="E1134">
            <v>0.6</v>
          </cell>
          <cell r="F1134">
            <v>1144</v>
          </cell>
          <cell r="G1134" t="str">
            <v>golf</v>
          </cell>
          <cell r="H1134" t="str">
            <v>122*15*10</v>
          </cell>
          <cell r="I1134">
            <v>122</v>
          </cell>
          <cell r="J1134">
            <v>15</v>
          </cell>
          <cell r="K1134">
            <v>10</v>
          </cell>
        </row>
        <row r="1135">
          <cell r="A1135" t="str">
            <v>UMAXFLIROYALWR-46</v>
          </cell>
          <cell r="B1135">
            <v>9</v>
          </cell>
          <cell r="C1135">
            <v>78</v>
          </cell>
          <cell r="D1135">
            <v>50</v>
          </cell>
          <cell r="E1135">
            <v>0.6</v>
          </cell>
          <cell r="F1135">
            <v>1145</v>
          </cell>
          <cell r="G1135" t="str">
            <v>golf</v>
          </cell>
          <cell r="H1135" t="str">
            <v>122*15*10</v>
          </cell>
          <cell r="I1135">
            <v>122</v>
          </cell>
          <cell r="J1135">
            <v>15</v>
          </cell>
          <cell r="K1135">
            <v>10</v>
          </cell>
        </row>
        <row r="1136">
          <cell r="A1136" t="str">
            <v>UMAXFLIROYALWS-46</v>
          </cell>
          <cell r="B1136">
            <v>9</v>
          </cell>
          <cell r="C1136">
            <v>81</v>
          </cell>
          <cell r="D1136">
            <v>50</v>
          </cell>
          <cell r="E1136">
            <v>0.6</v>
          </cell>
          <cell r="F1136">
            <v>1146</v>
          </cell>
          <cell r="G1136" t="str">
            <v>golf</v>
          </cell>
          <cell r="H1136" t="str">
            <v>122*15*10</v>
          </cell>
          <cell r="I1136">
            <v>122</v>
          </cell>
          <cell r="J1136">
            <v>15</v>
          </cell>
          <cell r="K1136">
            <v>10</v>
          </cell>
        </row>
        <row r="1137">
          <cell r="A1137" t="str">
            <v>UFRMR70WX-48</v>
          </cell>
          <cell r="B1137">
            <v>9</v>
          </cell>
          <cell r="C1137">
            <v>46</v>
          </cell>
          <cell r="D1137">
            <v>54</v>
          </cell>
          <cell r="E1137">
            <v>0.64</v>
          </cell>
          <cell r="F1137">
            <v>1147</v>
          </cell>
          <cell r="G1137" t="str">
            <v>golf</v>
          </cell>
          <cell r="H1137" t="str">
            <v>130*15*10</v>
          </cell>
          <cell r="I1137">
            <v>130</v>
          </cell>
          <cell r="J1137">
            <v>15</v>
          </cell>
          <cell r="K1137">
            <v>10</v>
          </cell>
        </row>
        <row r="1138">
          <cell r="A1138" t="str">
            <v>UMAXFLIRWRS-48</v>
          </cell>
          <cell r="B1138">
            <v>9</v>
          </cell>
          <cell r="C1138">
            <v>77</v>
          </cell>
          <cell r="D1138">
            <v>50</v>
          </cell>
          <cell r="E1138">
            <v>0.64</v>
          </cell>
          <cell r="F1138">
            <v>1149</v>
          </cell>
          <cell r="G1138" t="str">
            <v>golf</v>
          </cell>
          <cell r="H1138" t="str">
            <v>130*15*10</v>
          </cell>
          <cell r="I1138">
            <v>130</v>
          </cell>
          <cell r="J1138">
            <v>15</v>
          </cell>
          <cell r="K1138">
            <v>10</v>
          </cell>
        </row>
        <row r="1139">
          <cell r="A1139" t="str">
            <v>UMAXFLIRIRS-43</v>
          </cell>
          <cell r="B1139">
            <v>9</v>
          </cell>
          <cell r="C1139">
            <v>79</v>
          </cell>
          <cell r="D1139">
            <v>50</v>
          </cell>
          <cell r="E1139">
            <v>0.6</v>
          </cell>
          <cell r="F1139">
            <v>1150</v>
          </cell>
          <cell r="G1139" t="str">
            <v>golf</v>
          </cell>
          <cell r="H1139" t="str">
            <v>122*15*10</v>
          </cell>
          <cell r="I1139">
            <v>122</v>
          </cell>
          <cell r="J1139">
            <v>15</v>
          </cell>
          <cell r="K1139">
            <v>10</v>
          </cell>
        </row>
        <row r="1140">
          <cell r="A1140" t="str">
            <v>ULAUNCHSEIR-41</v>
          </cell>
          <cell r="B1140">
            <v>9</v>
          </cell>
          <cell r="C1140">
            <v>81</v>
          </cell>
          <cell r="D1140">
            <v>50</v>
          </cell>
          <cell r="E1140">
            <v>0.6</v>
          </cell>
          <cell r="F1140">
            <v>1151</v>
          </cell>
          <cell r="G1140" t="str">
            <v>golf</v>
          </cell>
          <cell r="H1140" t="str">
            <v>122*15*10</v>
          </cell>
          <cell r="I1140">
            <v>122</v>
          </cell>
          <cell r="J1140">
            <v>15</v>
          </cell>
          <cell r="K1140">
            <v>10</v>
          </cell>
        </row>
        <row r="1141">
          <cell r="A1141" t="str">
            <v>ULAUNCHSEIS-41</v>
          </cell>
          <cell r="B1141">
            <v>9</v>
          </cell>
          <cell r="C1141">
            <v>86</v>
          </cell>
          <cell r="D1141">
            <v>50</v>
          </cell>
          <cell r="E1141">
            <v>0.6</v>
          </cell>
          <cell r="F1141">
            <v>1152</v>
          </cell>
          <cell r="G1141" t="str">
            <v>golf</v>
          </cell>
          <cell r="H1141" t="str">
            <v>122*15*10</v>
          </cell>
          <cell r="I1141">
            <v>122</v>
          </cell>
          <cell r="J1141">
            <v>15</v>
          </cell>
          <cell r="K1141">
            <v>10</v>
          </cell>
        </row>
        <row r="1142">
          <cell r="A1142" t="str">
            <v>UFRMR90WX-48</v>
          </cell>
          <cell r="B1142">
            <v>9</v>
          </cell>
          <cell r="C1142">
            <v>67</v>
          </cell>
          <cell r="D1142">
            <v>54</v>
          </cell>
          <cell r="E1142">
            <v>0.64</v>
          </cell>
          <cell r="F1142">
            <v>1153</v>
          </cell>
          <cell r="G1142" t="str">
            <v>golf</v>
          </cell>
          <cell r="H1142" t="str">
            <v>130*15*10</v>
          </cell>
          <cell r="I1142">
            <v>130</v>
          </cell>
          <cell r="J1142">
            <v>15</v>
          </cell>
          <cell r="K1142">
            <v>10</v>
          </cell>
        </row>
        <row r="1143">
          <cell r="A1143" t="str">
            <v>UFRMR90WS-48</v>
          </cell>
          <cell r="B1143">
            <v>9</v>
          </cell>
          <cell r="C1143">
            <v>65</v>
          </cell>
          <cell r="D1143">
            <v>54</v>
          </cell>
          <cell r="E1143">
            <v>0.64</v>
          </cell>
          <cell r="F1143">
            <v>1154</v>
          </cell>
          <cell r="G1143" t="str">
            <v>golf</v>
          </cell>
          <cell r="H1143" t="str">
            <v>130*15*10</v>
          </cell>
          <cell r="I1143">
            <v>130</v>
          </cell>
          <cell r="J1143">
            <v>15</v>
          </cell>
          <cell r="K1143">
            <v>10</v>
          </cell>
        </row>
        <row r="1144">
          <cell r="A1144" t="str">
            <v>RBK-P226-G02L-57</v>
          </cell>
          <cell r="B1144">
            <v>9</v>
          </cell>
          <cell r="C1144">
            <v>740</v>
          </cell>
          <cell r="D1144">
            <v>12</v>
          </cell>
          <cell r="E1144">
            <v>2.2200000000000002</v>
          </cell>
          <cell r="F1144">
            <v>1155</v>
          </cell>
          <cell r="G1144" t="str">
            <v>goalier</v>
          </cell>
          <cell r="H1144" t="str">
            <v>179*42*15</v>
          </cell>
          <cell r="I1144">
            <v>179</v>
          </cell>
          <cell r="J1144">
            <v>42</v>
          </cell>
          <cell r="K1144">
            <v>15</v>
          </cell>
        </row>
        <row r="1145">
          <cell r="A1145" t="str">
            <v>RBK-P125-G01L-57</v>
          </cell>
          <cell r="B1145">
            <v>9</v>
          </cell>
          <cell r="C1145">
            <v>740</v>
          </cell>
          <cell r="D1145">
            <v>12</v>
          </cell>
          <cell r="E1145">
            <v>2.2200000000000002</v>
          </cell>
          <cell r="F1145">
            <v>1156</v>
          </cell>
          <cell r="G1145" t="str">
            <v>goalier</v>
          </cell>
          <cell r="H1145" t="str">
            <v>179*42*15</v>
          </cell>
          <cell r="I1145">
            <v>179</v>
          </cell>
          <cell r="J1145">
            <v>42</v>
          </cell>
          <cell r="K1145">
            <v>15</v>
          </cell>
        </row>
        <row r="1146">
          <cell r="A1146" t="str">
            <v>ULAUNCHREDADFWWR-46</v>
          </cell>
          <cell r="B1146">
            <v>9</v>
          </cell>
          <cell r="C1146">
            <v>80</v>
          </cell>
          <cell r="D1146">
            <v>50</v>
          </cell>
          <cell r="E1146">
            <v>0.6</v>
          </cell>
          <cell r="F1146">
            <v>1157</v>
          </cell>
          <cell r="G1146" t="str">
            <v>golf</v>
          </cell>
          <cell r="H1146" t="str">
            <v>122*15*10</v>
          </cell>
          <cell r="I1146">
            <v>122</v>
          </cell>
          <cell r="J1146">
            <v>15</v>
          </cell>
          <cell r="K1146">
            <v>10</v>
          </cell>
        </row>
        <row r="1147">
          <cell r="A1147" t="str">
            <v>ULAUNCHREDADFWWS-46</v>
          </cell>
          <cell r="B1147">
            <v>9</v>
          </cell>
          <cell r="C1147">
            <v>80</v>
          </cell>
          <cell r="D1147">
            <v>50</v>
          </cell>
          <cell r="E1147">
            <v>0.6</v>
          </cell>
          <cell r="F1147">
            <v>1158</v>
          </cell>
          <cell r="G1147" t="str">
            <v>golf</v>
          </cell>
          <cell r="H1147" t="str">
            <v>122*15*10</v>
          </cell>
          <cell r="I1147">
            <v>122</v>
          </cell>
          <cell r="J1147">
            <v>15</v>
          </cell>
          <cell r="K1147">
            <v>10</v>
          </cell>
        </row>
        <row r="1148">
          <cell r="A1148" t="str">
            <v>ULAUNCHREDADWS-46</v>
          </cell>
          <cell r="B1148">
            <v>9</v>
          </cell>
          <cell r="C1148">
            <v>80</v>
          </cell>
          <cell r="D1148">
            <v>50</v>
          </cell>
          <cell r="E1148">
            <v>0.6</v>
          </cell>
          <cell r="F1148">
            <v>1159</v>
          </cell>
          <cell r="G1148" t="str">
            <v>golf</v>
          </cell>
          <cell r="H1148" t="str">
            <v>122*15*10</v>
          </cell>
          <cell r="I1148">
            <v>122</v>
          </cell>
          <cell r="J1148">
            <v>15</v>
          </cell>
          <cell r="K1148">
            <v>10</v>
          </cell>
        </row>
        <row r="1149">
          <cell r="A1149" t="str">
            <v>ULAUNCHREDADWR-46</v>
          </cell>
          <cell r="B1149">
            <v>9</v>
          </cell>
          <cell r="C1149">
            <v>80</v>
          </cell>
          <cell r="D1149">
            <v>50</v>
          </cell>
          <cell r="E1149">
            <v>0.6</v>
          </cell>
          <cell r="F1149">
            <v>1160</v>
          </cell>
          <cell r="G1149" t="str">
            <v>golf</v>
          </cell>
          <cell r="H1149" t="str">
            <v>122*15*10</v>
          </cell>
          <cell r="I1149">
            <v>122</v>
          </cell>
          <cell r="J1149">
            <v>15</v>
          </cell>
          <cell r="K1149">
            <v>10</v>
          </cell>
        </row>
        <row r="1150">
          <cell r="A1150" t="str">
            <v>ULAUNCHMSTIL-41</v>
          </cell>
          <cell r="B1150">
            <v>9</v>
          </cell>
          <cell r="C1150">
            <v>80</v>
          </cell>
          <cell r="D1150">
            <v>50</v>
          </cell>
          <cell r="E1150">
            <v>0.6</v>
          </cell>
          <cell r="F1150">
            <v>1161</v>
          </cell>
          <cell r="G1150" t="str">
            <v>golf</v>
          </cell>
          <cell r="H1150" t="str">
            <v>122*15*10</v>
          </cell>
          <cell r="I1150">
            <v>122</v>
          </cell>
          <cell r="J1150">
            <v>15</v>
          </cell>
          <cell r="K1150">
            <v>10</v>
          </cell>
        </row>
        <row r="1151">
          <cell r="A1151" t="str">
            <v>TAQS3-10-CV-CB-70044</v>
          </cell>
          <cell r="B1151">
            <v>9</v>
          </cell>
          <cell r="C1151">
            <v>400</v>
          </cell>
          <cell r="D1151">
            <v>1</v>
          </cell>
          <cell r="E1151">
            <v>0.5</v>
          </cell>
          <cell r="F1151">
            <v>1162</v>
          </cell>
          <cell r="G1151" t="str">
            <v>fork</v>
          </cell>
          <cell r="H1151" t="str">
            <v>89*14*9</v>
          </cell>
          <cell r="I1151">
            <v>89</v>
          </cell>
          <cell r="J1151">
            <v>14</v>
          </cell>
          <cell r="K1151">
            <v>9</v>
          </cell>
        </row>
        <row r="1152">
          <cell r="A1152" t="str">
            <v>TAQ-100-CX-CB-70047</v>
          </cell>
          <cell r="B1152">
            <v>9</v>
          </cell>
          <cell r="C1152">
            <v>400</v>
          </cell>
          <cell r="D1152">
            <v>1</v>
          </cell>
          <cell r="E1152">
            <v>0.5</v>
          </cell>
          <cell r="F1152">
            <v>1163</v>
          </cell>
          <cell r="G1152" t="str">
            <v>fork</v>
          </cell>
          <cell r="H1152" t="str">
            <v>89*14*9</v>
          </cell>
          <cell r="I1152">
            <v>89</v>
          </cell>
          <cell r="J1152">
            <v>14</v>
          </cell>
          <cell r="K1152">
            <v>9</v>
          </cell>
        </row>
        <row r="1153">
          <cell r="A1153" t="str">
            <v>TAQ-100-ST-CB-70044-UP</v>
          </cell>
          <cell r="B1153">
            <v>9</v>
          </cell>
          <cell r="C1153">
            <v>400</v>
          </cell>
          <cell r="D1153">
            <v>25</v>
          </cell>
          <cell r="E1153">
            <v>2.54</v>
          </cell>
          <cell r="F1153">
            <v>1164</v>
          </cell>
          <cell r="G1153" t="str">
            <v>fork</v>
          </cell>
          <cell r="H1153" t="str">
            <v>77*52*32</v>
          </cell>
          <cell r="I1153">
            <v>77</v>
          </cell>
          <cell r="J1153">
            <v>52</v>
          </cell>
          <cell r="K1153">
            <v>32</v>
          </cell>
        </row>
        <row r="1154">
          <cell r="A1154" t="str">
            <v>QCOMPS20-1-637</v>
          </cell>
          <cell r="B1154">
            <v>9</v>
          </cell>
          <cell r="C1154">
            <v>398</v>
          </cell>
          <cell r="D1154">
            <v>1</v>
          </cell>
          <cell r="E1154">
            <v>0.5</v>
          </cell>
          <cell r="F1154">
            <v>1165</v>
          </cell>
          <cell r="G1154" t="str">
            <v>fork</v>
          </cell>
          <cell r="H1154" t="str">
            <v>89*14*9</v>
          </cell>
          <cell r="I1154">
            <v>89</v>
          </cell>
          <cell r="J1154">
            <v>14</v>
          </cell>
          <cell r="K1154">
            <v>9</v>
          </cell>
        </row>
        <row r="1155">
          <cell r="A1155" t="str">
            <v>TAQA-1125-ST-CB-65040-GL</v>
          </cell>
          <cell r="B1155">
            <v>9</v>
          </cell>
          <cell r="C1155">
            <v>400</v>
          </cell>
          <cell r="D1155">
            <v>1</v>
          </cell>
          <cell r="E1155">
            <v>0.5</v>
          </cell>
          <cell r="F1155">
            <v>1166</v>
          </cell>
          <cell r="G1155" t="str">
            <v>fork</v>
          </cell>
          <cell r="H1155" t="str">
            <v>89*14*9</v>
          </cell>
          <cell r="I1155">
            <v>89</v>
          </cell>
          <cell r="J1155">
            <v>14</v>
          </cell>
          <cell r="K1155">
            <v>9</v>
          </cell>
        </row>
        <row r="1156">
          <cell r="A1156" t="str">
            <v>TAQEX-1125-ST-CB-70038</v>
          </cell>
          <cell r="B1156">
            <v>9</v>
          </cell>
          <cell r="C1156">
            <v>400</v>
          </cell>
          <cell r="D1156">
            <v>1</v>
          </cell>
          <cell r="E1156">
            <v>0.5</v>
          </cell>
          <cell r="F1156">
            <v>1167</v>
          </cell>
          <cell r="G1156" t="str">
            <v>fork</v>
          </cell>
          <cell r="H1156" t="str">
            <v>89*14*9</v>
          </cell>
          <cell r="I1156">
            <v>89</v>
          </cell>
          <cell r="J1156">
            <v>14</v>
          </cell>
          <cell r="K1156">
            <v>9</v>
          </cell>
        </row>
        <row r="1157">
          <cell r="A1157" t="str">
            <v>SHR-RM-08552</v>
          </cell>
          <cell r="B1157">
            <v>9</v>
          </cell>
          <cell r="C1157">
            <v>332</v>
          </cell>
          <cell r="D1157">
            <v>50</v>
          </cell>
          <cell r="E1157">
            <v>1.48</v>
          </cell>
          <cell r="F1157">
            <v>1168</v>
          </cell>
          <cell r="G1157" t="str">
            <v>shaft</v>
          </cell>
          <cell r="H1157" t="str">
            <v>145*29*16</v>
          </cell>
          <cell r="I1157">
            <v>145</v>
          </cell>
          <cell r="J1157">
            <v>29</v>
          </cell>
          <cell r="K1157">
            <v>16</v>
          </cell>
        </row>
        <row r="1158">
          <cell r="A1158" t="str">
            <v>SHR-RM-09552</v>
          </cell>
          <cell r="B1158">
            <v>9</v>
          </cell>
          <cell r="C1158">
            <v>329</v>
          </cell>
          <cell r="D1158">
            <v>50</v>
          </cell>
          <cell r="E1158">
            <v>1.48</v>
          </cell>
          <cell r="F1158">
            <v>1169</v>
          </cell>
          <cell r="G1158" t="str">
            <v>shaft</v>
          </cell>
          <cell r="H1158" t="str">
            <v>145*29*16</v>
          </cell>
          <cell r="I1158">
            <v>145</v>
          </cell>
          <cell r="J1158">
            <v>29</v>
          </cell>
          <cell r="K1158">
            <v>16</v>
          </cell>
        </row>
        <row r="1159">
          <cell r="A1159" t="str">
            <v>SHR-RM-10552</v>
          </cell>
          <cell r="B1159">
            <v>9</v>
          </cell>
          <cell r="C1159">
            <v>339</v>
          </cell>
          <cell r="D1159">
            <v>50</v>
          </cell>
          <cell r="E1159">
            <v>1.48</v>
          </cell>
          <cell r="F1159">
            <v>1170</v>
          </cell>
          <cell r="G1159" t="str">
            <v>shaft</v>
          </cell>
          <cell r="H1159" t="str">
            <v>145*29*16</v>
          </cell>
          <cell r="I1159">
            <v>145</v>
          </cell>
          <cell r="J1159">
            <v>29</v>
          </cell>
          <cell r="K1159">
            <v>16</v>
          </cell>
        </row>
        <row r="1160">
          <cell r="A1160" t="str">
            <v>SHR-RM-11552</v>
          </cell>
          <cell r="B1160">
            <v>9</v>
          </cell>
          <cell r="C1160">
            <v>364</v>
          </cell>
          <cell r="D1160">
            <v>50</v>
          </cell>
          <cell r="E1160">
            <v>1.48</v>
          </cell>
          <cell r="F1160">
            <v>1171</v>
          </cell>
          <cell r="G1160" t="str">
            <v>shaft</v>
          </cell>
          <cell r="H1160" t="str">
            <v>145*29*16</v>
          </cell>
          <cell r="I1160">
            <v>145</v>
          </cell>
          <cell r="J1160">
            <v>29</v>
          </cell>
          <cell r="K1160">
            <v>16</v>
          </cell>
        </row>
        <row r="1161">
          <cell r="A1161" t="str">
            <v>ULAUNCHSEFW33S-44</v>
          </cell>
          <cell r="B1161">
            <v>9</v>
          </cell>
          <cell r="C1161">
            <v>87</v>
          </cell>
          <cell r="D1161">
            <v>50</v>
          </cell>
          <cell r="E1161">
            <v>0.6</v>
          </cell>
          <cell r="F1161">
            <v>1172</v>
          </cell>
          <cell r="G1161" t="str">
            <v>golf</v>
          </cell>
          <cell r="H1161" t="str">
            <v>122*15*10</v>
          </cell>
          <cell r="I1161">
            <v>122</v>
          </cell>
          <cell r="J1161">
            <v>15</v>
          </cell>
          <cell r="K1161">
            <v>10</v>
          </cell>
        </row>
        <row r="1162">
          <cell r="A1162" t="str">
            <v>ULAUNCHSEFW33R-44</v>
          </cell>
          <cell r="B1162">
            <v>9</v>
          </cell>
          <cell r="C1162">
            <v>84</v>
          </cell>
          <cell r="D1162">
            <v>50</v>
          </cell>
          <cell r="E1162">
            <v>0.6</v>
          </cell>
          <cell r="F1162">
            <v>1173</v>
          </cell>
          <cell r="G1162" t="str">
            <v>golf</v>
          </cell>
          <cell r="H1162" t="str">
            <v>122*15*10</v>
          </cell>
          <cell r="I1162">
            <v>122</v>
          </cell>
          <cell r="J1162">
            <v>15</v>
          </cell>
          <cell r="K1162">
            <v>10</v>
          </cell>
        </row>
        <row r="1163">
          <cell r="A1163" t="str">
            <v>RBK-7.1K-SC-4054</v>
          </cell>
          <cell r="B1163">
            <v>9</v>
          </cell>
          <cell r="C1163">
            <v>340</v>
          </cell>
          <cell r="D1163">
            <v>50</v>
          </cell>
          <cell r="E1163">
            <v>1.48</v>
          </cell>
          <cell r="F1163">
            <v>1174</v>
          </cell>
          <cell r="G1163" t="str">
            <v>shaft</v>
          </cell>
          <cell r="H1163" t="str">
            <v>145*29*16</v>
          </cell>
          <cell r="I1163">
            <v>145</v>
          </cell>
          <cell r="J1163">
            <v>29</v>
          </cell>
          <cell r="K1163">
            <v>16</v>
          </cell>
        </row>
        <row r="1164">
          <cell r="A1164" t="str">
            <v>RBK-7.1K-SC-4554</v>
          </cell>
          <cell r="B1164">
            <v>9</v>
          </cell>
          <cell r="C1164">
            <v>340</v>
          </cell>
          <cell r="D1164">
            <v>50</v>
          </cell>
          <cell r="E1164">
            <v>1.48</v>
          </cell>
          <cell r="F1164">
            <v>1175</v>
          </cell>
          <cell r="G1164" t="str">
            <v>shaft</v>
          </cell>
          <cell r="H1164" t="str">
            <v>145*29*16</v>
          </cell>
          <cell r="I1164">
            <v>145</v>
          </cell>
          <cell r="J1164">
            <v>29</v>
          </cell>
          <cell r="K1164">
            <v>16</v>
          </cell>
        </row>
        <row r="1165">
          <cell r="A1165" t="str">
            <v>RBK-7.1K-SC-5054</v>
          </cell>
          <cell r="B1165">
            <v>9</v>
          </cell>
          <cell r="C1165">
            <v>340</v>
          </cell>
          <cell r="D1165">
            <v>50</v>
          </cell>
          <cell r="E1165">
            <v>1.48</v>
          </cell>
          <cell r="F1165">
            <v>1176</v>
          </cell>
          <cell r="G1165" t="str">
            <v>shaft</v>
          </cell>
          <cell r="H1165" t="str">
            <v>145*29*16</v>
          </cell>
          <cell r="I1165">
            <v>145</v>
          </cell>
          <cell r="J1165">
            <v>29</v>
          </cell>
          <cell r="K1165">
            <v>16</v>
          </cell>
        </row>
        <row r="1166">
          <cell r="A1166" t="str">
            <v>RBK-7.1K-SC-5554</v>
          </cell>
          <cell r="B1166">
            <v>9</v>
          </cell>
          <cell r="C1166">
            <v>340</v>
          </cell>
          <cell r="D1166">
            <v>50</v>
          </cell>
          <cell r="E1166">
            <v>1.48</v>
          </cell>
          <cell r="F1166">
            <v>1177</v>
          </cell>
          <cell r="G1166" t="str">
            <v>shaft</v>
          </cell>
          <cell r="H1166" t="str">
            <v>145*29*16</v>
          </cell>
          <cell r="I1166">
            <v>145</v>
          </cell>
          <cell r="J1166">
            <v>29</v>
          </cell>
          <cell r="K1166">
            <v>16</v>
          </cell>
        </row>
        <row r="1167">
          <cell r="A1167" t="str">
            <v>RBK-7.1K-ST-4054</v>
          </cell>
          <cell r="B1167">
            <v>9</v>
          </cell>
          <cell r="C1167">
            <v>340</v>
          </cell>
          <cell r="D1167">
            <v>50</v>
          </cell>
          <cell r="E1167">
            <v>1.48</v>
          </cell>
          <cell r="F1167">
            <v>1178</v>
          </cell>
          <cell r="G1167" t="str">
            <v>shaft</v>
          </cell>
          <cell r="H1167" t="str">
            <v>145*29*16</v>
          </cell>
          <cell r="I1167">
            <v>145</v>
          </cell>
          <cell r="J1167">
            <v>29</v>
          </cell>
          <cell r="K1167">
            <v>16</v>
          </cell>
        </row>
        <row r="1168">
          <cell r="A1168" t="str">
            <v>RBK-7.1K-ST-4554</v>
          </cell>
          <cell r="B1168">
            <v>9</v>
          </cell>
          <cell r="C1168">
            <v>340</v>
          </cell>
          <cell r="D1168">
            <v>50</v>
          </cell>
          <cell r="E1168">
            <v>1.48</v>
          </cell>
          <cell r="F1168">
            <v>1179</v>
          </cell>
          <cell r="G1168" t="str">
            <v>shaft</v>
          </cell>
          <cell r="H1168" t="str">
            <v>145*29*16</v>
          </cell>
          <cell r="I1168">
            <v>145</v>
          </cell>
          <cell r="J1168">
            <v>29</v>
          </cell>
          <cell r="K1168">
            <v>16</v>
          </cell>
        </row>
        <row r="1169">
          <cell r="A1169" t="str">
            <v>RBK-7.1K-ST-5054</v>
          </cell>
          <cell r="B1169">
            <v>9</v>
          </cell>
          <cell r="C1169">
            <v>340</v>
          </cell>
          <cell r="D1169">
            <v>50</v>
          </cell>
          <cell r="E1169">
            <v>1.48</v>
          </cell>
          <cell r="F1169">
            <v>1180</v>
          </cell>
          <cell r="G1169" t="str">
            <v>shaft</v>
          </cell>
          <cell r="H1169" t="str">
            <v>145*29*16</v>
          </cell>
          <cell r="I1169">
            <v>145</v>
          </cell>
          <cell r="J1169">
            <v>29</v>
          </cell>
          <cell r="K1169">
            <v>16</v>
          </cell>
        </row>
        <row r="1170">
          <cell r="A1170" t="str">
            <v>RBK-7.1K-ST-5554</v>
          </cell>
          <cell r="B1170">
            <v>9</v>
          </cell>
          <cell r="C1170">
            <v>340</v>
          </cell>
          <cell r="D1170">
            <v>50</v>
          </cell>
          <cell r="E1170">
            <v>1.48</v>
          </cell>
          <cell r="F1170">
            <v>1181</v>
          </cell>
          <cell r="G1170" t="str">
            <v>shaft</v>
          </cell>
          <cell r="H1170" t="str">
            <v>145*29*16</v>
          </cell>
          <cell r="I1170">
            <v>145</v>
          </cell>
          <cell r="J1170">
            <v>29</v>
          </cell>
          <cell r="K1170">
            <v>16</v>
          </cell>
        </row>
        <row r="1171">
          <cell r="A1171" t="str">
            <v>RBK-7.1K-TC-4056</v>
          </cell>
          <cell r="B1171">
            <v>9</v>
          </cell>
          <cell r="C1171">
            <v>340</v>
          </cell>
          <cell r="D1171">
            <v>50</v>
          </cell>
          <cell r="E1171">
            <v>1.48</v>
          </cell>
          <cell r="F1171">
            <v>1182</v>
          </cell>
          <cell r="G1171" t="str">
            <v>shaft</v>
          </cell>
          <cell r="H1171" t="str">
            <v>145*29*16</v>
          </cell>
          <cell r="I1171">
            <v>145</v>
          </cell>
          <cell r="J1171">
            <v>29</v>
          </cell>
          <cell r="K1171">
            <v>16</v>
          </cell>
        </row>
        <row r="1172">
          <cell r="A1172" t="str">
            <v>RBK-7.1K-TC-4556</v>
          </cell>
          <cell r="B1172">
            <v>9</v>
          </cell>
          <cell r="C1172">
            <v>340</v>
          </cell>
          <cell r="D1172">
            <v>50</v>
          </cell>
          <cell r="E1172">
            <v>1.48</v>
          </cell>
          <cell r="F1172">
            <v>1183</v>
          </cell>
          <cell r="G1172" t="str">
            <v>shaft</v>
          </cell>
          <cell r="H1172" t="str">
            <v>145*29*16</v>
          </cell>
          <cell r="I1172">
            <v>145</v>
          </cell>
          <cell r="J1172">
            <v>29</v>
          </cell>
          <cell r="K1172">
            <v>16</v>
          </cell>
        </row>
        <row r="1173">
          <cell r="A1173" t="str">
            <v>RBK-7.1K-TC-5056</v>
          </cell>
          <cell r="B1173">
            <v>9</v>
          </cell>
          <cell r="C1173">
            <v>340</v>
          </cell>
          <cell r="D1173">
            <v>50</v>
          </cell>
          <cell r="E1173">
            <v>1.48</v>
          </cell>
          <cell r="F1173">
            <v>1184</v>
          </cell>
          <cell r="G1173" t="str">
            <v>shaft</v>
          </cell>
          <cell r="H1173" t="str">
            <v>145*29*16</v>
          </cell>
          <cell r="I1173">
            <v>145</v>
          </cell>
          <cell r="J1173">
            <v>29</v>
          </cell>
          <cell r="K1173">
            <v>16</v>
          </cell>
        </row>
        <row r="1174">
          <cell r="A1174" t="str">
            <v>RBK-7.1K-TC-5556</v>
          </cell>
          <cell r="B1174">
            <v>9</v>
          </cell>
          <cell r="C1174">
            <v>340</v>
          </cell>
          <cell r="D1174">
            <v>50</v>
          </cell>
          <cell r="E1174">
            <v>1.48</v>
          </cell>
          <cell r="F1174">
            <v>1185</v>
          </cell>
          <cell r="G1174" t="str">
            <v>shaft</v>
          </cell>
          <cell r="H1174" t="str">
            <v>145*29*16</v>
          </cell>
          <cell r="I1174">
            <v>145</v>
          </cell>
          <cell r="J1174">
            <v>29</v>
          </cell>
          <cell r="K1174">
            <v>16</v>
          </cell>
        </row>
        <row r="1175">
          <cell r="A1175" t="str">
            <v>RBK-7.1K-TT-4056</v>
          </cell>
          <cell r="B1175">
            <v>9</v>
          </cell>
          <cell r="C1175">
            <v>340</v>
          </cell>
          <cell r="D1175">
            <v>50</v>
          </cell>
          <cell r="E1175">
            <v>1.48</v>
          </cell>
          <cell r="F1175">
            <v>1186</v>
          </cell>
          <cell r="G1175" t="str">
            <v>shaft</v>
          </cell>
          <cell r="H1175" t="str">
            <v>145*29*16</v>
          </cell>
          <cell r="I1175">
            <v>145</v>
          </cell>
          <cell r="J1175">
            <v>29</v>
          </cell>
          <cell r="K1175">
            <v>16</v>
          </cell>
        </row>
        <row r="1176">
          <cell r="A1176" t="str">
            <v>RBK-7.1K-TT-4556</v>
          </cell>
          <cell r="B1176">
            <v>9</v>
          </cell>
          <cell r="C1176">
            <v>340</v>
          </cell>
          <cell r="D1176">
            <v>50</v>
          </cell>
          <cell r="E1176">
            <v>1.48</v>
          </cell>
          <cell r="F1176">
            <v>1187</v>
          </cell>
          <cell r="G1176" t="str">
            <v>shaft</v>
          </cell>
          <cell r="H1176" t="str">
            <v>145*29*16</v>
          </cell>
          <cell r="I1176">
            <v>145</v>
          </cell>
          <cell r="J1176">
            <v>29</v>
          </cell>
          <cell r="K1176">
            <v>16</v>
          </cell>
        </row>
        <row r="1177">
          <cell r="A1177" t="str">
            <v>RBK-7.1K-TT-5056</v>
          </cell>
          <cell r="B1177">
            <v>9</v>
          </cell>
          <cell r="C1177">
            <v>340</v>
          </cell>
          <cell r="D1177">
            <v>50</v>
          </cell>
          <cell r="E1177">
            <v>1.48</v>
          </cell>
          <cell r="F1177">
            <v>1188</v>
          </cell>
          <cell r="G1177" t="str">
            <v>shaft</v>
          </cell>
          <cell r="H1177" t="str">
            <v>145*29*16</v>
          </cell>
          <cell r="I1177">
            <v>145</v>
          </cell>
          <cell r="J1177">
            <v>29</v>
          </cell>
          <cell r="K1177">
            <v>16</v>
          </cell>
        </row>
        <row r="1178">
          <cell r="A1178" t="str">
            <v>RBK-7.1K-TT-5556</v>
          </cell>
          <cell r="B1178">
            <v>9</v>
          </cell>
          <cell r="C1178">
            <v>340</v>
          </cell>
          <cell r="D1178">
            <v>50</v>
          </cell>
          <cell r="E1178">
            <v>1.48</v>
          </cell>
          <cell r="F1178">
            <v>1189</v>
          </cell>
          <cell r="G1178" t="str">
            <v>shaft</v>
          </cell>
          <cell r="H1178" t="str">
            <v>145*29*16</v>
          </cell>
          <cell r="I1178">
            <v>145</v>
          </cell>
          <cell r="J1178">
            <v>29</v>
          </cell>
          <cell r="K1178">
            <v>16</v>
          </cell>
        </row>
        <row r="1179">
          <cell r="A1179" t="str">
            <v>ULAUNCHPSIA-41</v>
          </cell>
          <cell r="B1179">
            <v>9</v>
          </cell>
          <cell r="C1179">
            <v>84</v>
          </cell>
          <cell r="D1179">
            <v>50</v>
          </cell>
          <cell r="E1179">
            <v>0.6</v>
          </cell>
          <cell r="F1179">
            <v>1190</v>
          </cell>
          <cell r="G1179" t="str">
            <v>golf</v>
          </cell>
          <cell r="H1179" t="str">
            <v>122*15*10</v>
          </cell>
          <cell r="I1179">
            <v>122</v>
          </cell>
          <cell r="J1179">
            <v>15</v>
          </cell>
          <cell r="K1179">
            <v>10</v>
          </cell>
        </row>
        <row r="1180">
          <cell r="A1180" t="str">
            <v>ULAUNCHPSIL-41</v>
          </cell>
          <cell r="B1180">
            <v>9</v>
          </cell>
          <cell r="C1180">
            <v>84</v>
          </cell>
          <cell r="D1180">
            <v>50</v>
          </cell>
          <cell r="E1180">
            <v>0.6</v>
          </cell>
          <cell r="F1180">
            <v>1191</v>
          </cell>
          <cell r="G1180" t="str">
            <v>golf</v>
          </cell>
          <cell r="H1180" t="str">
            <v>122*15*10</v>
          </cell>
          <cell r="I1180">
            <v>122</v>
          </cell>
          <cell r="J1180">
            <v>15</v>
          </cell>
          <cell r="K1180">
            <v>10</v>
          </cell>
        </row>
        <row r="1181">
          <cell r="A1181" t="str">
            <v>ULAUNCHPSIR-41</v>
          </cell>
          <cell r="B1181">
            <v>9</v>
          </cell>
          <cell r="C1181">
            <v>68</v>
          </cell>
          <cell r="D1181">
            <v>50</v>
          </cell>
          <cell r="E1181">
            <v>0.6</v>
          </cell>
          <cell r="F1181">
            <v>1192</v>
          </cell>
          <cell r="G1181" t="str">
            <v>golf</v>
          </cell>
          <cell r="H1181" t="str">
            <v>122*15*10</v>
          </cell>
          <cell r="I1181">
            <v>122</v>
          </cell>
          <cell r="J1181">
            <v>15</v>
          </cell>
          <cell r="K1181">
            <v>10</v>
          </cell>
        </row>
        <row r="1182">
          <cell r="A1182" t="str">
            <v>ULAUNCHPSIS-41</v>
          </cell>
          <cell r="B1182">
            <v>9</v>
          </cell>
          <cell r="C1182">
            <v>68</v>
          </cell>
          <cell r="D1182">
            <v>50</v>
          </cell>
          <cell r="E1182">
            <v>0.6</v>
          </cell>
          <cell r="F1182">
            <v>1193</v>
          </cell>
          <cell r="G1182" t="str">
            <v>golf</v>
          </cell>
          <cell r="H1182" t="str">
            <v>122*15*10</v>
          </cell>
          <cell r="I1182">
            <v>122</v>
          </cell>
          <cell r="J1182">
            <v>15</v>
          </cell>
          <cell r="K1182">
            <v>10</v>
          </cell>
        </row>
        <row r="1183">
          <cell r="A1183" t="str">
            <v>ULAUNCHPSISW-41</v>
          </cell>
          <cell r="B1183">
            <v>9</v>
          </cell>
          <cell r="C1183">
            <v>72</v>
          </cell>
          <cell r="D1183">
            <v>50</v>
          </cell>
          <cell r="E1183">
            <v>0.6</v>
          </cell>
          <cell r="F1183">
            <v>1194</v>
          </cell>
          <cell r="G1183" t="str">
            <v>golf</v>
          </cell>
          <cell r="H1183" t="str">
            <v>122*15*10</v>
          </cell>
          <cell r="I1183">
            <v>122</v>
          </cell>
          <cell r="J1183">
            <v>15</v>
          </cell>
          <cell r="K1183">
            <v>10</v>
          </cell>
        </row>
        <row r="1184">
          <cell r="A1184" t="str">
            <v>SHR-RM19-11563</v>
          </cell>
          <cell r="B1184">
            <v>9</v>
          </cell>
          <cell r="C1184">
            <v>347</v>
          </cell>
          <cell r="D1184">
            <v>50</v>
          </cell>
          <cell r="E1184">
            <v>1.6</v>
          </cell>
          <cell r="F1184">
            <v>1195</v>
          </cell>
          <cell r="G1184" t="str">
            <v>shaft</v>
          </cell>
          <cell r="H1184" t="str">
            <v>183*29*16</v>
          </cell>
          <cell r="I1184">
            <v>183</v>
          </cell>
          <cell r="J1184">
            <v>29</v>
          </cell>
          <cell r="K1184">
            <v>16</v>
          </cell>
        </row>
        <row r="1185">
          <cell r="A1185" t="str">
            <v>SHR-RM-07552</v>
          </cell>
          <cell r="B1185">
            <v>9</v>
          </cell>
          <cell r="C1185">
            <v>321</v>
          </cell>
          <cell r="D1185">
            <v>50</v>
          </cell>
          <cell r="E1185">
            <v>1.48</v>
          </cell>
          <cell r="F1185">
            <v>1196</v>
          </cell>
          <cell r="G1185" t="str">
            <v>shaft</v>
          </cell>
          <cell r="H1185" t="str">
            <v>145*29*16</v>
          </cell>
          <cell r="I1185">
            <v>145</v>
          </cell>
          <cell r="J1185">
            <v>29</v>
          </cell>
          <cell r="K1185">
            <v>16</v>
          </cell>
        </row>
        <row r="1186">
          <cell r="A1186" t="str">
            <v>PSP-272-350</v>
          </cell>
          <cell r="B1186">
            <v>9</v>
          </cell>
          <cell r="C1186">
            <v>260</v>
          </cell>
          <cell r="D1186">
            <v>8</v>
          </cell>
          <cell r="E1186">
            <v>0.2</v>
          </cell>
          <cell r="F1186">
            <v>1197</v>
          </cell>
          <cell r="G1186" t="str">
            <v>seat post</v>
          </cell>
          <cell r="H1186" t="str">
            <v>45*26*8</v>
          </cell>
          <cell r="I1186">
            <v>45</v>
          </cell>
          <cell r="J1186">
            <v>26</v>
          </cell>
          <cell r="K1186">
            <v>8</v>
          </cell>
        </row>
        <row r="1187">
          <cell r="A1187" t="str">
            <v>PSP-272-270</v>
          </cell>
          <cell r="B1187">
            <v>9</v>
          </cell>
          <cell r="C1187">
            <v>220</v>
          </cell>
          <cell r="D1187">
            <v>8</v>
          </cell>
          <cell r="E1187">
            <v>0.2</v>
          </cell>
          <cell r="F1187">
            <v>1198</v>
          </cell>
          <cell r="G1187" t="str">
            <v>seat post</v>
          </cell>
          <cell r="H1187" t="str">
            <v>45*26*8</v>
          </cell>
          <cell r="I1187">
            <v>45</v>
          </cell>
          <cell r="J1187">
            <v>26</v>
          </cell>
          <cell r="K1187">
            <v>8</v>
          </cell>
        </row>
        <row r="1188">
          <cell r="A1188" t="str">
            <v>UTFC10035FWR-445</v>
          </cell>
          <cell r="B1188">
            <v>9</v>
          </cell>
          <cell r="C1188">
            <v>80</v>
          </cell>
          <cell r="D1188">
            <v>50</v>
          </cell>
          <cell r="E1188">
            <v>0.6</v>
          </cell>
          <cell r="F1188">
            <v>1199</v>
          </cell>
          <cell r="G1188" t="str">
            <v>golf</v>
          </cell>
          <cell r="H1188" t="str">
            <v>122*15*10</v>
          </cell>
          <cell r="I1188">
            <v>122</v>
          </cell>
          <cell r="J1188">
            <v>15</v>
          </cell>
          <cell r="K1188">
            <v>10</v>
          </cell>
        </row>
        <row r="1189">
          <cell r="A1189" t="str">
            <v>UFRMR90WR-48</v>
          </cell>
          <cell r="B1189">
            <v>9</v>
          </cell>
          <cell r="C1189">
            <v>61</v>
          </cell>
          <cell r="D1189">
            <v>54</v>
          </cell>
          <cell r="E1189">
            <v>0.64</v>
          </cell>
          <cell r="F1189">
            <v>1200</v>
          </cell>
          <cell r="G1189" t="str">
            <v>golf</v>
          </cell>
          <cell r="H1189" t="str">
            <v>130*15*10</v>
          </cell>
          <cell r="I1189">
            <v>130</v>
          </cell>
          <cell r="J1189">
            <v>15</v>
          </cell>
          <cell r="K1189">
            <v>10</v>
          </cell>
        </row>
        <row r="1190">
          <cell r="A1190" t="str">
            <v>UTFC10035FWS-445</v>
          </cell>
          <cell r="B1190">
            <v>9</v>
          </cell>
          <cell r="C1190">
            <v>80</v>
          </cell>
          <cell r="D1190">
            <v>50</v>
          </cell>
          <cell r="E1190">
            <v>0.6</v>
          </cell>
          <cell r="F1190">
            <v>1201</v>
          </cell>
          <cell r="G1190" t="str">
            <v>golf</v>
          </cell>
          <cell r="H1190" t="str">
            <v>122*15*10</v>
          </cell>
          <cell r="I1190">
            <v>122</v>
          </cell>
          <cell r="J1190">
            <v>15</v>
          </cell>
          <cell r="K1190">
            <v>10</v>
          </cell>
        </row>
        <row r="1191">
          <cell r="A1191" t="str">
            <v>UPRLTIA-41-MD</v>
          </cell>
          <cell r="B1191">
            <v>9</v>
          </cell>
          <cell r="C1191">
            <v>80</v>
          </cell>
          <cell r="D1191">
            <v>50</v>
          </cell>
          <cell r="E1191">
            <v>0.6</v>
          </cell>
          <cell r="F1191">
            <v>1202</v>
          </cell>
          <cell r="G1191" t="str">
            <v>golf</v>
          </cell>
          <cell r="H1191" t="str">
            <v>122*15*10</v>
          </cell>
          <cell r="I1191">
            <v>122</v>
          </cell>
          <cell r="J1191">
            <v>15</v>
          </cell>
          <cell r="K1191">
            <v>10</v>
          </cell>
        </row>
        <row r="1192">
          <cell r="A1192" t="str">
            <v>RBK-7.1K-ST-6054</v>
          </cell>
          <cell r="B1192">
            <v>9</v>
          </cell>
          <cell r="C1192">
            <v>340</v>
          </cell>
          <cell r="D1192">
            <v>50</v>
          </cell>
          <cell r="E1192">
            <v>1.48</v>
          </cell>
          <cell r="F1192">
            <v>1203</v>
          </cell>
          <cell r="G1192" t="str">
            <v>shaft</v>
          </cell>
          <cell r="H1192" t="str">
            <v>145*29*16</v>
          </cell>
          <cell r="I1192">
            <v>145</v>
          </cell>
          <cell r="J1192">
            <v>29</v>
          </cell>
          <cell r="K1192">
            <v>16</v>
          </cell>
        </row>
        <row r="1193">
          <cell r="A1193" t="str">
            <v>CLITEIX-41</v>
          </cell>
          <cell r="B1193">
            <v>9</v>
          </cell>
          <cell r="C1193">
            <v>86</v>
          </cell>
          <cell r="D1193">
            <v>50</v>
          </cell>
          <cell r="E1193">
            <v>0.6</v>
          </cell>
          <cell r="F1193">
            <v>1204</v>
          </cell>
          <cell r="G1193" t="str">
            <v>golf</v>
          </cell>
          <cell r="H1193" t="str">
            <v>122*15*10</v>
          </cell>
          <cell r="I1193">
            <v>122</v>
          </cell>
          <cell r="J1193">
            <v>15</v>
          </cell>
          <cell r="K1193">
            <v>10</v>
          </cell>
        </row>
        <row r="1194">
          <cell r="A1194" t="str">
            <v>SHR-RM9-S03L</v>
          </cell>
          <cell r="B1194">
            <v>9</v>
          </cell>
          <cell r="C1194">
            <v>155</v>
          </cell>
          <cell r="D1194">
            <v>6</v>
          </cell>
          <cell r="E1194">
            <v>0.2</v>
          </cell>
          <cell r="F1194">
            <v>1205</v>
          </cell>
          <cell r="G1194" t="str">
            <v>blade</v>
          </cell>
          <cell r="H1194" t="str">
            <v>45*26*8</v>
          </cell>
          <cell r="I1194">
            <v>45</v>
          </cell>
          <cell r="J1194">
            <v>26</v>
          </cell>
          <cell r="K1194">
            <v>8</v>
          </cell>
        </row>
        <row r="1195">
          <cell r="A1195" t="str">
            <v>SHR-RM9-S04R</v>
          </cell>
          <cell r="B1195">
            <v>9</v>
          </cell>
          <cell r="C1195">
            <v>155</v>
          </cell>
          <cell r="D1195">
            <v>6</v>
          </cell>
          <cell r="E1195">
            <v>0.2</v>
          </cell>
          <cell r="F1195">
            <v>1206</v>
          </cell>
          <cell r="G1195" t="str">
            <v>blade</v>
          </cell>
          <cell r="H1195" t="str">
            <v>45*26*8</v>
          </cell>
          <cell r="I1195">
            <v>45</v>
          </cell>
          <cell r="J1195">
            <v>26</v>
          </cell>
          <cell r="K1195">
            <v>8</v>
          </cell>
        </row>
        <row r="1196">
          <cell r="A1196" t="str">
            <v>SHR-RM9-S04L</v>
          </cell>
          <cell r="B1196">
            <v>9</v>
          </cell>
          <cell r="C1196">
            <v>155</v>
          </cell>
          <cell r="D1196">
            <v>6</v>
          </cell>
          <cell r="E1196">
            <v>0.2</v>
          </cell>
          <cell r="F1196">
            <v>1207</v>
          </cell>
          <cell r="G1196" t="str">
            <v>blade</v>
          </cell>
          <cell r="H1196" t="str">
            <v>45*26*8</v>
          </cell>
          <cell r="I1196">
            <v>45</v>
          </cell>
          <cell r="J1196">
            <v>26</v>
          </cell>
          <cell r="K1196">
            <v>8</v>
          </cell>
        </row>
        <row r="1197">
          <cell r="A1197" t="str">
            <v>SHR-RM9-S13L</v>
          </cell>
          <cell r="B1197">
            <v>9</v>
          </cell>
          <cell r="C1197">
            <v>155</v>
          </cell>
          <cell r="D1197">
            <v>6</v>
          </cell>
          <cell r="E1197">
            <v>0.2</v>
          </cell>
          <cell r="F1197">
            <v>1208</v>
          </cell>
          <cell r="G1197" t="str">
            <v>blade</v>
          </cell>
          <cell r="H1197" t="str">
            <v>45*26*8</v>
          </cell>
          <cell r="I1197">
            <v>45</v>
          </cell>
          <cell r="J1197">
            <v>26</v>
          </cell>
          <cell r="K1197">
            <v>8</v>
          </cell>
        </row>
        <row r="1198">
          <cell r="A1198" t="str">
            <v>SHR-RM9-S13R</v>
          </cell>
          <cell r="B1198">
            <v>9</v>
          </cell>
          <cell r="C1198">
            <v>155</v>
          </cell>
          <cell r="D1198">
            <v>6</v>
          </cell>
          <cell r="E1198">
            <v>0.2</v>
          </cell>
          <cell r="F1198">
            <v>1209</v>
          </cell>
          <cell r="G1198" t="str">
            <v>blade</v>
          </cell>
          <cell r="H1198" t="str">
            <v>45*26*8</v>
          </cell>
          <cell r="I1198">
            <v>45</v>
          </cell>
          <cell r="J1198">
            <v>26</v>
          </cell>
          <cell r="K1198">
            <v>8</v>
          </cell>
        </row>
        <row r="1199">
          <cell r="A1199" t="str">
            <v>SHR-RM9-S03R</v>
          </cell>
          <cell r="B1199">
            <v>9</v>
          </cell>
          <cell r="C1199">
            <v>155</v>
          </cell>
          <cell r="D1199">
            <v>6</v>
          </cell>
          <cell r="E1199">
            <v>0.2</v>
          </cell>
          <cell r="F1199">
            <v>1210</v>
          </cell>
          <cell r="G1199" t="str">
            <v>blade</v>
          </cell>
          <cell r="H1199" t="str">
            <v>45*26*8</v>
          </cell>
          <cell r="I1199">
            <v>45</v>
          </cell>
          <cell r="J1199">
            <v>26</v>
          </cell>
          <cell r="K1199">
            <v>8</v>
          </cell>
        </row>
        <row r="1200">
          <cell r="A1200" t="str">
            <v>TB1125-LT-26</v>
          </cell>
          <cell r="B1200">
            <v>9</v>
          </cell>
          <cell r="C1200">
            <v>0</v>
          </cell>
          <cell r="D1200">
            <v>0</v>
          </cell>
          <cell r="F1200">
            <v>1211</v>
          </cell>
          <cell r="G1200" t="str">
            <v>steer tube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</row>
        <row r="1201">
          <cell r="A1201" t="str">
            <v>WLNBLK1</v>
          </cell>
          <cell r="B1201">
            <v>9</v>
          </cell>
          <cell r="C1201">
            <v>76</v>
          </cell>
          <cell r="D1201">
            <v>50</v>
          </cell>
          <cell r="E1201">
            <v>0.6</v>
          </cell>
          <cell r="F1201">
            <v>1212</v>
          </cell>
          <cell r="G1201" t="str">
            <v>golf</v>
          </cell>
          <cell r="H1201" t="str">
            <v>122*15*10</v>
          </cell>
          <cell r="I1201">
            <v>122</v>
          </cell>
          <cell r="J1201">
            <v>15</v>
          </cell>
          <cell r="K1201">
            <v>10</v>
          </cell>
        </row>
        <row r="1202">
          <cell r="A1202" t="str">
            <v>QGS10-8-744-2-UP</v>
          </cell>
          <cell r="B1202">
            <v>9</v>
          </cell>
          <cell r="C1202">
            <v>340</v>
          </cell>
          <cell r="D1202">
            <v>25</v>
          </cell>
          <cell r="E1202">
            <v>2.54</v>
          </cell>
          <cell r="F1202">
            <v>1213</v>
          </cell>
          <cell r="G1202" t="str">
            <v>fork</v>
          </cell>
          <cell r="H1202" t="str">
            <v>77*52*32</v>
          </cell>
          <cell r="I1202">
            <v>77</v>
          </cell>
          <cell r="J1202">
            <v>52</v>
          </cell>
          <cell r="K1202">
            <v>32</v>
          </cell>
        </row>
        <row r="1203">
          <cell r="A1203" t="str">
            <v>RBK-7K-TT-4056</v>
          </cell>
          <cell r="B1203">
            <v>9</v>
          </cell>
          <cell r="C1203">
            <v>320</v>
          </cell>
          <cell r="D1203">
            <v>50</v>
          </cell>
          <cell r="E1203">
            <v>1.48</v>
          </cell>
          <cell r="F1203">
            <v>1214</v>
          </cell>
          <cell r="G1203" t="str">
            <v>shaft</v>
          </cell>
          <cell r="H1203" t="str">
            <v>145*29*16</v>
          </cell>
          <cell r="I1203">
            <v>145</v>
          </cell>
          <cell r="J1203">
            <v>29</v>
          </cell>
          <cell r="K1203">
            <v>16</v>
          </cell>
        </row>
        <row r="1204">
          <cell r="A1204" t="str">
            <v>SHR-RM9-S05R</v>
          </cell>
          <cell r="B1204">
            <v>9</v>
          </cell>
          <cell r="C1204">
            <v>155</v>
          </cell>
          <cell r="D1204">
            <v>6</v>
          </cell>
          <cell r="E1204">
            <v>0.2</v>
          </cell>
          <cell r="F1204">
            <v>1215</v>
          </cell>
          <cell r="G1204" t="str">
            <v>blade</v>
          </cell>
          <cell r="H1204" t="str">
            <v>45*26*8</v>
          </cell>
          <cell r="I1204">
            <v>45</v>
          </cell>
          <cell r="J1204">
            <v>26</v>
          </cell>
          <cell r="K1204">
            <v>8</v>
          </cell>
        </row>
        <row r="1205">
          <cell r="A1205" t="str">
            <v>SHR-RM9-S05L</v>
          </cell>
          <cell r="B1205">
            <v>9</v>
          </cell>
          <cell r="C1205">
            <v>155</v>
          </cell>
          <cell r="D1205">
            <v>6</v>
          </cell>
          <cell r="E1205">
            <v>0.2</v>
          </cell>
          <cell r="F1205">
            <v>1216</v>
          </cell>
          <cell r="G1205" t="str">
            <v>blade</v>
          </cell>
          <cell r="H1205" t="str">
            <v>45*26*8</v>
          </cell>
          <cell r="I1205">
            <v>45</v>
          </cell>
          <cell r="J1205">
            <v>26</v>
          </cell>
          <cell r="K1205">
            <v>8</v>
          </cell>
        </row>
        <row r="1206">
          <cell r="A1206" t="str">
            <v>SHR-RM9-S06R</v>
          </cell>
          <cell r="B1206">
            <v>9</v>
          </cell>
          <cell r="C1206">
            <v>155</v>
          </cell>
          <cell r="D1206">
            <v>6</v>
          </cell>
          <cell r="E1206">
            <v>0.2</v>
          </cell>
          <cell r="F1206">
            <v>1217</v>
          </cell>
          <cell r="G1206" t="str">
            <v>blade</v>
          </cell>
          <cell r="H1206" t="str">
            <v>45*26*8</v>
          </cell>
          <cell r="I1206">
            <v>45</v>
          </cell>
          <cell r="J1206">
            <v>26</v>
          </cell>
          <cell r="K1206">
            <v>8</v>
          </cell>
        </row>
        <row r="1207">
          <cell r="A1207" t="str">
            <v>SHR-RM9-S06L</v>
          </cell>
          <cell r="B1207">
            <v>9</v>
          </cell>
          <cell r="C1207">
            <v>155</v>
          </cell>
          <cell r="D1207">
            <v>6</v>
          </cell>
          <cell r="E1207">
            <v>0.2</v>
          </cell>
          <cell r="F1207">
            <v>1218</v>
          </cell>
          <cell r="G1207" t="str">
            <v>blade</v>
          </cell>
          <cell r="H1207" t="str">
            <v>45*26*8</v>
          </cell>
          <cell r="I1207">
            <v>45</v>
          </cell>
          <cell r="J1207">
            <v>26</v>
          </cell>
          <cell r="K1207">
            <v>8</v>
          </cell>
        </row>
        <row r="1208">
          <cell r="A1208" t="str">
            <v>SHR-RM9-S15R</v>
          </cell>
          <cell r="B1208">
            <v>9</v>
          </cell>
          <cell r="C1208">
            <v>155</v>
          </cell>
          <cell r="D1208">
            <v>6</v>
          </cell>
          <cell r="E1208">
            <v>0.2</v>
          </cell>
          <cell r="F1208">
            <v>1219</v>
          </cell>
          <cell r="G1208" t="str">
            <v>blade</v>
          </cell>
          <cell r="H1208" t="str">
            <v>45*26*8</v>
          </cell>
          <cell r="I1208">
            <v>45</v>
          </cell>
          <cell r="J1208">
            <v>26</v>
          </cell>
          <cell r="K1208">
            <v>8</v>
          </cell>
        </row>
        <row r="1209">
          <cell r="A1209" t="str">
            <v>SHR-RM9-S15L</v>
          </cell>
          <cell r="B1209">
            <v>9</v>
          </cell>
          <cell r="C1209">
            <v>152</v>
          </cell>
          <cell r="D1209">
            <v>6</v>
          </cell>
          <cell r="E1209">
            <v>0.2</v>
          </cell>
          <cell r="F1209">
            <v>1220</v>
          </cell>
          <cell r="G1209" t="str">
            <v>blade</v>
          </cell>
          <cell r="H1209" t="str">
            <v>45*26*8</v>
          </cell>
          <cell r="I1209">
            <v>45</v>
          </cell>
          <cell r="J1209">
            <v>26</v>
          </cell>
          <cell r="K1209">
            <v>8</v>
          </cell>
        </row>
        <row r="1210">
          <cell r="A1210" t="str">
            <v>RBK-7.1K-TT-3554-DP</v>
          </cell>
          <cell r="B1210">
            <v>9</v>
          </cell>
          <cell r="C1210">
            <v>340</v>
          </cell>
          <cell r="D1210">
            <v>50</v>
          </cell>
          <cell r="E1210">
            <v>1.48</v>
          </cell>
          <cell r="F1210">
            <v>1221</v>
          </cell>
          <cell r="G1210" t="str">
            <v>shaft</v>
          </cell>
          <cell r="H1210" t="str">
            <v>145*29*16</v>
          </cell>
          <cell r="I1210">
            <v>145</v>
          </cell>
          <cell r="J1210">
            <v>29</v>
          </cell>
          <cell r="K1210">
            <v>16</v>
          </cell>
        </row>
        <row r="1211">
          <cell r="A1211" t="str">
            <v>TB1125-26</v>
          </cell>
          <cell r="B1211">
            <v>9</v>
          </cell>
          <cell r="C1211">
            <v>0</v>
          </cell>
          <cell r="D1211">
            <v>0</v>
          </cell>
          <cell r="F1211">
            <v>1222</v>
          </cell>
          <cell r="G1211" t="str">
            <v>steer tube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</row>
        <row r="1212">
          <cell r="A1212" t="str">
            <v>ULAUNCHMSTWL-45</v>
          </cell>
          <cell r="B1212">
            <v>9</v>
          </cell>
          <cell r="C1212">
            <v>64</v>
          </cell>
          <cell r="D1212">
            <v>50</v>
          </cell>
          <cell r="E1212">
            <v>0.6</v>
          </cell>
          <cell r="F1212">
            <v>1223</v>
          </cell>
          <cell r="G1212" t="str">
            <v>golf</v>
          </cell>
          <cell r="H1212" t="str">
            <v>122*15*10</v>
          </cell>
          <cell r="I1212">
            <v>122</v>
          </cell>
          <cell r="J1212">
            <v>15</v>
          </cell>
          <cell r="K1212">
            <v>10</v>
          </cell>
        </row>
        <row r="1213">
          <cell r="A1213" t="str">
            <v>UFRMR75WS-48</v>
          </cell>
          <cell r="B1213">
            <v>9</v>
          </cell>
          <cell r="C1213">
            <v>47</v>
          </cell>
          <cell r="D1213">
            <v>54</v>
          </cell>
          <cell r="E1213">
            <v>0.64</v>
          </cell>
          <cell r="F1213">
            <v>1224</v>
          </cell>
          <cell r="G1213" t="str">
            <v>golf</v>
          </cell>
          <cell r="H1213" t="str">
            <v>130*15*10</v>
          </cell>
          <cell r="I1213">
            <v>130</v>
          </cell>
          <cell r="J1213">
            <v>15</v>
          </cell>
          <cell r="K1213">
            <v>10</v>
          </cell>
        </row>
        <row r="1214">
          <cell r="A1214" t="str">
            <v>UFRMR75WX-48</v>
          </cell>
          <cell r="B1214">
            <v>9</v>
          </cell>
          <cell r="C1214">
            <v>52</v>
          </cell>
          <cell r="D1214">
            <v>54</v>
          </cell>
          <cell r="E1214">
            <v>0.64</v>
          </cell>
          <cell r="F1214">
            <v>1225</v>
          </cell>
          <cell r="G1214" t="str">
            <v>golf</v>
          </cell>
          <cell r="H1214" t="str">
            <v>130*15*10</v>
          </cell>
          <cell r="I1214">
            <v>130</v>
          </cell>
          <cell r="J1214">
            <v>15</v>
          </cell>
          <cell r="K1214">
            <v>10</v>
          </cell>
        </row>
        <row r="1215">
          <cell r="A1215" t="str">
            <v>BAL-ULTRA-S63L-M-09060</v>
          </cell>
          <cell r="B1215">
            <v>9</v>
          </cell>
          <cell r="C1215">
            <v>505</v>
          </cell>
          <cell r="D1215">
            <v>25</v>
          </cell>
          <cell r="E1215">
            <v>1.6</v>
          </cell>
          <cell r="F1215">
            <v>1226</v>
          </cell>
          <cell r="G1215" t="str">
            <v>hockey</v>
          </cell>
          <cell r="H1215" t="str">
            <v>183*29*16</v>
          </cell>
          <cell r="I1215">
            <v>183</v>
          </cell>
          <cell r="J1215">
            <v>29</v>
          </cell>
          <cell r="K1215">
            <v>16</v>
          </cell>
        </row>
        <row r="1216">
          <cell r="A1216" t="str">
            <v>BAL-ULTRA-S63R-M-10060</v>
          </cell>
          <cell r="B1216">
            <v>9</v>
          </cell>
          <cell r="C1216">
            <v>505</v>
          </cell>
          <cell r="D1216">
            <v>25</v>
          </cell>
          <cell r="E1216">
            <v>1.6</v>
          </cell>
          <cell r="F1216">
            <v>1227</v>
          </cell>
          <cell r="G1216" t="str">
            <v>hockey</v>
          </cell>
          <cell r="H1216" t="str">
            <v>183*29*16</v>
          </cell>
          <cell r="I1216">
            <v>183</v>
          </cell>
          <cell r="J1216">
            <v>29</v>
          </cell>
          <cell r="K1216">
            <v>16</v>
          </cell>
        </row>
        <row r="1217">
          <cell r="A1217" t="str">
            <v>BAL-ULTRA-S63L-M-10060</v>
          </cell>
          <cell r="B1217">
            <v>9</v>
          </cell>
          <cell r="C1217">
            <v>505</v>
          </cell>
          <cell r="D1217">
            <v>25</v>
          </cell>
          <cell r="E1217">
            <v>1.6</v>
          </cell>
          <cell r="F1217">
            <v>1228</v>
          </cell>
          <cell r="G1217" t="str">
            <v>hockey</v>
          </cell>
          <cell r="H1217" t="str">
            <v>183*29*16</v>
          </cell>
          <cell r="I1217">
            <v>183</v>
          </cell>
          <cell r="J1217">
            <v>29</v>
          </cell>
          <cell r="K1217">
            <v>16</v>
          </cell>
        </row>
        <row r="1218">
          <cell r="A1218" t="str">
            <v>BAL-ULTRA-S63L-M-08060</v>
          </cell>
          <cell r="B1218">
            <v>9</v>
          </cell>
          <cell r="C1218">
            <v>505</v>
          </cell>
          <cell r="D1218">
            <v>25</v>
          </cell>
          <cell r="E1218">
            <v>1.6</v>
          </cell>
          <cell r="F1218">
            <v>1229</v>
          </cell>
          <cell r="G1218" t="str">
            <v>hockey</v>
          </cell>
          <cell r="H1218" t="str">
            <v>183*29*16</v>
          </cell>
          <cell r="I1218">
            <v>183</v>
          </cell>
          <cell r="J1218">
            <v>29</v>
          </cell>
          <cell r="K1218">
            <v>16</v>
          </cell>
        </row>
        <row r="1219">
          <cell r="A1219" t="str">
            <v>BAL-ULTRA-S63R-M-08060</v>
          </cell>
          <cell r="B1219">
            <v>9</v>
          </cell>
          <cell r="C1219">
            <v>505</v>
          </cell>
          <cell r="D1219">
            <v>25</v>
          </cell>
          <cell r="E1219">
            <v>1.6</v>
          </cell>
          <cell r="F1219">
            <v>1230</v>
          </cell>
          <cell r="G1219" t="str">
            <v>hockey</v>
          </cell>
          <cell r="H1219" t="str">
            <v>183*29*16</v>
          </cell>
          <cell r="I1219">
            <v>183</v>
          </cell>
          <cell r="J1219">
            <v>29</v>
          </cell>
          <cell r="K1219">
            <v>16</v>
          </cell>
        </row>
        <row r="1220">
          <cell r="A1220" t="str">
            <v>BAL-ULTRA-S63R-M-09060</v>
          </cell>
          <cell r="B1220">
            <v>9</v>
          </cell>
          <cell r="C1220">
            <v>505</v>
          </cell>
          <cell r="D1220">
            <v>25</v>
          </cell>
          <cell r="E1220">
            <v>1.6</v>
          </cell>
          <cell r="F1220">
            <v>1231</v>
          </cell>
          <cell r="G1220" t="str">
            <v>hockey</v>
          </cell>
          <cell r="H1220" t="str">
            <v>183*29*16</v>
          </cell>
          <cell r="I1220">
            <v>183</v>
          </cell>
          <cell r="J1220">
            <v>29</v>
          </cell>
          <cell r="K1220">
            <v>16</v>
          </cell>
        </row>
        <row r="1221">
          <cell r="A1221" t="str">
            <v>QWOLFCL-GL</v>
          </cell>
          <cell r="B1221">
            <v>9</v>
          </cell>
          <cell r="C1221">
            <v>520</v>
          </cell>
          <cell r="D1221">
            <v>25</v>
          </cell>
          <cell r="E1221">
            <v>2.54</v>
          </cell>
          <cell r="F1221">
            <v>1232</v>
          </cell>
          <cell r="G1221" t="str">
            <v>fork1</v>
          </cell>
          <cell r="H1221" t="str">
            <v>72*52*32</v>
          </cell>
          <cell r="I1221">
            <v>72</v>
          </cell>
          <cell r="J1221">
            <v>52</v>
          </cell>
          <cell r="K1221">
            <v>32</v>
          </cell>
        </row>
        <row r="1222">
          <cell r="A1222" t="str">
            <v>FRMRHYIR-45</v>
          </cell>
          <cell r="B1222">
            <v>9</v>
          </cell>
          <cell r="C1222">
            <v>50.5</v>
          </cell>
          <cell r="D1222">
            <v>54</v>
          </cell>
          <cell r="E1222">
            <v>0.6</v>
          </cell>
          <cell r="F1222">
            <v>1233</v>
          </cell>
          <cell r="G1222" t="str">
            <v>golf</v>
          </cell>
          <cell r="H1222" t="str">
            <v>122*15*10</v>
          </cell>
          <cell r="I1222">
            <v>122</v>
          </cell>
          <cell r="J1222">
            <v>15</v>
          </cell>
          <cell r="K1222">
            <v>10</v>
          </cell>
        </row>
        <row r="1223">
          <cell r="A1223" t="str">
            <v>ULAUNCHMSTWA-45</v>
          </cell>
          <cell r="B1223">
            <v>9</v>
          </cell>
          <cell r="C1223">
            <v>68.599999999999994</v>
          </cell>
          <cell r="D1223">
            <v>50</v>
          </cell>
          <cell r="E1223">
            <v>0.6</v>
          </cell>
          <cell r="F1223">
            <v>1234</v>
          </cell>
          <cell r="G1223" t="str">
            <v>golf</v>
          </cell>
          <cell r="H1223" t="str">
            <v>122*15*10</v>
          </cell>
          <cell r="I1223">
            <v>122</v>
          </cell>
          <cell r="J1223">
            <v>15</v>
          </cell>
          <cell r="K1223">
            <v>10</v>
          </cell>
        </row>
        <row r="1224">
          <cell r="A1224" t="str">
            <v>ULAUNCHMSTWS-45</v>
          </cell>
          <cell r="B1224">
            <v>9</v>
          </cell>
          <cell r="C1224">
            <v>73.599999999999994</v>
          </cell>
          <cell r="D1224">
            <v>50</v>
          </cell>
          <cell r="E1224">
            <v>0.6</v>
          </cell>
          <cell r="F1224">
            <v>1235</v>
          </cell>
          <cell r="G1224" t="str">
            <v>golf</v>
          </cell>
          <cell r="H1224" t="str">
            <v>122*15*10</v>
          </cell>
          <cell r="I1224">
            <v>122</v>
          </cell>
          <cell r="J1224">
            <v>15</v>
          </cell>
          <cell r="K1224">
            <v>10</v>
          </cell>
        </row>
        <row r="1225">
          <cell r="A1225" t="str">
            <v>UFRMRHYIR-45</v>
          </cell>
          <cell r="B1225">
            <v>9</v>
          </cell>
          <cell r="C1225">
            <v>50</v>
          </cell>
          <cell r="D1225">
            <v>54</v>
          </cell>
          <cell r="E1225">
            <v>0.6</v>
          </cell>
          <cell r="F1225">
            <v>1236</v>
          </cell>
          <cell r="G1225" t="str">
            <v>golf</v>
          </cell>
          <cell r="H1225" t="str">
            <v>122*15*10</v>
          </cell>
          <cell r="I1225">
            <v>122</v>
          </cell>
          <cell r="J1225">
            <v>15</v>
          </cell>
          <cell r="K1225">
            <v>10</v>
          </cell>
        </row>
        <row r="1226">
          <cell r="A1226" t="str">
            <v>UFRMRHYIS-45</v>
          </cell>
          <cell r="B1226">
            <v>9</v>
          </cell>
          <cell r="C1226">
            <v>54</v>
          </cell>
          <cell r="D1226">
            <v>54</v>
          </cell>
          <cell r="E1226">
            <v>0.6</v>
          </cell>
          <cell r="F1226">
            <v>1237</v>
          </cell>
          <cell r="G1226" t="str">
            <v>golf</v>
          </cell>
          <cell r="H1226" t="str">
            <v>122*15*10</v>
          </cell>
          <cell r="I1226">
            <v>122</v>
          </cell>
          <cell r="J1226">
            <v>15</v>
          </cell>
          <cell r="K1226">
            <v>10</v>
          </cell>
        </row>
        <row r="1227">
          <cell r="A1227" t="str">
            <v>ULAUNCHREDHYIX-41</v>
          </cell>
          <cell r="B1227">
            <v>9</v>
          </cell>
          <cell r="C1227">
            <v>86</v>
          </cell>
          <cell r="D1227">
            <v>50</v>
          </cell>
          <cell r="E1227">
            <v>0.6</v>
          </cell>
          <cell r="F1227">
            <v>1238</v>
          </cell>
          <cell r="G1227" t="str">
            <v>golf</v>
          </cell>
          <cell r="H1227" t="str">
            <v>122*15*10</v>
          </cell>
          <cell r="I1227">
            <v>122</v>
          </cell>
          <cell r="J1227">
            <v>15</v>
          </cell>
          <cell r="K1227">
            <v>10</v>
          </cell>
        </row>
        <row r="1228">
          <cell r="A1228" t="str">
            <v>BAL-C410-S63L-08060</v>
          </cell>
          <cell r="B1228">
            <v>9</v>
          </cell>
          <cell r="C1228">
            <v>445</v>
          </cell>
          <cell r="D1228">
            <v>25</v>
          </cell>
          <cell r="E1228">
            <v>1.6</v>
          </cell>
          <cell r="F1228">
            <v>1239</v>
          </cell>
          <cell r="G1228" t="str">
            <v>hockey</v>
          </cell>
          <cell r="H1228" t="str">
            <v>183*29*16</v>
          </cell>
          <cell r="I1228">
            <v>183</v>
          </cell>
          <cell r="J1228">
            <v>29</v>
          </cell>
          <cell r="K1228">
            <v>16</v>
          </cell>
        </row>
        <row r="1229">
          <cell r="A1229" t="str">
            <v>BAL-C410-S63L-09060</v>
          </cell>
          <cell r="B1229">
            <v>9</v>
          </cell>
          <cell r="C1229">
            <v>445</v>
          </cell>
          <cell r="D1229">
            <v>25</v>
          </cell>
          <cell r="E1229">
            <v>1.6</v>
          </cell>
          <cell r="F1229">
            <v>1240</v>
          </cell>
          <cell r="G1229" t="str">
            <v>hockey</v>
          </cell>
          <cell r="H1229" t="str">
            <v>183*29*16</v>
          </cell>
          <cell r="I1229">
            <v>183</v>
          </cell>
          <cell r="J1229">
            <v>29</v>
          </cell>
          <cell r="K1229">
            <v>16</v>
          </cell>
        </row>
        <row r="1230">
          <cell r="A1230" t="str">
            <v>BAL-C410-S63L-10060</v>
          </cell>
          <cell r="B1230">
            <v>9</v>
          </cell>
          <cell r="C1230">
            <v>445</v>
          </cell>
          <cell r="D1230">
            <v>25</v>
          </cell>
          <cell r="E1230">
            <v>1.6</v>
          </cell>
          <cell r="F1230">
            <v>1241</v>
          </cell>
          <cell r="G1230" t="str">
            <v>hockey</v>
          </cell>
          <cell r="H1230" t="str">
            <v>183*29*16</v>
          </cell>
          <cell r="I1230">
            <v>183</v>
          </cell>
          <cell r="J1230">
            <v>29</v>
          </cell>
          <cell r="K1230">
            <v>16</v>
          </cell>
        </row>
        <row r="1231">
          <cell r="A1231" t="str">
            <v>BAL-C410-S63R-08060</v>
          </cell>
          <cell r="B1231">
            <v>9</v>
          </cell>
          <cell r="C1231">
            <v>445</v>
          </cell>
          <cell r="D1231">
            <v>25</v>
          </cell>
          <cell r="E1231">
            <v>1.6</v>
          </cell>
          <cell r="F1231">
            <v>1242</v>
          </cell>
          <cell r="G1231" t="str">
            <v>hockey</v>
          </cell>
          <cell r="H1231" t="str">
            <v>183*29*16</v>
          </cell>
          <cell r="I1231">
            <v>183</v>
          </cell>
          <cell r="J1231">
            <v>29</v>
          </cell>
          <cell r="K1231">
            <v>16</v>
          </cell>
        </row>
        <row r="1232">
          <cell r="A1232" t="str">
            <v>BAL-C410-S63R-09060</v>
          </cell>
          <cell r="B1232">
            <v>9</v>
          </cell>
          <cell r="C1232">
            <v>445</v>
          </cell>
          <cell r="D1232">
            <v>25</v>
          </cell>
          <cell r="E1232">
            <v>1.6</v>
          </cell>
          <cell r="F1232">
            <v>1243</v>
          </cell>
          <cell r="G1232" t="str">
            <v>hockey</v>
          </cell>
          <cell r="H1232" t="str">
            <v>183*29*16</v>
          </cell>
          <cell r="I1232">
            <v>183</v>
          </cell>
          <cell r="J1232">
            <v>29</v>
          </cell>
          <cell r="K1232">
            <v>16</v>
          </cell>
        </row>
        <row r="1233">
          <cell r="A1233" t="str">
            <v>BAL-C410-S63R-10060</v>
          </cell>
          <cell r="B1233">
            <v>9</v>
          </cell>
          <cell r="C1233">
            <v>445</v>
          </cell>
          <cell r="D1233">
            <v>25</v>
          </cell>
          <cell r="E1233">
            <v>1.6</v>
          </cell>
          <cell r="F1233">
            <v>1244</v>
          </cell>
          <cell r="G1233" t="str">
            <v>hockey</v>
          </cell>
          <cell r="H1233" t="str">
            <v>183*29*16</v>
          </cell>
          <cell r="I1233">
            <v>183</v>
          </cell>
          <cell r="J1233">
            <v>29</v>
          </cell>
          <cell r="K1233">
            <v>16</v>
          </cell>
        </row>
        <row r="1234">
          <cell r="A1234" t="str">
            <v>SHR-RM9-S07L</v>
          </cell>
          <cell r="B1234">
            <v>9</v>
          </cell>
          <cell r="C1234">
            <v>155</v>
          </cell>
          <cell r="D1234">
            <v>6</v>
          </cell>
          <cell r="E1234">
            <v>0.2</v>
          </cell>
          <cell r="F1234">
            <v>1245</v>
          </cell>
          <cell r="G1234" t="str">
            <v>blade</v>
          </cell>
          <cell r="H1234" t="str">
            <v>45*26*8</v>
          </cell>
          <cell r="I1234">
            <v>45</v>
          </cell>
          <cell r="J1234">
            <v>26</v>
          </cell>
          <cell r="K1234">
            <v>8</v>
          </cell>
        </row>
        <row r="1235">
          <cell r="A1235" t="str">
            <v>RBK-7K-SC-4054</v>
          </cell>
          <cell r="B1235">
            <v>9</v>
          </cell>
          <cell r="C1235">
            <v>300</v>
          </cell>
          <cell r="D1235">
            <v>50</v>
          </cell>
          <cell r="E1235">
            <v>1.48</v>
          </cell>
          <cell r="F1235">
            <v>1246</v>
          </cell>
          <cell r="G1235" t="str">
            <v>shaft</v>
          </cell>
          <cell r="H1235" t="str">
            <v>145*29*16</v>
          </cell>
          <cell r="I1235">
            <v>145</v>
          </cell>
          <cell r="J1235">
            <v>29</v>
          </cell>
          <cell r="K1235">
            <v>16</v>
          </cell>
        </row>
        <row r="1236">
          <cell r="A1236" t="str">
            <v>UTEGEO33WR-45</v>
          </cell>
          <cell r="B1236">
            <v>9</v>
          </cell>
          <cell r="C1236">
            <v>72</v>
          </cell>
          <cell r="D1236">
            <v>50</v>
          </cell>
          <cell r="E1236">
            <v>0.6</v>
          </cell>
          <cell r="F1236">
            <v>1247</v>
          </cell>
          <cell r="G1236" t="str">
            <v>golf</v>
          </cell>
          <cell r="H1236" t="str">
            <v>122*15*10</v>
          </cell>
          <cell r="I1236">
            <v>122</v>
          </cell>
          <cell r="J1236">
            <v>15</v>
          </cell>
          <cell r="K1236">
            <v>10</v>
          </cell>
        </row>
        <row r="1237">
          <cell r="A1237" t="str">
            <v>UFRMRHYIX-45</v>
          </cell>
          <cell r="B1237">
            <v>9</v>
          </cell>
          <cell r="C1237">
            <v>59</v>
          </cell>
          <cell r="D1237">
            <v>54</v>
          </cell>
          <cell r="E1237">
            <v>0.6</v>
          </cell>
          <cell r="F1237">
            <v>1248</v>
          </cell>
          <cell r="G1237" t="str">
            <v>golf</v>
          </cell>
          <cell r="H1237" t="str">
            <v>122*15*10</v>
          </cell>
          <cell r="I1237">
            <v>122</v>
          </cell>
          <cell r="J1237">
            <v>15</v>
          </cell>
          <cell r="K1237">
            <v>10</v>
          </cell>
        </row>
        <row r="1238">
          <cell r="A1238" t="str">
            <v>LAUNCHREDHYIS-41</v>
          </cell>
          <cell r="B1238">
            <v>9</v>
          </cell>
          <cell r="C1238">
            <v>86</v>
          </cell>
          <cell r="D1238">
            <v>50</v>
          </cell>
          <cell r="E1238">
            <v>0.6</v>
          </cell>
          <cell r="F1238">
            <v>1249</v>
          </cell>
          <cell r="G1238" t="str">
            <v>golf</v>
          </cell>
          <cell r="H1238" t="str">
            <v>122*15*10</v>
          </cell>
          <cell r="I1238">
            <v>122</v>
          </cell>
          <cell r="J1238">
            <v>15</v>
          </cell>
          <cell r="K1238">
            <v>10</v>
          </cell>
        </row>
        <row r="1239">
          <cell r="A1239" t="str">
            <v>LAUNCHREDHYIX-41</v>
          </cell>
          <cell r="B1239">
            <v>9</v>
          </cell>
          <cell r="C1239">
            <v>85</v>
          </cell>
          <cell r="D1239">
            <v>50</v>
          </cell>
          <cell r="E1239">
            <v>0.6</v>
          </cell>
          <cell r="F1239">
            <v>1250</v>
          </cell>
          <cell r="G1239" t="str">
            <v>golf</v>
          </cell>
          <cell r="H1239" t="str">
            <v>122*15*10</v>
          </cell>
          <cell r="I1239">
            <v>122</v>
          </cell>
          <cell r="J1239">
            <v>15</v>
          </cell>
          <cell r="K1239">
            <v>10</v>
          </cell>
        </row>
        <row r="1240">
          <cell r="A1240" t="str">
            <v>PLHB-42-R</v>
          </cell>
          <cell r="B1240">
            <v>9</v>
          </cell>
          <cell r="C1240">
            <v>235</v>
          </cell>
          <cell r="D1240">
            <v>1</v>
          </cell>
          <cell r="E1240">
            <v>0.4</v>
          </cell>
          <cell r="F1240">
            <v>1251</v>
          </cell>
          <cell r="G1240" t="str">
            <v>handbar</v>
          </cell>
          <cell r="H1240" t="str">
            <v>52*20*15</v>
          </cell>
          <cell r="I1240">
            <v>52</v>
          </cell>
          <cell r="J1240">
            <v>20</v>
          </cell>
          <cell r="K1240">
            <v>15</v>
          </cell>
        </row>
        <row r="1241">
          <cell r="A1241" t="str">
            <v>PLHB-44-R</v>
          </cell>
          <cell r="B1241">
            <v>9</v>
          </cell>
          <cell r="C1241">
            <v>240</v>
          </cell>
          <cell r="D1241">
            <v>1</v>
          </cell>
          <cell r="E1241">
            <v>0.4</v>
          </cell>
          <cell r="F1241">
            <v>1252</v>
          </cell>
          <cell r="G1241" t="str">
            <v>handbar</v>
          </cell>
          <cell r="H1241" t="str">
            <v>52*20*15</v>
          </cell>
          <cell r="I1241">
            <v>52</v>
          </cell>
          <cell r="J1241">
            <v>20</v>
          </cell>
          <cell r="K1241">
            <v>15</v>
          </cell>
        </row>
        <row r="1242">
          <cell r="A1242" t="str">
            <v>ULAUNCHREDHYIS-41</v>
          </cell>
          <cell r="B1242">
            <v>9</v>
          </cell>
          <cell r="C1242">
            <v>86</v>
          </cell>
          <cell r="D1242">
            <v>50</v>
          </cell>
          <cell r="E1242">
            <v>0.6</v>
          </cell>
          <cell r="F1242">
            <v>1253</v>
          </cell>
          <cell r="G1242" t="str">
            <v>golf</v>
          </cell>
          <cell r="H1242" t="str">
            <v>122*15*10</v>
          </cell>
          <cell r="I1242">
            <v>122</v>
          </cell>
          <cell r="J1242">
            <v>15</v>
          </cell>
          <cell r="K1242">
            <v>10</v>
          </cell>
        </row>
        <row r="1243">
          <cell r="A1243" t="str">
            <v>UTEGEO33WA-45</v>
          </cell>
          <cell r="B1243">
            <v>9</v>
          </cell>
          <cell r="C1243">
            <v>69</v>
          </cell>
          <cell r="D1243">
            <v>50</v>
          </cell>
          <cell r="E1243">
            <v>0.6</v>
          </cell>
          <cell r="F1243">
            <v>1254</v>
          </cell>
          <cell r="G1243" t="str">
            <v>golf</v>
          </cell>
          <cell r="H1243" t="str">
            <v>122*15*10</v>
          </cell>
          <cell r="I1243">
            <v>122</v>
          </cell>
          <cell r="J1243">
            <v>15</v>
          </cell>
          <cell r="K1243">
            <v>10</v>
          </cell>
        </row>
        <row r="1244">
          <cell r="A1244" t="str">
            <v>UTEGEO33WS-45</v>
          </cell>
          <cell r="B1244">
            <v>9</v>
          </cell>
          <cell r="C1244">
            <v>74</v>
          </cell>
          <cell r="D1244">
            <v>50</v>
          </cell>
          <cell r="E1244">
            <v>0.6</v>
          </cell>
          <cell r="F1244">
            <v>1255</v>
          </cell>
          <cell r="G1244" t="str">
            <v>golf</v>
          </cell>
          <cell r="H1244" t="str">
            <v>122*15*10</v>
          </cell>
          <cell r="I1244">
            <v>122</v>
          </cell>
          <cell r="J1244">
            <v>15</v>
          </cell>
          <cell r="K1244">
            <v>10</v>
          </cell>
        </row>
        <row r="1245">
          <cell r="A1245" t="str">
            <v>RBK-7K-SC-5054</v>
          </cell>
          <cell r="B1245">
            <v>9</v>
          </cell>
          <cell r="C1245">
            <v>320</v>
          </cell>
          <cell r="D1245">
            <v>50</v>
          </cell>
          <cell r="E1245">
            <v>1.48</v>
          </cell>
          <cell r="F1245">
            <v>1256</v>
          </cell>
          <cell r="G1245" t="str">
            <v>shaft</v>
          </cell>
          <cell r="H1245" t="str">
            <v>145*29*16</v>
          </cell>
          <cell r="I1245">
            <v>145</v>
          </cell>
          <cell r="J1245">
            <v>29</v>
          </cell>
          <cell r="K1245">
            <v>16</v>
          </cell>
        </row>
        <row r="1246">
          <cell r="A1246" t="str">
            <v>ULAUNCHREDIS-40</v>
          </cell>
          <cell r="B1246">
            <v>9</v>
          </cell>
          <cell r="C1246">
            <v>89</v>
          </cell>
          <cell r="D1246">
            <v>50</v>
          </cell>
          <cell r="E1246">
            <v>0.6</v>
          </cell>
          <cell r="F1246">
            <v>1257</v>
          </cell>
          <cell r="G1246" t="str">
            <v>golf</v>
          </cell>
          <cell r="H1246" t="str">
            <v>122*15*10</v>
          </cell>
          <cell r="I1246">
            <v>122</v>
          </cell>
          <cell r="J1246">
            <v>15</v>
          </cell>
          <cell r="K1246">
            <v>10</v>
          </cell>
        </row>
        <row r="1247">
          <cell r="A1247" t="str">
            <v>UFRMR90WR-48-350</v>
          </cell>
          <cell r="B1247">
            <v>9</v>
          </cell>
          <cell r="C1247">
            <v>63</v>
          </cell>
          <cell r="D1247">
            <v>54</v>
          </cell>
          <cell r="E1247">
            <v>0.64</v>
          </cell>
          <cell r="F1247">
            <v>1258</v>
          </cell>
          <cell r="G1247" t="str">
            <v>golf</v>
          </cell>
          <cell r="H1247" t="str">
            <v>130*15*10</v>
          </cell>
          <cell r="I1247">
            <v>130</v>
          </cell>
          <cell r="J1247">
            <v>15</v>
          </cell>
          <cell r="K1247">
            <v>10</v>
          </cell>
        </row>
        <row r="1248">
          <cell r="A1248" t="str">
            <v>UAXIS933WTX-46</v>
          </cell>
          <cell r="B1248">
            <v>9</v>
          </cell>
          <cell r="C1248">
            <v>97</v>
          </cell>
          <cell r="D1248">
            <v>50</v>
          </cell>
          <cell r="E1248">
            <v>0.6</v>
          </cell>
          <cell r="F1248">
            <v>1259</v>
          </cell>
          <cell r="G1248" t="str">
            <v>golf</v>
          </cell>
          <cell r="H1248" t="str">
            <v>122*15*10</v>
          </cell>
          <cell r="I1248">
            <v>122</v>
          </cell>
          <cell r="J1248">
            <v>15</v>
          </cell>
          <cell r="K1248">
            <v>10</v>
          </cell>
        </row>
        <row r="1249">
          <cell r="A1249" t="str">
            <v>BAL-C410-S63R-11060</v>
          </cell>
          <cell r="B1249">
            <v>9</v>
          </cell>
          <cell r="C1249">
            <v>440</v>
          </cell>
          <cell r="D1249">
            <v>25</v>
          </cell>
          <cell r="E1249">
            <v>1.6</v>
          </cell>
          <cell r="F1249">
            <v>1260</v>
          </cell>
          <cell r="G1249" t="str">
            <v>hockey</v>
          </cell>
          <cell r="H1249" t="str">
            <v>183*29*16</v>
          </cell>
          <cell r="I1249">
            <v>183</v>
          </cell>
          <cell r="J1249">
            <v>29</v>
          </cell>
          <cell r="K1249">
            <v>16</v>
          </cell>
        </row>
        <row r="1250">
          <cell r="A1250" t="str">
            <v>UTEGEO33WL-45</v>
          </cell>
          <cell r="B1250">
            <v>9</v>
          </cell>
          <cell r="C1250">
            <v>68</v>
          </cell>
          <cell r="D1250">
            <v>50</v>
          </cell>
          <cell r="E1250">
            <v>0.6</v>
          </cell>
          <cell r="F1250">
            <v>1261</v>
          </cell>
          <cell r="G1250" t="str">
            <v>golf</v>
          </cell>
          <cell r="H1250" t="str">
            <v>122*15*10</v>
          </cell>
          <cell r="I1250">
            <v>122</v>
          </cell>
          <cell r="J1250">
            <v>15</v>
          </cell>
          <cell r="K1250">
            <v>10</v>
          </cell>
        </row>
        <row r="1251">
          <cell r="A1251" t="str">
            <v>ULAUNCHREDIR-40</v>
          </cell>
          <cell r="B1251">
            <v>9</v>
          </cell>
          <cell r="C1251">
            <v>85</v>
          </cell>
          <cell r="D1251">
            <v>50</v>
          </cell>
          <cell r="E1251">
            <v>0.6</v>
          </cell>
          <cell r="F1251">
            <v>1262</v>
          </cell>
          <cell r="G1251" t="str">
            <v>golf</v>
          </cell>
          <cell r="H1251" t="str">
            <v>122*15*10</v>
          </cell>
          <cell r="I1251">
            <v>122</v>
          </cell>
          <cell r="J1251">
            <v>15</v>
          </cell>
          <cell r="K1251">
            <v>10</v>
          </cell>
        </row>
        <row r="1252">
          <cell r="A1252" t="str">
            <v>BAL-ULTRA-S13R-M</v>
          </cell>
          <cell r="B1252">
            <v>9</v>
          </cell>
          <cell r="C1252">
            <v>155</v>
          </cell>
          <cell r="D1252">
            <v>6</v>
          </cell>
          <cell r="E1252">
            <v>0.2</v>
          </cell>
          <cell r="F1252">
            <v>1263</v>
          </cell>
          <cell r="G1252" t="str">
            <v>blade</v>
          </cell>
          <cell r="H1252" t="str">
            <v>45*26*8</v>
          </cell>
          <cell r="I1252">
            <v>45</v>
          </cell>
          <cell r="J1252">
            <v>26</v>
          </cell>
          <cell r="K1252">
            <v>8</v>
          </cell>
        </row>
        <row r="1253">
          <cell r="A1253" t="str">
            <v>BAL-ULTRA-S13L-M</v>
          </cell>
          <cell r="B1253">
            <v>9</v>
          </cell>
          <cell r="C1253">
            <v>155</v>
          </cell>
          <cell r="D1253">
            <v>6</v>
          </cell>
          <cell r="E1253">
            <v>0.2</v>
          </cell>
          <cell r="F1253">
            <v>1264</v>
          </cell>
          <cell r="G1253" t="str">
            <v>blade</v>
          </cell>
          <cell r="H1253" t="str">
            <v>45*26*8</v>
          </cell>
          <cell r="I1253">
            <v>45</v>
          </cell>
          <cell r="J1253">
            <v>26</v>
          </cell>
          <cell r="K1253">
            <v>8</v>
          </cell>
        </row>
        <row r="1254">
          <cell r="A1254" t="str">
            <v>BAL-P126-G01L-57</v>
          </cell>
          <cell r="B1254">
            <v>9</v>
          </cell>
          <cell r="C1254">
            <v>740</v>
          </cell>
          <cell r="D1254">
            <v>12</v>
          </cell>
          <cell r="E1254">
            <v>2.2200000000000002</v>
          </cell>
          <cell r="F1254">
            <v>1265</v>
          </cell>
          <cell r="G1254" t="str">
            <v>goalier</v>
          </cell>
          <cell r="H1254" t="str">
            <v>179*42*15</v>
          </cell>
          <cell r="I1254">
            <v>179</v>
          </cell>
          <cell r="J1254">
            <v>42</v>
          </cell>
          <cell r="K1254">
            <v>15</v>
          </cell>
        </row>
        <row r="1255">
          <cell r="A1255" t="str">
            <v>BAL-P125-G01L-57</v>
          </cell>
          <cell r="B1255">
            <v>9</v>
          </cell>
          <cell r="C1255">
            <v>740</v>
          </cell>
          <cell r="D1255">
            <v>12</v>
          </cell>
          <cell r="E1255">
            <v>2.2200000000000002</v>
          </cell>
          <cell r="F1255">
            <v>1266</v>
          </cell>
          <cell r="G1255" t="str">
            <v>goalier</v>
          </cell>
          <cell r="H1255" t="str">
            <v>179*42*15</v>
          </cell>
          <cell r="I1255">
            <v>179</v>
          </cell>
          <cell r="J1255">
            <v>42</v>
          </cell>
          <cell r="K1255">
            <v>15</v>
          </cell>
        </row>
        <row r="1256">
          <cell r="A1256" t="str">
            <v>RBK-7K-SC-5554</v>
          </cell>
          <cell r="B1256">
            <v>9</v>
          </cell>
          <cell r="C1256">
            <v>340</v>
          </cell>
          <cell r="D1256">
            <v>50</v>
          </cell>
          <cell r="E1256">
            <v>1.48</v>
          </cell>
          <cell r="F1256">
            <v>1267</v>
          </cell>
          <cell r="G1256" t="str">
            <v>shaft</v>
          </cell>
          <cell r="H1256" t="str">
            <v>145*29*16</v>
          </cell>
          <cell r="I1256">
            <v>145</v>
          </cell>
          <cell r="J1256">
            <v>29</v>
          </cell>
          <cell r="K1256">
            <v>16</v>
          </cell>
        </row>
        <row r="1257">
          <cell r="A1257" t="str">
            <v>FRMRHYIS-45</v>
          </cell>
          <cell r="B1257">
            <v>9</v>
          </cell>
          <cell r="C1257">
            <v>54</v>
          </cell>
          <cell r="D1257">
            <v>54</v>
          </cell>
          <cell r="E1257">
            <v>0.6</v>
          </cell>
          <cell r="F1257">
            <v>1268</v>
          </cell>
          <cell r="G1257" t="str">
            <v>golf</v>
          </cell>
          <cell r="H1257" t="str">
            <v>122*15*10</v>
          </cell>
          <cell r="I1257">
            <v>122</v>
          </cell>
          <cell r="J1257">
            <v>15</v>
          </cell>
          <cell r="K1257">
            <v>10</v>
          </cell>
        </row>
        <row r="1258">
          <cell r="A1258" t="str">
            <v>UTEGEO33WX-45</v>
          </cell>
          <cell r="B1258">
            <v>9</v>
          </cell>
          <cell r="C1258">
            <v>78</v>
          </cell>
          <cell r="D1258">
            <v>50</v>
          </cell>
          <cell r="E1258">
            <v>0.6</v>
          </cell>
          <cell r="F1258">
            <v>1269</v>
          </cell>
          <cell r="G1258" t="str">
            <v>golf</v>
          </cell>
          <cell r="H1258" t="str">
            <v>122*15*10</v>
          </cell>
          <cell r="I1258">
            <v>122</v>
          </cell>
          <cell r="J1258">
            <v>15</v>
          </cell>
          <cell r="K1258">
            <v>10</v>
          </cell>
        </row>
        <row r="1259">
          <cell r="A1259" t="str">
            <v>UFRMR90WS-48-350</v>
          </cell>
          <cell r="B1259">
            <v>9</v>
          </cell>
          <cell r="C1259">
            <v>64</v>
          </cell>
          <cell r="D1259">
            <v>54</v>
          </cell>
          <cell r="E1259">
            <v>0.64</v>
          </cell>
          <cell r="F1259">
            <v>1270</v>
          </cell>
          <cell r="G1259" t="str">
            <v>golf</v>
          </cell>
          <cell r="H1259" t="str">
            <v>130*15*10</v>
          </cell>
          <cell r="I1259">
            <v>130</v>
          </cell>
          <cell r="J1259">
            <v>15</v>
          </cell>
          <cell r="K1259">
            <v>10</v>
          </cell>
        </row>
        <row r="1260">
          <cell r="A1260" t="str">
            <v>BAL-ULTRA-S13R-H</v>
          </cell>
          <cell r="B1260">
            <v>9</v>
          </cell>
          <cell r="C1260">
            <v>143</v>
          </cell>
          <cell r="D1260">
            <v>6</v>
          </cell>
          <cell r="E1260">
            <v>0.2</v>
          </cell>
          <cell r="F1260">
            <v>1271</v>
          </cell>
          <cell r="G1260" t="str">
            <v>blade</v>
          </cell>
          <cell r="H1260" t="str">
            <v>45*26*8</v>
          </cell>
          <cell r="I1260">
            <v>45</v>
          </cell>
          <cell r="J1260">
            <v>26</v>
          </cell>
          <cell r="K1260">
            <v>8</v>
          </cell>
        </row>
        <row r="1261">
          <cell r="A1261" t="str">
            <v>BAL-ULTRA-S13L-H</v>
          </cell>
          <cell r="B1261">
            <v>9</v>
          </cell>
          <cell r="C1261">
            <v>143</v>
          </cell>
          <cell r="D1261">
            <v>6</v>
          </cell>
          <cell r="E1261">
            <v>0.2</v>
          </cell>
          <cell r="F1261">
            <v>1272</v>
          </cell>
          <cell r="G1261" t="str">
            <v>blade</v>
          </cell>
          <cell r="H1261" t="str">
            <v>45*26*8</v>
          </cell>
          <cell r="I1261">
            <v>45</v>
          </cell>
          <cell r="J1261">
            <v>26</v>
          </cell>
          <cell r="K1261">
            <v>8</v>
          </cell>
        </row>
        <row r="1262">
          <cell r="A1262" t="str">
            <v>CCM-V10-TC-4056-BL</v>
          </cell>
          <cell r="B1262">
            <v>9</v>
          </cell>
          <cell r="C1262">
            <v>320</v>
          </cell>
          <cell r="D1262">
            <v>50</v>
          </cell>
          <cell r="E1262">
            <v>1.48</v>
          </cell>
          <cell r="F1262">
            <v>1273</v>
          </cell>
          <cell r="G1262" t="str">
            <v>shaft</v>
          </cell>
          <cell r="H1262" t="str">
            <v>145*29*16</v>
          </cell>
          <cell r="I1262">
            <v>145</v>
          </cell>
          <cell r="J1262">
            <v>29</v>
          </cell>
          <cell r="K1262">
            <v>16</v>
          </cell>
        </row>
        <row r="1263">
          <cell r="A1263" t="str">
            <v>FRMRHYIX-45</v>
          </cell>
          <cell r="B1263">
            <v>9</v>
          </cell>
          <cell r="C1263">
            <v>59</v>
          </cell>
          <cell r="D1263">
            <v>54</v>
          </cell>
          <cell r="E1263">
            <v>0.6</v>
          </cell>
          <cell r="F1263">
            <v>1274</v>
          </cell>
          <cell r="G1263" t="str">
            <v>golf</v>
          </cell>
          <cell r="H1263" t="str">
            <v>122*15*10</v>
          </cell>
          <cell r="I1263">
            <v>122</v>
          </cell>
          <cell r="J1263">
            <v>15</v>
          </cell>
          <cell r="K1263">
            <v>10</v>
          </cell>
        </row>
        <row r="1264">
          <cell r="A1264" t="str">
            <v>UFRMR90WX-48-350</v>
          </cell>
          <cell r="B1264">
            <v>9</v>
          </cell>
          <cell r="C1264">
            <v>65</v>
          </cell>
          <cell r="D1264">
            <v>54</v>
          </cell>
          <cell r="E1264">
            <v>0.64</v>
          </cell>
          <cell r="F1264">
            <v>1275</v>
          </cell>
          <cell r="G1264" t="str">
            <v>golf</v>
          </cell>
          <cell r="H1264" t="str">
            <v>130*15*10</v>
          </cell>
          <cell r="I1264">
            <v>130</v>
          </cell>
          <cell r="J1264">
            <v>15</v>
          </cell>
          <cell r="K1264">
            <v>10</v>
          </cell>
        </row>
        <row r="1265">
          <cell r="A1265" t="str">
            <v>SHR-RM9-S07R</v>
          </cell>
          <cell r="B1265">
            <v>9</v>
          </cell>
          <cell r="C1265">
            <v>155</v>
          </cell>
          <cell r="D1265">
            <v>6</v>
          </cell>
          <cell r="E1265">
            <v>0.2</v>
          </cell>
          <cell r="F1265">
            <v>1276</v>
          </cell>
          <cell r="G1265" t="str">
            <v>blade</v>
          </cell>
          <cell r="H1265" t="str">
            <v>45*26*8</v>
          </cell>
          <cell r="I1265">
            <v>45</v>
          </cell>
          <cell r="J1265">
            <v>26</v>
          </cell>
          <cell r="K1265">
            <v>8</v>
          </cell>
        </row>
        <row r="1266">
          <cell r="A1266" t="str">
            <v>SHR-RMTF-09553</v>
          </cell>
          <cell r="B1266">
            <v>9</v>
          </cell>
          <cell r="C1266">
            <v>323</v>
          </cell>
          <cell r="D1266">
            <v>50</v>
          </cell>
          <cell r="E1266">
            <v>1.48</v>
          </cell>
          <cell r="F1266">
            <v>1277</v>
          </cell>
          <cell r="G1266" t="str">
            <v>shaft</v>
          </cell>
          <cell r="H1266" t="str">
            <v>145*29*16</v>
          </cell>
          <cell r="I1266">
            <v>145</v>
          </cell>
          <cell r="J1266">
            <v>29</v>
          </cell>
          <cell r="K1266">
            <v>16</v>
          </cell>
        </row>
        <row r="1267">
          <cell r="A1267" t="str">
            <v>SHR-RMTF-08553</v>
          </cell>
          <cell r="B1267">
            <v>9</v>
          </cell>
          <cell r="C1267">
            <v>316</v>
          </cell>
          <cell r="D1267">
            <v>50</v>
          </cell>
          <cell r="E1267">
            <v>1.48</v>
          </cell>
          <cell r="F1267">
            <v>1278</v>
          </cell>
          <cell r="G1267" t="str">
            <v>shaft</v>
          </cell>
          <cell r="H1267" t="str">
            <v>145*29*16</v>
          </cell>
          <cell r="I1267">
            <v>145</v>
          </cell>
          <cell r="J1267">
            <v>29</v>
          </cell>
          <cell r="K1267">
            <v>16</v>
          </cell>
        </row>
        <row r="1268">
          <cell r="A1268" t="str">
            <v>SHR-RMTF-10553</v>
          </cell>
          <cell r="B1268">
            <v>9</v>
          </cell>
          <cell r="C1268">
            <v>321</v>
          </cell>
          <cell r="D1268">
            <v>50</v>
          </cell>
          <cell r="E1268">
            <v>1.48</v>
          </cell>
          <cell r="F1268">
            <v>1279</v>
          </cell>
          <cell r="G1268" t="str">
            <v>shaft</v>
          </cell>
          <cell r="H1268" t="str">
            <v>145*29*16</v>
          </cell>
          <cell r="I1268">
            <v>145</v>
          </cell>
          <cell r="J1268">
            <v>29</v>
          </cell>
          <cell r="K1268">
            <v>16</v>
          </cell>
        </row>
        <row r="1269">
          <cell r="A1269" t="str">
            <v>LAUNCHREDIS-405</v>
          </cell>
          <cell r="B1269">
            <v>9</v>
          </cell>
          <cell r="C1269">
            <v>90</v>
          </cell>
          <cell r="D1269">
            <v>50</v>
          </cell>
          <cell r="E1269">
            <v>0.6</v>
          </cell>
          <cell r="F1269">
            <v>1280</v>
          </cell>
          <cell r="G1269" t="str">
            <v>golf</v>
          </cell>
          <cell r="H1269" t="str">
            <v>122*15*10</v>
          </cell>
          <cell r="I1269">
            <v>122</v>
          </cell>
          <cell r="J1269">
            <v>15</v>
          </cell>
          <cell r="K1269">
            <v>10</v>
          </cell>
        </row>
        <row r="1270">
          <cell r="A1270" t="str">
            <v>LAUNCHREDIS-39</v>
          </cell>
          <cell r="B1270">
            <v>9</v>
          </cell>
          <cell r="C1270">
            <v>88</v>
          </cell>
          <cell r="D1270">
            <v>50</v>
          </cell>
          <cell r="E1270">
            <v>0.6</v>
          </cell>
          <cell r="F1270">
            <v>1281</v>
          </cell>
          <cell r="G1270" t="str">
            <v>golf</v>
          </cell>
          <cell r="H1270" t="str">
            <v>122*15*10</v>
          </cell>
          <cell r="I1270">
            <v>122</v>
          </cell>
          <cell r="J1270">
            <v>15</v>
          </cell>
          <cell r="K1270">
            <v>10</v>
          </cell>
        </row>
        <row r="1271">
          <cell r="A1271" t="str">
            <v>LAUNCHREDIS-395</v>
          </cell>
          <cell r="B1271">
            <v>9</v>
          </cell>
          <cell r="C1271">
            <v>88</v>
          </cell>
          <cell r="D1271">
            <v>50</v>
          </cell>
          <cell r="E1271">
            <v>0.6</v>
          </cell>
          <cell r="F1271">
            <v>1282</v>
          </cell>
          <cell r="G1271" t="str">
            <v>golf</v>
          </cell>
          <cell r="H1271" t="str">
            <v>122*15*10</v>
          </cell>
          <cell r="I1271">
            <v>122</v>
          </cell>
          <cell r="J1271">
            <v>15</v>
          </cell>
          <cell r="K1271">
            <v>10</v>
          </cell>
        </row>
        <row r="1272">
          <cell r="A1272" t="str">
            <v>LAUNCHREDIS-38</v>
          </cell>
          <cell r="B1272">
            <v>9</v>
          </cell>
          <cell r="C1272">
            <v>88</v>
          </cell>
          <cell r="D1272">
            <v>50</v>
          </cell>
          <cell r="E1272">
            <v>0.6</v>
          </cell>
          <cell r="F1272">
            <v>1283</v>
          </cell>
          <cell r="G1272" t="str">
            <v>golf</v>
          </cell>
          <cell r="H1272" t="str">
            <v>122*15*10</v>
          </cell>
          <cell r="I1272">
            <v>122</v>
          </cell>
          <cell r="J1272">
            <v>15</v>
          </cell>
          <cell r="K1272">
            <v>10</v>
          </cell>
        </row>
        <row r="1273">
          <cell r="A1273" t="str">
            <v>LAUNCHREDIX-405</v>
          </cell>
          <cell r="B1273">
            <v>9</v>
          </cell>
          <cell r="C1273">
            <v>92</v>
          </cell>
          <cell r="D1273">
            <v>50</v>
          </cell>
          <cell r="E1273">
            <v>0.6</v>
          </cell>
          <cell r="F1273">
            <v>1284</v>
          </cell>
          <cell r="G1273" t="str">
            <v>golf</v>
          </cell>
          <cell r="H1273" t="str">
            <v>122*15*10</v>
          </cell>
          <cell r="I1273">
            <v>122</v>
          </cell>
          <cell r="J1273">
            <v>15</v>
          </cell>
          <cell r="K1273">
            <v>10</v>
          </cell>
        </row>
        <row r="1274">
          <cell r="A1274" t="str">
            <v>LAUNCHREDIX-40</v>
          </cell>
          <cell r="B1274">
            <v>9</v>
          </cell>
          <cell r="D1274">
            <v>50</v>
          </cell>
          <cell r="E1274">
            <v>0.6</v>
          </cell>
          <cell r="F1274">
            <v>1285</v>
          </cell>
          <cell r="G1274" t="str">
            <v>golf</v>
          </cell>
          <cell r="H1274" t="str">
            <v>122*15*10</v>
          </cell>
          <cell r="I1274">
            <v>122</v>
          </cell>
          <cell r="J1274">
            <v>15</v>
          </cell>
          <cell r="K1274">
            <v>10</v>
          </cell>
        </row>
        <row r="1275">
          <cell r="A1275" t="str">
            <v>LAUNCHREDIR-40</v>
          </cell>
          <cell r="B1275">
            <v>9</v>
          </cell>
          <cell r="C1275">
            <v>87</v>
          </cell>
          <cell r="D1275">
            <v>50</v>
          </cell>
          <cell r="E1275">
            <v>0.6</v>
          </cell>
          <cell r="F1275">
            <v>1286</v>
          </cell>
          <cell r="G1275" t="str">
            <v>golf</v>
          </cell>
          <cell r="H1275" t="str">
            <v>122*15*10</v>
          </cell>
          <cell r="I1275">
            <v>122</v>
          </cell>
          <cell r="J1275">
            <v>15</v>
          </cell>
          <cell r="K1275">
            <v>10</v>
          </cell>
        </row>
        <row r="1276">
          <cell r="A1276" t="str">
            <v>LAUNCHREDIR-37</v>
          </cell>
          <cell r="B1276">
            <v>9</v>
          </cell>
          <cell r="C1276">
            <v>87</v>
          </cell>
          <cell r="D1276">
            <v>50</v>
          </cell>
          <cell r="E1276">
            <v>0.6</v>
          </cell>
          <cell r="F1276">
            <v>1287</v>
          </cell>
          <cell r="G1276" t="str">
            <v>golf</v>
          </cell>
          <cell r="H1276" t="str">
            <v>122*15*10</v>
          </cell>
          <cell r="I1276">
            <v>122</v>
          </cell>
          <cell r="J1276">
            <v>15</v>
          </cell>
          <cell r="K1276">
            <v>10</v>
          </cell>
        </row>
        <row r="1277">
          <cell r="A1277" t="str">
            <v>LAUNCHREDIR-39</v>
          </cell>
          <cell r="B1277">
            <v>9</v>
          </cell>
          <cell r="C1277">
            <v>87</v>
          </cell>
          <cell r="D1277">
            <v>50</v>
          </cell>
          <cell r="E1277">
            <v>0.6</v>
          </cell>
          <cell r="F1277">
            <v>1288</v>
          </cell>
          <cell r="G1277" t="str">
            <v>golf</v>
          </cell>
          <cell r="H1277" t="str">
            <v>122*15*10</v>
          </cell>
          <cell r="I1277">
            <v>122</v>
          </cell>
          <cell r="J1277">
            <v>15</v>
          </cell>
          <cell r="K1277">
            <v>10</v>
          </cell>
        </row>
        <row r="1278">
          <cell r="A1278" t="str">
            <v>LAUNCHREDIR-395</v>
          </cell>
          <cell r="B1278">
            <v>9</v>
          </cell>
          <cell r="C1278">
            <v>87</v>
          </cell>
          <cell r="D1278">
            <v>50</v>
          </cell>
          <cell r="E1278">
            <v>0.6</v>
          </cell>
          <cell r="F1278">
            <v>1289</v>
          </cell>
          <cell r="G1278" t="str">
            <v>golf</v>
          </cell>
          <cell r="H1278" t="str">
            <v>122*15*10</v>
          </cell>
          <cell r="I1278">
            <v>122</v>
          </cell>
          <cell r="J1278">
            <v>15</v>
          </cell>
          <cell r="K1278">
            <v>10</v>
          </cell>
        </row>
        <row r="1279">
          <cell r="A1279" t="str">
            <v>LAUNCHREDIR-385</v>
          </cell>
          <cell r="B1279">
            <v>9</v>
          </cell>
          <cell r="C1279">
            <v>87</v>
          </cell>
          <cell r="D1279">
            <v>50</v>
          </cell>
          <cell r="E1279">
            <v>0.6</v>
          </cell>
          <cell r="F1279">
            <v>1290</v>
          </cell>
          <cell r="G1279" t="str">
            <v>golf</v>
          </cell>
          <cell r="H1279" t="str">
            <v>122*15*10</v>
          </cell>
          <cell r="I1279">
            <v>122</v>
          </cell>
          <cell r="J1279">
            <v>15</v>
          </cell>
          <cell r="K1279">
            <v>10</v>
          </cell>
        </row>
        <row r="1280">
          <cell r="A1280" t="str">
            <v>LAUNCHREDIR-365</v>
          </cell>
          <cell r="B1280">
            <v>9</v>
          </cell>
          <cell r="C1280">
            <v>87</v>
          </cell>
          <cell r="D1280">
            <v>50</v>
          </cell>
          <cell r="E1280">
            <v>0.6</v>
          </cell>
          <cell r="F1280">
            <v>1291</v>
          </cell>
          <cell r="G1280" t="str">
            <v>golf</v>
          </cell>
          <cell r="H1280" t="str">
            <v>122*15*10</v>
          </cell>
          <cell r="I1280">
            <v>122</v>
          </cell>
          <cell r="J1280">
            <v>15</v>
          </cell>
          <cell r="K1280">
            <v>10</v>
          </cell>
        </row>
        <row r="1281">
          <cell r="A1281" t="str">
            <v>LAUNCHREDIS-385</v>
          </cell>
          <cell r="B1281">
            <v>9</v>
          </cell>
          <cell r="C1281">
            <v>88</v>
          </cell>
          <cell r="D1281">
            <v>50</v>
          </cell>
          <cell r="E1281">
            <v>0.6</v>
          </cell>
          <cell r="F1281">
            <v>1292</v>
          </cell>
          <cell r="G1281" t="str">
            <v>golf</v>
          </cell>
          <cell r="H1281" t="str">
            <v>122*15*10</v>
          </cell>
          <cell r="I1281">
            <v>122</v>
          </cell>
          <cell r="J1281">
            <v>15</v>
          </cell>
          <cell r="K1281">
            <v>10</v>
          </cell>
        </row>
        <row r="1282">
          <cell r="A1282" t="str">
            <v>LAUNCHREDIS-40</v>
          </cell>
          <cell r="B1282">
            <v>9</v>
          </cell>
          <cell r="C1282">
            <v>88</v>
          </cell>
          <cell r="D1282">
            <v>50</v>
          </cell>
          <cell r="E1282">
            <v>0.6</v>
          </cell>
          <cell r="F1282">
            <v>1293</v>
          </cell>
          <cell r="G1282" t="str">
            <v>golf</v>
          </cell>
          <cell r="H1282" t="str">
            <v>122*15*10</v>
          </cell>
          <cell r="I1282">
            <v>122</v>
          </cell>
          <cell r="J1282">
            <v>15</v>
          </cell>
          <cell r="K1282">
            <v>10</v>
          </cell>
        </row>
        <row r="1283">
          <cell r="A1283" t="str">
            <v>LAUNCHREDIS-365</v>
          </cell>
          <cell r="B1283">
            <v>9</v>
          </cell>
          <cell r="C1283">
            <v>88</v>
          </cell>
          <cell r="D1283">
            <v>50</v>
          </cell>
          <cell r="E1283">
            <v>0.6</v>
          </cell>
          <cell r="F1283">
            <v>1294</v>
          </cell>
          <cell r="G1283" t="str">
            <v>golf</v>
          </cell>
          <cell r="H1283" t="str">
            <v>122*15*10</v>
          </cell>
          <cell r="I1283">
            <v>122</v>
          </cell>
          <cell r="J1283">
            <v>15</v>
          </cell>
          <cell r="K1283">
            <v>10</v>
          </cell>
        </row>
        <row r="1284">
          <cell r="A1284" t="str">
            <v>LAUNCHREDIR-375</v>
          </cell>
          <cell r="B1284">
            <v>9</v>
          </cell>
          <cell r="C1284">
            <v>87</v>
          </cell>
          <cell r="D1284">
            <v>50</v>
          </cell>
          <cell r="E1284">
            <v>0.6</v>
          </cell>
          <cell r="F1284">
            <v>1295</v>
          </cell>
          <cell r="G1284" t="str">
            <v>golf</v>
          </cell>
          <cell r="H1284" t="str">
            <v>122*15*10</v>
          </cell>
          <cell r="I1284">
            <v>122</v>
          </cell>
          <cell r="J1284">
            <v>15</v>
          </cell>
          <cell r="K1284">
            <v>10</v>
          </cell>
        </row>
        <row r="1285">
          <cell r="A1285" t="str">
            <v>QGS10-8-746</v>
          </cell>
          <cell r="B1285">
            <v>9</v>
          </cell>
          <cell r="C1285">
            <v>367</v>
          </cell>
          <cell r="D1285">
            <v>1</v>
          </cell>
          <cell r="E1285">
            <v>0.5</v>
          </cell>
          <cell r="F1285">
            <v>1296</v>
          </cell>
          <cell r="G1285" t="str">
            <v>fork</v>
          </cell>
          <cell r="H1285" t="str">
            <v>89*14*9</v>
          </cell>
          <cell r="I1285">
            <v>89</v>
          </cell>
          <cell r="J1285">
            <v>14</v>
          </cell>
          <cell r="K1285">
            <v>9</v>
          </cell>
        </row>
        <row r="1286">
          <cell r="A1286" t="str">
            <v>QGS10-8-750</v>
          </cell>
          <cell r="B1286">
            <v>9</v>
          </cell>
          <cell r="C1286">
            <v>367</v>
          </cell>
          <cell r="D1286">
            <v>1</v>
          </cell>
          <cell r="E1286">
            <v>0.5</v>
          </cell>
          <cell r="F1286">
            <v>1297</v>
          </cell>
          <cell r="G1286" t="str">
            <v>fork</v>
          </cell>
          <cell r="H1286" t="str">
            <v>89*14*9</v>
          </cell>
          <cell r="I1286">
            <v>89</v>
          </cell>
          <cell r="J1286">
            <v>14</v>
          </cell>
          <cell r="K1286">
            <v>9</v>
          </cell>
        </row>
        <row r="1287">
          <cell r="A1287" t="str">
            <v>QGS10-8-741-2-UP</v>
          </cell>
          <cell r="B1287">
            <v>9</v>
          </cell>
          <cell r="C1287">
            <v>367</v>
          </cell>
          <cell r="D1287">
            <v>25</v>
          </cell>
          <cell r="E1287">
            <v>2.54</v>
          </cell>
          <cell r="F1287">
            <v>1298</v>
          </cell>
          <cell r="G1287" t="str">
            <v>fork</v>
          </cell>
          <cell r="H1287" t="str">
            <v>77*52*32</v>
          </cell>
          <cell r="I1287">
            <v>77</v>
          </cell>
          <cell r="J1287">
            <v>52</v>
          </cell>
          <cell r="K1287">
            <v>32</v>
          </cell>
        </row>
        <row r="1288">
          <cell r="A1288" t="str">
            <v>LAUNCHIS-41</v>
          </cell>
          <cell r="B1288">
            <v>9</v>
          </cell>
          <cell r="C1288">
            <v>86</v>
          </cell>
          <cell r="D1288">
            <v>50</v>
          </cell>
          <cell r="E1288">
            <v>0.6</v>
          </cell>
          <cell r="F1288">
            <v>1299</v>
          </cell>
          <cell r="G1288" t="str">
            <v>golf</v>
          </cell>
          <cell r="H1288" t="str">
            <v>122*15*10</v>
          </cell>
          <cell r="I1288">
            <v>122</v>
          </cell>
          <cell r="J1288">
            <v>15</v>
          </cell>
          <cell r="K1288">
            <v>10</v>
          </cell>
        </row>
        <row r="1289">
          <cell r="A1289" t="str">
            <v>LAUNCHIR-41</v>
          </cell>
          <cell r="B1289">
            <v>9</v>
          </cell>
          <cell r="C1289">
            <v>81</v>
          </cell>
          <cell r="D1289">
            <v>50</v>
          </cell>
          <cell r="E1289">
            <v>0.6</v>
          </cell>
          <cell r="F1289">
            <v>1300</v>
          </cell>
          <cell r="G1289" t="str">
            <v>golf</v>
          </cell>
          <cell r="H1289" t="str">
            <v>122*15*10</v>
          </cell>
          <cell r="I1289">
            <v>122</v>
          </cell>
          <cell r="J1289">
            <v>15</v>
          </cell>
          <cell r="K1289">
            <v>10</v>
          </cell>
        </row>
        <row r="1290">
          <cell r="A1290" t="str">
            <v>CCM-V10-TC-4556-BL</v>
          </cell>
          <cell r="B1290">
            <v>9</v>
          </cell>
          <cell r="C1290">
            <v>312</v>
          </cell>
          <cell r="D1290">
            <v>50</v>
          </cell>
          <cell r="E1290">
            <v>1.48</v>
          </cell>
          <cell r="F1290">
            <v>1301</v>
          </cell>
          <cell r="G1290" t="str">
            <v>shaft</v>
          </cell>
          <cell r="H1290" t="str">
            <v>145*29*16</v>
          </cell>
          <cell r="I1290">
            <v>145</v>
          </cell>
          <cell r="J1290">
            <v>29</v>
          </cell>
          <cell r="K1290">
            <v>16</v>
          </cell>
        </row>
        <row r="1291">
          <cell r="A1291" t="str">
            <v>CCM-V10-TC-5556-BL</v>
          </cell>
          <cell r="B1291">
            <v>9</v>
          </cell>
          <cell r="C1291">
            <v>319</v>
          </cell>
          <cell r="D1291">
            <v>50</v>
          </cell>
          <cell r="E1291">
            <v>1.48</v>
          </cell>
          <cell r="F1291">
            <v>1302</v>
          </cell>
          <cell r="G1291" t="str">
            <v>shaft</v>
          </cell>
          <cell r="H1291" t="str">
            <v>145*29*16</v>
          </cell>
          <cell r="I1291">
            <v>145</v>
          </cell>
          <cell r="J1291">
            <v>29</v>
          </cell>
          <cell r="K1291">
            <v>16</v>
          </cell>
        </row>
        <row r="1292">
          <cell r="A1292" t="str">
            <v>CCM-V10-TC-6056-BL</v>
          </cell>
          <cell r="B1292">
            <v>9</v>
          </cell>
          <cell r="C1292">
            <v>319</v>
          </cell>
          <cell r="D1292">
            <v>50</v>
          </cell>
          <cell r="E1292">
            <v>1.48</v>
          </cell>
          <cell r="F1292">
            <v>1303</v>
          </cell>
          <cell r="G1292" t="str">
            <v>shaft</v>
          </cell>
          <cell r="H1292" t="str">
            <v>145*29*16</v>
          </cell>
          <cell r="I1292">
            <v>145</v>
          </cell>
          <cell r="J1292">
            <v>29</v>
          </cell>
          <cell r="K1292">
            <v>16</v>
          </cell>
        </row>
        <row r="1293">
          <cell r="A1293" t="str">
            <v>CCM-V10-TC-5056-BL</v>
          </cell>
          <cell r="B1293">
            <v>9</v>
          </cell>
          <cell r="C1293">
            <v>315</v>
          </cell>
          <cell r="D1293">
            <v>50</v>
          </cell>
          <cell r="E1293">
            <v>1.48</v>
          </cell>
          <cell r="F1293">
            <v>1304</v>
          </cell>
          <cell r="G1293" t="str">
            <v>shaft</v>
          </cell>
          <cell r="H1293" t="str">
            <v>145*29*16</v>
          </cell>
          <cell r="I1293">
            <v>145</v>
          </cell>
          <cell r="J1293">
            <v>29</v>
          </cell>
          <cell r="K1293">
            <v>16</v>
          </cell>
        </row>
        <row r="1294">
          <cell r="A1294" t="str">
            <v>UIQWRS-48</v>
          </cell>
          <cell r="B1294">
            <v>9</v>
          </cell>
          <cell r="C1294">
            <v>77</v>
          </cell>
          <cell r="D1294">
            <v>50</v>
          </cell>
          <cell r="E1294">
            <v>0.64</v>
          </cell>
          <cell r="F1294">
            <v>1305</v>
          </cell>
          <cell r="G1294" t="str">
            <v>golf</v>
          </cell>
          <cell r="H1294" t="str">
            <v>130*15*10</v>
          </cell>
          <cell r="I1294">
            <v>130</v>
          </cell>
          <cell r="J1294">
            <v>15</v>
          </cell>
          <cell r="K1294">
            <v>10</v>
          </cell>
        </row>
        <row r="1295">
          <cell r="A1295" t="str">
            <v>UIQHYIRS-42</v>
          </cell>
          <cell r="B1295">
            <v>9</v>
          </cell>
          <cell r="C1295">
            <v>85</v>
          </cell>
          <cell r="D1295">
            <v>50</v>
          </cell>
          <cell r="E1295">
            <v>0.6</v>
          </cell>
          <cell r="F1295">
            <v>1306</v>
          </cell>
          <cell r="G1295" t="str">
            <v>golf</v>
          </cell>
          <cell r="H1295" t="str">
            <v>122*15*10</v>
          </cell>
          <cell r="I1295">
            <v>122</v>
          </cell>
          <cell r="J1295">
            <v>15</v>
          </cell>
          <cell r="K1295">
            <v>10</v>
          </cell>
        </row>
        <row r="1296">
          <cell r="A1296" t="str">
            <v>LAUNCHREDIS-375</v>
          </cell>
          <cell r="B1296">
            <v>9</v>
          </cell>
          <cell r="C1296">
            <v>88</v>
          </cell>
          <cell r="D1296">
            <v>50</v>
          </cell>
          <cell r="E1296">
            <v>0.6</v>
          </cell>
          <cell r="F1296">
            <v>1307</v>
          </cell>
          <cell r="G1296" t="str">
            <v>golf</v>
          </cell>
          <cell r="H1296" t="str">
            <v>122*15*10</v>
          </cell>
          <cell r="I1296">
            <v>122</v>
          </cell>
          <cell r="J1296">
            <v>15</v>
          </cell>
          <cell r="K1296">
            <v>10</v>
          </cell>
        </row>
        <row r="1297">
          <cell r="A1297" t="str">
            <v>LAUNCHREDIX-395</v>
          </cell>
          <cell r="B1297">
            <v>9</v>
          </cell>
          <cell r="D1297">
            <v>50</v>
          </cell>
          <cell r="E1297">
            <v>0.6</v>
          </cell>
          <cell r="F1297">
            <v>1308</v>
          </cell>
          <cell r="G1297" t="str">
            <v>golf</v>
          </cell>
          <cell r="H1297" t="str">
            <v>122*15*10</v>
          </cell>
          <cell r="I1297">
            <v>122</v>
          </cell>
          <cell r="J1297">
            <v>15</v>
          </cell>
          <cell r="K1297">
            <v>10</v>
          </cell>
        </row>
        <row r="1298">
          <cell r="A1298" t="str">
            <v>LAUNCHREDIR-405</v>
          </cell>
          <cell r="B1298">
            <v>9</v>
          </cell>
          <cell r="C1298">
            <v>91</v>
          </cell>
          <cell r="D1298">
            <v>50</v>
          </cell>
          <cell r="E1298">
            <v>0.6</v>
          </cell>
          <cell r="F1298">
            <v>1309</v>
          </cell>
          <cell r="G1298" t="str">
            <v>golf</v>
          </cell>
          <cell r="H1298" t="str">
            <v>122*15*10</v>
          </cell>
          <cell r="I1298">
            <v>122</v>
          </cell>
          <cell r="J1298">
            <v>15</v>
          </cell>
          <cell r="K1298">
            <v>10</v>
          </cell>
        </row>
        <row r="1299">
          <cell r="A1299" t="str">
            <v>LAUNCHREDIX-385</v>
          </cell>
          <cell r="B1299">
            <v>9</v>
          </cell>
          <cell r="D1299">
            <v>50</v>
          </cell>
          <cell r="E1299">
            <v>0.6</v>
          </cell>
          <cell r="F1299">
            <v>1310</v>
          </cell>
          <cell r="G1299" t="str">
            <v>golf</v>
          </cell>
          <cell r="H1299" t="str">
            <v>122*15*10</v>
          </cell>
          <cell r="I1299">
            <v>122</v>
          </cell>
          <cell r="J1299">
            <v>15</v>
          </cell>
          <cell r="K1299">
            <v>10</v>
          </cell>
        </row>
        <row r="1300">
          <cell r="A1300" t="str">
            <v>LAUNCHREDIX-375</v>
          </cell>
          <cell r="B1300">
            <v>9</v>
          </cell>
          <cell r="D1300">
            <v>50</v>
          </cell>
          <cell r="E1300">
            <v>0.6</v>
          </cell>
          <cell r="F1300">
            <v>1311</v>
          </cell>
          <cell r="G1300" t="str">
            <v>golf</v>
          </cell>
          <cell r="H1300" t="str">
            <v>122*15*10</v>
          </cell>
          <cell r="I1300">
            <v>122</v>
          </cell>
          <cell r="J1300">
            <v>15</v>
          </cell>
          <cell r="K1300">
            <v>10</v>
          </cell>
        </row>
        <row r="1301">
          <cell r="A1301" t="str">
            <v>LAUNCHREDIX-365</v>
          </cell>
          <cell r="B1301">
            <v>9</v>
          </cell>
          <cell r="D1301">
            <v>50</v>
          </cell>
          <cell r="E1301">
            <v>0.6</v>
          </cell>
          <cell r="F1301">
            <v>1312</v>
          </cell>
          <cell r="G1301" t="str">
            <v>golf</v>
          </cell>
          <cell r="H1301" t="str">
            <v>122*15*10</v>
          </cell>
          <cell r="I1301">
            <v>122</v>
          </cell>
          <cell r="J1301">
            <v>15</v>
          </cell>
          <cell r="K1301">
            <v>10</v>
          </cell>
        </row>
        <row r="1302">
          <cell r="A1302" t="str">
            <v>LAUNCHREDIX-37</v>
          </cell>
          <cell r="B1302">
            <v>9</v>
          </cell>
          <cell r="D1302">
            <v>50</v>
          </cell>
          <cell r="E1302">
            <v>0.6</v>
          </cell>
          <cell r="F1302">
            <v>1313</v>
          </cell>
          <cell r="G1302" t="str">
            <v>golf</v>
          </cell>
          <cell r="H1302" t="str">
            <v>122*15*10</v>
          </cell>
          <cell r="I1302">
            <v>122</v>
          </cell>
          <cell r="J1302">
            <v>15</v>
          </cell>
          <cell r="K1302">
            <v>10</v>
          </cell>
        </row>
        <row r="1303">
          <cell r="A1303" t="str">
            <v>ULAUNCHOS35WR-46</v>
          </cell>
          <cell r="B1303">
            <v>9</v>
          </cell>
          <cell r="C1303">
            <v>68</v>
          </cell>
          <cell r="D1303">
            <v>50</v>
          </cell>
          <cell r="E1303">
            <v>0.6</v>
          </cell>
          <cell r="F1303">
            <v>1314</v>
          </cell>
          <cell r="G1303" t="str">
            <v>golf</v>
          </cell>
          <cell r="H1303" t="str">
            <v>122*15*10</v>
          </cell>
          <cell r="I1303">
            <v>122</v>
          </cell>
          <cell r="J1303">
            <v>15</v>
          </cell>
          <cell r="K1303">
            <v>10</v>
          </cell>
        </row>
        <row r="1304">
          <cell r="A1304" t="str">
            <v>ULAUNCHOS35WS-46</v>
          </cell>
          <cell r="B1304">
            <v>9</v>
          </cell>
          <cell r="C1304">
            <v>69</v>
          </cell>
          <cell r="D1304">
            <v>50</v>
          </cell>
          <cell r="E1304">
            <v>0.6</v>
          </cell>
          <cell r="F1304">
            <v>1315</v>
          </cell>
          <cell r="G1304" t="str">
            <v>golf</v>
          </cell>
          <cell r="H1304" t="str">
            <v>122*15*10</v>
          </cell>
          <cell r="I1304">
            <v>122</v>
          </cell>
          <cell r="J1304">
            <v>15</v>
          </cell>
          <cell r="K1304">
            <v>10</v>
          </cell>
        </row>
        <row r="1305">
          <cell r="A1305" t="str">
            <v>LAUNCHREDIS-37</v>
          </cell>
          <cell r="B1305">
            <v>9</v>
          </cell>
          <cell r="C1305">
            <v>88</v>
          </cell>
          <cell r="D1305">
            <v>50</v>
          </cell>
          <cell r="E1305">
            <v>0.6</v>
          </cell>
          <cell r="F1305">
            <v>1316</v>
          </cell>
          <cell r="G1305" t="str">
            <v>golf</v>
          </cell>
          <cell r="H1305" t="str">
            <v>122*15*10</v>
          </cell>
          <cell r="I1305">
            <v>122</v>
          </cell>
          <cell r="J1305">
            <v>15</v>
          </cell>
          <cell r="K1305">
            <v>10</v>
          </cell>
        </row>
        <row r="1306">
          <cell r="A1306" t="str">
            <v>LAUNCHREDIR-38</v>
          </cell>
          <cell r="B1306">
            <v>9</v>
          </cell>
          <cell r="C1306">
            <v>87</v>
          </cell>
          <cell r="D1306">
            <v>50</v>
          </cell>
          <cell r="E1306">
            <v>0.6</v>
          </cell>
          <cell r="F1306">
            <v>1317</v>
          </cell>
          <cell r="G1306" t="str">
            <v>golf</v>
          </cell>
          <cell r="H1306" t="str">
            <v>122*15*10</v>
          </cell>
          <cell r="I1306">
            <v>122</v>
          </cell>
          <cell r="J1306">
            <v>15</v>
          </cell>
          <cell r="K1306">
            <v>10</v>
          </cell>
        </row>
        <row r="1307">
          <cell r="A1307" t="str">
            <v>SHR-RMTF-07553</v>
          </cell>
          <cell r="B1307">
            <v>9</v>
          </cell>
          <cell r="C1307">
            <v>340</v>
          </cell>
          <cell r="D1307">
            <v>50</v>
          </cell>
          <cell r="E1307">
            <v>1.48</v>
          </cell>
          <cell r="F1307">
            <v>1318</v>
          </cell>
          <cell r="G1307" t="str">
            <v>shaft</v>
          </cell>
          <cell r="H1307" t="str">
            <v>145*29*16</v>
          </cell>
          <cell r="I1307">
            <v>145</v>
          </cell>
          <cell r="J1307">
            <v>29</v>
          </cell>
          <cell r="K1307">
            <v>16</v>
          </cell>
        </row>
        <row r="1308">
          <cell r="A1308" t="str">
            <v>RBK-7K-ST-5554-NG</v>
          </cell>
          <cell r="B1308">
            <v>9</v>
          </cell>
          <cell r="C1308">
            <v>340</v>
          </cell>
          <cell r="D1308">
            <v>50</v>
          </cell>
          <cell r="E1308">
            <v>1.48</v>
          </cell>
          <cell r="F1308">
            <v>1319</v>
          </cell>
          <cell r="G1308" t="str">
            <v>shaft</v>
          </cell>
          <cell r="H1308" t="str">
            <v>145*29*16</v>
          </cell>
          <cell r="I1308">
            <v>145</v>
          </cell>
          <cell r="J1308">
            <v>29</v>
          </cell>
          <cell r="K1308">
            <v>16</v>
          </cell>
        </row>
        <row r="1309">
          <cell r="A1309" t="str">
            <v>BAL-50C-S53L-06558</v>
          </cell>
          <cell r="B1309">
            <v>9</v>
          </cell>
          <cell r="C1309">
            <v>442</v>
          </cell>
          <cell r="D1309">
            <v>25</v>
          </cell>
          <cell r="E1309">
            <v>1.6</v>
          </cell>
          <cell r="F1309">
            <v>1320</v>
          </cell>
          <cell r="G1309" t="str">
            <v>hockey</v>
          </cell>
          <cell r="H1309" t="str">
            <v>183*29*16</v>
          </cell>
          <cell r="I1309">
            <v>183</v>
          </cell>
          <cell r="J1309">
            <v>29</v>
          </cell>
          <cell r="K1309">
            <v>16</v>
          </cell>
        </row>
        <row r="1310">
          <cell r="A1310" t="str">
            <v>BAL-50C-S53R-06558</v>
          </cell>
          <cell r="B1310">
            <v>9</v>
          </cell>
          <cell r="C1310">
            <v>442</v>
          </cell>
          <cell r="D1310">
            <v>25</v>
          </cell>
          <cell r="E1310">
            <v>1.6</v>
          </cell>
          <cell r="F1310">
            <v>1321</v>
          </cell>
          <cell r="G1310" t="str">
            <v>hockey</v>
          </cell>
          <cell r="H1310" t="str">
            <v>183*29*16</v>
          </cell>
          <cell r="I1310">
            <v>183</v>
          </cell>
          <cell r="J1310">
            <v>29</v>
          </cell>
          <cell r="K1310">
            <v>16</v>
          </cell>
        </row>
        <row r="1311">
          <cell r="A1311" t="str">
            <v>BAL-50C-S55L-06558</v>
          </cell>
          <cell r="B1311">
            <v>9</v>
          </cell>
          <cell r="C1311">
            <v>442</v>
          </cell>
          <cell r="D1311">
            <v>25</v>
          </cell>
          <cell r="E1311">
            <v>1.6</v>
          </cell>
          <cell r="F1311">
            <v>1322</v>
          </cell>
          <cell r="G1311" t="str">
            <v>hockey</v>
          </cell>
          <cell r="H1311" t="str">
            <v>183*29*16</v>
          </cell>
          <cell r="I1311">
            <v>183</v>
          </cell>
          <cell r="J1311">
            <v>29</v>
          </cell>
          <cell r="K1311">
            <v>16</v>
          </cell>
        </row>
        <row r="1312">
          <cell r="A1312" t="str">
            <v>BAL-50C-S55R-06558</v>
          </cell>
          <cell r="B1312">
            <v>9</v>
          </cell>
          <cell r="C1312">
            <v>442</v>
          </cell>
          <cell r="D1312">
            <v>25</v>
          </cell>
          <cell r="E1312">
            <v>1.6</v>
          </cell>
          <cell r="F1312">
            <v>1323</v>
          </cell>
          <cell r="G1312" t="str">
            <v>hockey</v>
          </cell>
          <cell r="H1312" t="str">
            <v>183*29*16</v>
          </cell>
          <cell r="I1312">
            <v>183</v>
          </cell>
          <cell r="J1312">
            <v>29</v>
          </cell>
          <cell r="K1312">
            <v>16</v>
          </cell>
        </row>
        <row r="1313">
          <cell r="A1313" t="str">
            <v>BAL-50C-S64L-06558</v>
          </cell>
          <cell r="B1313">
            <v>9</v>
          </cell>
          <cell r="C1313">
            <v>442</v>
          </cell>
          <cell r="D1313">
            <v>25</v>
          </cell>
          <cell r="E1313">
            <v>1.6</v>
          </cell>
          <cell r="F1313">
            <v>1324</v>
          </cell>
          <cell r="G1313" t="str">
            <v>hockey</v>
          </cell>
          <cell r="H1313" t="str">
            <v>183*29*16</v>
          </cell>
          <cell r="I1313">
            <v>183</v>
          </cell>
          <cell r="J1313">
            <v>29</v>
          </cell>
          <cell r="K1313">
            <v>16</v>
          </cell>
        </row>
        <row r="1314">
          <cell r="A1314" t="str">
            <v>BAL-50C-S64R-06558</v>
          </cell>
          <cell r="B1314">
            <v>9</v>
          </cell>
          <cell r="C1314">
            <v>442</v>
          </cell>
          <cell r="D1314">
            <v>25</v>
          </cell>
          <cell r="E1314">
            <v>1.6</v>
          </cell>
          <cell r="F1314">
            <v>1325</v>
          </cell>
          <cell r="G1314" t="str">
            <v>hockey</v>
          </cell>
          <cell r="H1314" t="str">
            <v>183*29*16</v>
          </cell>
          <cell r="I1314">
            <v>183</v>
          </cell>
          <cell r="J1314">
            <v>29</v>
          </cell>
          <cell r="K1314">
            <v>16</v>
          </cell>
        </row>
        <row r="1315">
          <cell r="A1315" t="str">
            <v>QGS10-8H-744-2</v>
          </cell>
          <cell r="B1315">
            <v>9</v>
          </cell>
          <cell r="C1315">
            <v>352</v>
          </cell>
          <cell r="D1315">
            <v>1</v>
          </cell>
          <cell r="E1315">
            <v>0.5</v>
          </cell>
          <cell r="F1315">
            <v>1326</v>
          </cell>
          <cell r="G1315" t="str">
            <v>fork</v>
          </cell>
          <cell r="H1315" t="str">
            <v>89*14*9</v>
          </cell>
          <cell r="I1315">
            <v>89</v>
          </cell>
          <cell r="J1315">
            <v>14</v>
          </cell>
          <cell r="K1315">
            <v>9</v>
          </cell>
        </row>
        <row r="1316">
          <cell r="A1316" t="str">
            <v>UPKIR-41</v>
          </cell>
          <cell r="B1316">
            <v>9</v>
          </cell>
          <cell r="C1316">
            <v>67</v>
          </cell>
          <cell r="D1316">
            <v>50</v>
          </cell>
          <cell r="E1316">
            <v>0.6</v>
          </cell>
          <cell r="F1316">
            <v>1327</v>
          </cell>
          <cell r="G1316" t="str">
            <v>golf</v>
          </cell>
          <cell r="H1316" t="str">
            <v>122*15*10</v>
          </cell>
          <cell r="I1316">
            <v>122</v>
          </cell>
          <cell r="J1316">
            <v>15</v>
          </cell>
          <cell r="K1316">
            <v>10</v>
          </cell>
        </row>
        <row r="1317">
          <cell r="A1317" t="str">
            <v>UPKIA-41</v>
          </cell>
          <cell r="B1317">
            <v>9</v>
          </cell>
          <cell r="C1317">
            <v>66</v>
          </cell>
          <cell r="D1317">
            <v>50</v>
          </cell>
          <cell r="E1317">
            <v>0.6</v>
          </cell>
          <cell r="F1317">
            <v>1328</v>
          </cell>
          <cell r="G1317" t="str">
            <v>golf</v>
          </cell>
          <cell r="H1317" t="str">
            <v>122*15*10</v>
          </cell>
          <cell r="I1317">
            <v>122</v>
          </cell>
          <cell r="J1317">
            <v>15</v>
          </cell>
          <cell r="K1317">
            <v>10</v>
          </cell>
        </row>
        <row r="1318">
          <cell r="A1318" t="str">
            <v>UPKIS-41</v>
          </cell>
          <cell r="B1318">
            <v>9</v>
          </cell>
          <cell r="C1318">
            <v>72</v>
          </cell>
          <cell r="D1318">
            <v>50</v>
          </cell>
          <cell r="E1318">
            <v>0.6</v>
          </cell>
          <cell r="F1318">
            <v>1329</v>
          </cell>
          <cell r="G1318" t="str">
            <v>golf</v>
          </cell>
          <cell r="H1318" t="str">
            <v>122*15*10</v>
          </cell>
          <cell r="I1318">
            <v>122</v>
          </cell>
          <cell r="J1318">
            <v>15</v>
          </cell>
          <cell r="K1318">
            <v>10</v>
          </cell>
        </row>
        <row r="1319">
          <cell r="A1319" t="str">
            <v>UFRMR70WS-48-350</v>
          </cell>
          <cell r="B1319">
            <v>9</v>
          </cell>
          <cell r="C1319">
            <v>65</v>
          </cell>
          <cell r="D1319">
            <v>54</v>
          </cell>
          <cell r="E1319">
            <v>0.64</v>
          </cell>
          <cell r="F1319">
            <v>1330</v>
          </cell>
          <cell r="G1319" t="str">
            <v>golf</v>
          </cell>
          <cell r="H1319" t="str">
            <v>130*15*10</v>
          </cell>
          <cell r="I1319">
            <v>130</v>
          </cell>
          <cell r="J1319">
            <v>15</v>
          </cell>
          <cell r="K1319">
            <v>10</v>
          </cell>
        </row>
        <row r="1320">
          <cell r="A1320" t="str">
            <v>UPK33WR-46</v>
          </cell>
          <cell r="B1320">
            <v>9</v>
          </cell>
          <cell r="C1320">
            <v>70</v>
          </cell>
          <cell r="D1320">
            <v>50</v>
          </cell>
          <cell r="E1320">
            <v>0.6</v>
          </cell>
          <cell r="F1320">
            <v>1331</v>
          </cell>
          <cell r="G1320" t="str">
            <v>golf</v>
          </cell>
          <cell r="H1320" t="str">
            <v>122*15*10</v>
          </cell>
          <cell r="I1320">
            <v>122</v>
          </cell>
          <cell r="J1320">
            <v>15</v>
          </cell>
          <cell r="K1320">
            <v>10</v>
          </cell>
        </row>
        <row r="1321">
          <cell r="A1321" t="str">
            <v>UPK33WA-46</v>
          </cell>
          <cell r="B1321">
            <v>9</v>
          </cell>
          <cell r="C1321">
            <v>63</v>
          </cell>
          <cell r="D1321">
            <v>50</v>
          </cell>
          <cell r="E1321">
            <v>0.6</v>
          </cell>
          <cell r="F1321">
            <v>1332</v>
          </cell>
          <cell r="G1321" t="str">
            <v>golf</v>
          </cell>
          <cell r="H1321" t="str">
            <v>122*15*10</v>
          </cell>
          <cell r="I1321">
            <v>122</v>
          </cell>
          <cell r="J1321">
            <v>15</v>
          </cell>
          <cell r="K1321">
            <v>10</v>
          </cell>
        </row>
        <row r="1322">
          <cell r="A1322" t="str">
            <v>UPK33WS-46</v>
          </cell>
          <cell r="B1322">
            <v>9</v>
          </cell>
          <cell r="C1322">
            <v>73</v>
          </cell>
          <cell r="D1322">
            <v>50</v>
          </cell>
          <cell r="E1322">
            <v>0.6</v>
          </cell>
          <cell r="F1322">
            <v>1333</v>
          </cell>
          <cell r="G1322" t="str">
            <v>golf</v>
          </cell>
          <cell r="H1322" t="str">
            <v>122*15*10</v>
          </cell>
          <cell r="I1322">
            <v>122</v>
          </cell>
          <cell r="J1322">
            <v>15</v>
          </cell>
          <cell r="K1322">
            <v>10</v>
          </cell>
        </row>
        <row r="1323">
          <cell r="A1323" t="str">
            <v>UFRMR70WR-48-350</v>
          </cell>
          <cell r="B1323">
            <v>9</v>
          </cell>
          <cell r="C1323">
            <v>40</v>
          </cell>
          <cell r="D1323">
            <v>54</v>
          </cell>
          <cell r="E1323">
            <v>0.64</v>
          </cell>
          <cell r="F1323">
            <v>1334</v>
          </cell>
          <cell r="G1323" t="str">
            <v>golf</v>
          </cell>
          <cell r="H1323" t="str">
            <v>130*15*10</v>
          </cell>
          <cell r="I1323">
            <v>130</v>
          </cell>
          <cell r="J1323">
            <v>15</v>
          </cell>
          <cell r="K1323">
            <v>10</v>
          </cell>
        </row>
        <row r="1324">
          <cell r="A1324" t="str">
            <v>UFRMR70WX-48-350</v>
          </cell>
          <cell r="B1324">
            <v>9</v>
          </cell>
          <cell r="C1324">
            <v>40</v>
          </cell>
          <cell r="D1324">
            <v>54</v>
          </cell>
          <cell r="E1324">
            <v>0.64</v>
          </cell>
          <cell r="F1324">
            <v>1335</v>
          </cell>
          <cell r="G1324" t="str">
            <v>golf</v>
          </cell>
          <cell r="H1324" t="str">
            <v>130*15*10</v>
          </cell>
          <cell r="I1324">
            <v>130</v>
          </cell>
          <cell r="J1324">
            <v>15</v>
          </cell>
          <cell r="K1324">
            <v>10</v>
          </cell>
        </row>
        <row r="1325">
          <cell r="A1325" t="str">
            <v>UPK33WL-46</v>
          </cell>
          <cell r="B1325">
            <v>9</v>
          </cell>
          <cell r="C1325">
            <v>65</v>
          </cell>
          <cell r="D1325">
            <v>50</v>
          </cell>
          <cell r="E1325">
            <v>0.6</v>
          </cell>
          <cell r="F1325">
            <v>1336</v>
          </cell>
          <cell r="G1325" t="str">
            <v>golf</v>
          </cell>
          <cell r="H1325" t="str">
            <v>122*15*10</v>
          </cell>
          <cell r="I1325">
            <v>122</v>
          </cell>
          <cell r="J1325">
            <v>15</v>
          </cell>
          <cell r="K1325">
            <v>10</v>
          </cell>
        </row>
        <row r="1326">
          <cell r="A1326" t="str">
            <v>UPKIL-41</v>
          </cell>
          <cell r="B1326">
            <v>9</v>
          </cell>
          <cell r="C1326">
            <v>65</v>
          </cell>
          <cell r="D1326">
            <v>50</v>
          </cell>
          <cell r="E1326">
            <v>0.6</v>
          </cell>
          <cell r="F1326">
            <v>1337</v>
          </cell>
          <cell r="G1326" t="str">
            <v>golf</v>
          </cell>
          <cell r="H1326" t="str">
            <v>122*15*10</v>
          </cell>
          <cell r="I1326">
            <v>122</v>
          </cell>
          <cell r="J1326">
            <v>15</v>
          </cell>
          <cell r="K1326">
            <v>10</v>
          </cell>
        </row>
        <row r="1327">
          <cell r="A1327" t="str">
            <v>CCM-V8.9-ST-4054-AO</v>
          </cell>
          <cell r="B1327">
            <v>9</v>
          </cell>
          <cell r="C1327">
            <v>350</v>
          </cell>
          <cell r="D1327">
            <v>50</v>
          </cell>
          <cell r="E1327">
            <v>1.48</v>
          </cell>
          <cell r="F1327">
            <v>1338</v>
          </cell>
          <cell r="G1327" t="str">
            <v>shaft</v>
          </cell>
          <cell r="H1327" t="str">
            <v>145*29*16</v>
          </cell>
          <cell r="I1327">
            <v>145</v>
          </cell>
          <cell r="J1327">
            <v>29</v>
          </cell>
          <cell r="K1327">
            <v>16</v>
          </cell>
        </row>
        <row r="1328">
          <cell r="A1328" t="str">
            <v>CCM-V8.9-ST-3554-AO</v>
          </cell>
          <cell r="B1328">
            <v>9</v>
          </cell>
          <cell r="C1328">
            <v>350</v>
          </cell>
          <cell r="D1328">
            <v>50</v>
          </cell>
          <cell r="E1328">
            <v>1.48</v>
          </cell>
          <cell r="F1328">
            <v>1339</v>
          </cell>
          <cell r="G1328" t="str">
            <v>shaft</v>
          </cell>
          <cell r="H1328" t="str">
            <v>145*29*16</v>
          </cell>
          <cell r="I1328">
            <v>145</v>
          </cell>
          <cell r="J1328">
            <v>29</v>
          </cell>
          <cell r="K1328">
            <v>16</v>
          </cell>
        </row>
        <row r="1329">
          <cell r="A1329" t="str">
            <v>CCM-V10-ST-4054-AO</v>
          </cell>
          <cell r="B1329">
            <v>9</v>
          </cell>
          <cell r="C1329">
            <v>320</v>
          </cell>
          <cell r="D1329">
            <v>50</v>
          </cell>
          <cell r="E1329">
            <v>1.48</v>
          </cell>
          <cell r="F1329">
            <v>1340</v>
          </cell>
          <cell r="G1329" t="str">
            <v>shaft</v>
          </cell>
          <cell r="H1329" t="str">
            <v>145*29*16</v>
          </cell>
          <cell r="I1329">
            <v>145</v>
          </cell>
          <cell r="J1329">
            <v>29</v>
          </cell>
          <cell r="K1329">
            <v>16</v>
          </cell>
        </row>
        <row r="1330">
          <cell r="A1330" t="str">
            <v>CCM-V10-ST-3554-AO</v>
          </cell>
          <cell r="B1330">
            <v>9</v>
          </cell>
          <cell r="C1330">
            <v>320</v>
          </cell>
          <cell r="D1330">
            <v>50</v>
          </cell>
          <cell r="E1330">
            <v>1.48</v>
          </cell>
          <cell r="F1330">
            <v>1341</v>
          </cell>
          <cell r="G1330" t="str">
            <v>shaft</v>
          </cell>
          <cell r="H1330" t="str">
            <v>145*29*16</v>
          </cell>
          <cell r="I1330">
            <v>145</v>
          </cell>
          <cell r="J1330">
            <v>29</v>
          </cell>
          <cell r="K1330">
            <v>16</v>
          </cell>
        </row>
        <row r="1331">
          <cell r="A1331" t="str">
            <v>ULAUNCHREDFWWR-44</v>
          </cell>
          <cell r="B1331">
            <v>9</v>
          </cell>
          <cell r="C1331">
            <v>74</v>
          </cell>
          <cell r="D1331">
            <v>50</v>
          </cell>
          <cell r="E1331">
            <v>0.6</v>
          </cell>
          <cell r="F1331">
            <v>1342</v>
          </cell>
          <cell r="G1331" t="str">
            <v>golf</v>
          </cell>
          <cell r="H1331" t="str">
            <v>122*15*10</v>
          </cell>
          <cell r="I1331">
            <v>122</v>
          </cell>
          <cell r="J1331">
            <v>15</v>
          </cell>
          <cell r="K1331">
            <v>10</v>
          </cell>
        </row>
        <row r="1332">
          <cell r="A1332" t="str">
            <v>PLHB-40-R</v>
          </cell>
          <cell r="B1332">
            <v>9</v>
          </cell>
          <cell r="C1332">
            <v>230</v>
          </cell>
          <cell r="D1332">
            <v>1</v>
          </cell>
          <cell r="E1332">
            <v>0.4</v>
          </cell>
          <cell r="F1332">
            <v>1343</v>
          </cell>
          <cell r="G1332" t="str">
            <v>handbar</v>
          </cell>
          <cell r="H1332" t="str">
            <v>52*20*15</v>
          </cell>
          <cell r="I1332">
            <v>52</v>
          </cell>
          <cell r="J1332">
            <v>20</v>
          </cell>
          <cell r="K1332">
            <v>15</v>
          </cell>
        </row>
        <row r="1333">
          <cell r="A1333" t="str">
            <v>LAUNCHREDIR-SET</v>
          </cell>
          <cell r="B1333">
            <v>9</v>
          </cell>
          <cell r="C1333">
            <v>696</v>
          </cell>
          <cell r="D1333">
            <v>6</v>
          </cell>
          <cell r="E1333">
            <v>0.6</v>
          </cell>
          <cell r="F1333">
            <v>1344</v>
          </cell>
          <cell r="G1333" t="str">
            <v>golf</v>
          </cell>
          <cell r="H1333" t="str">
            <v>122*15*10</v>
          </cell>
          <cell r="I1333">
            <v>122</v>
          </cell>
          <cell r="J1333">
            <v>15</v>
          </cell>
          <cell r="K1333">
            <v>10</v>
          </cell>
        </row>
        <row r="1334">
          <cell r="A1334" t="str">
            <v>LAUNCHREDIS-SET</v>
          </cell>
          <cell r="B1334">
            <v>9</v>
          </cell>
          <cell r="C1334">
            <v>704</v>
          </cell>
          <cell r="D1334">
            <v>6</v>
          </cell>
          <cell r="E1334">
            <v>0.6</v>
          </cell>
          <cell r="F1334">
            <v>1345</v>
          </cell>
          <cell r="G1334" t="str">
            <v>golf</v>
          </cell>
          <cell r="H1334" t="str">
            <v>122*15*10</v>
          </cell>
          <cell r="I1334">
            <v>122</v>
          </cell>
          <cell r="J1334">
            <v>15</v>
          </cell>
          <cell r="K1334">
            <v>10</v>
          </cell>
        </row>
        <row r="1335">
          <cell r="A1335" t="str">
            <v>ULAUNCHOSFWWS-44</v>
          </cell>
          <cell r="B1335">
            <v>9</v>
          </cell>
          <cell r="C1335">
            <v>81</v>
          </cell>
          <cell r="D1335">
            <v>50</v>
          </cell>
          <cell r="E1335">
            <v>0.6</v>
          </cell>
          <cell r="F1335">
            <v>1346</v>
          </cell>
          <cell r="G1335" t="str">
            <v>golf</v>
          </cell>
          <cell r="H1335" t="str">
            <v>122*15*10</v>
          </cell>
          <cell r="I1335">
            <v>122</v>
          </cell>
          <cell r="J1335">
            <v>15</v>
          </cell>
          <cell r="K1335">
            <v>10</v>
          </cell>
        </row>
        <row r="1336">
          <cell r="A1336" t="str">
            <v>QGS10-8-741-2</v>
          </cell>
          <cell r="B1336">
            <v>9</v>
          </cell>
          <cell r="C1336">
            <v>337</v>
          </cell>
          <cell r="D1336">
            <v>1</v>
          </cell>
          <cell r="E1336">
            <v>0.5</v>
          </cell>
          <cell r="F1336">
            <v>1347</v>
          </cell>
          <cell r="G1336" t="str">
            <v>fork</v>
          </cell>
          <cell r="H1336" t="str">
            <v>89*14*9</v>
          </cell>
          <cell r="I1336">
            <v>89</v>
          </cell>
          <cell r="J1336">
            <v>14</v>
          </cell>
          <cell r="K1336">
            <v>9</v>
          </cell>
        </row>
        <row r="1337">
          <cell r="A1337" t="str">
            <v>UCLITEIR-41</v>
          </cell>
          <cell r="B1337">
            <v>9</v>
          </cell>
          <cell r="C1337">
            <v>84</v>
          </cell>
          <cell r="D1337">
            <v>50</v>
          </cell>
          <cell r="E1337">
            <v>0.6</v>
          </cell>
          <cell r="F1337">
            <v>1348</v>
          </cell>
          <cell r="G1337" t="str">
            <v>golf</v>
          </cell>
          <cell r="H1337" t="str">
            <v>122*15*10</v>
          </cell>
          <cell r="I1337">
            <v>122</v>
          </cell>
          <cell r="J1337">
            <v>15</v>
          </cell>
          <cell r="K1337">
            <v>10</v>
          </cell>
        </row>
        <row r="1338">
          <cell r="A1338" t="str">
            <v>ULAUNCHOSFWWR-44</v>
          </cell>
          <cell r="B1338">
            <v>9</v>
          </cell>
          <cell r="C1338">
            <v>74</v>
          </cell>
          <cell r="D1338">
            <v>50</v>
          </cell>
          <cell r="E1338">
            <v>0.6</v>
          </cell>
          <cell r="F1338">
            <v>1349</v>
          </cell>
          <cell r="G1338" t="str">
            <v>golf</v>
          </cell>
          <cell r="H1338" t="str">
            <v>122*15*10</v>
          </cell>
          <cell r="I1338">
            <v>122</v>
          </cell>
          <cell r="J1338">
            <v>15</v>
          </cell>
          <cell r="K1338">
            <v>10</v>
          </cell>
        </row>
        <row r="1339">
          <cell r="A1339" t="str">
            <v>ULAUNCHOSHYIR-41</v>
          </cell>
          <cell r="B1339">
            <v>9</v>
          </cell>
          <cell r="C1339">
            <v>74</v>
          </cell>
          <cell r="D1339">
            <v>50</v>
          </cell>
          <cell r="E1339">
            <v>0.6</v>
          </cell>
          <cell r="F1339">
            <v>1350</v>
          </cell>
          <cell r="G1339" t="str">
            <v>golf</v>
          </cell>
          <cell r="H1339" t="str">
            <v>122*15*10</v>
          </cell>
          <cell r="I1339">
            <v>122</v>
          </cell>
          <cell r="J1339">
            <v>15</v>
          </cell>
          <cell r="K1339">
            <v>10</v>
          </cell>
        </row>
        <row r="1340">
          <cell r="A1340" t="str">
            <v>CCM-V10-TT-4556-RD</v>
          </cell>
          <cell r="B1340">
            <v>9</v>
          </cell>
          <cell r="C1340">
            <v>340</v>
          </cell>
          <cell r="D1340">
            <v>50</v>
          </cell>
          <cell r="E1340">
            <v>1.48</v>
          </cell>
          <cell r="F1340">
            <v>1351</v>
          </cell>
          <cell r="G1340" t="str">
            <v>shaft</v>
          </cell>
          <cell r="H1340" t="str">
            <v>145*29*16</v>
          </cell>
          <cell r="I1340">
            <v>145</v>
          </cell>
          <cell r="J1340">
            <v>29</v>
          </cell>
          <cell r="K1340">
            <v>16</v>
          </cell>
        </row>
        <row r="1341">
          <cell r="A1341" t="str">
            <v>CCM-V10-TT-5056-RD</v>
          </cell>
          <cell r="B1341">
            <v>9</v>
          </cell>
          <cell r="C1341">
            <v>340</v>
          </cell>
          <cell r="D1341">
            <v>50</v>
          </cell>
          <cell r="E1341">
            <v>1.48</v>
          </cell>
          <cell r="F1341">
            <v>1352</v>
          </cell>
          <cell r="G1341" t="str">
            <v>shaft</v>
          </cell>
          <cell r="H1341" t="str">
            <v>145*29*16</v>
          </cell>
          <cell r="I1341">
            <v>145</v>
          </cell>
          <cell r="J1341">
            <v>29</v>
          </cell>
          <cell r="K1341">
            <v>16</v>
          </cell>
        </row>
        <row r="1342">
          <cell r="A1342" t="str">
            <v>CCM-V10-TT-5556-RD</v>
          </cell>
          <cell r="B1342">
            <v>9</v>
          </cell>
          <cell r="C1342">
            <v>340</v>
          </cell>
          <cell r="D1342">
            <v>50</v>
          </cell>
          <cell r="E1342">
            <v>1.48</v>
          </cell>
          <cell r="F1342">
            <v>1353</v>
          </cell>
          <cell r="G1342" t="str">
            <v>shaft</v>
          </cell>
          <cell r="H1342" t="str">
            <v>145*29*16</v>
          </cell>
          <cell r="I1342">
            <v>145</v>
          </cell>
          <cell r="J1342">
            <v>29</v>
          </cell>
          <cell r="K1342">
            <v>16</v>
          </cell>
        </row>
        <row r="1343">
          <cell r="A1343" t="str">
            <v>CCM-V10-TT-6056-RD</v>
          </cell>
          <cell r="B1343">
            <v>9</v>
          </cell>
          <cell r="C1343">
            <v>340</v>
          </cell>
          <cell r="D1343">
            <v>50</v>
          </cell>
          <cell r="E1343">
            <v>1.48</v>
          </cell>
          <cell r="F1343">
            <v>1354</v>
          </cell>
          <cell r="G1343" t="str">
            <v>shaft</v>
          </cell>
          <cell r="H1343" t="str">
            <v>145*29*16</v>
          </cell>
          <cell r="I1343">
            <v>145</v>
          </cell>
          <cell r="J1343">
            <v>29</v>
          </cell>
          <cell r="K1343">
            <v>16</v>
          </cell>
        </row>
        <row r="1344">
          <cell r="A1344" t="str">
            <v>ULAUNCHREDADWX-46</v>
          </cell>
          <cell r="B1344">
            <v>9</v>
          </cell>
          <cell r="C1344">
            <v>67</v>
          </cell>
          <cell r="D1344">
            <v>50</v>
          </cell>
          <cell r="E1344">
            <v>0.6</v>
          </cell>
          <cell r="F1344">
            <v>1355</v>
          </cell>
          <cell r="G1344" t="str">
            <v>golf</v>
          </cell>
          <cell r="H1344" t="str">
            <v>122*15*10</v>
          </cell>
          <cell r="I1344">
            <v>122</v>
          </cell>
          <cell r="J1344">
            <v>15</v>
          </cell>
          <cell r="K1344">
            <v>10</v>
          </cell>
        </row>
        <row r="1345">
          <cell r="A1345" t="str">
            <v>RBK-7.1K-SC-3551</v>
          </cell>
          <cell r="B1345">
            <v>9</v>
          </cell>
          <cell r="C1345">
            <v>340</v>
          </cell>
          <cell r="D1345">
            <v>50</v>
          </cell>
          <cell r="E1345">
            <v>1.48</v>
          </cell>
          <cell r="F1345">
            <v>1356</v>
          </cell>
          <cell r="G1345" t="str">
            <v>shaft</v>
          </cell>
          <cell r="H1345" t="str">
            <v>145*29*16</v>
          </cell>
          <cell r="I1345">
            <v>145</v>
          </cell>
          <cell r="J1345">
            <v>29</v>
          </cell>
          <cell r="K1345">
            <v>16</v>
          </cell>
        </row>
        <row r="1346">
          <cell r="A1346" t="str">
            <v>QGS30-8H-744-B</v>
          </cell>
          <cell r="B1346">
            <v>9</v>
          </cell>
          <cell r="C1346">
            <v>332</v>
          </cell>
          <cell r="D1346">
            <v>1</v>
          </cell>
          <cell r="E1346">
            <v>0.5</v>
          </cell>
          <cell r="F1346">
            <v>1357</v>
          </cell>
          <cell r="G1346" t="str">
            <v>fork</v>
          </cell>
          <cell r="H1346" t="str">
            <v>89*14*9</v>
          </cell>
          <cell r="I1346">
            <v>89</v>
          </cell>
          <cell r="J1346">
            <v>14</v>
          </cell>
          <cell r="K1346">
            <v>9</v>
          </cell>
        </row>
        <row r="1347">
          <cell r="A1347" t="str">
            <v>ULAUNCHHYRMIR-41</v>
          </cell>
          <cell r="B1347">
            <v>9</v>
          </cell>
          <cell r="C1347">
            <v>76</v>
          </cell>
          <cell r="D1347">
            <v>50</v>
          </cell>
          <cell r="E1347">
            <v>0.6</v>
          </cell>
          <cell r="F1347">
            <v>1358</v>
          </cell>
          <cell r="G1347" t="str">
            <v>golf</v>
          </cell>
          <cell r="H1347" t="str">
            <v>122*15*10</v>
          </cell>
          <cell r="I1347">
            <v>122</v>
          </cell>
          <cell r="J1347">
            <v>15</v>
          </cell>
          <cell r="K1347">
            <v>10</v>
          </cell>
        </row>
        <row r="1348">
          <cell r="A1348" t="str">
            <v>ULAUNCHHYRMIS-41</v>
          </cell>
          <cell r="B1348">
            <v>9</v>
          </cell>
          <cell r="C1348">
            <v>76</v>
          </cell>
          <cell r="D1348">
            <v>50</v>
          </cell>
          <cell r="E1348">
            <v>0.6</v>
          </cell>
          <cell r="F1348">
            <v>1359</v>
          </cell>
          <cell r="G1348" t="str">
            <v>golf</v>
          </cell>
          <cell r="H1348" t="str">
            <v>122*15*10</v>
          </cell>
          <cell r="I1348">
            <v>122</v>
          </cell>
          <cell r="J1348">
            <v>15</v>
          </cell>
          <cell r="K1348">
            <v>10</v>
          </cell>
        </row>
        <row r="1349">
          <cell r="A1349" t="str">
            <v>BAL-ULTRA-T-12055-UP</v>
          </cell>
          <cell r="B1349">
            <v>9</v>
          </cell>
          <cell r="C1349">
            <v>320</v>
          </cell>
          <cell r="D1349">
            <v>50</v>
          </cell>
          <cell r="E1349">
            <v>1.48</v>
          </cell>
          <cell r="F1349">
            <v>1360</v>
          </cell>
          <cell r="G1349" t="str">
            <v>shaft</v>
          </cell>
          <cell r="H1349" t="str">
            <v>145*29*16</v>
          </cell>
          <cell r="I1349">
            <v>145</v>
          </cell>
          <cell r="J1349">
            <v>29</v>
          </cell>
          <cell r="K1349">
            <v>16</v>
          </cell>
        </row>
        <row r="1350">
          <cell r="A1350" t="str">
            <v>ULAUNCHREDADHYIS-41</v>
          </cell>
          <cell r="B1350">
            <v>9</v>
          </cell>
          <cell r="C1350">
            <v>80</v>
          </cell>
          <cell r="D1350">
            <v>100</v>
          </cell>
          <cell r="E1350">
            <v>0.72</v>
          </cell>
          <cell r="F1350">
            <v>1361</v>
          </cell>
          <cell r="G1350" t="str">
            <v>golf</v>
          </cell>
          <cell r="H1350" t="str">
            <v>111*29*10</v>
          </cell>
          <cell r="I1350">
            <v>111</v>
          </cell>
          <cell r="J1350">
            <v>29</v>
          </cell>
          <cell r="K1350">
            <v>10</v>
          </cell>
        </row>
        <row r="1351">
          <cell r="A1351" t="str">
            <v>QGS10-8-750-2</v>
          </cell>
          <cell r="B1351">
            <v>9</v>
          </cell>
          <cell r="C1351">
            <v>337</v>
          </cell>
          <cell r="D1351">
            <v>1</v>
          </cell>
          <cell r="E1351">
            <v>0.5</v>
          </cell>
          <cell r="F1351">
            <v>1362</v>
          </cell>
          <cell r="G1351" t="str">
            <v>fork</v>
          </cell>
          <cell r="H1351" t="str">
            <v>89*14*9</v>
          </cell>
          <cell r="I1351">
            <v>89</v>
          </cell>
          <cell r="J1351">
            <v>14</v>
          </cell>
          <cell r="K1351">
            <v>9</v>
          </cell>
        </row>
        <row r="1352">
          <cell r="A1352" t="str">
            <v>ULAUNCHRMFWR-44</v>
          </cell>
          <cell r="B1352">
            <v>9</v>
          </cell>
          <cell r="C1352">
            <v>84</v>
          </cell>
          <cell r="D1352">
            <v>50</v>
          </cell>
          <cell r="E1352">
            <v>0.6</v>
          </cell>
          <cell r="F1352">
            <v>1363</v>
          </cell>
          <cell r="G1352" t="str">
            <v>golf</v>
          </cell>
          <cell r="H1352" t="str">
            <v>122*15*10</v>
          </cell>
          <cell r="I1352">
            <v>122</v>
          </cell>
          <cell r="J1352">
            <v>15</v>
          </cell>
          <cell r="K1352">
            <v>10</v>
          </cell>
        </row>
        <row r="1353">
          <cell r="A1353" t="str">
            <v>ULAUNCHREDADIS-41</v>
          </cell>
          <cell r="B1353">
            <v>9</v>
          </cell>
          <cell r="C1353">
            <v>76</v>
          </cell>
          <cell r="D1353">
            <v>100</v>
          </cell>
          <cell r="E1353">
            <v>0.72</v>
          </cell>
          <cell r="F1353">
            <v>1364</v>
          </cell>
          <cell r="G1353" t="str">
            <v>golf</v>
          </cell>
          <cell r="H1353" t="str">
            <v>111*29*10</v>
          </cell>
          <cell r="I1353">
            <v>111</v>
          </cell>
          <cell r="J1353">
            <v>29</v>
          </cell>
          <cell r="K1353">
            <v>10</v>
          </cell>
        </row>
        <row r="1354">
          <cell r="A1354" t="str">
            <v>ULAUNCHRMFWS-44</v>
          </cell>
          <cell r="B1354">
            <v>9</v>
          </cell>
          <cell r="C1354">
            <v>87</v>
          </cell>
          <cell r="D1354">
            <v>50</v>
          </cell>
          <cell r="E1354">
            <v>0.6</v>
          </cell>
          <cell r="F1354">
            <v>1365</v>
          </cell>
          <cell r="G1354" t="str">
            <v>golf</v>
          </cell>
          <cell r="H1354" t="str">
            <v>122*15*10</v>
          </cell>
          <cell r="I1354">
            <v>122</v>
          </cell>
          <cell r="J1354">
            <v>15</v>
          </cell>
          <cell r="K1354">
            <v>10</v>
          </cell>
        </row>
        <row r="1355">
          <cell r="A1355" t="str">
            <v>ULAUNCHREDADIR-41</v>
          </cell>
          <cell r="B1355">
            <v>9</v>
          </cell>
          <cell r="C1355">
            <v>76</v>
          </cell>
          <cell r="D1355">
            <v>100</v>
          </cell>
          <cell r="E1355">
            <v>0.72</v>
          </cell>
          <cell r="F1355">
            <v>1366</v>
          </cell>
          <cell r="G1355" t="str">
            <v>golf</v>
          </cell>
          <cell r="H1355" t="str">
            <v>111*29*10</v>
          </cell>
          <cell r="I1355">
            <v>111</v>
          </cell>
          <cell r="J1355">
            <v>29</v>
          </cell>
          <cell r="K1355">
            <v>10</v>
          </cell>
        </row>
        <row r="1356">
          <cell r="A1356" t="str">
            <v>ULAUNCHREDADHYIR-41</v>
          </cell>
          <cell r="B1356">
            <v>9</v>
          </cell>
          <cell r="C1356">
            <v>78</v>
          </cell>
          <cell r="D1356">
            <v>100</v>
          </cell>
          <cell r="E1356">
            <v>0.72</v>
          </cell>
          <cell r="F1356">
            <v>1367</v>
          </cell>
          <cell r="G1356" t="str">
            <v>golf</v>
          </cell>
          <cell r="H1356" t="str">
            <v>111*29*10</v>
          </cell>
          <cell r="I1356">
            <v>111</v>
          </cell>
          <cell r="J1356">
            <v>29</v>
          </cell>
          <cell r="K1356">
            <v>10</v>
          </cell>
        </row>
        <row r="1357">
          <cell r="A1357" t="str">
            <v>ULAUNCHREDADFWWX-46</v>
          </cell>
          <cell r="B1357">
            <v>9</v>
          </cell>
          <cell r="C1357">
            <v>80</v>
          </cell>
          <cell r="D1357">
            <v>50</v>
          </cell>
          <cell r="E1357">
            <v>0.6</v>
          </cell>
          <cell r="F1357">
            <v>1368</v>
          </cell>
          <cell r="G1357" t="str">
            <v>golf</v>
          </cell>
          <cell r="H1357" t="str">
            <v>122*15*10</v>
          </cell>
          <cell r="I1357">
            <v>122</v>
          </cell>
          <cell r="J1357">
            <v>15</v>
          </cell>
          <cell r="K1357">
            <v>10</v>
          </cell>
        </row>
        <row r="1358">
          <cell r="A1358" t="str">
            <v>CCM-V10-ST-4054</v>
          </cell>
          <cell r="B1358">
            <v>9</v>
          </cell>
          <cell r="C1358">
            <v>360</v>
          </cell>
          <cell r="D1358">
            <v>50</v>
          </cell>
          <cell r="E1358">
            <v>1.48</v>
          </cell>
          <cell r="F1358">
            <v>1369</v>
          </cell>
          <cell r="G1358" t="str">
            <v>shaft</v>
          </cell>
          <cell r="H1358" t="str">
            <v>145*29*16</v>
          </cell>
          <cell r="I1358">
            <v>145</v>
          </cell>
          <cell r="J1358">
            <v>29</v>
          </cell>
          <cell r="K1358">
            <v>16</v>
          </cell>
        </row>
        <row r="1359">
          <cell r="A1359" t="str">
            <v>UBLUPNTHY35WS-44</v>
          </cell>
          <cell r="B1359">
            <v>9</v>
          </cell>
          <cell r="C1359">
            <v>79</v>
          </cell>
          <cell r="D1359">
            <v>50</v>
          </cell>
          <cell r="E1359">
            <v>0.6</v>
          </cell>
          <cell r="F1359">
            <v>1370</v>
          </cell>
          <cell r="G1359" t="str">
            <v>golf</v>
          </cell>
          <cell r="H1359" t="str">
            <v>122*15*10</v>
          </cell>
          <cell r="I1359">
            <v>122</v>
          </cell>
          <cell r="J1359">
            <v>15</v>
          </cell>
          <cell r="K1359">
            <v>10</v>
          </cell>
        </row>
        <row r="1360">
          <cell r="A1360" t="str">
            <v>ULAUNCHRED35FWWS-44</v>
          </cell>
          <cell r="B1360">
            <v>9</v>
          </cell>
          <cell r="C1360">
            <v>78</v>
          </cell>
          <cell r="D1360">
            <v>50</v>
          </cell>
          <cell r="E1360">
            <v>0.6</v>
          </cell>
          <cell r="F1360">
            <v>1371</v>
          </cell>
          <cell r="G1360" t="str">
            <v>golf</v>
          </cell>
          <cell r="H1360" t="str">
            <v>122*15*10</v>
          </cell>
          <cell r="I1360">
            <v>122</v>
          </cell>
          <cell r="J1360">
            <v>15</v>
          </cell>
          <cell r="K1360">
            <v>10</v>
          </cell>
        </row>
        <row r="1361">
          <cell r="A1361" t="str">
            <v>ULAUNCHRED35FWWR-44</v>
          </cell>
          <cell r="B1361">
            <v>9</v>
          </cell>
          <cell r="C1361">
            <v>76</v>
          </cell>
          <cell r="D1361">
            <v>50</v>
          </cell>
          <cell r="E1361">
            <v>0.6</v>
          </cell>
          <cell r="F1361">
            <v>1372</v>
          </cell>
          <cell r="G1361" t="str">
            <v>golf</v>
          </cell>
          <cell r="H1361" t="str">
            <v>122*15*10</v>
          </cell>
          <cell r="I1361">
            <v>122</v>
          </cell>
          <cell r="J1361">
            <v>15</v>
          </cell>
          <cell r="K1361">
            <v>10</v>
          </cell>
        </row>
        <row r="1362">
          <cell r="A1362" t="str">
            <v>LAUNCHREDHYIR-41</v>
          </cell>
          <cell r="B1362">
            <v>9</v>
          </cell>
          <cell r="C1362">
            <v>81</v>
          </cell>
          <cell r="D1362">
            <v>50</v>
          </cell>
          <cell r="E1362">
            <v>0.6</v>
          </cell>
          <cell r="F1362">
            <v>1373</v>
          </cell>
          <cell r="G1362" t="str">
            <v>golf</v>
          </cell>
          <cell r="H1362" t="str">
            <v>122*15*10</v>
          </cell>
          <cell r="I1362">
            <v>122</v>
          </cell>
          <cell r="J1362">
            <v>15</v>
          </cell>
          <cell r="K1362">
            <v>10</v>
          </cell>
        </row>
        <row r="1363">
          <cell r="A1363" t="str">
            <v>ULAUNCHRED35FWWX-44</v>
          </cell>
          <cell r="B1363">
            <v>9</v>
          </cell>
          <cell r="C1363">
            <v>79</v>
          </cell>
          <cell r="D1363">
            <v>50</v>
          </cell>
          <cell r="E1363">
            <v>0.6</v>
          </cell>
          <cell r="F1363">
            <v>1374</v>
          </cell>
          <cell r="G1363" t="str">
            <v>golf</v>
          </cell>
          <cell r="H1363" t="str">
            <v>122*15*10</v>
          </cell>
          <cell r="I1363">
            <v>122</v>
          </cell>
          <cell r="J1363">
            <v>15</v>
          </cell>
          <cell r="K1363">
            <v>10</v>
          </cell>
        </row>
        <row r="1364">
          <cell r="A1364" t="str">
            <v>TB1000-26</v>
          </cell>
          <cell r="B1364">
            <v>9</v>
          </cell>
          <cell r="C1364">
            <v>0</v>
          </cell>
          <cell r="D1364">
            <v>0</v>
          </cell>
          <cell r="F1364">
            <v>1375</v>
          </cell>
          <cell r="G1364" t="str">
            <v>steer tube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</row>
        <row r="1365">
          <cell r="A1365" t="str">
            <v>SHR-RM9-S53R</v>
          </cell>
          <cell r="B1365">
            <v>9</v>
          </cell>
          <cell r="C1365">
            <v>155</v>
          </cell>
          <cell r="D1365">
            <v>6</v>
          </cell>
          <cell r="E1365">
            <v>0.2</v>
          </cell>
          <cell r="F1365">
            <v>1376</v>
          </cell>
          <cell r="G1365" t="str">
            <v>blade</v>
          </cell>
          <cell r="H1365" t="str">
            <v>45*26*8</v>
          </cell>
          <cell r="I1365">
            <v>45</v>
          </cell>
          <cell r="J1365">
            <v>26</v>
          </cell>
          <cell r="K1365">
            <v>8</v>
          </cell>
        </row>
        <row r="1366">
          <cell r="A1366" t="str">
            <v>SHR-RM9-S53L</v>
          </cell>
          <cell r="B1366">
            <v>9</v>
          </cell>
          <cell r="C1366">
            <v>155</v>
          </cell>
          <cell r="D1366">
            <v>6</v>
          </cell>
          <cell r="E1366">
            <v>0.2</v>
          </cell>
          <cell r="F1366">
            <v>1377</v>
          </cell>
          <cell r="G1366" t="str">
            <v>blade</v>
          </cell>
          <cell r="H1366" t="str">
            <v>45*26*8</v>
          </cell>
          <cell r="I1366">
            <v>45</v>
          </cell>
          <cell r="J1366">
            <v>26</v>
          </cell>
          <cell r="K1366">
            <v>8</v>
          </cell>
        </row>
        <row r="1367">
          <cell r="A1367" t="str">
            <v>SHR-RM9-S56R</v>
          </cell>
          <cell r="B1367">
            <v>9</v>
          </cell>
          <cell r="C1367">
            <v>155</v>
          </cell>
          <cell r="D1367">
            <v>6</v>
          </cell>
          <cell r="E1367">
            <v>0.2</v>
          </cell>
          <cell r="F1367">
            <v>1378</v>
          </cell>
          <cell r="G1367" t="str">
            <v>blade</v>
          </cell>
          <cell r="H1367" t="str">
            <v>45*26*8</v>
          </cell>
          <cell r="I1367">
            <v>45</v>
          </cell>
          <cell r="J1367">
            <v>26</v>
          </cell>
          <cell r="K1367">
            <v>8</v>
          </cell>
        </row>
        <row r="1368">
          <cell r="A1368" t="str">
            <v>SHR-RM9-S56L</v>
          </cell>
          <cell r="B1368">
            <v>9</v>
          </cell>
          <cell r="C1368">
            <v>155</v>
          </cell>
          <cell r="D1368">
            <v>6</v>
          </cell>
          <cell r="E1368">
            <v>0.2</v>
          </cell>
          <cell r="F1368">
            <v>1379</v>
          </cell>
          <cell r="G1368" t="str">
            <v>blade</v>
          </cell>
          <cell r="H1368" t="str">
            <v>45*26*8</v>
          </cell>
          <cell r="I1368">
            <v>45</v>
          </cell>
          <cell r="J1368">
            <v>26</v>
          </cell>
          <cell r="K1368">
            <v>8</v>
          </cell>
        </row>
        <row r="1369">
          <cell r="A1369" t="str">
            <v>SHR-RM9-S63R</v>
          </cell>
          <cell r="B1369">
            <v>9</v>
          </cell>
          <cell r="C1369">
            <v>155</v>
          </cell>
          <cell r="D1369">
            <v>6</v>
          </cell>
          <cell r="E1369">
            <v>0.2</v>
          </cell>
          <cell r="F1369">
            <v>1380</v>
          </cell>
          <cell r="G1369" t="str">
            <v>blade</v>
          </cell>
          <cell r="H1369" t="str">
            <v>45*26*8</v>
          </cell>
          <cell r="I1369">
            <v>45</v>
          </cell>
          <cell r="J1369">
            <v>26</v>
          </cell>
          <cell r="K1369">
            <v>8</v>
          </cell>
        </row>
        <row r="1370">
          <cell r="A1370" t="str">
            <v>SHR-RM9-S63L</v>
          </cell>
          <cell r="B1370">
            <v>9</v>
          </cell>
          <cell r="C1370">
            <v>155</v>
          </cell>
          <cell r="D1370">
            <v>6</v>
          </cell>
          <cell r="E1370">
            <v>0.2</v>
          </cell>
          <cell r="F1370">
            <v>1381</v>
          </cell>
          <cell r="G1370" t="str">
            <v>blade</v>
          </cell>
          <cell r="H1370" t="str">
            <v>45*26*8</v>
          </cell>
          <cell r="I1370">
            <v>45</v>
          </cell>
          <cell r="J1370">
            <v>26</v>
          </cell>
          <cell r="K1370">
            <v>8</v>
          </cell>
        </row>
        <row r="1371">
          <cell r="A1371" t="str">
            <v>CCM-V10-COPS-4560-RD</v>
          </cell>
          <cell r="B1371">
            <v>9</v>
          </cell>
          <cell r="C1371">
            <v>360</v>
          </cell>
          <cell r="D1371">
            <v>50</v>
          </cell>
          <cell r="E1371">
            <v>1.5</v>
          </cell>
          <cell r="F1371">
            <v>1382</v>
          </cell>
          <cell r="G1371" t="str">
            <v>shaft</v>
          </cell>
          <cell r="H1371" t="str">
            <v>160*29*16</v>
          </cell>
          <cell r="I1371">
            <v>160</v>
          </cell>
          <cell r="J1371">
            <v>29</v>
          </cell>
          <cell r="K1371">
            <v>16</v>
          </cell>
        </row>
        <row r="1372">
          <cell r="A1372" t="str">
            <v>CCM-V10-COPS-5060-RD</v>
          </cell>
          <cell r="B1372">
            <v>9</v>
          </cell>
          <cell r="C1372">
            <v>360</v>
          </cell>
          <cell r="D1372">
            <v>50</v>
          </cell>
          <cell r="E1372">
            <v>1.5</v>
          </cell>
          <cell r="F1372">
            <v>1383</v>
          </cell>
          <cell r="G1372" t="str">
            <v>shaft</v>
          </cell>
          <cell r="H1372" t="str">
            <v>160*29*16</v>
          </cell>
          <cell r="I1372">
            <v>160</v>
          </cell>
          <cell r="J1372">
            <v>29</v>
          </cell>
          <cell r="K1372">
            <v>16</v>
          </cell>
        </row>
        <row r="1373">
          <cell r="A1373" t="str">
            <v>CCM-V10-COPS-4560-BL</v>
          </cell>
          <cell r="B1373">
            <v>9</v>
          </cell>
          <cell r="C1373">
            <v>360</v>
          </cell>
          <cell r="D1373">
            <v>50</v>
          </cell>
          <cell r="E1373">
            <v>1.5</v>
          </cell>
          <cell r="F1373">
            <v>1384</v>
          </cell>
          <cell r="G1373" t="str">
            <v>shaft</v>
          </cell>
          <cell r="H1373" t="str">
            <v>160*29*16</v>
          </cell>
          <cell r="I1373">
            <v>160</v>
          </cell>
          <cell r="J1373">
            <v>29</v>
          </cell>
          <cell r="K1373">
            <v>16</v>
          </cell>
        </row>
        <row r="1374">
          <cell r="A1374" t="str">
            <v>CCM-V10-COPS-4060-BL</v>
          </cell>
          <cell r="B1374">
            <v>9</v>
          </cell>
          <cell r="C1374">
            <v>360</v>
          </cell>
          <cell r="D1374">
            <v>50</v>
          </cell>
          <cell r="E1374">
            <v>1.5</v>
          </cell>
          <cell r="F1374">
            <v>1385</v>
          </cell>
          <cell r="G1374" t="str">
            <v>shaft</v>
          </cell>
          <cell r="H1374" t="str">
            <v>160*29*16</v>
          </cell>
          <cell r="I1374">
            <v>160</v>
          </cell>
          <cell r="J1374">
            <v>29</v>
          </cell>
          <cell r="K1374">
            <v>16</v>
          </cell>
        </row>
        <row r="1375">
          <cell r="A1375" t="str">
            <v>CCM-V10-COPS-5060-BL</v>
          </cell>
          <cell r="B1375">
            <v>9</v>
          </cell>
          <cell r="C1375">
            <v>360</v>
          </cell>
          <cell r="D1375">
            <v>50</v>
          </cell>
          <cell r="E1375">
            <v>1.5</v>
          </cell>
          <cell r="F1375">
            <v>1386</v>
          </cell>
          <cell r="G1375" t="str">
            <v>shaft</v>
          </cell>
          <cell r="H1375" t="str">
            <v>160*29*16</v>
          </cell>
          <cell r="I1375">
            <v>160</v>
          </cell>
          <cell r="J1375">
            <v>29</v>
          </cell>
          <cell r="K1375">
            <v>16</v>
          </cell>
        </row>
        <row r="1376">
          <cell r="A1376" t="str">
            <v>CCM-V10-COPS-4060-RD</v>
          </cell>
          <cell r="B1376">
            <v>9</v>
          </cell>
          <cell r="C1376">
            <v>360</v>
          </cell>
          <cell r="D1376">
            <v>50</v>
          </cell>
          <cell r="E1376">
            <v>1.5</v>
          </cell>
          <cell r="F1376">
            <v>1387</v>
          </cell>
          <cell r="G1376" t="str">
            <v>shaft</v>
          </cell>
          <cell r="H1376" t="str">
            <v>160*29*16</v>
          </cell>
          <cell r="I1376">
            <v>160</v>
          </cell>
          <cell r="J1376">
            <v>29</v>
          </cell>
          <cell r="K1376">
            <v>16</v>
          </cell>
        </row>
        <row r="1377">
          <cell r="A1377" t="str">
            <v>QGS20-8-640</v>
          </cell>
          <cell r="B1377">
            <v>9</v>
          </cell>
          <cell r="C1377">
            <v>338</v>
          </cell>
          <cell r="D1377">
            <v>1</v>
          </cell>
          <cell r="E1377">
            <v>0.5</v>
          </cell>
          <cell r="F1377">
            <v>1388</v>
          </cell>
          <cell r="G1377" t="str">
            <v>fork</v>
          </cell>
          <cell r="H1377" t="str">
            <v>89*14*9</v>
          </cell>
          <cell r="I1377">
            <v>89</v>
          </cell>
          <cell r="J1377">
            <v>14</v>
          </cell>
          <cell r="K1377">
            <v>9</v>
          </cell>
        </row>
        <row r="1378">
          <cell r="A1378" t="str">
            <v>QGS20-8-743-UP</v>
          </cell>
          <cell r="B1378">
            <v>9</v>
          </cell>
          <cell r="C1378">
            <v>340</v>
          </cell>
          <cell r="D1378">
            <v>25</v>
          </cell>
          <cell r="E1378">
            <v>2.54</v>
          </cell>
          <cell r="F1378">
            <v>1389</v>
          </cell>
          <cell r="G1378" t="str">
            <v>fork</v>
          </cell>
          <cell r="H1378" t="str">
            <v>77*52*32</v>
          </cell>
          <cell r="I1378">
            <v>77</v>
          </cell>
          <cell r="J1378">
            <v>52</v>
          </cell>
          <cell r="K1378">
            <v>32</v>
          </cell>
        </row>
        <row r="1379">
          <cell r="A1379" t="str">
            <v>UBHWRS-48</v>
          </cell>
          <cell r="B1379">
            <v>9</v>
          </cell>
          <cell r="C1379">
            <v>77</v>
          </cell>
          <cell r="D1379">
            <v>50</v>
          </cell>
          <cell r="E1379">
            <v>0.64</v>
          </cell>
          <cell r="F1379">
            <v>1390</v>
          </cell>
          <cell r="G1379" t="str">
            <v>golf</v>
          </cell>
          <cell r="H1379" t="str">
            <v>130*15*10</v>
          </cell>
          <cell r="I1379">
            <v>130</v>
          </cell>
          <cell r="J1379">
            <v>15</v>
          </cell>
          <cell r="K1379">
            <v>10</v>
          </cell>
        </row>
        <row r="1380">
          <cell r="A1380" t="str">
            <v>UBHWAL-48</v>
          </cell>
          <cell r="B1380">
            <v>9</v>
          </cell>
          <cell r="C1380">
            <v>71</v>
          </cell>
          <cell r="D1380">
            <v>50</v>
          </cell>
          <cell r="E1380">
            <v>0.64</v>
          </cell>
          <cell r="F1380">
            <v>1391</v>
          </cell>
          <cell r="G1380" t="str">
            <v>golf</v>
          </cell>
          <cell r="H1380" t="str">
            <v>130*15*10</v>
          </cell>
          <cell r="I1380">
            <v>130</v>
          </cell>
          <cell r="J1380">
            <v>15</v>
          </cell>
          <cell r="K1380">
            <v>10</v>
          </cell>
        </row>
        <row r="1381">
          <cell r="A1381" t="str">
            <v>CCM-V10-COPS-5560-BL</v>
          </cell>
          <cell r="B1381">
            <v>9</v>
          </cell>
          <cell r="C1381">
            <v>360</v>
          </cell>
          <cell r="D1381">
            <v>50</v>
          </cell>
          <cell r="E1381">
            <v>1.5</v>
          </cell>
          <cell r="F1381">
            <v>1392</v>
          </cell>
          <cell r="G1381" t="str">
            <v>shaft</v>
          </cell>
          <cell r="H1381" t="str">
            <v>160*29*16</v>
          </cell>
          <cell r="I1381">
            <v>160</v>
          </cell>
          <cell r="J1381">
            <v>29</v>
          </cell>
          <cell r="K1381">
            <v>16</v>
          </cell>
        </row>
        <row r="1382">
          <cell r="A1382" t="str">
            <v>ULAUNCHREDHYIR-41</v>
          </cell>
          <cell r="B1382">
            <v>9</v>
          </cell>
          <cell r="C1382">
            <v>81</v>
          </cell>
          <cell r="D1382">
            <v>50</v>
          </cell>
          <cell r="E1382">
            <v>0.6</v>
          </cell>
          <cell r="F1382">
            <v>1393</v>
          </cell>
          <cell r="G1382" t="str">
            <v>golf</v>
          </cell>
          <cell r="H1382" t="str">
            <v>122*15*10</v>
          </cell>
          <cell r="I1382">
            <v>122</v>
          </cell>
          <cell r="J1382">
            <v>15</v>
          </cell>
          <cell r="K1382">
            <v>10</v>
          </cell>
        </row>
        <row r="1383">
          <cell r="A1383" t="str">
            <v>CCM-V10-COPS-4060-YW</v>
          </cell>
          <cell r="B1383">
            <v>9</v>
          </cell>
          <cell r="C1383">
            <v>360</v>
          </cell>
          <cell r="D1383">
            <v>50</v>
          </cell>
          <cell r="E1383">
            <v>1.5</v>
          </cell>
          <cell r="F1383">
            <v>1394</v>
          </cell>
          <cell r="G1383" t="str">
            <v>shaft</v>
          </cell>
          <cell r="H1383" t="str">
            <v>160*29*16</v>
          </cell>
          <cell r="I1383">
            <v>160</v>
          </cell>
          <cell r="J1383">
            <v>29</v>
          </cell>
          <cell r="K1383">
            <v>16</v>
          </cell>
        </row>
        <row r="1384">
          <cell r="A1384" t="str">
            <v>CCM-V10-COPS-4560-YW</v>
          </cell>
          <cell r="B1384">
            <v>9</v>
          </cell>
          <cell r="C1384">
            <v>360</v>
          </cell>
          <cell r="D1384">
            <v>50</v>
          </cell>
          <cell r="E1384">
            <v>1.5</v>
          </cell>
          <cell r="F1384">
            <v>1395</v>
          </cell>
          <cell r="G1384" t="str">
            <v>shaft</v>
          </cell>
          <cell r="H1384" t="str">
            <v>160*29*16</v>
          </cell>
          <cell r="I1384">
            <v>160</v>
          </cell>
          <cell r="J1384">
            <v>29</v>
          </cell>
          <cell r="K1384">
            <v>16</v>
          </cell>
        </row>
        <row r="1385">
          <cell r="A1385" t="str">
            <v>SHR-RMLC-08563</v>
          </cell>
          <cell r="B1385">
            <v>9</v>
          </cell>
          <cell r="C1385">
            <v>380</v>
          </cell>
          <cell r="D1385">
            <v>50</v>
          </cell>
          <cell r="E1385">
            <v>1.6</v>
          </cell>
          <cell r="F1385">
            <v>1396</v>
          </cell>
          <cell r="G1385" t="str">
            <v>shaft</v>
          </cell>
          <cell r="H1385" t="str">
            <v>183*29*16</v>
          </cell>
          <cell r="I1385">
            <v>183</v>
          </cell>
          <cell r="J1385">
            <v>29</v>
          </cell>
          <cell r="K1385">
            <v>16</v>
          </cell>
        </row>
        <row r="1386">
          <cell r="A1386" t="str">
            <v>SHR-RMLC-09563</v>
          </cell>
          <cell r="B1386">
            <v>9</v>
          </cell>
          <cell r="C1386">
            <v>380</v>
          </cell>
          <cell r="D1386">
            <v>50</v>
          </cell>
          <cell r="E1386">
            <v>1.6</v>
          </cell>
          <cell r="F1386">
            <v>1397</v>
          </cell>
          <cell r="G1386" t="str">
            <v>shaft</v>
          </cell>
          <cell r="H1386" t="str">
            <v>183*29*16</v>
          </cell>
          <cell r="I1386">
            <v>183</v>
          </cell>
          <cell r="J1386">
            <v>29</v>
          </cell>
          <cell r="K1386">
            <v>16</v>
          </cell>
        </row>
        <row r="1387">
          <cell r="A1387" t="str">
            <v>SHR-RMLC-10563</v>
          </cell>
          <cell r="B1387">
            <v>9</v>
          </cell>
          <cell r="C1387">
            <v>380</v>
          </cell>
          <cell r="D1387">
            <v>50</v>
          </cell>
          <cell r="E1387">
            <v>1.6</v>
          </cell>
          <cell r="F1387">
            <v>1398</v>
          </cell>
          <cell r="G1387" t="str">
            <v>shaft</v>
          </cell>
          <cell r="H1387" t="str">
            <v>183*29*16</v>
          </cell>
          <cell r="I1387">
            <v>183</v>
          </cell>
          <cell r="J1387">
            <v>29</v>
          </cell>
          <cell r="K1387">
            <v>16</v>
          </cell>
        </row>
        <row r="1388">
          <cell r="A1388" t="str">
            <v>RBK-7K-SC-6054</v>
          </cell>
          <cell r="B1388">
            <v>9</v>
          </cell>
          <cell r="C1388">
            <v>320</v>
          </cell>
          <cell r="D1388">
            <v>50</v>
          </cell>
          <cell r="E1388">
            <v>1.48</v>
          </cell>
          <cell r="F1388">
            <v>1399</v>
          </cell>
          <cell r="G1388" t="str">
            <v>shaft</v>
          </cell>
          <cell r="H1388" t="str">
            <v>145*29*16</v>
          </cell>
          <cell r="I1388">
            <v>145</v>
          </cell>
          <cell r="J1388">
            <v>29</v>
          </cell>
          <cell r="K1388">
            <v>16</v>
          </cell>
        </row>
        <row r="1389">
          <cell r="A1389" t="str">
            <v>SHR-RMTF-11553</v>
          </cell>
          <cell r="B1389">
            <v>9</v>
          </cell>
          <cell r="C1389">
            <v>320</v>
          </cell>
          <cell r="D1389">
            <v>50</v>
          </cell>
          <cell r="E1389">
            <v>1.48</v>
          </cell>
          <cell r="F1389">
            <v>1400</v>
          </cell>
          <cell r="G1389" t="str">
            <v>shaft</v>
          </cell>
          <cell r="H1389" t="str">
            <v>145*29*16</v>
          </cell>
          <cell r="I1389">
            <v>145</v>
          </cell>
          <cell r="J1389">
            <v>29</v>
          </cell>
          <cell r="K1389">
            <v>16</v>
          </cell>
        </row>
        <row r="1390">
          <cell r="A1390" t="str">
            <v>CCM-V10-COPS-3560-YW</v>
          </cell>
          <cell r="B1390">
            <v>9</v>
          </cell>
          <cell r="C1390">
            <v>360</v>
          </cell>
          <cell r="D1390">
            <v>50</v>
          </cell>
          <cell r="E1390">
            <v>1.5</v>
          </cell>
          <cell r="F1390">
            <v>1401</v>
          </cell>
          <cell r="G1390" t="str">
            <v>shaft</v>
          </cell>
          <cell r="H1390" t="str">
            <v>160*29*16</v>
          </cell>
          <cell r="I1390">
            <v>160</v>
          </cell>
          <cell r="J1390">
            <v>29</v>
          </cell>
          <cell r="K1390">
            <v>16</v>
          </cell>
        </row>
        <row r="1391">
          <cell r="A1391" t="str">
            <v>CCM-V10-COPS-3560-BL</v>
          </cell>
          <cell r="B1391">
            <v>9</v>
          </cell>
          <cell r="C1391">
            <v>360</v>
          </cell>
          <cell r="D1391">
            <v>50</v>
          </cell>
          <cell r="E1391">
            <v>1.5</v>
          </cell>
          <cell r="F1391">
            <v>1402</v>
          </cell>
          <cell r="G1391" t="str">
            <v>shaft</v>
          </cell>
          <cell r="H1391" t="str">
            <v>160*29*16</v>
          </cell>
          <cell r="I1391">
            <v>160</v>
          </cell>
          <cell r="J1391">
            <v>29</v>
          </cell>
          <cell r="K1391">
            <v>16</v>
          </cell>
        </row>
        <row r="1392">
          <cell r="A1392" t="str">
            <v>CCM-V10-COPS-3560-RD</v>
          </cell>
          <cell r="B1392">
            <v>9</v>
          </cell>
          <cell r="C1392">
            <v>360</v>
          </cell>
          <cell r="D1392">
            <v>50</v>
          </cell>
          <cell r="E1392">
            <v>1.5</v>
          </cell>
          <cell r="F1392">
            <v>1403</v>
          </cell>
          <cell r="G1392" t="str">
            <v>shaft</v>
          </cell>
          <cell r="H1392" t="str">
            <v>160*29*16</v>
          </cell>
          <cell r="I1392">
            <v>160</v>
          </cell>
          <cell r="J1392">
            <v>29</v>
          </cell>
          <cell r="K1392">
            <v>16</v>
          </cell>
        </row>
        <row r="1393">
          <cell r="A1393" t="str">
            <v>CCM-V10-COPS-4060-TL</v>
          </cell>
          <cell r="B1393">
            <v>9</v>
          </cell>
          <cell r="C1393">
            <v>360</v>
          </cell>
          <cell r="D1393">
            <v>50</v>
          </cell>
          <cell r="E1393">
            <v>1.5</v>
          </cell>
          <cell r="F1393">
            <v>1404</v>
          </cell>
          <cell r="G1393" t="str">
            <v>shaft</v>
          </cell>
          <cell r="H1393" t="str">
            <v>160*29*16</v>
          </cell>
          <cell r="I1393">
            <v>160</v>
          </cell>
          <cell r="J1393">
            <v>29</v>
          </cell>
          <cell r="K1393">
            <v>16</v>
          </cell>
        </row>
        <row r="1394">
          <cell r="A1394" t="str">
            <v>CCM-V10-COPS-3560-TL</v>
          </cell>
          <cell r="B1394">
            <v>9</v>
          </cell>
          <cell r="C1394">
            <v>360</v>
          </cell>
          <cell r="D1394">
            <v>50</v>
          </cell>
          <cell r="E1394">
            <v>1.5</v>
          </cell>
          <cell r="F1394">
            <v>1405</v>
          </cell>
          <cell r="G1394" t="str">
            <v>shaft</v>
          </cell>
          <cell r="H1394" t="str">
            <v>160*29*16</v>
          </cell>
          <cell r="I1394">
            <v>160</v>
          </cell>
          <cell r="J1394">
            <v>29</v>
          </cell>
          <cell r="K1394">
            <v>16</v>
          </cell>
        </row>
        <row r="1395">
          <cell r="A1395" t="str">
            <v>CCM-V10-COPS-3560-LB</v>
          </cell>
          <cell r="B1395">
            <v>9</v>
          </cell>
          <cell r="C1395">
            <v>360</v>
          </cell>
          <cell r="D1395">
            <v>50</v>
          </cell>
          <cell r="E1395">
            <v>1.5</v>
          </cell>
          <cell r="F1395">
            <v>1406</v>
          </cell>
          <cell r="G1395" t="str">
            <v>shaft</v>
          </cell>
          <cell r="H1395" t="str">
            <v>160*29*16</v>
          </cell>
          <cell r="I1395">
            <v>160</v>
          </cell>
          <cell r="J1395">
            <v>29</v>
          </cell>
          <cell r="K1395">
            <v>16</v>
          </cell>
        </row>
        <row r="1396">
          <cell r="A1396" t="str">
            <v>CCM-V10-COPS-4060-LB</v>
          </cell>
          <cell r="B1396">
            <v>9</v>
          </cell>
          <cell r="C1396">
            <v>360</v>
          </cell>
          <cell r="D1396">
            <v>50</v>
          </cell>
          <cell r="E1396">
            <v>1.5</v>
          </cell>
          <cell r="F1396">
            <v>1407</v>
          </cell>
          <cell r="G1396" t="str">
            <v>shaft</v>
          </cell>
          <cell r="H1396" t="str">
            <v>160*29*16</v>
          </cell>
          <cell r="I1396">
            <v>160</v>
          </cell>
          <cell r="J1396">
            <v>29</v>
          </cell>
          <cell r="K1396">
            <v>16</v>
          </cell>
        </row>
        <row r="1397">
          <cell r="A1397" t="str">
            <v>CCM-V10-COPS-4560-LB</v>
          </cell>
          <cell r="B1397">
            <v>9</v>
          </cell>
          <cell r="C1397">
            <v>360</v>
          </cell>
          <cell r="D1397">
            <v>50</v>
          </cell>
          <cell r="E1397">
            <v>1.5</v>
          </cell>
          <cell r="F1397">
            <v>1408</v>
          </cell>
          <cell r="G1397" t="str">
            <v>shaft</v>
          </cell>
          <cell r="H1397" t="str">
            <v>160*29*16</v>
          </cell>
          <cell r="I1397">
            <v>160</v>
          </cell>
          <cell r="J1397">
            <v>29</v>
          </cell>
          <cell r="K1397">
            <v>16</v>
          </cell>
        </row>
        <row r="1398">
          <cell r="A1398" t="str">
            <v>CCM-V10-COPS-4060-DB</v>
          </cell>
          <cell r="B1398">
            <v>9</v>
          </cell>
          <cell r="C1398">
            <v>360</v>
          </cell>
          <cell r="D1398">
            <v>50</v>
          </cell>
          <cell r="E1398">
            <v>1.5</v>
          </cell>
          <cell r="F1398">
            <v>1409</v>
          </cell>
          <cell r="G1398" t="str">
            <v>shaft</v>
          </cell>
          <cell r="H1398" t="str">
            <v>160*29*16</v>
          </cell>
          <cell r="I1398">
            <v>160</v>
          </cell>
          <cell r="J1398">
            <v>29</v>
          </cell>
          <cell r="K1398">
            <v>16</v>
          </cell>
        </row>
        <row r="1399">
          <cell r="A1399" t="str">
            <v>CCM-V10-COPS-4560-DB</v>
          </cell>
          <cell r="B1399">
            <v>9</v>
          </cell>
          <cell r="C1399">
            <v>360</v>
          </cell>
          <cell r="D1399">
            <v>50</v>
          </cell>
          <cell r="E1399">
            <v>1.5</v>
          </cell>
          <cell r="F1399">
            <v>1410</v>
          </cell>
          <cell r="G1399" t="str">
            <v>shaft</v>
          </cell>
          <cell r="H1399" t="str">
            <v>160*29*16</v>
          </cell>
          <cell r="I1399">
            <v>160</v>
          </cell>
          <cell r="J1399">
            <v>29</v>
          </cell>
          <cell r="K1399">
            <v>16</v>
          </cell>
        </row>
        <row r="1400">
          <cell r="A1400" t="str">
            <v>CCM-V10-COPS-4560-TL</v>
          </cell>
          <cell r="B1400">
            <v>9</v>
          </cell>
          <cell r="C1400">
            <v>360</v>
          </cell>
          <cell r="D1400">
            <v>50</v>
          </cell>
          <cell r="E1400">
            <v>1.5</v>
          </cell>
          <cell r="F1400">
            <v>1411</v>
          </cell>
          <cell r="G1400" t="str">
            <v>shaft</v>
          </cell>
          <cell r="H1400" t="str">
            <v>160*29*16</v>
          </cell>
          <cell r="I1400">
            <v>160</v>
          </cell>
          <cell r="J1400">
            <v>29</v>
          </cell>
          <cell r="K1400">
            <v>16</v>
          </cell>
        </row>
        <row r="1401">
          <cell r="A1401" t="str">
            <v>CCM-V10-COPS-5060-YW</v>
          </cell>
          <cell r="B1401">
            <v>9</v>
          </cell>
          <cell r="C1401">
            <v>360</v>
          </cell>
          <cell r="D1401">
            <v>50</v>
          </cell>
          <cell r="E1401">
            <v>1.5</v>
          </cell>
          <cell r="F1401">
            <v>1412</v>
          </cell>
          <cell r="G1401" t="str">
            <v>shaft</v>
          </cell>
          <cell r="H1401" t="str">
            <v>160*29*16</v>
          </cell>
          <cell r="I1401">
            <v>160</v>
          </cell>
          <cell r="J1401">
            <v>29</v>
          </cell>
          <cell r="K1401">
            <v>16</v>
          </cell>
        </row>
        <row r="1402">
          <cell r="A1402" t="str">
            <v>CCM-V10-COPS-3560-DB</v>
          </cell>
          <cell r="B1402">
            <v>9</v>
          </cell>
          <cell r="C1402">
            <v>360</v>
          </cell>
          <cell r="D1402">
            <v>50</v>
          </cell>
          <cell r="E1402">
            <v>1.5</v>
          </cell>
          <cell r="F1402">
            <v>1413</v>
          </cell>
          <cell r="G1402" t="str">
            <v>shaft</v>
          </cell>
          <cell r="H1402" t="str">
            <v>160*29*16</v>
          </cell>
          <cell r="I1402">
            <v>160</v>
          </cell>
          <cell r="J1402">
            <v>29</v>
          </cell>
          <cell r="K1402">
            <v>16</v>
          </cell>
        </row>
        <row r="1403">
          <cell r="A1403" t="str">
            <v>CCM-V10-TOPS-4560-LB</v>
          </cell>
          <cell r="B1403">
            <v>9</v>
          </cell>
          <cell r="C1403">
            <v>360</v>
          </cell>
          <cell r="D1403">
            <v>50</v>
          </cell>
          <cell r="E1403">
            <v>1.5</v>
          </cell>
          <cell r="F1403">
            <v>1414</v>
          </cell>
          <cell r="G1403" t="str">
            <v>shaft</v>
          </cell>
          <cell r="H1403" t="str">
            <v>160*29*16</v>
          </cell>
          <cell r="I1403">
            <v>160</v>
          </cell>
          <cell r="J1403">
            <v>29</v>
          </cell>
          <cell r="K1403">
            <v>16</v>
          </cell>
        </row>
        <row r="1404">
          <cell r="A1404" t="str">
            <v>CCM-V10-TOPS-5060-BL</v>
          </cell>
          <cell r="B1404">
            <v>9</v>
          </cell>
          <cell r="C1404">
            <v>360</v>
          </cell>
          <cell r="D1404">
            <v>50</v>
          </cell>
          <cell r="E1404">
            <v>1.5</v>
          </cell>
          <cell r="F1404">
            <v>1415</v>
          </cell>
          <cell r="G1404" t="str">
            <v>shaft</v>
          </cell>
          <cell r="H1404" t="str">
            <v>160*29*16</v>
          </cell>
          <cell r="I1404">
            <v>160</v>
          </cell>
          <cell r="J1404">
            <v>29</v>
          </cell>
          <cell r="K1404">
            <v>16</v>
          </cell>
        </row>
        <row r="1405">
          <cell r="A1405" t="str">
            <v>CCM-V10-TOPS-5060-RD</v>
          </cell>
          <cell r="B1405">
            <v>9</v>
          </cell>
          <cell r="C1405">
            <v>360</v>
          </cell>
          <cell r="D1405">
            <v>50</v>
          </cell>
          <cell r="E1405">
            <v>1.5</v>
          </cell>
          <cell r="F1405">
            <v>1416</v>
          </cell>
          <cell r="G1405" t="str">
            <v>shaft</v>
          </cell>
          <cell r="H1405" t="str">
            <v>160*29*16</v>
          </cell>
          <cell r="I1405">
            <v>160</v>
          </cell>
          <cell r="J1405">
            <v>29</v>
          </cell>
          <cell r="K1405">
            <v>16</v>
          </cell>
        </row>
        <row r="1406">
          <cell r="A1406" t="str">
            <v>CCM-V10-COPS-5560-RD</v>
          </cell>
          <cell r="B1406">
            <v>9</v>
          </cell>
          <cell r="C1406">
            <v>360</v>
          </cell>
          <cell r="D1406">
            <v>50</v>
          </cell>
          <cell r="E1406">
            <v>1.5</v>
          </cell>
          <cell r="F1406">
            <v>1417</v>
          </cell>
          <cell r="G1406" t="str">
            <v>shaft</v>
          </cell>
          <cell r="H1406" t="str">
            <v>160*29*16</v>
          </cell>
          <cell r="I1406">
            <v>160</v>
          </cell>
          <cell r="J1406">
            <v>29</v>
          </cell>
          <cell r="K1406">
            <v>16</v>
          </cell>
        </row>
        <row r="1407">
          <cell r="A1407" t="str">
            <v>CCM-V10-TOPS-4060-BL</v>
          </cell>
          <cell r="B1407">
            <v>9</v>
          </cell>
          <cell r="C1407">
            <v>360</v>
          </cell>
          <cell r="D1407">
            <v>50</v>
          </cell>
          <cell r="E1407">
            <v>1.5</v>
          </cell>
          <cell r="F1407">
            <v>1418</v>
          </cell>
          <cell r="G1407" t="str">
            <v>shaft</v>
          </cell>
          <cell r="H1407" t="str">
            <v>160*29*16</v>
          </cell>
          <cell r="I1407">
            <v>160</v>
          </cell>
          <cell r="J1407">
            <v>29</v>
          </cell>
          <cell r="K1407">
            <v>16</v>
          </cell>
        </row>
        <row r="1408">
          <cell r="A1408" t="str">
            <v>CCM-V10-TOPS-4560-BL</v>
          </cell>
          <cell r="B1408">
            <v>9</v>
          </cell>
          <cell r="C1408">
            <v>360</v>
          </cell>
          <cell r="D1408">
            <v>50</v>
          </cell>
          <cell r="E1408">
            <v>1.5</v>
          </cell>
          <cell r="F1408">
            <v>1419</v>
          </cell>
          <cell r="G1408" t="str">
            <v>shaft</v>
          </cell>
          <cell r="H1408" t="str">
            <v>160*29*16</v>
          </cell>
          <cell r="I1408">
            <v>160</v>
          </cell>
          <cell r="J1408">
            <v>29</v>
          </cell>
          <cell r="K1408">
            <v>16</v>
          </cell>
        </row>
        <row r="1409">
          <cell r="A1409" t="str">
            <v>CCM-V10-TOPS-4560-YW</v>
          </cell>
          <cell r="B1409">
            <v>9</v>
          </cell>
          <cell r="C1409">
            <v>360</v>
          </cell>
          <cell r="D1409">
            <v>50</v>
          </cell>
          <cell r="E1409">
            <v>1.5</v>
          </cell>
          <cell r="F1409">
            <v>1420</v>
          </cell>
          <cell r="G1409" t="str">
            <v>shaft</v>
          </cell>
          <cell r="H1409" t="str">
            <v>160*29*16</v>
          </cell>
          <cell r="I1409">
            <v>160</v>
          </cell>
          <cell r="J1409">
            <v>29</v>
          </cell>
          <cell r="K1409">
            <v>16</v>
          </cell>
        </row>
        <row r="1410">
          <cell r="A1410" t="str">
            <v>SHR-RMLC-09563-BL</v>
          </cell>
          <cell r="B1410">
            <v>9</v>
          </cell>
          <cell r="C1410">
            <v>380</v>
          </cell>
          <cell r="D1410">
            <v>50</v>
          </cell>
          <cell r="E1410">
            <v>1.6</v>
          </cell>
          <cell r="F1410">
            <v>1421</v>
          </cell>
          <cell r="G1410" t="str">
            <v>shaft</v>
          </cell>
          <cell r="H1410" t="str">
            <v>183*29*16</v>
          </cell>
          <cell r="I1410">
            <v>183</v>
          </cell>
          <cell r="J1410">
            <v>29</v>
          </cell>
          <cell r="K1410">
            <v>16</v>
          </cell>
        </row>
        <row r="1411">
          <cell r="A1411" t="str">
            <v>SHR-RMLC-10563-BL</v>
          </cell>
          <cell r="B1411">
            <v>9</v>
          </cell>
          <cell r="C1411">
            <v>380</v>
          </cell>
          <cell r="D1411">
            <v>50</v>
          </cell>
          <cell r="E1411">
            <v>1.6</v>
          </cell>
          <cell r="F1411">
            <v>1422</v>
          </cell>
          <cell r="G1411" t="str">
            <v>shaft</v>
          </cell>
          <cell r="H1411" t="str">
            <v>183*29*16</v>
          </cell>
          <cell r="I1411">
            <v>183</v>
          </cell>
          <cell r="J1411">
            <v>29</v>
          </cell>
          <cell r="K1411">
            <v>16</v>
          </cell>
        </row>
        <row r="1412">
          <cell r="A1412" t="str">
            <v>CCM-V10-TOPS-4560-TL</v>
          </cell>
          <cell r="B1412">
            <v>9</v>
          </cell>
          <cell r="C1412">
            <v>360</v>
          </cell>
          <cell r="D1412">
            <v>50</v>
          </cell>
          <cell r="E1412">
            <v>1.5</v>
          </cell>
          <cell r="F1412">
            <v>1423</v>
          </cell>
          <cell r="G1412" t="str">
            <v>shaft</v>
          </cell>
          <cell r="H1412" t="str">
            <v>160*29*16</v>
          </cell>
          <cell r="I1412">
            <v>160</v>
          </cell>
          <cell r="J1412">
            <v>29</v>
          </cell>
          <cell r="K1412">
            <v>16</v>
          </cell>
        </row>
        <row r="1413">
          <cell r="A1413" t="str">
            <v>CCM-V10-TOPS-4560-RD</v>
          </cell>
          <cell r="B1413">
            <v>9</v>
          </cell>
          <cell r="C1413">
            <v>360</v>
          </cell>
          <cell r="D1413">
            <v>50</v>
          </cell>
          <cell r="E1413">
            <v>1.5</v>
          </cell>
          <cell r="F1413">
            <v>1424</v>
          </cell>
          <cell r="G1413" t="str">
            <v>shaft</v>
          </cell>
          <cell r="H1413" t="str">
            <v>160*29*16</v>
          </cell>
          <cell r="I1413">
            <v>160</v>
          </cell>
          <cell r="J1413">
            <v>29</v>
          </cell>
          <cell r="K1413">
            <v>16</v>
          </cell>
        </row>
        <row r="1414">
          <cell r="A1414" t="str">
            <v>CCM-V10-TOPS-3560-BD</v>
          </cell>
          <cell r="B1414">
            <v>9</v>
          </cell>
          <cell r="C1414">
            <v>360</v>
          </cell>
          <cell r="D1414">
            <v>50</v>
          </cell>
          <cell r="E1414">
            <v>1.5</v>
          </cell>
          <cell r="F1414">
            <v>1425</v>
          </cell>
          <cell r="G1414" t="str">
            <v>shaft</v>
          </cell>
          <cell r="H1414" t="str">
            <v>160*29*16</v>
          </cell>
          <cell r="I1414">
            <v>160</v>
          </cell>
          <cell r="J1414">
            <v>29</v>
          </cell>
          <cell r="K1414">
            <v>16</v>
          </cell>
        </row>
        <row r="1415">
          <cell r="A1415" t="str">
            <v>CCM-V10-TOPS-4060-BD</v>
          </cell>
          <cell r="B1415">
            <v>9</v>
          </cell>
          <cell r="C1415">
            <v>360</v>
          </cell>
          <cell r="D1415">
            <v>50</v>
          </cell>
          <cell r="E1415">
            <v>1.5</v>
          </cell>
          <cell r="F1415">
            <v>1426</v>
          </cell>
          <cell r="G1415" t="str">
            <v>shaft</v>
          </cell>
          <cell r="H1415" t="str">
            <v>160*29*16</v>
          </cell>
          <cell r="I1415">
            <v>160</v>
          </cell>
          <cell r="J1415">
            <v>29</v>
          </cell>
          <cell r="K1415">
            <v>16</v>
          </cell>
        </row>
        <row r="1416">
          <cell r="A1416" t="str">
            <v>CCM-V10-TOPS-4060-LB</v>
          </cell>
          <cell r="B1416">
            <v>9</v>
          </cell>
          <cell r="C1416">
            <v>360</v>
          </cell>
          <cell r="D1416">
            <v>50</v>
          </cell>
          <cell r="E1416">
            <v>1.5</v>
          </cell>
          <cell r="F1416">
            <v>1427</v>
          </cell>
          <cell r="G1416" t="str">
            <v>shaft</v>
          </cell>
          <cell r="H1416" t="str">
            <v>160*29*16</v>
          </cell>
          <cell r="I1416">
            <v>160</v>
          </cell>
          <cell r="J1416">
            <v>29</v>
          </cell>
          <cell r="K1416">
            <v>16</v>
          </cell>
        </row>
        <row r="1417">
          <cell r="A1417" t="str">
            <v>CCM-V10-TOPS-4560-BD</v>
          </cell>
          <cell r="B1417">
            <v>9</v>
          </cell>
          <cell r="C1417">
            <v>360</v>
          </cell>
          <cell r="D1417">
            <v>50</v>
          </cell>
          <cell r="E1417">
            <v>1.5</v>
          </cell>
          <cell r="F1417">
            <v>1428</v>
          </cell>
          <cell r="G1417" t="str">
            <v>shaft</v>
          </cell>
          <cell r="H1417" t="str">
            <v>160*29*16</v>
          </cell>
          <cell r="I1417">
            <v>160</v>
          </cell>
          <cell r="J1417">
            <v>29</v>
          </cell>
          <cell r="K1417">
            <v>16</v>
          </cell>
        </row>
        <row r="1418">
          <cell r="A1418" t="str">
            <v>CCM-V10-TOPS-3560-LB</v>
          </cell>
          <cell r="B1418">
            <v>9</v>
          </cell>
          <cell r="C1418">
            <v>360</v>
          </cell>
          <cell r="D1418">
            <v>50</v>
          </cell>
          <cell r="E1418">
            <v>1.5</v>
          </cell>
          <cell r="F1418">
            <v>1429</v>
          </cell>
          <cell r="G1418" t="str">
            <v>shaft</v>
          </cell>
          <cell r="H1418" t="str">
            <v>160*29*16</v>
          </cell>
          <cell r="I1418">
            <v>160</v>
          </cell>
          <cell r="J1418">
            <v>29</v>
          </cell>
          <cell r="K1418">
            <v>16</v>
          </cell>
        </row>
        <row r="1419">
          <cell r="A1419" t="str">
            <v>CCM-V10-TOPS-4060-YW</v>
          </cell>
          <cell r="B1419">
            <v>9</v>
          </cell>
          <cell r="C1419">
            <v>360</v>
          </cell>
          <cell r="D1419">
            <v>50</v>
          </cell>
          <cell r="E1419">
            <v>1.5</v>
          </cell>
          <cell r="F1419">
            <v>1430</v>
          </cell>
          <cell r="G1419" t="str">
            <v>shaft</v>
          </cell>
          <cell r="H1419" t="str">
            <v>160*29*16</v>
          </cell>
          <cell r="I1419">
            <v>160</v>
          </cell>
          <cell r="J1419">
            <v>29</v>
          </cell>
          <cell r="K1419">
            <v>16</v>
          </cell>
        </row>
        <row r="1420">
          <cell r="A1420" t="str">
            <v>CCM-V10-TOPS-3560-YW</v>
          </cell>
          <cell r="B1420">
            <v>9</v>
          </cell>
          <cell r="C1420">
            <v>360</v>
          </cell>
          <cell r="D1420">
            <v>50</v>
          </cell>
          <cell r="E1420">
            <v>1.5</v>
          </cell>
          <cell r="F1420">
            <v>1431</v>
          </cell>
          <cell r="G1420" t="str">
            <v>shaft</v>
          </cell>
          <cell r="H1420" t="str">
            <v>160*29*16</v>
          </cell>
          <cell r="I1420">
            <v>160</v>
          </cell>
          <cell r="J1420">
            <v>29</v>
          </cell>
          <cell r="K1420">
            <v>16</v>
          </cell>
        </row>
        <row r="1421">
          <cell r="A1421" t="str">
            <v>CCM-V10-TOPS-3560-RD</v>
          </cell>
          <cell r="B1421">
            <v>9</v>
          </cell>
          <cell r="C1421">
            <v>360</v>
          </cell>
          <cell r="D1421">
            <v>50</v>
          </cell>
          <cell r="E1421">
            <v>1.5</v>
          </cell>
          <cell r="F1421">
            <v>1432</v>
          </cell>
          <cell r="G1421" t="str">
            <v>shaft</v>
          </cell>
          <cell r="H1421" t="str">
            <v>160*29*16</v>
          </cell>
          <cell r="I1421">
            <v>160</v>
          </cell>
          <cell r="J1421">
            <v>29</v>
          </cell>
          <cell r="K1421">
            <v>16</v>
          </cell>
        </row>
        <row r="1422">
          <cell r="A1422" t="str">
            <v>CCM-V10-TOPS-4060-RD</v>
          </cell>
          <cell r="B1422">
            <v>9</v>
          </cell>
          <cell r="C1422">
            <v>360</v>
          </cell>
          <cell r="D1422">
            <v>50</v>
          </cell>
          <cell r="E1422">
            <v>1.5</v>
          </cell>
          <cell r="F1422">
            <v>1433</v>
          </cell>
          <cell r="G1422" t="str">
            <v>shaft</v>
          </cell>
          <cell r="H1422" t="str">
            <v>160*29*16</v>
          </cell>
          <cell r="I1422">
            <v>160</v>
          </cell>
          <cell r="J1422">
            <v>29</v>
          </cell>
          <cell r="K1422">
            <v>16</v>
          </cell>
        </row>
        <row r="1423">
          <cell r="A1423" t="str">
            <v>CCM-V10-TOPS-3560-BL</v>
          </cell>
          <cell r="B1423">
            <v>9</v>
          </cell>
          <cell r="C1423">
            <v>360</v>
          </cell>
          <cell r="D1423">
            <v>50</v>
          </cell>
          <cell r="E1423">
            <v>1.5</v>
          </cell>
          <cell r="F1423">
            <v>1434</v>
          </cell>
          <cell r="G1423" t="str">
            <v>shaft</v>
          </cell>
          <cell r="H1423" t="str">
            <v>160*29*16</v>
          </cell>
          <cell r="I1423">
            <v>160</v>
          </cell>
          <cell r="J1423">
            <v>29</v>
          </cell>
          <cell r="K1423">
            <v>16</v>
          </cell>
        </row>
        <row r="1424">
          <cell r="A1424" t="str">
            <v>CCM-V10-TOPS-4060-TL</v>
          </cell>
          <cell r="B1424">
            <v>9</v>
          </cell>
          <cell r="C1424">
            <v>360</v>
          </cell>
          <cell r="D1424">
            <v>50</v>
          </cell>
          <cell r="E1424">
            <v>1.5</v>
          </cell>
          <cell r="F1424">
            <v>1435</v>
          </cell>
          <cell r="G1424" t="str">
            <v>shaft</v>
          </cell>
          <cell r="H1424" t="str">
            <v>160*29*16</v>
          </cell>
          <cell r="I1424">
            <v>160</v>
          </cell>
          <cell r="J1424">
            <v>29</v>
          </cell>
          <cell r="K1424">
            <v>16</v>
          </cell>
        </row>
        <row r="1425">
          <cell r="A1425" t="str">
            <v>CCM-V10-TOPS-5060-YW</v>
          </cell>
          <cell r="B1425">
            <v>9</v>
          </cell>
          <cell r="C1425">
            <v>360</v>
          </cell>
          <cell r="D1425">
            <v>50</v>
          </cell>
          <cell r="E1425">
            <v>1.5</v>
          </cell>
          <cell r="F1425">
            <v>1436</v>
          </cell>
          <cell r="G1425" t="str">
            <v>shaft</v>
          </cell>
          <cell r="H1425" t="str">
            <v>160*29*16</v>
          </cell>
          <cell r="I1425">
            <v>160</v>
          </cell>
          <cell r="J1425">
            <v>29</v>
          </cell>
          <cell r="K1425">
            <v>16</v>
          </cell>
        </row>
        <row r="1426">
          <cell r="A1426" t="str">
            <v>CCM-V10-TOPS-6060-RD</v>
          </cell>
          <cell r="B1426">
            <v>9</v>
          </cell>
          <cell r="C1426">
            <v>360</v>
          </cell>
          <cell r="D1426">
            <v>50</v>
          </cell>
          <cell r="E1426">
            <v>1.5</v>
          </cell>
          <cell r="F1426">
            <v>1437</v>
          </cell>
          <cell r="G1426" t="str">
            <v>shaft</v>
          </cell>
          <cell r="H1426" t="str">
            <v>160*29*16</v>
          </cell>
          <cell r="I1426">
            <v>160</v>
          </cell>
          <cell r="J1426">
            <v>29</v>
          </cell>
          <cell r="K1426">
            <v>16</v>
          </cell>
        </row>
        <row r="1427">
          <cell r="A1427" t="str">
            <v>QZ-8-744-UP</v>
          </cell>
          <cell r="B1427">
            <v>9</v>
          </cell>
          <cell r="C1427">
            <v>535</v>
          </cell>
          <cell r="D1427">
            <v>25</v>
          </cell>
          <cell r="E1427">
            <v>2.54</v>
          </cell>
          <cell r="F1427">
            <v>1438</v>
          </cell>
          <cell r="G1427" t="str">
            <v>fork</v>
          </cell>
          <cell r="H1427" t="str">
            <v>77*52*32</v>
          </cell>
          <cell r="I1427">
            <v>77</v>
          </cell>
          <cell r="J1427">
            <v>52</v>
          </cell>
          <cell r="K1427">
            <v>32</v>
          </cell>
        </row>
        <row r="1428">
          <cell r="A1428" t="str">
            <v>SHR-RMLC-08563-BL</v>
          </cell>
          <cell r="B1428">
            <v>9</v>
          </cell>
          <cell r="C1428">
            <v>362</v>
          </cell>
          <cell r="D1428">
            <v>50</v>
          </cell>
          <cell r="E1428">
            <v>1.6</v>
          </cell>
          <cell r="F1428">
            <v>1439</v>
          </cell>
          <cell r="G1428" t="str">
            <v>shaft</v>
          </cell>
          <cell r="H1428" t="str">
            <v>183*29*16</v>
          </cell>
          <cell r="I1428">
            <v>183</v>
          </cell>
          <cell r="J1428">
            <v>29</v>
          </cell>
          <cell r="K1428">
            <v>16</v>
          </cell>
        </row>
        <row r="1429">
          <cell r="A1429" t="str">
            <v>QZ-8-741-UP</v>
          </cell>
          <cell r="B1429">
            <v>9</v>
          </cell>
          <cell r="C1429">
            <v>535</v>
          </cell>
          <cell r="D1429">
            <v>25</v>
          </cell>
          <cell r="E1429">
            <v>2.54</v>
          </cell>
          <cell r="F1429">
            <v>1440</v>
          </cell>
          <cell r="G1429" t="str">
            <v>fork</v>
          </cell>
          <cell r="H1429" t="str">
            <v>77*52*32</v>
          </cell>
          <cell r="I1429">
            <v>77</v>
          </cell>
          <cell r="J1429">
            <v>52</v>
          </cell>
          <cell r="K1429">
            <v>32</v>
          </cell>
        </row>
        <row r="1430">
          <cell r="A1430" t="str">
            <v>QGS10-8-750-2-UP</v>
          </cell>
          <cell r="B1430">
            <v>9</v>
          </cell>
          <cell r="C1430">
            <v>350</v>
          </cell>
          <cell r="D1430">
            <v>25</v>
          </cell>
          <cell r="E1430">
            <v>2.54</v>
          </cell>
          <cell r="F1430">
            <v>1441</v>
          </cell>
          <cell r="G1430" t="str">
            <v>fork</v>
          </cell>
          <cell r="H1430" t="str">
            <v>77*52*32</v>
          </cell>
          <cell r="I1430">
            <v>77</v>
          </cell>
          <cell r="J1430">
            <v>52</v>
          </cell>
          <cell r="K1430">
            <v>32</v>
          </cell>
        </row>
        <row r="1431">
          <cell r="A1431" t="str">
            <v>QGS10-8-747-2-UP</v>
          </cell>
          <cell r="B1431">
            <v>9</v>
          </cell>
          <cell r="C1431">
            <v>350</v>
          </cell>
          <cell r="D1431">
            <v>25</v>
          </cell>
          <cell r="E1431">
            <v>2.54</v>
          </cell>
          <cell r="F1431">
            <v>1442</v>
          </cell>
          <cell r="G1431" t="str">
            <v>fork</v>
          </cell>
          <cell r="H1431" t="str">
            <v>77*52*32</v>
          </cell>
          <cell r="I1431">
            <v>77</v>
          </cell>
          <cell r="J1431">
            <v>52</v>
          </cell>
          <cell r="K1431">
            <v>32</v>
          </cell>
        </row>
        <row r="1432">
          <cell r="A1432" t="str">
            <v>CCM-V8-COPS-5560-NG</v>
          </cell>
          <cell r="B1432">
            <v>9</v>
          </cell>
          <cell r="C1432">
            <v>340</v>
          </cell>
          <cell r="D1432">
            <v>50</v>
          </cell>
          <cell r="E1432">
            <v>1.5</v>
          </cell>
          <cell r="F1432">
            <v>1443</v>
          </cell>
          <cell r="G1432" t="str">
            <v>shaft</v>
          </cell>
          <cell r="H1432" t="str">
            <v>160*29*16</v>
          </cell>
          <cell r="I1432">
            <v>160</v>
          </cell>
          <cell r="J1432">
            <v>29</v>
          </cell>
          <cell r="K1432">
            <v>16</v>
          </cell>
        </row>
        <row r="1433">
          <cell r="A1433" t="str">
            <v>CCM-V8-COPS-5060-NG</v>
          </cell>
          <cell r="B1433">
            <v>9</v>
          </cell>
          <cell r="C1433">
            <v>340</v>
          </cell>
          <cell r="D1433">
            <v>50</v>
          </cell>
          <cell r="E1433">
            <v>1.5</v>
          </cell>
          <cell r="F1433">
            <v>1444</v>
          </cell>
          <cell r="G1433" t="str">
            <v>shaft</v>
          </cell>
          <cell r="H1433" t="str">
            <v>160*29*16</v>
          </cell>
          <cell r="I1433">
            <v>160</v>
          </cell>
          <cell r="J1433">
            <v>29</v>
          </cell>
          <cell r="K1433">
            <v>16</v>
          </cell>
        </row>
        <row r="1434">
          <cell r="A1434" t="str">
            <v>CCM-V8-COPS-4060-NG</v>
          </cell>
          <cell r="B1434">
            <v>9</v>
          </cell>
          <cell r="C1434">
            <v>340</v>
          </cell>
          <cell r="D1434">
            <v>50</v>
          </cell>
          <cell r="E1434">
            <v>1.5</v>
          </cell>
          <cell r="F1434">
            <v>1445</v>
          </cell>
          <cell r="G1434" t="str">
            <v>shaft</v>
          </cell>
          <cell r="H1434" t="str">
            <v>160*29*16</v>
          </cell>
          <cell r="I1434">
            <v>160</v>
          </cell>
          <cell r="J1434">
            <v>29</v>
          </cell>
          <cell r="K1434">
            <v>16</v>
          </cell>
        </row>
        <row r="1435">
          <cell r="A1435" t="str">
            <v>QWOLFSL-8-743-UP</v>
          </cell>
          <cell r="B1435">
            <v>9</v>
          </cell>
          <cell r="C1435">
            <v>355</v>
          </cell>
          <cell r="D1435">
            <v>25</v>
          </cell>
          <cell r="E1435">
            <v>2.54</v>
          </cell>
          <cell r="F1435">
            <v>2001</v>
          </cell>
          <cell r="G1435" t="str">
            <v>fork</v>
          </cell>
          <cell r="H1435" t="str">
            <v>77*52*32</v>
          </cell>
          <cell r="I1435">
            <v>77</v>
          </cell>
          <cell r="J1435">
            <v>52</v>
          </cell>
          <cell r="K1435">
            <v>32</v>
          </cell>
        </row>
        <row r="1436">
          <cell r="A1436" t="str">
            <v>QWOLFCL-8-743-UP</v>
          </cell>
          <cell r="B1436">
            <v>9</v>
          </cell>
          <cell r="C1436">
            <v>515</v>
          </cell>
          <cell r="D1436">
            <v>25</v>
          </cell>
          <cell r="E1436">
            <v>2.54</v>
          </cell>
          <cell r="F1436">
            <v>2002</v>
          </cell>
          <cell r="G1436" t="str">
            <v>fork1</v>
          </cell>
          <cell r="H1436" t="str">
            <v>77*52*32</v>
          </cell>
          <cell r="I1436">
            <v>77</v>
          </cell>
          <cell r="J1436">
            <v>52</v>
          </cell>
          <cell r="K1436">
            <v>32</v>
          </cell>
        </row>
        <row r="1437">
          <cell r="A1437" t="str">
            <v>CCM-V8-COPS-4560-NG</v>
          </cell>
          <cell r="B1437">
            <v>9</v>
          </cell>
          <cell r="C1437">
            <v>340</v>
          </cell>
          <cell r="D1437">
            <v>50</v>
          </cell>
          <cell r="E1437">
            <v>1.5</v>
          </cell>
          <cell r="F1437">
            <v>1446</v>
          </cell>
          <cell r="G1437" t="str">
            <v>shaft</v>
          </cell>
          <cell r="H1437" t="str">
            <v>160*29*16</v>
          </cell>
          <cell r="I1437">
            <v>160</v>
          </cell>
          <cell r="J1437">
            <v>29</v>
          </cell>
          <cell r="K1437">
            <v>16</v>
          </cell>
        </row>
        <row r="1438">
          <cell r="A1438" t="str">
            <v>CCM-V10-TOPS-4060-RD-NG</v>
          </cell>
          <cell r="B1438">
            <v>9</v>
          </cell>
          <cell r="C1438">
            <v>360</v>
          </cell>
          <cell r="D1438">
            <v>50</v>
          </cell>
          <cell r="E1438">
            <v>1.5</v>
          </cell>
          <cell r="F1438">
            <v>1447</v>
          </cell>
          <cell r="G1438" t="str">
            <v>shaft</v>
          </cell>
          <cell r="H1438" t="str">
            <v>160*29*16</v>
          </cell>
          <cell r="I1438">
            <v>160</v>
          </cell>
          <cell r="J1438">
            <v>29</v>
          </cell>
          <cell r="K1438">
            <v>16</v>
          </cell>
        </row>
        <row r="1439">
          <cell r="A1439" t="str">
            <v>RBK-7K-COPS-5060-NG</v>
          </cell>
          <cell r="B1439">
            <v>9</v>
          </cell>
          <cell r="C1439">
            <v>340</v>
          </cell>
          <cell r="D1439">
            <v>50</v>
          </cell>
          <cell r="E1439">
            <v>1.5</v>
          </cell>
          <cell r="F1439">
            <v>1448</v>
          </cell>
          <cell r="G1439" t="str">
            <v>shaft</v>
          </cell>
          <cell r="H1439" t="str">
            <v>160*29*16</v>
          </cell>
          <cell r="I1439">
            <v>160</v>
          </cell>
          <cell r="J1439">
            <v>29</v>
          </cell>
          <cell r="K1439">
            <v>16</v>
          </cell>
        </row>
        <row r="1440">
          <cell r="A1440" t="str">
            <v>RBK-7K-COPS-4560-NG</v>
          </cell>
          <cell r="B1440">
            <v>9</v>
          </cell>
          <cell r="C1440">
            <v>340</v>
          </cell>
          <cell r="D1440">
            <v>50</v>
          </cell>
          <cell r="E1440">
            <v>1.5</v>
          </cell>
          <cell r="F1440">
            <v>1449</v>
          </cell>
          <cell r="G1440" t="str">
            <v>shaft</v>
          </cell>
          <cell r="H1440" t="str">
            <v>160*29*16</v>
          </cell>
          <cell r="I1440">
            <v>160</v>
          </cell>
          <cell r="J1440">
            <v>29</v>
          </cell>
          <cell r="K1440">
            <v>16</v>
          </cell>
        </row>
        <row r="1441">
          <cell r="A1441" t="str">
            <v>RBK-7K-COPS-5560-NG</v>
          </cell>
          <cell r="B1441">
            <v>9</v>
          </cell>
          <cell r="C1441">
            <v>340</v>
          </cell>
          <cell r="D1441">
            <v>50</v>
          </cell>
          <cell r="E1441">
            <v>1.5</v>
          </cell>
          <cell r="F1441">
            <v>1450</v>
          </cell>
          <cell r="G1441" t="str">
            <v>shaft</v>
          </cell>
          <cell r="H1441" t="str">
            <v>160*29*16</v>
          </cell>
          <cell r="I1441">
            <v>160</v>
          </cell>
          <cell r="J1441">
            <v>29</v>
          </cell>
          <cell r="K1441">
            <v>16</v>
          </cell>
        </row>
        <row r="1442">
          <cell r="A1442" t="str">
            <v>RBK-7K-COPS-4060-NG</v>
          </cell>
          <cell r="B1442">
            <v>9</v>
          </cell>
          <cell r="C1442">
            <v>340</v>
          </cell>
          <cell r="D1442">
            <v>50</v>
          </cell>
          <cell r="E1442">
            <v>1.5</v>
          </cell>
          <cell r="F1442">
            <v>1451</v>
          </cell>
          <cell r="G1442" t="str">
            <v>shaft</v>
          </cell>
          <cell r="H1442" t="str">
            <v>160*29*16</v>
          </cell>
          <cell r="I1442">
            <v>160</v>
          </cell>
          <cell r="J1442">
            <v>29</v>
          </cell>
          <cell r="K1442">
            <v>16</v>
          </cell>
        </row>
        <row r="1443">
          <cell r="A1443" t="str">
            <v>RBK-7K-COPS-3560</v>
          </cell>
          <cell r="B1443">
            <v>9</v>
          </cell>
          <cell r="C1443">
            <v>340</v>
          </cell>
          <cell r="D1443">
            <v>50</v>
          </cell>
          <cell r="E1443">
            <v>1.5</v>
          </cell>
          <cell r="F1443">
            <v>1452</v>
          </cell>
          <cell r="G1443" t="str">
            <v>shaft</v>
          </cell>
          <cell r="H1443" t="str">
            <v>160*29*16</v>
          </cell>
          <cell r="I1443">
            <v>160</v>
          </cell>
          <cell r="J1443">
            <v>29</v>
          </cell>
          <cell r="K1443">
            <v>16</v>
          </cell>
        </row>
        <row r="1444">
          <cell r="A1444" t="str">
            <v>RBK-7K-COPS-4060</v>
          </cell>
          <cell r="B1444">
            <v>9</v>
          </cell>
          <cell r="C1444">
            <v>340</v>
          </cell>
          <cell r="D1444">
            <v>50</v>
          </cell>
          <cell r="E1444">
            <v>1.5</v>
          </cell>
          <cell r="F1444">
            <v>1453</v>
          </cell>
          <cell r="G1444" t="str">
            <v>shaft</v>
          </cell>
          <cell r="H1444" t="str">
            <v>160*29*16</v>
          </cell>
          <cell r="I1444">
            <v>160</v>
          </cell>
          <cell r="J1444">
            <v>29</v>
          </cell>
          <cell r="K1444">
            <v>16</v>
          </cell>
        </row>
        <row r="1445">
          <cell r="A1445" t="str">
            <v>RBK-7K-COPS-4560</v>
          </cell>
          <cell r="B1445">
            <v>9</v>
          </cell>
          <cell r="C1445">
            <v>340</v>
          </cell>
          <cell r="D1445">
            <v>50</v>
          </cell>
          <cell r="E1445">
            <v>1.5</v>
          </cell>
          <cell r="F1445">
            <v>1454</v>
          </cell>
          <cell r="G1445" t="str">
            <v>shaft</v>
          </cell>
          <cell r="H1445" t="str">
            <v>160*29*16</v>
          </cell>
          <cell r="I1445">
            <v>160</v>
          </cell>
          <cell r="J1445">
            <v>29</v>
          </cell>
          <cell r="K1445">
            <v>16</v>
          </cell>
        </row>
        <row r="1446">
          <cell r="A1446" t="str">
            <v>RBK-7K-COPS-5060</v>
          </cell>
          <cell r="B1446">
            <v>9</v>
          </cell>
          <cell r="C1446">
            <v>340</v>
          </cell>
          <cell r="D1446">
            <v>50</v>
          </cell>
          <cell r="E1446">
            <v>1.5</v>
          </cell>
          <cell r="F1446">
            <v>1455</v>
          </cell>
          <cell r="G1446" t="str">
            <v>shaft</v>
          </cell>
          <cell r="H1446" t="str">
            <v>160*29*16</v>
          </cell>
          <cell r="I1446">
            <v>160</v>
          </cell>
          <cell r="J1446">
            <v>29</v>
          </cell>
          <cell r="K1446">
            <v>16</v>
          </cell>
        </row>
        <row r="1447">
          <cell r="A1447" t="str">
            <v>RBK-7K-COPS-5560</v>
          </cell>
          <cell r="B1447">
            <v>9</v>
          </cell>
          <cell r="C1447">
            <v>340</v>
          </cell>
          <cell r="D1447">
            <v>50</v>
          </cell>
          <cell r="E1447">
            <v>1.5</v>
          </cell>
          <cell r="F1447">
            <v>1456</v>
          </cell>
          <cell r="G1447" t="str">
            <v>shaft</v>
          </cell>
          <cell r="H1447" t="str">
            <v>160*29*16</v>
          </cell>
          <cell r="I1447">
            <v>160</v>
          </cell>
          <cell r="J1447">
            <v>29</v>
          </cell>
          <cell r="K1447">
            <v>16</v>
          </cell>
        </row>
        <row r="1448">
          <cell r="A1448" t="str">
            <v>RBK-7K-TOPS-4560-NG</v>
          </cell>
          <cell r="B1448">
            <v>9</v>
          </cell>
          <cell r="C1448">
            <v>340</v>
          </cell>
          <cell r="D1448">
            <v>50</v>
          </cell>
          <cell r="E1448">
            <v>1.5</v>
          </cell>
          <cell r="F1448">
            <v>1457</v>
          </cell>
          <cell r="G1448" t="str">
            <v>shaft</v>
          </cell>
          <cell r="H1448" t="str">
            <v>160*29*16</v>
          </cell>
          <cell r="I1448">
            <v>160</v>
          </cell>
          <cell r="J1448">
            <v>29</v>
          </cell>
          <cell r="K1448">
            <v>16</v>
          </cell>
        </row>
        <row r="1449">
          <cell r="A1449" t="str">
            <v>UADPLPTIA-41</v>
          </cell>
          <cell r="B1449">
            <v>9</v>
          </cell>
          <cell r="C1449">
            <v>76</v>
          </cell>
          <cell r="D1449">
            <v>100</v>
          </cell>
          <cell r="E1449">
            <v>0.72</v>
          </cell>
          <cell r="F1449">
            <v>1458</v>
          </cell>
          <cell r="G1449" t="str">
            <v>golf</v>
          </cell>
          <cell r="H1449" t="str">
            <v>111*29*11</v>
          </cell>
          <cell r="I1449">
            <v>111</v>
          </cell>
          <cell r="J1449">
            <v>29</v>
          </cell>
          <cell r="K1449">
            <v>10</v>
          </cell>
        </row>
        <row r="1450">
          <cell r="A1450" t="str">
            <v>UADPLPTIR-41</v>
          </cell>
          <cell r="B1450">
            <v>9</v>
          </cell>
          <cell r="C1450">
            <v>76</v>
          </cell>
          <cell r="D1450">
            <v>100</v>
          </cell>
          <cell r="E1450">
            <v>0.72</v>
          </cell>
          <cell r="F1450">
            <v>1459</v>
          </cell>
          <cell r="G1450" t="str">
            <v>golf</v>
          </cell>
          <cell r="H1450" t="str">
            <v>111*29*11</v>
          </cell>
          <cell r="I1450">
            <v>111</v>
          </cell>
          <cell r="J1450">
            <v>29</v>
          </cell>
          <cell r="K1450">
            <v>10</v>
          </cell>
        </row>
        <row r="1451">
          <cell r="A1451" t="str">
            <v>UADPLPTIS-41</v>
          </cell>
          <cell r="B1451">
            <v>9</v>
          </cell>
          <cell r="C1451">
            <v>76</v>
          </cell>
          <cell r="D1451">
            <v>100</v>
          </cell>
          <cell r="E1451">
            <v>0.72</v>
          </cell>
          <cell r="F1451">
            <v>1460</v>
          </cell>
          <cell r="G1451" t="str">
            <v>golf</v>
          </cell>
          <cell r="H1451" t="str">
            <v>111*29*11</v>
          </cell>
          <cell r="I1451">
            <v>111</v>
          </cell>
          <cell r="J1451">
            <v>29</v>
          </cell>
          <cell r="K1451">
            <v>10</v>
          </cell>
        </row>
        <row r="1452">
          <cell r="A1452" t="str">
            <v>UADPLPTHYIA-42</v>
          </cell>
          <cell r="B1452">
            <v>9</v>
          </cell>
          <cell r="C1452">
            <v>76</v>
          </cell>
          <cell r="D1452">
            <v>100</v>
          </cell>
          <cell r="E1452">
            <v>0.72</v>
          </cell>
          <cell r="F1452">
            <v>1461</v>
          </cell>
          <cell r="G1452" t="str">
            <v>golf</v>
          </cell>
          <cell r="H1452" t="str">
            <v>111*29*11</v>
          </cell>
          <cell r="I1452">
            <v>111</v>
          </cell>
          <cell r="J1452">
            <v>29</v>
          </cell>
          <cell r="K1452">
            <v>10</v>
          </cell>
        </row>
        <row r="1453">
          <cell r="A1453" t="str">
            <v>UADPLPTHYIR-42</v>
          </cell>
          <cell r="B1453">
            <v>9</v>
          </cell>
          <cell r="C1453">
            <v>76</v>
          </cell>
          <cell r="D1453">
            <v>100</v>
          </cell>
          <cell r="E1453">
            <v>0.72</v>
          </cell>
          <cell r="F1453">
            <v>1462</v>
          </cell>
          <cell r="G1453" t="str">
            <v>golf</v>
          </cell>
          <cell r="H1453" t="str">
            <v>111*29*11</v>
          </cell>
          <cell r="I1453">
            <v>111</v>
          </cell>
          <cell r="J1453">
            <v>29</v>
          </cell>
          <cell r="K1453">
            <v>10</v>
          </cell>
        </row>
        <row r="1454">
          <cell r="A1454" t="str">
            <v>UADPLPTHYIS-42</v>
          </cell>
          <cell r="B1454">
            <v>9</v>
          </cell>
          <cell r="C1454">
            <v>76</v>
          </cell>
          <cell r="D1454">
            <v>100</v>
          </cell>
          <cell r="E1454">
            <v>0.72</v>
          </cell>
          <cell r="F1454">
            <v>1463</v>
          </cell>
          <cell r="G1454" t="str">
            <v>golf</v>
          </cell>
          <cell r="H1454" t="str">
            <v>111*29*11</v>
          </cell>
          <cell r="I1454">
            <v>111</v>
          </cell>
          <cell r="J1454">
            <v>29</v>
          </cell>
          <cell r="K1454">
            <v>10</v>
          </cell>
        </row>
        <row r="1455">
          <cell r="A1455" t="str">
            <v>UMAXFLIFIREWRS-48</v>
          </cell>
          <cell r="B1455">
            <v>9</v>
          </cell>
          <cell r="C1455">
            <v>80</v>
          </cell>
          <cell r="D1455">
            <v>50</v>
          </cell>
          <cell r="E1455">
            <v>0.6</v>
          </cell>
          <cell r="F1455">
            <v>1467</v>
          </cell>
          <cell r="G1455" t="str">
            <v>golf</v>
          </cell>
          <cell r="H1455" t="str">
            <v>122*15*10</v>
          </cell>
          <cell r="I1455">
            <v>122</v>
          </cell>
          <cell r="J1455">
            <v>15</v>
          </cell>
          <cell r="K1455">
            <v>10</v>
          </cell>
        </row>
        <row r="1456">
          <cell r="A1456" t="str">
            <v>RBK-7K-TOPS-4060-NG</v>
          </cell>
          <cell r="B1456">
            <v>9</v>
          </cell>
          <cell r="C1456">
            <v>340</v>
          </cell>
          <cell r="D1456">
            <v>50</v>
          </cell>
          <cell r="E1456">
            <v>1.5</v>
          </cell>
          <cell r="F1456">
            <v>1464</v>
          </cell>
          <cell r="G1456" t="str">
            <v>shaft</v>
          </cell>
          <cell r="H1456" t="str">
            <v>160*29*16</v>
          </cell>
          <cell r="I1456">
            <v>160</v>
          </cell>
          <cell r="J1456">
            <v>29</v>
          </cell>
          <cell r="K1456">
            <v>16</v>
          </cell>
        </row>
        <row r="1457">
          <cell r="A1457" t="str">
            <v>RBK-7K-TOPS-5060-NG</v>
          </cell>
          <cell r="B1457">
            <v>9</v>
          </cell>
          <cell r="C1457">
            <v>340</v>
          </cell>
          <cell r="D1457">
            <v>50</v>
          </cell>
          <cell r="E1457">
            <v>1.5</v>
          </cell>
          <cell r="F1457">
            <v>1465</v>
          </cell>
          <cell r="G1457" t="str">
            <v>shaft</v>
          </cell>
          <cell r="H1457" t="str">
            <v>160*29*16</v>
          </cell>
          <cell r="I1457">
            <v>160</v>
          </cell>
          <cell r="J1457">
            <v>29</v>
          </cell>
          <cell r="K1457">
            <v>16</v>
          </cell>
        </row>
        <row r="1458">
          <cell r="A1458" t="str">
            <v>RBK-7K-TOPS-5060</v>
          </cell>
          <cell r="B1458">
            <v>9</v>
          </cell>
          <cell r="C1458">
            <v>340</v>
          </cell>
          <cell r="D1458">
            <v>50</v>
          </cell>
          <cell r="E1458">
            <v>1.5</v>
          </cell>
          <cell r="F1458">
            <v>1466</v>
          </cell>
          <cell r="G1458" t="str">
            <v>shaft</v>
          </cell>
          <cell r="H1458" t="str">
            <v>160*29*16</v>
          </cell>
          <cell r="I1458">
            <v>160</v>
          </cell>
          <cell r="J1458">
            <v>29</v>
          </cell>
          <cell r="K1458">
            <v>16</v>
          </cell>
        </row>
        <row r="1459">
          <cell r="A1459" t="str">
            <v>RBK-7K-TOPS-4560</v>
          </cell>
          <cell r="B1459">
            <v>9</v>
          </cell>
          <cell r="C1459">
            <v>340</v>
          </cell>
          <cell r="D1459">
            <v>50</v>
          </cell>
          <cell r="E1459">
            <v>1.5</v>
          </cell>
          <cell r="F1459">
            <v>1468</v>
          </cell>
          <cell r="G1459" t="str">
            <v>shaft</v>
          </cell>
          <cell r="H1459" t="str">
            <v>160*29*16</v>
          </cell>
          <cell r="I1459">
            <v>160</v>
          </cell>
          <cell r="J1459">
            <v>29</v>
          </cell>
          <cell r="K1459">
            <v>16</v>
          </cell>
        </row>
        <row r="1460">
          <cell r="A1460" t="str">
            <v>RBK-7K-TOPS-3560-NG</v>
          </cell>
          <cell r="B1460">
            <v>9</v>
          </cell>
          <cell r="C1460">
            <v>340</v>
          </cell>
          <cell r="D1460">
            <v>50</v>
          </cell>
          <cell r="E1460">
            <v>1.5</v>
          </cell>
          <cell r="F1460">
            <v>1469</v>
          </cell>
          <cell r="G1460" t="str">
            <v>shaft</v>
          </cell>
          <cell r="H1460" t="str">
            <v>160*29*16</v>
          </cell>
          <cell r="I1460">
            <v>160</v>
          </cell>
          <cell r="J1460">
            <v>29</v>
          </cell>
          <cell r="K1460">
            <v>16</v>
          </cell>
        </row>
        <row r="1461">
          <cell r="A1461" t="str">
            <v>RBK-7K-TOPS-4060</v>
          </cell>
          <cell r="B1461">
            <v>9</v>
          </cell>
          <cell r="C1461">
            <v>340</v>
          </cell>
          <cell r="D1461">
            <v>50</v>
          </cell>
          <cell r="E1461">
            <v>1.5</v>
          </cell>
          <cell r="F1461">
            <v>1470</v>
          </cell>
          <cell r="G1461" t="str">
            <v>shaft</v>
          </cell>
          <cell r="H1461" t="str">
            <v>160*29*16</v>
          </cell>
          <cell r="I1461">
            <v>160</v>
          </cell>
          <cell r="J1461">
            <v>29</v>
          </cell>
          <cell r="K1461">
            <v>16</v>
          </cell>
        </row>
        <row r="1462">
          <cell r="A1462" t="str">
            <v>RBK-7K-TOPS-5560</v>
          </cell>
          <cell r="B1462">
            <v>9</v>
          </cell>
          <cell r="C1462">
            <v>340</v>
          </cell>
          <cell r="D1462">
            <v>50</v>
          </cell>
          <cell r="E1462">
            <v>1.5</v>
          </cell>
          <cell r="F1462">
            <v>1471</v>
          </cell>
          <cell r="G1462" t="str">
            <v>shaft</v>
          </cell>
          <cell r="H1462" t="str">
            <v>160*29*16</v>
          </cell>
          <cell r="I1462">
            <v>160</v>
          </cell>
          <cell r="J1462">
            <v>29</v>
          </cell>
          <cell r="K1462">
            <v>16</v>
          </cell>
        </row>
        <row r="1463">
          <cell r="A1463" t="str">
            <v>RBK-7K-TOPS-3560</v>
          </cell>
          <cell r="B1463">
            <v>9</v>
          </cell>
          <cell r="C1463">
            <v>340</v>
          </cell>
          <cell r="D1463">
            <v>50</v>
          </cell>
          <cell r="E1463">
            <v>1.5</v>
          </cell>
          <cell r="F1463">
            <v>1472</v>
          </cell>
          <cell r="G1463" t="str">
            <v>shaft</v>
          </cell>
          <cell r="H1463" t="str">
            <v>160*29*16</v>
          </cell>
          <cell r="I1463">
            <v>160</v>
          </cell>
          <cell r="J1463">
            <v>29</v>
          </cell>
          <cell r="K1463">
            <v>16</v>
          </cell>
        </row>
        <row r="1464">
          <cell r="A1464" t="str">
            <v>RBK-7K-TOPS-5560-NG</v>
          </cell>
          <cell r="B1464">
            <v>9</v>
          </cell>
          <cell r="C1464">
            <v>340</v>
          </cell>
          <cell r="D1464">
            <v>50</v>
          </cell>
          <cell r="E1464">
            <v>1.5</v>
          </cell>
          <cell r="F1464">
            <v>1473</v>
          </cell>
          <cell r="G1464" t="str">
            <v>shaft</v>
          </cell>
          <cell r="H1464" t="str">
            <v>160*29*16</v>
          </cell>
          <cell r="I1464">
            <v>160</v>
          </cell>
          <cell r="J1464">
            <v>29</v>
          </cell>
          <cell r="K1464">
            <v>16</v>
          </cell>
        </row>
        <row r="1465">
          <cell r="A1465" t="str">
            <v>UADPLPTIW-41</v>
          </cell>
          <cell r="B1465">
            <v>9</v>
          </cell>
          <cell r="C1465">
            <v>76</v>
          </cell>
          <cell r="D1465">
            <v>100</v>
          </cell>
          <cell r="E1465">
            <v>0.72</v>
          </cell>
          <cell r="F1465">
            <v>1474</v>
          </cell>
          <cell r="G1465" t="str">
            <v>golf</v>
          </cell>
          <cell r="H1465" t="str">
            <v>111*25*10</v>
          </cell>
          <cell r="I1465">
            <v>111</v>
          </cell>
          <cell r="J1465">
            <v>25</v>
          </cell>
          <cell r="K1465">
            <v>10</v>
          </cell>
        </row>
        <row r="1466">
          <cell r="A1466" t="str">
            <v>SHR-RM19-P226-G01L-57</v>
          </cell>
          <cell r="B1466">
            <v>9</v>
          </cell>
          <cell r="C1466">
            <v>740</v>
          </cell>
          <cell r="D1466">
            <v>12</v>
          </cell>
          <cell r="E1466">
            <v>2.2200000000000002</v>
          </cell>
          <cell r="F1466">
            <v>1476</v>
          </cell>
          <cell r="G1466" t="str">
            <v>goalier</v>
          </cell>
          <cell r="H1466" t="str">
            <v>179*42*15</v>
          </cell>
          <cell r="I1466">
            <v>179</v>
          </cell>
          <cell r="J1466">
            <v>42</v>
          </cell>
          <cell r="K1466">
            <v>15</v>
          </cell>
        </row>
        <row r="1467">
          <cell r="A1467" t="str">
            <v>PASS-TI-07054-NG</v>
          </cell>
          <cell r="B1467">
            <v>9</v>
          </cell>
          <cell r="C1467">
            <v>321</v>
          </cell>
          <cell r="D1467">
            <v>50</v>
          </cell>
          <cell r="E1467">
            <v>1.48</v>
          </cell>
          <cell r="F1467">
            <v>1477</v>
          </cell>
          <cell r="G1467" t="str">
            <v>shaft</v>
          </cell>
          <cell r="H1467" t="str">
            <v>145*29*16</v>
          </cell>
          <cell r="I1467">
            <v>145</v>
          </cell>
          <cell r="J1467">
            <v>29</v>
          </cell>
          <cell r="K1467">
            <v>16</v>
          </cell>
        </row>
        <row r="1468">
          <cell r="A1468" t="str">
            <v>PASS-TI-10054-NG</v>
          </cell>
          <cell r="B1468">
            <v>9</v>
          </cell>
          <cell r="C1468">
            <v>338</v>
          </cell>
          <cell r="D1468">
            <v>50</v>
          </cell>
          <cell r="E1468">
            <v>1.48</v>
          </cell>
          <cell r="F1468">
            <v>1478</v>
          </cell>
          <cell r="G1468" t="str">
            <v>shaft</v>
          </cell>
          <cell r="H1468" t="str">
            <v>145*29*16</v>
          </cell>
          <cell r="I1468">
            <v>145</v>
          </cell>
          <cell r="J1468">
            <v>29</v>
          </cell>
          <cell r="K1468">
            <v>16</v>
          </cell>
        </row>
        <row r="1469">
          <cell r="A1469" t="str">
            <v>RBK-7K-TT-4556-NG</v>
          </cell>
          <cell r="B1469">
            <v>9</v>
          </cell>
          <cell r="C1469">
            <v>340</v>
          </cell>
          <cell r="D1469">
            <v>50</v>
          </cell>
          <cell r="E1469">
            <v>1.48</v>
          </cell>
          <cell r="F1469">
            <v>1475</v>
          </cell>
          <cell r="G1469" t="str">
            <v>shaft</v>
          </cell>
          <cell r="H1469" t="str">
            <v>145*29*16</v>
          </cell>
          <cell r="I1469">
            <v>145</v>
          </cell>
          <cell r="J1469">
            <v>29</v>
          </cell>
          <cell r="K1469">
            <v>16</v>
          </cell>
        </row>
        <row r="1470">
          <cell r="A1470" t="str">
            <v>RBK-7K-TT-4056-NG</v>
          </cell>
          <cell r="B1470">
            <v>9</v>
          </cell>
          <cell r="C1470">
            <v>340</v>
          </cell>
          <cell r="D1470">
            <v>50</v>
          </cell>
          <cell r="E1470">
            <v>1.48</v>
          </cell>
          <cell r="F1470">
            <v>1479</v>
          </cell>
          <cell r="G1470" t="str">
            <v>shaft</v>
          </cell>
          <cell r="H1470" t="str">
            <v>145*29*16</v>
          </cell>
          <cell r="I1470">
            <v>145</v>
          </cell>
          <cell r="J1470">
            <v>29</v>
          </cell>
          <cell r="K1470">
            <v>16</v>
          </cell>
        </row>
        <row r="1471">
          <cell r="A1471" t="str">
            <v>RBK-7K-TT-5056-NG</v>
          </cell>
          <cell r="B1471">
            <v>9</v>
          </cell>
          <cell r="C1471">
            <v>340</v>
          </cell>
          <cell r="D1471">
            <v>50</v>
          </cell>
          <cell r="E1471">
            <v>1.48</v>
          </cell>
          <cell r="F1471">
            <v>1480</v>
          </cell>
          <cell r="G1471" t="str">
            <v>shaft</v>
          </cell>
          <cell r="H1471" t="str">
            <v>145*29*16</v>
          </cell>
          <cell r="I1471">
            <v>145</v>
          </cell>
          <cell r="J1471">
            <v>29</v>
          </cell>
          <cell r="K1471">
            <v>16</v>
          </cell>
        </row>
        <row r="1472">
          <cell r="A1472" t="str">
            <v>RBK-7K-TT-5556-NG</v>
          </cell>
          <cell r="B1472">
            <v>9</v>
          </cell>
          <cell r="C1472">
            <v>340</v>
          </cell>
          <cell r="D1472">
            <v>50</v>
          </cell>
          <cell r="E1472">
            <v>1.48</v>
          </cell>
          <cell r="F1472">
            <v>1481</v>
          </cell>
          <cell r="G1472" t="str">
            <v>shaft</v>
          </cell>
          <cell r="H1472" t="str">
            <v>145*29*16</v>
          </cell>
          <cell r="I1472">
            <v>145</v>
          </cell>
          <cell r="J1472">
            <v>29</v>
          </cell>
          <cell r="K1472">
            <v>16</v>
          </cell>
        </row>
        <row r="1473">
          <cell r="A1473" t="str">
            <v>CCM-V8.9-COPS-4060-BL</v>
          </cell>
          <cell r="B1473">
            <v>9</v>
          </cell>
          <cell r="C1473">
            <v>420</v>
          </cell>
          <cell r="D1473">
            <v>50</v>
          </cell>
          <cell r="E1473">
            <v>1.5</v>
          </cell>
          <cell r="F1473">
            <v>1482</v>
          </cell>
          <cell r="G1473" t="str">
            <v>shaft</v>
          </cell>
          <cell r="H1473" t="str">
            <v>160*29*16</v>
          </cell>
          <cell r="I1473">
            <v>160</v>
          </cell>
          <cell r="J1473">
            <v>29</v>
          </cell>
          <cell r="K1473">
            <v>16</v>
          </cell>
        </row>
        <row r="1474">
          <cell r="A1474" t="str">
            <v>CCM-V8.9-COPS-4560-BL</v>
          </cell>
          <cell r="B1474">
            <v>9</v>
          </cell>
          <cell r="C1474">
            <v>420</v>
          </cell>
          <cell r="D1474">
            <v>50</v>
          </cell>
          <cell r="E1474">
            <v>1.5</v>
          </cell>
          <cell r="F1474">
            <v>1483</v>
          </cell>
          <cell r="G1474" t="str">
            <v>shaft</v>
          </cell>
          <cell r="H1474" t="str">
            <v>160*29*16</v>
          </cell>
          <cell r="I1474">
            <v>160</v>
          </cell>
          <cell r="J1474">
            <v>29</v>
          </cell>
          <cell r="K1474">
            <v>16</v>
          </cell>
        </row>
        <row r="1475">
          <cell r="A1475" t="str">
            <v>UWFS5WR-47</v>
          </cell>
          <cell r="B1475">
            <v>9</v>
          </cell>
          <cell r="C1475">
            <v>64</v>
          </cell>
          <cell r="D1475">
            <v>50</v>
          </cell>
          <cell r="E1475">
            <v>0.6</v>
          </cell>
          <cell r="F1475">
            <v>1484</v>
          </cell>
          <cell r="G1475" t="str">
            <v>golf</v>
          </cell>
          <cell r="H1475" t="str">
            <v>122*15*10</v>
          </cell>
          <cell r="I1475">
            <v>122</v>
          </cell>
          <cell r="J1475">
            <v>15</v>
          </cell>
          <cell r="K1475">
            <v>10</v>
          </cell>
        </row>
        <row r="1476">
          <cell r="A1476" t="str">
            <v>PASS-EVO-10056-NG</v>
          </cell>
          <cell r="B1476">
            <v>9</v>
          </cell>
          <cell r="C1476">
            <v>340</v>
          </cell>
          <cell r="D1476">
            <v>50</v>
          </cell>
          <cell r="E1476">
            <v>1.48</v>
          </cell>
          <cell r="F1476">
            <v>1485</v>
          </cell>
          <cell r="G1476" t="str">
            <v>shaft</v>
          </cell>
          <cell r="H1476" t="str">
            <v>145*29*16</v>
          </cell>
          <cell r="I1476">
            <v>145</v>
          </cell>
          <cell r="J1476">
            <v>29</v>
          </cell>
          <cell r="K1476">
            <v>16</v>
          </cell>
        </row>
        <row r="1477">
          <cell r="A1477" t="str">
            <v>PASS-EVO-07056</v>
          </cell>
          <cell r="B1477">
            <v>9</v>
          </cell>
          <cell r="C1477">
            <v>323</v>
          </cell>
          <cell r="D1477">
            <v>50</v>
          </cell>
          <cell r="E1477">
            <v>1.48</v>
          </cell>
          <cell r="F1477">
            <v>1486</v>
          </cell>
          <cell r="G1477" t="str">
            <v>shaft</v>
          </cell>
          <cell r="H1477" t="str">
            <v>145*29*16</v>
          </cell>
          <cell r="I1477">
            <v>145</v>
          </cell>
          <cell r="J1477">
            <v>29</v>
          </cell>
          <cell r="K1477">
            <v>16</v>
          </cell>
        </row>
        <row r="1478">
          <cell r="A1478" t="str">
            <v>PASS-EVO-10056</v>
          </cell>
          <cell r="B1478">
            <v>9</v>
          </cell>
          <cell r="C1478">
            <v>323</v>
          </cell>
          <cell r="D1478">
            <v>50</v>
          </cell>
          <cell r="E1478">
            <v>1.48</v>
          </cell>
          <cell r="F1478">
            <v>1487</v>
          </cell>
          <cell r="G1478" t="str">
            <v>shaft</v>
          </cell>
          <cell r="H1478" t="str">
            <v>145*29*16</v>
          </cell>
          <cell r="I1478">
            <v>145</v>
          </cell>
          <cell r="J1478">
            <v>29</v>
          </cell>
          <cell r="K1478">
            <v>16</v>
          </cell>
        </row>
        <row r="1479">
          <cell r="A1479" t="str">
            <v>PASS-EVO-11056</v>
          </cell>
          <cell r="B1479">
            <v>9</v>
          </cell>
          <cell r="C1479">
            <v>323</v>
          </cell>
          <cell r="D1479">
            <v>50</v>
          </cell>
          <cell r="E1479">
            <v>1.48</v>
          </cell>
          <cell r="F1479">
            <v>1488</v>
          </cell>
          <cell r="G1479" t="str">
            <v>shaft</v>
          </cell>
          <cell r="H1479" t="str">
            <v>145*29*16</v>
          </cell>
          <cell r="I1479">
            <v>145</v>
          </cell>
          <cell r="J1479">
            <v>29</v>
          </cell>
          <cell r="K1479">
            <v>16</v>
          </cell>
        </row>
        <row r="1480">
          <cell r="A1480" t="str">
            <v>ESP10PRR</v>
          </cell>
          <cell r="B1480">
            <v>9</v>
          </cell>
          <cell r="C1480">
            <v>450</v>
          </cell>
          <cell r="D1480">
            <v>25</v>
          </cell>
          <cell r="E1480">
            <v>1.6</v>
          </cell>
          <cell r="F1480">
            <v>1489</v>
          </cell>
          <cell r="G1480" t="str">
            <v>shaft</v>
          </cell>
          <cell r="H1480" t="str">
            <v>183*29*16</v>
          </cell>
          <cell r="I1480">
            <v>183</v>
          </cell>
          <cell r="J1480">
            <v>29</v>
          </cell>
          <cell r="K1480">
            <v>16</v>
          </cell>
        </row>
        <row r="1481">
          <cell r="A1481" t="str">
            <v>QINSERT-SL</v>
          </cell>
          <cell r="B1481">
            <v>9</v>
          </cell>
          <cell r="C1481">
            <v>30</v>
          </cell>
          <cell r="D1481">
            <v>500</v>
          </cell>
          <cell r="E1481">
            <v>3.46</v>
          </cell>
          <cell r="F1481" t="e">
            <v>#N/A</v>
          </cell>
          <cell r="G1481" t="str">
            <v>insert</v>
          </cell>
          <cell r="H1481" t="str">
            <v>77*52*32</v>
          </cell>
          <cell r="I1481">
            <v>77</v>
          </cell>
          <cell r="J1481">
            <v>52</v>
          </cell>
          <cell r="K1481">
            <v>32</v>
          </cell>
        </row>
        <row r="1482">
          <cell r="A1482" t="str">
            <v>PASS-EVO-10056</v>
          </cell>
          <cell r="B1482">
            <v>9</v>
          </cell>
          <cell r="C1482">
            <v>323</v>
          </cell>
          <cell r="D1482">
            <v>50</v>
          </cell>
          <cell r="E1482">
            <v>1.48</v>
          </cell>
          <cell r="F1482">
            <v>1487</v>
          </cell>
          <cell r="G1482" t="str">
            <v>shaft</v>
          </cell>
          <cell r="H1482" t="str">
            <v>145*29*16</v>
          </cell>
          <cell r="I1482">
            <v>145</v>
          </cell>
          <cell r="J1482">
            <v>29</v>
          </cell>
          <cell r="K1482">
            <v>16</v>
          </cell>
        </row>
        <row r="1483">
          <cell r="A1483" t="str">
            <v>PASS-EVO-11056</v>
          </cell>
          <cell r="B1483">
            <v>9</v>
          </cell>
          <cell r="C1483">
            <v>323</v>
          </cell>
          <cell r="D1483">
            <v>50</v>
          </cell>
          <cell r="E1483">
            <v>1.48</v>
          </cell>
          <cell r="F1483">
            <v>1488</v>
          </cell>
          <cell r="G1483" t="str">
            <v>shaft</v>
          </cell>
          <cell r="H1483" t="str">
            <v>145*29*16</v>
          </cell>
          <cell r="I1483">
            <v>145</v>
          </cell>
          <cell r="J1483">
            <v>29</v>
          </cell>
          <cell r="K1483">
            <v>16</v>
          </cell>
        </row>
        <row r="1484">
          <cell r="A1484" t="str">
            <v>ESP10PRR</v>
          </cell>
          <cell r="B1484">
            <v>9</v>
          </cell>
          <cell r="C1484">
            <v>450</v>
          </cell>
          <cell r="D1484">
            <v>25</v>
          </cell>
          <cell r="E1484">
            <v>1.6</v>
          </cell>
          <cell r="F1484">
            <v>1489</v>
          </cell>
          <cell r="G1484" t="str">
            <v>hockey</v>
          </cell>
          <cell r="H1484" t="str">
            <v>183*29*16</v>
          </cell>
          <cell r="I1484">
            <v>183</v>
          </cell>
          <cell r="J1484">
            <v>29</v>
          </cell>
          <cell r="K1484">
            <v>16</v>
          </cell>
        </row>
        <row r="1485">
          <cell r="A1485" t="str">
            <v>CCM-V10-TOPS-5560-RD</v>
          </cell>
          <cell r="B1485">
            <v>9</v>
          </cell>
          <cell r="C1485">
            <v>360</v>
          </cell>
          <cell r="D1485">
            <v>50</v>
          </cell>
          <cell r="E1485">
            <v>1.5</v>
          </cell>
          <cell r="F1485">
            <v>1490</v>
          </cell>
          <cell r="G1485" t="str">
            <v>shaft</v>
          </cell>
          <cell r="H1485" t="str">
            <v>160*29*16</v>
          </cell>
          <cell r="I1485">
            <v>160</v>
          </cell>
          <cell r="J1485">
            <v>29</v>
          </cell>
          <cell r="K1485">
            <v>16</v>
          </cell>
        </row>
        <row r="1486">
          <cell r="A1486" t="str">
            <v>UMAXFLIEZIRS-43</v>
          </cell>
          <cell r="B1486">
            <v>9</v>
          </cell>
          <cell r="C1486">
            <v>80</v>
          </cell>
          <cell r="D1486">
            <v>50</v>
          </cell>
          <cell r="E1486">
            <v>0.6</v>
          </cell>
          <cell r="F1486">
            <v>1491</v>
          </cell>
          <cell r="G1486" t="str">
            <v>golf</v>
          </cell>
          <cell r="H1486" t="str">
            <v>122*15*10</v>
          </cell>
          <cell r="I1486">
            <v>122</v>
          </cell>
          <cell r="J1486">
            <v>15</v>
          </cell>
          <cell r="K1486">
            <v>10</v>
          </cell>
        </row>
        <row r="1487">
          <cell r="A1487" t="str">
            <v>ESP10PRL</v>
          </cell>
          <cell r="B1487">
            <v>9</v>
          </cell>
          <cell r="C1487">
            <v>450</v>
          </cell>
          <cell r="D1487">
            <v>25</v>
          </cell>
          <cell r="E1487">
            <v>1.6</v>
          </cell>
          <cell r="F1487">
            <v>1492</v>
          </cell>
          <cell r="G1487" t="str">
            <v>hockey</v>
          </cell>
          <cell r="H1487" t="str">
            <v>122*15*10</v>
          </cell>
          <cell r="I1487">
            <v>122</v>
          </cell>
          <cell r="J1487">
            <v>15</v>
          </cell>
          <cell r="K1487">
            <v>10</v>
          </cell>
        </row>
        <row r="1488">
          <cell r="A1488" t="str">
            <v>UWFS5FWWR-44</v>
          </cell>
          <cell r="B1488">
            <v>9</v>
          </cell>
          <cell r="C1488">
            <v>70</v>
          </cell>
          <cell r="D1488">
            <v>50</v>
          </cell>
          <cell r="E1488">
            <v>0.6</v>
          </cell>
          <cell r="F1488">
            <v>1493</v>
          </cell>
          <cell r="G1488" t="str">
            <v>golf</v>
          </cell>
          <cell r="H1488" t="str">
            <v>122*15*10</v>
          </cell>
          <cell r="I1488">
            <v>122</v>
          </cell>
          <cell r="J1488">
            <v>15</v>
          </cell>
          <cell r="K1488">
            <v>10</v>
          </cell>
        </row>
        <row r="1489">
          <cell r="A1489" t="str">
            <v>BAL-P127-G01L-57</v>
          </cell>
          <cell r="B1489">
            <v>9</v>
          </cell>
          <cell r="C1489">
            <v>740</v>
          </cell>
          <cell r="D1489">
            <v>12</v>
          </cell>
          <cell r="E1489">
            <v>2.2200000000000002</v>
          </cell>
          <cell r="F1489">
            <v>1494</v>
          </cell>
          <cell r="G1489" t="str">
            <v>goalier</v>
          </cell>
          <cell r="H1489" t="str">
            <v>179*42*15</v>
          </cell>
          <cell r="I1489">
            <v>179</v>
          </cell>
          <cell r="J1489">
            <v>42</v>
          </cell>
          <cell r="K1489">
            <v>15</v>
          </cell>
        </row>
        <row r="1490">
          <cell r="A1490" t="str">
            <v>CCM-V8-COPS-3060-NG</v>
          </cell>
          <cell r="B1490">
            <v>9</v>
          </cell>
          <cell r="C1490">
            <v>340</v>
          </cell>
          <cell r="D1490">
            <v>50</v>
          </cell>
          <cell r="E1490">
            <v>1.5</v>
          </cell>
          <cell r="F1490">
            <v>1495</v>
          </cell>
          <cell r="G1490" t="str">
            <v>shaft</v>
          </cell>
          <cell r="H1490" t="str">
            <v>160*29*16</v>
          </cell>
          <cell r="I1490">
            <v>160</v>
          </cell>
          <cell r="J1490">
            <v>29</v>
          </cell>
          <cell r="K1490">
            <v>16</v>
          </cell>
        </row>
        <row r="1491">
          <cell r="A1491" t="str">
            <v>SHR-RM19-P225-G01L-57</v>
          </cell>
          <cell r="B1491">
            <v>9</v>
          </cell>
          <cell r="C1491">
            <v>740</v>
          </cell>
          <cell r="D1491">
            <v>12</v>
          </cell>
          <cell r="E1491">
            <v>2.2200000000000002</v>
          </cell>
          <cell r="F1491">
            <v>1496</v>
          </cell>
          <cell r="G1491" t="str">
            <v>goalier</v>
          </cell>
          <cell r="H1491" t="str">
            <v>179*42*15</v>
          </cell>
          <cell r="I1491">
            <v>179</v>
          </cell>
          <cell r="J1491">
            <v>42</v>
          </cell>
          <cell r="K1491">
            <v>15</v>
          </cell>
        </row>
        <row r="1492">
          <cell r="A1492" t="str">
            <v>SHR-RM19-P227-G01L-57</v>
          </cell>
          <cell r="B1492">
            <v>9</v>
          </cell>
          <cell r="C1492">
            <v>740</v>
          </cell>
          <cell r="D1492">
            <v>12</v>
          </cell>
          <cell r="E1492">
            <v>2.2200000000000002</v>
          </cell>
          <cell r="F1492">
            <v>1497</v>
          </cell>
          <cell r="G1492" t="str">
            <v>goalier</v>
          </cell>
          <cell r="H1492" t="str">
            <v>179*42*15</v>
          </cell>
          <cell r="I1492">
            <v>179</v>
          </cell>
          <cell r="J1492">
            <v>42</v>
          </cell>
          <cell r="K1492">
            <v>15</v>
          </cell>
        </row>
      </sheetData>
      <sheetData sheetId="6" refreshError="1"/>
      <sheetData sheetId="7" refreshError="1">
        <row r="1">
          <cell r="A1" t="str">
            <v>Product  SKU</v>
          </cell>
          <cell r="B1" t="str">
            <v>GZ Delivery No</v>
          </cell>
          <cell r="C1" t="str">
            <v>EC Delivery No</v>
          </cell>
          <cell r="D1" t="str">
            <v>BLANK</v>
          </cell>
          <cell r="E1" t="str">
            <v>Plan Qty</v>
          </cell>
          <cell r="F1" t="str">
            <v>Actually Ship Qty</v>
          </cell>
          <cell r="G1" t="str">
            <v>Order No.</v>
          </cell>
          <cell r="H1" t="str">
            <v>Customer</v>
          </cell>
          <cell r="I1" t="str">
            <v>MOT</v>
          </cell>
          <cell r="J1" t="str">
            <v>Type1</v>
          </cell>
          <cell r="K1" t="str">
            <v>Type2</v>
          </cell>
          <cell r="L1" t="str">
            <v>Remark</v>
          </cell>
        </row>
        <row r="2">
          <cell r="A2" t="str">
            <v>产品品名</v>
          </cell>
          <cell r="B2" t="str">
            <v>GZ 发运号</v>
          </cell>
          <cell r="C2" t="str">
            <v>EC 发运号</v>
          </cell>
          <cell r="D2" t="str">
            <v>BLANK</v>
          </cell>
          <cell r="E2">
            <v>39290</v>
          </cell>
          <cell r="F2" t="str">
            <v>实际出货数</v>
          </cell>
          <cell r="G2" t="str">
            <v>我司订单号</v>
          </cell>
          <cell r="H2" t="str">
            <v>客户</v>
          </cell>
          <cell r="I2" t="str">
            <v>运输方式</v>
          </cell>
          <cell r="J2" t="str">
            <v>类型1</v>
          </cell>
          <cell r="K2" t="str">
            <v>类型2</v>
          </cell>
          <cell r="L2" t="str">
            <v>备注</v>
          </cell>
        </row>
        <row r="3">
          <cell r="A3" t="str">
            <v>UTEJMQL33WR-46</v>
          </cell>
          <cell r="F3">
            <v>300</v>
          </cell>
        </row>
      </sheetData>
      <sheetData sheetId="8" refreshError="1">
        <row r="1">
          <cell r="E1" t="str">
            <v>customer</v>
          </cell>
          <cell r="F1" t="str">
            <v>packing requiment</v>
          </cell>
        </row>
        <row r="2">
          <cell r="E2" t="str">
            <v>REEBOK FINLAND OY</v>
          </cell>
          <cell r="F2" t="str">
            <v>出货标签需有客户的物料编码,同时需有客户PO号</v>
          </cell>
        </row>
        <row r="3">
          <cell r="E3" t="str">
            <v>HOCKEY CO./SPORT MASKA, INC</v>
          </cell>
          <cell r="F3" t="str">
            <v>出货标签需有客户的物料编码,同时需有客户PO号</v>
          </cell>
        </row>
        <row r="4">
          <cell r="E4" t="str">
            <v>SHERWOOD-DROLET</v>
          </cell>
          <cell r="F4" t="str">
            <v>SHERWOOD出货冰球刀需用大箱(77*52*32)装10小箱，FEDEX走货不打卡板；</v>
          </cell>
        </row>
        <row r="5">
          <cell r="E5" t="str">
            <v>ORGA INDUSTRIAL CO., LTD</v>
          </cell>
          <cell r="F5" t="str">
            <v>出货标签需有客户的物料编码</v>
          </cell>
        </row>
        <row r="6">
          <cell r="E6" t="str">
            <v>PING, INC.</v>
          </cell>
          <cell r="F6" t="str">
            <v>出货标签需有客户的物料编码,同时需有客户PO号以及出货日期,PING客户每箱装100支的杆每卡板备40箱(只备8层)，每箱装50支的杆每卡板备60箱；</v>
          </cell>
        </row>
        <row r="7">
          <cell r="E7" t="str">
            <v>SINO MANUFACTURING CO., LTD.</v>
          </cell>
          <cell r="F7" t="str">
            <v>出货标签需有客户的物料编码,同时需有客户PO号</v>
          </cell>
        </row>
        <row r="8">
          <cell r="E8" t="str">
            <v>顺兴高尔夫制品有限公司</v>
          </cell>
          <cell r="F8" t="str">
            <v>出货标签需有客户的物料编码,同时需有客户PO号</v>
          </cell>
        </row>
        <row r="9">
          <cell r="E9" t="str">
            <v>Pulidos Industriales</v>
          </cell>
          <cell r="F9" t="str">
            <v>标识“X of X"字样，第一个X表示第几个卡板，第二个X表示共几个卡板；同时在下面标识“IPS”字样（稍大）：</v>
          </cell>
        </row>
        <row r="10">
          <cell r="E10" t="str">
            <v>TEN-TECH COMPOSITE CORPORATION</v>
          </cell>
          <cell r="F10" t="str">
            <v>装WOLF前叉的外箱需贴“Made in China”的标签；</v>
          </cell>
        </row>
        <row r="11">
          <cell r="E11" t="str">
            <v>CERVELO SA</v>
          </cell>
          <cell r="F11" t="str">
            <v>装WOLF前叉的外箱需贴“Made in China”的标签；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T产品特殊情形分类明细统计表"/>
      <sheetName val="PT产品特殊情形分类明细台账"/>
      <sheetName val="golf质量等级及不良分类明细统计表"/>
      <sheetName val="golf质量等级及不良分类明细台帐"/>
      <sheetName val="成品数据统计表"/>
      <sheetName val="成品进出库台账"/>
      <sheetName val="客户信息"/>
      <sheetName val="产品描述"/>
      <sheetName val="顺序号"/>
      <sheetName val="TFC，P,N分类及高尔夫不良统计表new（备份）"/>
      <sheetName val="TFC,138台账(备份）"/>
      <sheetName val="TFC，P,N分类及高尔夫不良统计表(备份）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求和项:QTY.进出数量</v>
          </cell>
        </row>
        <row r="2">
          <cell r="C2" t="str">
            <v>FiNshed Goods SKU成品代码</v>
          </cell>
          <cell r="D2" t="str">
            <v>汇总</v>
          </cell>
          <cell r="E2" t="str">
            <v>进仓数量</v>
          </cell>
        </row>
        <row r="3">
          <cell r="C3" t="str">
            <v>AQTB1000-30</v>
          </cell>
          <cell r="D3">
            <v>0</v>
          </cell>
        </row>
        <row r="4">
          <cell r="C4" t="str">
            <v>AQTB1125-26-2</v>
          </cell>
          <cell r="D4">
            <v>16</v>
          </cell>
        </row>
        <row r="5">
          <cell r="C5" t="str">
            <v>AQTB1125-30</v>
          </cell>
          <cell r="D5">
            <v>0</v>
          </cell>
        </row>
        <row r="6">
          <cell r="C6" t="str">
            <v>AQTB1125LT-26</v>
          </cell>
          <cell r="D6">
            <v>288</v>
          </cell>
        </row>
        <row r="7">
          <cell r="C7" t="str">
            <v>AQTB1125-TAN</v>
          </cell>
          <cell r="D7">
            <v>28</v>
          </cell>
        </row>
        <row r="8">
          <cell r="C8" t="str">
            <v>AQTB1125-TANZ</v>
          </cell>
          <cell r="D8">
            <v>79</v>
          </cell>
        </row>
        <row r="9">
          <cell r="C9" t="str">
            <v>AUCRULRLSIL-38</v>
          </cell>
          <cell r="D9">
            <v>12</v>
          </cell>
        </row>
        <row r="10">
          <cell r="C10" t="str">
            <v>AUCRULRLSIM-40</v>
          </cell>
          <cell r="D10">
            <v>24</v>
          </cell>
        </row>
        <row r="11">
          <cell r="C11" t="str">
            <v>AUCRULRLSWL-44</v>
          </cell>
          <cell r="D11">
            <v>3</v>
          </cell>
        </row>
        <row r="12">
          <cell r="C12" t="str">
            <v>AUCRULRLSWM-46</v>
          </cell>
          <cell r="D12">
            <v>11</v>
          </cell>
        </row>
        <row r="13">
          <cell r="C13" t="str">
            <v>AUPL-76-WA-46</v>
          </cell>
          <cell r="D13">
            <v>0</v>
          </cell>
        </row>
        <row r="14">
          <cell r="C14" t="str">
            <v>AUPL-76-WR-46</v>
          </cell>
          <cell r="D14">
            <v>0</v>
          </cell>
        </row>
        <row r="15">
          <cell r="C15" t="str">
            <v>AUPL-76-WS-46</v>
          </cell>
          <cell r="D15">
            <v>0</v>
          </cell>
        </row>
        <row r="16">
          <cell r="C16" t="str">
            <v>BAL-50C-S53L-06558</v>
          </cell>
          <cell r="D16">
            <v>12</v>
          </cell>
        </row>
        <row r="17">
          <cell r="C17" t="str">
            <v>BAL-50C-S53R-06558</v>
          </cell>
          <cell r="D17">
            <v>12</v>
          </cell>
        </row>
        <row r="18">
          <cell r="C18" t="str">
            <v>BAL-50C-S55L-06558</v>
          </cell>
          <cell r="D18">
            <v>0</v>
          </cell>
        </row>
        <row r="19">
          <cell r="C19" t="str">
            <v>BAL-50C-S55R-06558</v>
          </cell>
          <cell r="D19">
            <v>0</v>
          </cell>
        </row>
        <row r="20">
          <cell r="C20" t="str">
            <v>BAL-50C-S64L-06558</v>
          </cell>
          <cell r="D20">
            <v>0</v>
          </cell>
        </row>
        <row r="21">
          <cell r="C21" t="str">
            <v>BAL-50C-S64R-06558</v>
          </cell>
          <cell r="D21">
            <v>0</v>
          </cell>
        </row>
        <row r="22">
          <cell r="C22" t="str">
            <v>BAL-C410-08055-UP</v>
          </cell>
          <cell r="D22">
            <v>0</v>
          </cell>
        </row>
        <row r="23">
          <cell r="C23" t="str">
            <v>BAL-C410-09055-UP</v>
          </cell>
          <cell r="D23">
            <v>0</v>
          </cell>
        </row>
        <row r="24">
          <cell r="C24" t="str">
            <v>BAL-C410-10055-UP</v>
          </cell>
          <cell r="D24">
            <v>11</v>
          </cell>
        </row>
        <row r="25">
          <cell r="C25" t="str">
            <v>BAL-C410-11055-UP</v>
          </cell>
          <cell r="D25">
            <v>50</v>
          </cell>
        </row>
        <row r="26">
          <cell r="C26" t="str">
            <v>BAL-C410-S53L-08060</v>
          </cell>
          <cell r="D26">
            <v>11</v>
          </cell>
        </row>
        <row r="27">
          <cell r="C27" t="str">
            <v>BAL-C410-S53L-09060</v>
          </cell>
          <cell r="D27">
            <v>29</v>
          </cell>
        </row>
        <row r="28">
          <cell r="C28" t="str">
            <v>BAL-C410-S53L-10060</v>
          </cell>
          <cell r="D28">
            <v>6</v>
          </cell>
        </row>
        <row r="29">
          <cell r="C29" t="str">
            <v>BAL-C410-S53L-11060</v>
          </cell>
          <cell r="D29">
            <v>0</v>
          </cell>
        </row>
        <row r="30">
          <cell r="C30" t="str">
            <v>BAL-C410-S53R-08060</v>
          </cell>
          <cell r="D30">
            <v>0</v>
          </cell>
        </row>
        <row r="31">
          <cell r="C31" t="str">
            <v>BAL-C410-S53R-09060</v>
          </cell>
          <cell r="D31">
            <v>26</v>
          </cell>
        </row>
        <row r="32">
          <cell r="C32" t="str">
            <v>BAL-C410-S53R-10060</v>
          </cell>
          <cell r="D32">
            <v>10</v>
          </cell>
        </row>
        <row r="33">
          <cell r="C33" t="str">
            <v>BAL-C410-S53R-11060</v>
          </cell>
          <cell r="D33">
            <v>0</v>
          </cell>
        </row>
        <row r="34">
          <cell r="C34" t="str">
            <v>BAL-C410-S55L-08060</v>
          </cell>
          <cell r="D34">
            <v>0</v>
          </cell>
        </row>
        <row r="35">
          <cell r="C35" t="str">
            <v>BAL-C410-S55L-09060</v>
          </cell>
          <cell r="D35">
            <v>0</v>
          </cell>
        </row>
        <row r="36">
          <cell r="C36" t="str">
            <v>BAL-C410-S55L-10060</v>
          </cell>
          <cell r="D36">
            <v>28</v>
          </cell>
        </row>
        <row r="37">
          <cell r="C37" t="str">
            <v>BAL-C410-S55L-11060</v>
          </cell>
          <cell r="D37">
            <v>0</v>
          </cell>
        </row>
        <row r="38">
          <cell r="C38" t="str">
            <v>BAL-C410-S55R-08060</v>
          </cell>
          <cell r="D38">
            <v>0</v>
          </cell>
        </row>
        <row r="39">
          <cell r="C39" t="str">
            <v>BAL-C410-S55R-09060</v>
          </cell>
          <cell r="D39">
            <v>3</v>
          </cell>
        </row>
        <row r="40">
          <cell r="C40" t="str">
            <v>BAL-C410-S55R-10060</v>
          </cell>
          <cell r="D40">
            <v>26</v>
          </cell>
        </row>
        <row r="41">
          <cell r="C41" t="str">
            <v>BAL-C410-S55R-11060</v>
          </cell>
          <cell r="D41">
            <v>0</v>
          </cell>
        </row>
        <row r="42">
          <cell r="C42" t="str">
            <v>BAL-C410-S57L-08060</v>
          </cell>
          <cell r="D42">
            <v>0</v>
          </cell>
        </row>
        <row r="43">
          <cell r="C43" t="str">
            <v>BAL-C410-S57L-09060</v>
          </cell>
          <cell r="D43">
            <v>2</v>
          </cell>
        </row>
        <row r="44">
          <cell r="C44" t="str">
            <v>BAL-C410-S57L-10060</v>
          </cell>
          <cell r="D44">
            <v>5</v>
          </cell>
        </row>
        <row r="45">
          <cell r="C45" t="str">
            <v>BAL-C410-S57L-11060</v>
          </cell>
          <cell r="D45">
            <v>0</v>
          </cell>
        </row>
        <row r="46">
          <cell r="C46" t="str">
            <v>BAL-C410-S57R-08060</v>
          </cell>
          <cell r="D46">
            <v>1</v>
          </cell>
        </row>
        <row r="47">
          <cell r="C47" t="str">
            <v>BAL-C410-S57R-09060</v>
          </cell>
          <cell r="D47">
            <v>0</v>
          </cell>
        </row>
        <row r="48">
          <cell r="C48" t="str">
            <v>BAL-C410-S57R-10060</v>
          </cell>
          <cell r="D48">
            <v>10</v>
          </cell>
        </row>
        <row r="49">
          <cell r="C49" t="str">
            <v>BAL-C410-S57R-11060</v>
          </cell>
          <cell r="D49">
            <v>0</v>
          </cell>
        </row>
        <row r="50">
          <cell r="C50" t="str">
            <v>BAL-C410-S63L-08060</v>
          </cell>
          <cell r="D50">
            <v>0</v>
          </cell>
        </row>
        <row r="51">
          <cell r="C51" t="str">
            <v>BAL-C410-S63L-09060</v>
          </cell>
          <cell r="D51">
            <v>5</v>
          </cell>
        </row>
        <row r="52">
          <cell r="C52" t="str">
            <v>BAL-C410-S63L-10060</v>
          </cell>
          <cell r="D52">
            <v>6</v>
          </cell>
        </row>
        <row r="53">
          <cell r="C53" t="str">
            <v>BAL-C410-S63R-08060</v>
          </cell>
          <cell r="D53">
            <v>0</v>
          </cell>
        </row>
        <row r="54">
          <cell r="C54" t="str">
            <v>BAL-C410-S63R-09060</v>
          </cell>
          <cell r="D54">
            <v>8</v>
          </cell>
        </row>
        <row r="55">
          <cell r="C55" t="str">
            <v>BAL-C410-S63R-10060</v>
          </cell>
          <cell r="D55">
            <v>3</v>
          </cell>
        </row>
        <row r="56">
          <cell r="C56" t="str">
            <v>BAL-C410-S63R-11060</v>
          </cell>
          <cell r="D56">
            <v>12</v>
          </cell>
        </row>
        <row r="57">
          <cell r="C57" t="str">
            <v>BAL-C410-S64L-08060</v>
          </cell>
          <cell r="D57">
            <v>8</v>
          </cell>
        </row>
        <row r="58">
          <cell r="C58" t="str">
            <v>BAL-C410-S64L-09060</v>
          </cell>
          <cell r="D58">
            <v>1</v>
          </cell>
        </row>
        <row r="59">
          <cell r="C59" t="str">
            <v>BAL-C410-S64L-10060</v>
          </cell>
          <cell r="D59">
            <v>24</v>
          </cell>
        </row>
        <row r="60">
          <cell r="C60" t="str">
            <v>BAL-C410-S64L-11060</v>
          </cell>
          <cell r="D60">
            <v>0</v>
          </cell>
        </row>
        <row r="61">
          <cell r="C61" t="str">
            <v>BAL-C410-S64R-08060</v>
          </cell>
          <cell r="D61">
            <v>9</v>
          </cell>
        </row>
        <row r="62">
          <cell r="C62" t="str">
            <v>BAL-C410-S64R-09060</v>
          </cell>
          <cell r="D62">
            <v>1</v>
          </cell>
        </row>
        <row r="63">
          <cell r="C63" t="str">
            <v>BAL-C410-S64R-10060</v>
          </cell>
          <cell r="D63">
            <v>35</v>
          </cell>
        </row>
        <row r="64">
          <cell r="C64" t="str">
            <v>BAL-C410-S64R-11060</v>
          </cell>
          <cell r="D64">
            <v>0</v>
          </cell>
        </row>
        <row r="65">
          <cell r="C65" t="str">
            <v>BAL-P125-G01L-57</v>
          </cell>
          <cell r="D65">
            <v>0</v>
          </cell>
        </row>
        <row r="66">
          <cell r="C66" t="str">
            <v>BAL-P126-G01L-57</v>
          </cell>
          <cell r="D66">
            <v>2</v>
          </cell>
        </row>
        <row r="67">
          <cell r="C67" t="str">
            <v>BAL-P127-G01L-57</v>
          </cell>
          <cell r="D67">
            <v>3</v>
          </cell>
        </row>
        <row r="68">
          <cell r="C68" t="str">
            <v>BAL-SQ-08054-UP</v>
          </cell>
          <cell r="D68">
            <v>0</v>
          </cell>
        </row>
        <row r="69">
          <cell r="C69" t="str">
            <v>BAL-SQ-09054-UP</v>
          </cell>
          <cell r="D69">
            <v>3</v>
          </cell>
        </row>
        <row r="70">
          <cell r="C70" t="str">
            <v>BAL-SQGL-08052</v>
          </cell>
          <cell r="D70">
            <v>3</v>
          </cell>
        </row>
        <row r="71">
          <cell r="C71" t="str">
            <v>BAL-SQGL-09052</v>
          </cell>
          <cell r="D71">
            <v>5</v>
          </cell>
        </row>
        <row r="72">
          <cell r="C72" t="str">
            <v>BAL-SQGL-10052</v>
          </cell>
          <cell r="D72">
            <v>6</v>
          </cell>
        </row>
        <row r="73">
          <cell r="C73" t="str">
            <v>BAL-SQGL-11052</v>
          </cell>
          <cell r="D73">
            <v>21</v>
          </cell>
        </row>
        <row r="74">
          <cell r="C74" t="str">
            <v>BAL-SQRB-09052</v>
          </cell>
          <cell r="D74">
            <v>2</v>
          </cell>
        </row>
        <row r="75">
          <cell r="C75" t="str">
            <v>BAL-SQRB-10052</v>
          </cell>
          <cell r="D75">
            <v>12</v>
          </cell>
        </row>
        <row r="76">
          <cell r="C76" t="str">
            <v>BAL-SQRB-11052</v>
          </cell>
          <cell r="D76">
            <v>8</v>
          </cell>
        </row>
        <row r="77">
          <cell r="C77" t="str">
            <v>BAL-ULTRA-08052</v>
          </cell>
          <cell r="D77">
            <v>13</v>
          </cell>
        </row>
        <row r="78">
          <cell r="C78" t="str">
            <v>BAL-ULTRA-09052</v>
          </cell>
          <cell r="D78">
            <v>212</v>
          </cell>
        </row>
        <row r="79">
          <cell r="C79" t="str">
            <v>BAL-ULTRA-10052</v>
          </cell>
          <cell r="D79">
            <v>183</v>
          </cell>
        </row>
        <row r="80">
          <cell r="C80" t="str">
            <v>BAL-ULTRA-11052</v>
          </cell>
          <cell r="D80">
            <v>91</v>
          </cell>
        </row>
        <row r="81">
          <cell r="C81" t="str">
            <v>BAL-ULTRA-S03L-H</v>
          </cell>
          <cell r="D81">
            <v>3</v>
          </cell>
        </row>
        <row r="82">
          <cell r="C82" t="str">
            <v>BAL-ULTRA-S03L-H-08060</v>
          </cell>
          <cell r="D82">
            <v>0</v>
          </cell>
        </row>
        <row r="83">
          <cell r="C83" t="str">
            <v>BAL-ULTRA-S03L-H-09060</v>
          </cell>
          <cell r="D83">
            <v>0</v>
          </cell>
        </row>
        <row r="84">
          <cell r="C84" t="str">
            <v>BAL-ULTRA-S03L-H-10060</v>
          </cell>
          <cell r="D84">
            <v>0</v>
          </cell>
        </row>
        <row r="85">
          <cell r="C85" t="str">
            <v>BAL-ULTRA-S03L-H-11060</v>
          </cell>
          <cell r="D85">
            <v>0</v>
          </cell>
        </row>
        <row r="86">
          <cell r="C86" t="str">
            <v>BAL-ULTRA-S03L-M</v>
          </cell>
          <cell r="D86">
            <v>14</v>
          </cell>
        </row>
        <row r="87">
          <cell r="C87" t="str">
            <v>BAL-ULTRA-S03L-M-08060</v>
          </cell>
          <cell r="D87">
            <v>0</v>
          </cell>
        </row>
        <row r="88">
          <cell r="C88" t="str">
            <v>BAL-ULTRA-S03L-M-09060</v>
          </cell>
          <cell r="D88">
            <v>0</v>
          </cell>
        </row>
        <row r="89">
          <cell r="C89" t="str">
            <v>BAL-ULTRA-S03L-M-10060</v>
          </cell>
          <cell r="D89">
            <v>0</v>
          </cell>
        </row>
        <row r="90">
          <cell r="C90" t="str">
            <v>BAL-ULTRA-S03L-M-11060</v>
          </cell>
          <cell r="D90">
            <v>0</v>
          </cell>
        </row>
        <row r="91">
          <cell r="C91" t="str">
            <v>BAL-ULTRA-S03L-M-UP</v>
          </cell>
          <cell r="D91">
            <v>41</v>
          </cell>
        </row>
        <row r="92">
          <cell r="C92" t="str">
            <v>BAL-ULTRA-S03R-H</v>
          </cell>
          <cell r="D92">
            <v>14</v>
          </cell>
        </row>
        <row r="93">
          <cell r="C93" t="str">
            <v>BAL-ULTRA-S03R-H-08060</v>
          </cell>
          <cell r="D93">
            <v>0</v>
          </cell>
        </row>
        <row r="94">
          <cell r="C94" t="str">
            <v>BAL-ULTRA-S03R-H-09060</v>
          </cell>
          <cell r="D94">
            <v>0</v>
          </cell>
        </row>
        <row r="95">
          <cell r="C95" t="str">
            <v>BAL-ULTRA-S03R-H-10060</v>
          </cell>
          <cell r="D95">
            <v>0</v>
          </cell>
        </row>
        <row r="96">
          <cell r="C96" t="str">
            <v>BAL-ULTRA-S03R-H-11060</v>
          </cell>
          <cell r="D96">
            <v>0</v>
          </cell>
        </row>
        <row r="97">
          <cell r="C97" t="str">
            <v>BAL-ULTRA-S03R-M</v>
          </cell>
          <cell r="D97">
            <v>0</v>
          </cell>
        </row>
        <row r="98">
          <cell r="C98" t="str">
            <v>BAL-ULTRA-S03R-M-08060</v>
          </cell>
          <cell r="D98">
            <v>0</v>
          </cell>
        </row>
        <row r="99">
          <cell r="C99" t="str">
            <v>BAL-ULTRA-S03R-M-09060</v>
          </cell>
          <cell r="D99">
            <v>0</v>
          </cell>
        </row>
        <row r="100">
          <cell r="C100" t="str">
            <v>BAL-ULTRA-S03R-M-10060</v>
          </cell>
          <cell r="D100">
            <v>0</v>
          </cell>
        </row>
        <row r="101">
          <cell r="C101" t="str">
            <v>BAL-ULTRA-S03R-M-11060</v>
          </cell>
          <cell r="D101">
            <v>0</v>
          </cell>
        </row>
        <row r="102">
          <cell r="C102" t="str">
            <v>BAL-ULTRA-S03R-M-UP</v>
          </cell>
          <cell r="D102">
            <v>1</v>
          </cell>
        </row>
        <row r="103">
          <cell r="C103" t="str">
            <v>BAL-ULTRA-S05L-H</v>
          </cell>
          <cell r="D103">
            <v>51</v>
          </cell>
        </row>
        <row r="104">
          <cell r="C104" t="str">
            <v>BAL-ULTRA-S05L-H-08060</v>
          </cell>
          <cell r="D104">
            <v>0</v>
          </cell>
        </row>
        <row r="105">
          <cell r="C105" t="str">
            <v>BAL-ULTRA-S05L-H-09060</v>
          </cell>
          <cell r="D105">
            <v>0</v>
          </cell>
        </row>
        <row r="106">
          <cell r="C106" t="str">
            <v>BAL-ULTRA-S05L-H-10060</v>
          </cell>
          <cell r="D106">
            <v>0</v>
          </cell>
        </row>
        <row r="107">
          <cell r="C107" t="str">
            <v>BAL-ULTRA-S05L-H-11060</v>
          </cell>
          <cell r="D107">
            <v>0</v>
          </cell>
        </row>
        <row r="108">
          <cell r="C108" t="str">
            <v>BAL-ULTRA-S05L-M</v>
          </cell>
          <cell r="D108">
            <v>19</v>
          </cell>
        </row>
        <row r="109">
          <cell r="C109" t="str">
            <v>BAL-ULTRA-S05L-M-08060</v>
          </cell>
          <cell r="D109">
            <v>0</v>
          </cell>
        </row>
        <row r="110">
          <cell r="C110" t="str">
            <v>BAL-ULTRA-S05L-M-09060</v>
          </cell>
          <cell r="D110">
            <v>0</v>
          </cell>
        </row>
        <row r="111">
          <cell r="C111" t="str">
            <v>BAL-ULTRA-S05L-M-10060</v>
          </cell>
          <cell r="D111">
            <v>0</v>
          </cell>
        </row>
        <row r="112">
          <cell r="C112" t="str">
            <v>BAL-ULTRA-S05L-M-11060</v>
          </cell>
          <cell r="D112">
            <v>0</v>
          </cell>
        </row>
        <row r="113">
          <cell r="C113" t="str">
            <v>BAL-ULTRA-S05L-M-UP</v>
          </cell>
          <cell r="D113">
            <v>136</v>
          </cell>
        </row>
        <row r="114">
          <cell r="C114" t="str">
            <v>BAL-ULTRA-S05R-H</v>
          </cell>
          <cell r="D114">
            <v>0</v>
          </cell>
        </row>
        <row r="115">
          <cell r="C115" t="str">
            <v>BAL-ULTRA-S05R-H-08060</v>
          </cell>
          <cell r="D115">
            <v>0</v>
          </cell>
        </row>
        <row r="116">
          <cell r="C116" t="str">
            <v>BAL-ULTRA-S05R-H-09060</v>
          </cell>
          <cell r="D116">
            <v>0</v>
          </cell>
        </row>
        <row r="117">
          <cell r="C117" t="str">
            <v>BAL-ULTRA-S05R-H-10060</v>
          </cell>
          <cell r="D117">
            <v>0</v>
          </cell>
        </row>
        <row r="118">
          <cell r="C118" t="str">
            <v>BAL-ULTRA-S05R-H-11060</v>
          </cell>
          <cell r="D118">
            <v>0</v>
          </cell>
        </row>
        <row r="119">
          <cell r="C119" t="str">
            <v>BAL-ULTRA-S05R-M</v>
          </cell>
          <cell r="D119">
            <v>0</v>
          </cell>
        </row>
        <row r="120">
          <cell r="C120" t="str">
            <v>BAL-ULTRA-S05R-M-08060</v>
          </cell>
          <cell r="D120">
            <v>0</v>
          </cell>
        </row>
        <row r="121">
          <cell r="C121" t="str">
            <v>BAL-ULTRA-S05R-M-09060</v>
          </cell>
          <cell r="D121">
            <v>0</v>
          </cell>
        </row>
        <row r="122">
          <cell r="C122" t="str">
            <v>BAL-ULTRA-S05R-M-10060</v>
          </cell>
          <cell r="D122">
            <v>0</v>
          </cell>
        </row>
        <row r="123">
          <cell r="C123" t="str">
            <v>BAL-ULTRA-S05R-M-11060</v>
          </cell>
          <cell r="D123">
            <v>0</v>
          </cell>
        </row>
        <row r="124">
          <cell r="C124" t="str">
            <v>BAL-ULTRA-S05R-M-UP</v>
          </cell>
          <cell r="D124">
            <v>66</v>
          </cell>
        </row>
        <row r="125">
          <cell r="C125" t="str">
            <v>BAL-ULTRA-S06L-H</v>
          </cell>
          <cell r="D125">
            <v>0</v>
          </cell>
        </row>
        <row r="126">
          <cell r="C126" t="str">
            <v>BAL-ULTRA-S06L-H-08060</v>
          </cell>
          <cell r="D126">
            <v>0</v>
          </cell>
        </row>
        <row r="127">
          <cell r="C127" t="str">
            <v>BAL-ULTRA-S06L-H-09060</v>
          </cell>
          <cell r="D127">
            <v>0</v>
          </cell>
        </row>
        <row r="128">
          <cell r="C128" t="str">
            <v>BAL-ULTRA-S06L-H-10060</v>
          </cell>
          <cell r="D128">
            <v>0</v>
          </cell>
        </row>
        <row r="129">
          <cell r="C129" t="str">
            <v>BAL-ULTRA-S06L-H-11060</v>
          </cell>
          <cell r="D129">
            <v>0</v>
          </cell>
        </row>
        <row r="130">
          <cell r="C130" t="str">
            <v>BAL-ULTRA-S06L-M</v>
          </cell>
          <cell r="D130">
            <v>0</v>
          </cell>
        </row>
        <row r="131">
          <cell r="C131" t="str">
            <v>BAL-ULTRA-S06L-M-08060</v>
          </cell>
          <cell r="D131">
            <v>0</v>
          </cell>
        </row>
        <row r="132">
          <cell r="C132" t="str">
            <v>BAL-ULTRA-S06L-M-09060</v>
          </cell>
          <cell r="D132">
            <v>0</v>
          </cell>
        </row>
        <row r="133">
          <cell r="C133" t="str">
            <v>BAL-ULTRA-S06L-M-10060</v>
          </cell>
          <cell r="D133">
            <v>0</v>
          </cell>
        </row>
        <row r="134">
          <cell r="C134" t="str">
            <v>BAL-ULTRA-S06L-M-11060</v>
          </cell>
          <cell r="D134">
            <v>0</v>
          </cell>
        </row>
        <row r="135">
          <cell r="C135" t="str">
            <v>BAL-ULTRA-S06L-M-UP</v>
          </cell>
          <cell r="D135">
            <v>0</v>
          </cell>
        </row>
        <row r="136">
          <cell r="C136" t="str">
            <v>BAL-ULTRA-S06R-H</v>
          </cell>
          <cell r="D136">
            <v>0</v>
          </cell>
        </row>
        <row r="137">
          <cell r="C137" t="str">
            <v>BAL-ULTRA-S06R-H-08060</v>
          </cell>
          <cell r="D137">
            <v>0</v>
          </cell>
        </row>
        <row r="138">
          <cell r="C138" t="str">
            <v>BAL-ULTRA-S06R-H-09060</v>
          </cell>
          <cell r="D138">
            <v>0</v>
          </cell>
        </row>
        <row r="139">
          <cell r="C139" t="str">
            <v>BAL-ULTRA-S06R-H-10060</v>
          </cell>
          <cell r="D139">
            <v>0</v>
          </cell>
        </row>
        <row r="140">
          <cell r="C140" t="str">
            <v>BAL-ULTRA-S06R-H-11060</v>
          </cell>
          <cell r="D140">
            <v>0</v>
          </cell>
        </row>
        <row r="141">
          <cell r="C141" t="str">
            <v>BAL-ULTRA-S06R-M</v>
          </cell>
          <cell r="D141">
            <v>0</v>
          </cell>
        </row>
        <row r="142">
          <cell r="C142" t="str">
            <v>BAL-ULTRA-S06R-M-08060</v>
          </cell>
          <cell r="D142">
            <v>0</v>
          </cell>
        </row>
        <row r="143">
          <cell r="C143" t="str">
            <v>BAL-ULTRA-S06R-M-09060</v>
          </cell>
          <cell r="D143">
            <v>0</v>
          </cell>
        </row>
        <row r="144">
          <cell r="C144" t="str">
            <v>BAL-ULTRA-S06R-M-10060</v>
          </cell>
          <cell r="D144">
            <v>0</v>
          </cell>
        </row>
        <row r="145">
          <cell r="C145" t="str">
            <v>BAL-ULTRA-S06R-M-11060</v>
          </cell>
          <cell r="D145">
            <v>0</v>
          </cell>
        </row>
        <row r="146">
          <cell r="C146" t="str">
            <v>BAL-ULTRA-S06R-M-UP</v>
          </cell>
          <cell r="D146">
            <v>0</v>
          </cell>
        </row>
        <row r="147">
          <cell r="C147" t="str">
            <v>BAL-ULTRA-S07L-H</v>
          </cell>
          <cell r="D147">
            <v>0</v>
          </cell>
        </row>
        <row r="148">
          <cell r="C148" t="str">
            <v>BAL-ULTRA-S07L-M</v>
          </cell>
          <cell r="D148">
            <v>0</v>
          </cell>
        </row>
        <row r="149">
          <cell r="C149" t="str">
            <v>BAL-ULTRA-S07L-M-UP</v>
          </cell>
          <cell r="D149">
            <v>40</v>
          </cell>
        </row>
        <row r="150">
          <cell r="C150" t="str">
            <v>BAL-ULTRA-S07R-H</v>
          </cell>
          <cell r="D150">
            <v>0</v>
          </cell>
        </row>
        <row r="151">
          <cell r="C151" t="str">
            <v>BAL-ULTRA-S07R-M</v>
          </cell>
          <cell r="D151">
            <v>0</v>
          </cell>
        </row>
        <row r="152">
          <cell r="C152" t="str">
            <v>BAL-ULTRA-S07R-M-UP</v>
          </cell>
          <cell r="D152">
            <v>51</v>
          </cell>
        </row>
        <row r="153">
          <cell r="C153" t="str">
            <v>BAL-ULTRA-S13L-H</v>
          </cell>
          <cell r="D153">
            <v>3</v>
          </cell>
        </row>
        <row r="154">
          <cell r="C154" t="str">
            <v>BAL-ULTRA-S13L-M</v>
          </cell>
          <cell r="D154">
            <v>15</v>
          </cell>
        </row>
        <row r="155">
          <cell r="C155" t="str">
            <v>BAL-ULTRA-S13R-H</v>
          </cell>
          <cell r="D155">
            <v>0</v>
          </cell>
        </row>
        <row r="156">
          <cell r="C156" t="str">
            <v>BAL-ULTRA-S13R-M</v>
          </cell>
          <cell r="D156">
            <v>15</v>
          </cell>
        </row>
        <row r="157">
          <cell r="C157" t="str">
            <v>BAL-ULTRA-S14L-H</v>
          </cell>
          <cell r="D157">
            <v>0</v>
          </cell>
        </row>
        <row r="158">
          <cell r="C158" t="str">
            <v>BAL-ULTRA-S14L-M</v>
          </cell>
          <cell r="D158">
            <v>14</v>
          </cell>
        </row>
        <row r="159">
          <cell r="C159" t="str">
            <v>BAL-ULTRA-S14L-M-UP</v>
          </cell>
          <cell r="D159">
            <v>130</v>
          </cell>
        </row>
        <row r="160">
          <cell r="C160" t="str">
            <v>BAL-ULTRA-S14R-H</v>
          </cell>
          <cell r="D160">
            <v>0</v>
          </cell>
        </row>
        <row r="161">
          <cell r="C161" t="str">
            <v>BAL-ULTRA-S14R-M</v>
          </cell>
          <cell r="D161">
            <v>26</v>
          </cell>
        </row>
        <row r="162">
          <cell r="C162" t="str">
            <v>BAL-ULTRA-S14R-M-UP</v>
          </cell>
          <cell r="D162">
            <v>76</v>
          </cell>
        </row>
        <row r="163">
          <cell r="C163" t="str">
            <v>BAL-ULTRA-S53L-H-08060</v>
          </cell>
          <cell r="D163">
            <v>1</v>
          </cell>
        </row>
        <row r="164">
          <cell r="C164" t="str">
            <v>BAL-ULTRA-S53L-H-09060</v>
          </cell>
          <cell r="D164">
            <v>20</v>
          </cell>
        </row>
        <row r="165">
          <cell r="C165" t="str">
            <v>BAL-ULTRA-S53L-H-10060</v>
          </cell>
          <cell r="D165">
            <v>23</v>
          </cell>
        </row>
        <row r="166">
          <cell r="C166" t="str">
            <v>BAL-ULTRA-S53L-H-11060</v>
          </cell>
          <cell r="D166">
            <v>0</v>
          </cell>
        </row>
        <row r="167">
          <cell r="C167" t="str">
            <v>BAL-ULTRA-S53L-M-08060</v>
          </cell>
          <cell r="D167">
            <v>3</v>
          </cell>
        </row>
        <row r="168">
          <cell r="C168" t="str">
            <v>BAL-ULTRA-S53L-M-09060</v>
          </cell>
          <cell r="D168">
            <v>0</v>
          </cell>
        </row>
        <row r="169">
          <cell r="C169" t="str">
            <v>BAL-ULTRA-S53L-M-10060</v>
          </cell>
          <cell r="D169">
            <v>0</v>
          </cell>
        </row>
        <row r="170">
          <cell r="C170" t="str">
            <v>BAL-ULTRA-S53L-M-11060</v>
          </cell>
          <cell r="D170">
            <v>0</v>
          </cell>
        </row>
        <row r="171">
          <cell r="C171" t="str">
            <v>BAL-ULTRA-S53R-H-08060</v>
          </cell>
          <cell r="D171">
            <v>1</v>
          </cell>
        </row>
        <row r="172">
          <cell r="C172" t="str">
            <v>BAL-ULTRA-S53R-H-09060</v>
          </cell>
          <cell r="D172">
            <v>22</v>
          </cell>
        </row>
        <row r="173">
          <cell r="C173" t="str">
            <v>BAL-ULTRA-S53R-H-10060</v>
          </cell>
          <cell r="D173">
            <v>24</v>
          </cell>
        </row>
        <row r="174">
          <cell r="C174" t="str">
            <v>BAL-ULTRA-S53R-H-11060</v>
          </cell>
          <cell r="D174">
            <v>1</v>
          </cell>
        </row>
        <row r="175">
          <cell r="C175" t="str">
            <v>BAL-ULTRA-S53R-M-08060</v>
          </cell>
          <cell r="D175">
            <v>0</v>
          </cell>
        </row>
        <row r="176">
          <cell r="C176" t="str">
            <v>BAL-ULTRA-S53R-M-09060</v>
          </cell>
          <cell r="D176">
            <v>22</v>
          </cell>
        </row>
        <row r="177">
          <cell r="C177" t="str">
            <v>BAL-ULTRA-S53R-M-10060</v>
          </cell>
          <cell r="D177">
            <v>61</v>
          </cell>
        </row>
        <row r="178">
          <cell r="C178" t="str">
            <v>BAL-ULTRA-S53R-M-11060</v>
          </cell>
          <cell r="D178">
            <v>1</v>
          </cell>
        </row>
        <row r="179">
          <cell r="C179" t="str">
            <v>BAL-ULTRA-S55L-H-08060</v>
          </cell>
          <cell r="D179">
            <v>1</v>
          </cell>
        </row>
        <row r="180">
          <cell r="C180" t="str">
            <v>BAL-ULTRA-S55L-H-09060</v>
          </cell>
          <cell r="D180">
            <v>12</v>
          </cell>
        </row>
        <row r="181">
          <cell r="C181" t="str">
            <v>BAL-ULTRA-S55L-H-10060</v>
          </cell>
          <cell r="D181">
            <v>23</v>
          </cell>
        </row>
        <row r="182">
          <cell r="C182" t="str">
            <v>BAL-ULTRA-S55L-H-11060</v>
          </cell>
          <cell r="D182">
            <v>2</v>
          </cell>
        </row>
        <row r="183">
          <cell r="C183" t="str">
            <v>BAL-ULTRA-S55L-M-08060</v>
          </cell>
          <cell r="D183">
            <v>0</v>
          </cell>
        </row>
        <row r="184">
          <cell r="C184" t="str">
            <v>BAL-ULTRA-S55L-M-09060</v>
          </cell>
          <cell r="D184">
            <v>0</v>
          </cell>
        </row>
        <row r="185">
          <cell r="C185" t="str">
            <v>BAL-ULTRA-S55L-M-10060</v>
          </cell>
          <cell r="D185">
            <v>0</v>
          </cell>
        </row>
        <row r="186">
          <cell r="C186" t="str">
            <v>BAL-ULTRA-S55L-M-11060</v>
          </cell>
          <cell r="D186">
            <v>0</v>
          </cell>
        </row>
        <row r="187">
          <cell r="C187" t="str">
            <v>BAL-ULTRA-S55R-H-08060</v>
          </cell>
          <cell r="D187">
            <v>1</v>
          </cell>
        </row>
        <row r="188">
          <cell r="C188" t="str">
            <v>BAL-ULTRA-S55R-H-09060</v>
          </cell>
          <cell r="D188">
            <v>43</v>
          </cell>
        </row>
        <row r="189">
          <cell r="C189" t="str">
            <v>BAL-ULTRA-S55R-H-10060</v>
          </cell>
          <cell r="D189">
            <v>22</v>
          </cell>
        </row>
        <row r="190">
          <cell r="C190" t="str">
            <v>BAL-ULTRA-S55R-H-11060</v>
          </cell>
          <cell r="D190">
            <v>0</v>
          </cell>
        </row>
        <row r="191">
          <cell r="C191" t="str">
            <v>BAL-ULTRA-S55R-M-08060</v>
          </cell>
          <cell r="D191">
            <v>0</v>
          </cell>
        </row>
        <row r="192">
          <cell r="C192" t="str">
            <v>BAL-ULTRA-S55R-M-09060</v>
          </cell>
          <cell r="D192">
            <v>1</v>
          </cell>
        </row>
        <row r="193">
          <cell r="C193" t="str">
            <v>BAL-ULTRA-S55R-M-10060</v>
          </cell>
          <cell r="D193">
            <v>12</v>
          </cell>
        </row>
        <row r="194">
          <cell r="C194" t="str">
            <v>BAL-ULTRA-S55R-M-11060</v>
          </cell>
          <cell r="D194">
            <v>0</v>
          </cell>
        </row>
        <row r="195">
          <cell r="C195" t="str">
            <v>BAL-ULTRA-S57L-H-08060</v>
          </cell>
          <cell r="D195">
            <v>0</v>
          </cell>
        </row>
        <row r="196">
          <cell r="C196" t="str">
            <v>BAL-ULTRA-S57L-H-09060</v>
          </cell>
          <cell r="D196">
            <v>18</v>
          </cell>
        </row>
        <row r="197">
          <cell r="C197" t="str">
            <v>BAL-ULTRA-S57L-H-10060</v>
          </cell>
          <cell r="D197">
            <v>9</v>
          </cell>
        </row>
        <row r="198">
          <cell r="C198" t="str">
            <v>BAL-ULTRA-S57L-H-11060</v>
          </cell>
          <cell r="D198">
            <v>0</v>
          </cell>
        </row>
        <row r="199">
          <cell r="C199" t="str">
            <v>BAL-ULTRA-S57L-M-08060</v>
          </cell>
          <cell r="D199">
            <v>0</v>
          </cell>
        </row>
        <row r="200">
          <cell r="C200" t="str">
            <v>BAL-ULTRA-S57L-M-09060</v>
          </cell>
          <cell r="D200">
            <v>25</v>
          </cell>
        </row>
        <row r="201">
          <cell r="C201" t="str">
            <v>BAL-ULTRA-S57L-M-10060</v>
          </cell>
          <cell r="D201">
            <v>3</v>
          </cell>
        </row>
        <row r="202">
          <cell r="C202" t="str">
            <v>BAL-ULTRA-S57L-M-11060</v>
          </cell>
          <cell r="D202">
            <v>3</v>
          </cell>
        </row>
        <row r="203">
          <cell r="C203" t="str">
            <v>BAL-ULTRA-S57R-H-08060</v>
          </cell>
          <cell r="D203">
            <v>2</v>
          </cell>
        </row>
        <row r="204">
          <cell r="C204" t="str">
            <v>BAL-ULTRA-S57R-H-09060</v>
          </cell>
          <cell r="D204">
            <v>23</v>
          </cell>
        </row>
        <row r="205">
          <cell r="C205" t="str">
            <v>BAL-ULTRA-S57R-H-10060</v>
          </cell>
          <cell r="D205">
            <v>1</v>
          </cell>
        </row>
        <row r="206">
          <cell r="C206" t="str">
            <v>BAL-ULTRA-S57R-H-11060</v>
          </cell>
          <cell r="D206">
            <v>1</v>
          </cell>
        </row>
        <row r="207">
          <cell r="C207" t="str">
            <v>BAL-ULTRA-S57R-M-08060</v>
          </cell>
          <cell r="D207">
            <v>0</v>
          </cell>
        </row>
        <row r="208">
          <cell r="C208" t="str">
            <v>BAL-ULTRA-S57R-M-09060</v>
          </cell>
          <cell r="D208">
            <v>26</v>
          </cell>
        </row>
        <row r="209">
          <cell r="C209" t="str">
            <v>BAL-ULTRA-S57R-M-10060</v>
          </cell>
          <cell r="D209">
            <v>21</v>
          </cell>
        </row>
        <row r="210">
          <cell r="C210" t="str">
            <v>BAL-ULTRA-S57R-M-11060</v>
          </cell>
          <cell r="D210">
            <v>1</v>
          </cell>
        </row>
        <row r="211">
          <cell r="C211" t="str">
            <v>BAL-ULTRA-S63L-M-08060</v>
          </cell>
          <cell r="D211">
            <v>1</v>
          </cell>
        </row>
        <row r="212">
          <cell r="C212" t="str">
            <v>BAL-ULTRA-S63L-M-09060</v>
          </cell>
          <cell r="D212">
            <v>0</v>
          </cell>
        </row>
        <row r="213">
          <cell r="C213" t="str">
            <v>BAL-ULTRA-S63L-M-10060</v>
          </cell>
          <cell r="D213">
            <v>0</v>
          </cell>
        </row>
        <row r="214">
          <cell r="C214" t="str">
            <v>BAL-ULTRA-S63R-M-08060</v>
          </cell>
          <cell r="D214">
            <v>0</v>
          </cell>
        </row>
        <row r="215">
          <cell r="C215" t="str">
            <v>BAL-ULTRA-S63R-M-09060</v>
          </cell>
          <cell r="D215">
            <v>0</v>
          </cell>
        </row>
        <row r="216">
          <cell r="C216" t="str">
            <v>BAL-ULTRA-S63R-M-10060</v>
          </cell>
          <cell r="D216">
            <v>0</v>
          </cell>
        </row>
        <row r="217">
          <cell r="C217" t="str">
            <v>BAL-ULTRA-S64L-H-08060</v>
          </cell>
          <cell r="D217">
            <v>0</v>
          </cell>
        </row>
        <row r="218">
          <cell r="C218" t="str">
            <v>BAL-ULTRA-S64L-H-09060</v>
          </cell>
          <cell r="D218">
            <v>0</v>
          </cell>
        </row>
        <row r="219">
          <cell r="C219" t="str">
            <v>BAL-ULTRA-S64L-H-10060</v>
          </cell>
          <cell r="D219">
            <v>0</v>
          </cell>
        </row>
        <row r="220">
          <cell r="C220" t="str">
            <v>BAL-ULTRA-S64L-H-11060</v>
          </cell>
          <cell r="D220">
            <v>0</v>
          </cell>
        </row>
        <row r="221">
          <cell r="C221" t="str">
            <v>BAL-ULTRA-S64L-M-08060</v>
          </cell>
          <cell r="D221">
            <v>0</v>
          </cell>
        </row>
        <row r="222">
          <cell r="C222" t="str">
            <v>BAL-ULTRA-S64L-M-09060</v>
          </cell>
          <cell r="D222">
            <v>23</v>
          </cell>
        </row>
        <row r="223">
          <cell r="C223" t="str">
            <v>BAL-ULTRA-S64L-M-10060</v>
          </cell>
          <cell r="D223">
            <v>20</v>
          </cell>
        </row>
        <row r="224">
          <cell r="C224" t="str">
            <v>BAL-ULTRA-S64L-M-11060</v>
          </cell>
          <cell r="D224">
            <v>2</v>
          </cell>
        </row>
        <row r="225">
          <cell r="C225" t="str">
            <v>BAL-ULTRA-S64R-H-08060</v>
          </cell>
          <cell r="D225">
            <v>1</v>
          </cell>
        </row>
        <row r="226">
          <cell r="C226" t="str">
            <v>BAL-ULTRA-S64R-H-09060</v>
          </cell>
          <cell r="D226">
            <v>0</v>
          </cell>
        </row>
        <row r="227">
          <cell r="C227" t="str">
            <v>BAL-ULTRA-S64R-H-10060</v>
          </cell>
          <cell r="D227">
            <v>2</v>
          </cell>
        </row>
        <row r="228">
          <cell r="C228" t="str">
            <v>BAL-ULTRA-S64R-H-11060</v>
          </cell>
          <cell r="D228">
            <v>2</v>
          </cell>
        </row>
        <row r="229">
          <cell r="C229" t="str">
            <v>BAL-ULTRA-S64R-M-08060</v>
          </cell>
          <cell r="D229">
            <v>12</v>
          </cell>
        </row>
        <row r="230">
          <cell r="C230" t="str">
            <v>BAL-ULTRA-S64R-M-09060</v>
          </cell>
          <cell r="D230">
            <v>0</v>
          </cell>
        </row>
        <row r="231">
          <cell r="C231" t="str">
            <v>BAL-ULTRA-S64R-M-10060</v>
          </cell>
          <cell r="D231">
            <v>20</v>
          </cell>
        </row>
        <row r="232">
          <cell r="C232" t="str">
            <v>BAL-ULTRA-S64R-M-11060</v>
          </cell>
          <cell r="D232">
            <v>0</v>
          </cell>
        </row>
        <row r="233">
          <cell r="C233" t="str">
            <v>BAL-ULTRA-T-08055-UP</v>
          </cell>
          <cell r="D233">
            <v>0</v>
          </cell>
        </row>
        <row r="234">
          <cell r="C234" t="str">
            <v>BAL-ULTRA-T-09055-UP</v>
          </cell>
          <cell r="D234">
            <v>0</v>
          </cell>
        </row>
        <row r="235">
          <cell r="C235" t="str">
            <v>BAL-ULTRA-T-10055-UP</v>
          </cell>
          <cell r="D235">
            <v>100</v>
          </cell>
        </row>
        <row r="236">
          <cell r="C236" t="str">
            <v>BAL-ULTRA-T-11055-UP</v>
          </cell>
          <cell r="D236">
            <v>100</v>
          </cell>
        </row>
        <row r="237">
          <cell r="C237" t="str">
            <v>BAL-ULTRA-T-12055-UP</v>
          </cell>
          <cell r="D237">
            <v>50</v>
          </cell>
        </row>
        <row r="238">
          <cell r="C238" t="str">
            <v>BLU85IR-365</v>
          </cell>
          <cell r="D238">
            <v>0</v>
          </cell>
        </row>
        <row r="239">
          <cell r="C239" t="str">
            <v>BLU85IR-37</v>
          </cell>
          <cell r="D239">
            <v>0</v>
          </cell>
        </row>
        <row r="240">
          <cell r="C240" t="str">
            <v>BLU85IR-375</v>
          </cell>
          <cell r="D240">
            <v>0</v>
          </cell>
        </row>
        <row r="241">
          <cell r="C241" t="str">
            <v>BLU85IR-38</v>
          </cell>
          <cell r="D241">
            <v>0</v>
          </cell>
        </row>
        <row r="242">
          <cell r="C242" t="str">
            <v>BLU85IR-385</v>
          </cell>
          <cell r="D242">
            <v>0</v>
          </cell>
        </row>
        <row r="243">
          <cell r="C243" t="str">
            <v>BLU85IR-39</v>
          </cell>
          <cell r="D243">
            <v>0</v>
          </cell>
        </row>
        <row r="244">
          <cell r="C244" t="str">
            <v>BLU85IR-395</v>
          </cell>
          <cell r="D244">
            <v>0</v>
          </cell>
        </row>
        <row r="245">
          <cell r="C245" t="str">
            <v>BLU85IR-40</v>
          </cell>
          <cell r="D245">
            <v>0</v>
          </cell>
        </row>
        <row r="246">
          <cell r="C246" t="str">
            <v>BLU85IR-405</v>
          </cell>
          <cell r="D246">
            <v>0</v>
          </cell>
        </row>
        <row r="247">
          <cell r="C247" t="str">
            <v>BLU85IS-365</v>
          </cell>
          <cell r="D247">
            <v>0</v>
          </cell>
        </row>
        <row r="248">
          <cell r="C248" t="str">
            <v>BLU85IS-37</v>
          </cell>
          <cell r="D248">
            <v>0</v>
          </cell>
        </row>
        <row r="249">
          <cell r="C249" t="str">
            <v>BLU85IS-375</v>
          </cell>
          <cell r="D249">
            <v>0</v>
          </cell>
        </row>
        <row r="250">
          <cell r="C250" t="str">
            <v>BLU85IS-38</v>
          </cell>
          <cell r="D250">
            <v>0</v>
          </cell>
        </row>
        <row r="251">
          <cell r="C251" t="str">
            <v>BLU85IS-385</v>
          </cell>
          <cell r="D251">
            <v>0</v>
          </cell>
        </row>
        <row r="252">
          <cell r="C252" t="str">
            <v>BLU85IS-39</v>
          </cell>
          <cell r="D252">
            <v>0</v>
          </cell>
        </row>
        <row r="253">
          <cell r="C253" t="str">
            <v>BLU85IS-395</v>
          </cell>
          <cell r="D253">
            <v>0</v>
          </cell>
        </row>
        <row r="254">
          <cell r="C254" t="str">
            <v>BLU85IS-40</v>
          </cell>
          <cell r="D254">
            <v>0</v>
          </cell>
        </row>
        <row r="255">
          <cell r="C255" t="str">
            <v>BLU85IS-405</v>
          </cell>
          <cell r="D255">
            <v>0</v>
          </cell>
        </row>
        <row r="256">
          <cell r="C256" t="str">
            <v>BLU85IX-365</v>
          </cell>
          <cell r="D256">
            <v>0</v>
          </cell>
        </row>
        <row r="257">
          <cell r="C257" t="str">
            <v>BLU85IX-37</v>
          </cell>
          <cell r="D257">
            <v>0</v>
          </cell>
        </row>
        <row r="258">
          <cell r="C258" t="str">
            <v>BLU85IX-375</v>
          </cell>
          <cell r="D258">
            <v>0</v>
          </cell>
        </row>
        <row r="259">
          <cell r="C259" t="str">
            <v>BLU85IX-38</v>
          </cell>
          <cell r="D259">
            <v>0</v>
          </cell>
        </row>
        <row r="260">
          <cell r="C260" t="str">
            <v>BLU85IX-385</v>
          </cell>
          <cell r="D260">
            <v>0</v>
          </cell>
        </row>
        <row r="261">
          <cell r="C261" t="str">
            <v>BLU85IX-39</v>
          </cell>
          <cell r="D261">
            <v>0</v>
          </cell>
        </row>
        <row r="262">
          <cell r="C262" t="str">
            <v>BLU85IX-395</v>
          </cell>
          <cell r="D262">
            <v>0</v>
          </cell>
        </row>
        <row r="263">
          <cell r="C263" t="str">
            <v>BLU85IX-40</v>
          </cell>
          <cell r="D263">
            <v>0</v>
          </cell>
        </row>
        <row r="264">
          <cell r="C264" t="str">
            <v>BLU85IX-405</v>
          </cell>
          <cell r="D264">
            <v>0</v>
          </cell>
        </row>
        <row r="265">
          <cell r="C265" t="str">
            <v>CCM-V10-COPS-3560-BL</v>
          </cell>
          <cell r="D265">
            <v>0</v>
          </cell>
        </row>
        <row r="266">
          <cell r="C266" t="str">
            <v>CCM-V10-COPS-3560-DB</v>
          </cell>
          <cell r="D266">
            <v>0</v>
          </cell>
        </row>
        <row r="267">
          <cell r="C267" t="str">
            <v>CCM-V10-COPS-3560-LB</v>
          </cell>
          <cell r="D267">
            <v>0</v>
          </cell>
        </row>
        <row r="268">
          <cell r="C268" t="str">
            <v>CCM-V10-COPS-3560-RD</v>
          </cell>
          <cell r="D268">
            <v>0</v>
          </cell>
        </row>
        <row r="269">
          <cell r="C269" t="str">
            <v>CCM-V10-COPS-3560-TL</v>
          </cell>
          <cell r="D269">
            <v>4</v>
          </cell>
        </row>
        <row r="270">
          <cell r="C270" t="str">
            <v>CCM-V10-COPS-3560-YW</v>
          </cell>
          <cell r="D270">
            <v>20</v>
          </cell>
        </row>
        <row r="271">
          <cell r="C271" t="str">
            <v>CCM-V10-COPS-4060-BL</v>
          </cell>
          <cell r="D271">
            <v>43</v>
          </cell>
        </row>
        <row r="272">
          <cell r="C272" t="str">
            <v>CCM-V10-COPS-4060-DB</v>
          </cell>
          <cell r="D272">
            <v>99</v>
          </cell>
        </row>
        <row r="273">
          <cell r="C273" t="str">
            <v>CCM-V10-COPS-4060-LB</v>
          </cell>
          <cell r="D273">
            <v>10</v>
          </cell>
        </row>
        <row r="274">
          <cell r="C274" t="str">
            <v>CCM-V10-COPS-4060-RD</v>
          </cell>
          <cell r="D274">
            <v>14</v>
          </cell>
        </row>
        <row r="275">
          <cell r="C275" t="str">
            <v>CCM-V10-COPS-4060-TL</v>
          </cell>
          <cell r="D275">
            <v>30</v>
          </cell>
        </row>
        <row r="276">
          <cell r="C276" t="str">
            <v>CCM-V10-COPS-4060-YW</v>
          </cell>
          <cell r="D276">
            <v>56</v>
          </cell>
        </row>
        <row r="277">
          <cell r="C277" t="str">
            <v>CCM-V10-COPS-4560-BL</v>
          </cell>
          <cell r="D277">
            <v>14</v>
          </cell>
        </row>
        <row r="278">
          <cell r="C278" t="str">
            <v>CCM-V10-COPS-4560-DB</v>
          </cell>
          <cell r="D278">
            <v>6</v>
          </cell>
        </row>
        <row r="279">
          <cell r="C279" t="str">
            <v>CCM-V10-COPS-4560-LB</v>
          </cell>
          <cell r="D279">
            <v>19</v>
          </cell>
        </row>
        <row r="280">
          <cell r="C280" t="str">
            <v>CCM-V10-COPS-4560-RD</v>
          </cell>
          <cell r="D280">
            <v>32</v>
          </cell>
        </row>
        <row r="281">
          <cell r="C281" t="str">
            <v>CCM-V10-COPS-4560-TL</v>
          </cell>
          <cell r="D281">
            <v>0</v>
          </cell>
        </row>
        <row r="282">
          <cell r="C282" t="str">
            <v>CCM-V10-COPS-4560-YW</v>
          </cell>
          <cell r="D282">
            <v>0</v>
          </cell>
        </row>
        <row r="283">
          <cell r="C283" t="str">
            <v>CCM-V10-COPS-5060-BL</v>
          </cell>
          <cell r="D283">
            <v>22</v>
          </cell>
        </row>
        <row r="284">
          <cell r="C284" t="str">
            <v>CCM-V10-COPS-5060-RD</v>
          </cell>
          <cell r="D284">
            <v>30</v>
          </cell>
        </row>
        <row r="285">
          <cell r="C285" t="str">
            <v>CCM-V10-COPS-5060-YW</v>
          </cell>
          <cell r="D285">
            <v>0</v>
          </cell>
        </row>
        <row r="286">
          <cell r="C286" t="str">
            <v>CCM-V10-COPS-5560-BL</v>
          </cell>
          <cell r="D286">
            <v>0</v>
          </cell>
        </row>
        <row r="287">
          <cell r="C287" t="str">
            <v>CCM-V10-COPS-5560-RD</v>
          </cell>
          <cell r="D287">
            <v>3</v>
          </cell>
        </row>
        <row r="288">
          <cell r="C288" t="str">
            <v>CCM-V10-ST-3554-AO</v>
          </cell>
          <cell r="D288">
            <v>1</v>
          </cell>
        </row>
        <row r="289">
          <cell r="C289" t="str">
            <v>CCM-V10-ST-4054</v>
          </cell>
          <cell r="D289">
            <v>0</v>
          </cell>
        </row>
        <row r="290">
          <cell r="C290" t="str">
            <v>CCM-V10-ST-4054-AO</v>
          </cell>
          <cell r="D290">
            <v>3</v>
          </cell>
        </row>
        <row r="291">
          <cell r="C291" t="str">
            <v>CCM-V10-TC-3053</v>
          </cell>
          <cell r="D291">
            <v>0</v>
          </cell>
        </row>
        <row r="292">
          <cell r="C292" t="str">
            <v>CCM-V10-TC-3553</v>
          </cell>
          <cell r="D292">
            <v>0</v>
          </cell>
        </row>
        <row r="293">
          <cell r="C293" t="str">
            <v>CCM-V10-TC-4056</v>
          </cell>
          <cell r="D293">
            <v>0</v>
          </cell>
        </row>
        <row r="294">
          <cell r="C294" t="str">
            <v>CCM-V10-TC-4056-BL</v>
          </cell>
          <cell r="D294">
            <v>8</v>
          </cell>
        </row>
        <row r="295">
          <cell r="C295" t="str">
            <v>CCM-V10-TC-4556</v>
          </cell>
          <cell r="D295">
            <v>0</v>
          </cell>
        </row>
        <row r="296">
          <cell r="C296" t="str">
            <v>CCM-V10-TC-4556-BL</v>
          </cell>
          <cell r="D296">
            <v>18</v>
          </cell>
        </row>
        <row r="297">
          <cell r="C297" t="str">
            <v>CCM-V10-TC-5056</v>
          </cell>
          <cell r="D297">
            <v>0</v>
          </cell>
        </row>
        <row r="298">
          <cell r="C298" t="str">
            <v>CCM-V10-TC-5056-BL</v>
          </cell>
          <cell r="D298">
            <v>100</v>
          </cell>
        </row>
        <row r="299">
          <cell r="C299" t="str">
            <v>CCM-V10-TC-5556</v>
          </cell>
          <cell r="D299">
            <v>0</v>
          </cell>
        </row>
        <row r="300">
          <cell r="C300" t="str">
            <v>CCM-V10-TC-5556-BL</v>
          </cell>
          <cell r="D300">
            <v>239</v>
          </cell>
        </row>
        <row r="301">
          <cell r="C301" t="str">
            <v>CCM-V10-TC-6056</v>
          </cell>
          <cell r="D301">
            <v>0</v>
          </cell>
        </row>
        <row r="302">
          <cell r="C302" t="str">
            <v>CCM-V10-TC-6056-BL</v>
          </cell>
          <cell r="D302">
            <v>0</v>
          </cell>
        </row>
        <row r="303">
          <cell r="C303" t="str">
            <v>CCM-V10-TOPS-3560-BD</v>
          </cell>
          <cell r="D303">
            <v>0</v>
          </cell>
        </row>
        <row r="304">
          <cell r="C304" t="str">
            <v>CCM-V10-TOPS-3560-BL</v>
          </cell>
          <cell r="D304">
            <v>4</v>
          </cell>
        </row>
        <row r="305">
          <cell r="C305" t="str">
            <v>CCM-V10-TOPS-3560-LB</v>
          </cell>
          <cell r="D305">
            <v>0</v>
          </cell>
        </row>
        <row r="306">
          <cell r="C306" t="str">
            <v>CCM-V10-TOPS-3560-RD</v>
          </cell>
          <cell r="D306">
            <v>2</v>
          </cell>
        </row>
        <row r="307">
          <cell r="C307" t="str">
            <v>CCM-V10-TOPS-3560-YW</v>
          </cell>
          <cell r="D307">
            <v>1</v>
          </cell>
        </row>
        <row r="308">
          <cell r="C308" t="str">
            <v>CCM-V10-TOPS-4060-BD</v>
          </cell>
          <cell r="D308">
            <v>0</v>
          </cell>
        </row>
        <row r="309">
          <cell r="C309" t="str">
            <v>CCM-V10-TOPS-4060-BL</v>
          </cell>
          <cell r="D309">
            <v>10</v>
          </cell>
        </row>
        <row r="310">
          <cell r="C310" t="str">
            <v>CCM-V10-TOPS-4060-LB</v>
          </cell>
          <cell r="D310">
            <v>9</v>
          </cell>
        </row>
        <row r="311">
          <cell r="C311" t="str">
            <v>CCM-V10-TOPS-4060-RD</v>
          </cell>
          <cell r="D311">
            <v>9</v>
          </cell>
        </row>
        <row r="312">
          <cell r="C312" t="str">
            <v>CCM-V10-TOPS-4060-RD-NG</v>
          </cell>
          <cell r="D312">
            <v>0</v>
          </cell>
        </row>
        <row r="313">
          <cell r="C313" t="str">
            <v>CCM-V10-TOPS-4060-TL</v>
          </cell>
          <cell r="D313">
            <v>0</v>
          </cell>
        </row>
        <row r="314">
          <cell r="C314" t="str">
            <v>CCM-V10-TOPS-4060-YW</v>
          </cell>
          <cell r="D314">
            <v>6</v>
          </cell>
        </row>
        <row r="315">
          <cell r="C315" t="str">
            <v>CCM-V10-TOPS-4560-BD</v>
          </cell>
          <cell r="D315">
            <v>1</v>
          </cell>
        </row>
        <row r="316">
          <cell r="C316" t="str">
            <v>CCM-V10-TOPS-4560-BL</v>
          </cell>
          <cell r="D316">
            <v>51</v>
          </cell>
        </row>
        <row r="317">
          <cell r="C317" t="str">
            <v>CCM-V10-TOPS-4560-LB</v>
          </cell>
          <cell r="D317">
            <v>30</v>
          </cell>
        </row>
        <row r="318">
          <cell r="C318" t="str">
            <v>CCM-V10-TOPS-4560-RD</v>
          </cell>
          <cell r="D318">
            <v>23</v>
          </cell>
        </row>
        <row r="319">
          <cell r="C319" t="str">
            <v>CCM-V10-TOPS-4560-TL</v>
          </cell>
          <cell r="D319">
            <v>1</v>
          </cell>
        </row>
        <row r="320">
          <cell r="C320" t="str">
            <v>CCM-V10-TOPS-4560-YW</v>
          </cell>
          <cell r="D320">
            <v>20</v>
          </cell>
        </row>
        <row r="321">
          <cell r="C321" t="str">
            <v>CCM-V10-TOPS-5060-BL</v>
          </cell>
          <cell r="D321">
            <v>10</v>
          </cell>
        </row>
        <row r="322">
          <cell r="C322" t="str">
            <v>CCM-V10-TOPS-5060-RD</v>
          </cell>
          <cell r="D322">
            <v>16</v>
          </cell>
        </row>
        <row r="323">
          <cell r="C323" t="str">
            <v>CCM-V10-TOPS-5060-YW</v>
          </cell>
          <cell r="D323">
            <v>2</v>
          </cell>
        </row>
        <row r="324">
          <cell r="C324" t="str">
            <v>CCM-V10-TOPS-5560-RD</v>
          </cell>
          <cell r="D324">
            <v>6</v>
          </cell>
        </row>
        <row r="325">
          <cell r="C325" t="str">
            <v>CCM-V10-TOPS-6060-RD</v>
          </cell>
          <cell r="D325">
            <v>3</v>
          </cell>
        </row>
        <row r="326">
          <cell r="C326" t="str">
            <v>CCM-V10-TT-4056</v>
          </cell>
          <cell r="D326">
            <v>0</v>
          </cell>
        </row>
        <row r="327">
          <cell r="C327" t="str">
            <v>CCM-V10-TT-4556</v>
          </cell>
          <cell r="D327">
            <v>0</v>
          </cell>
        </row>
        <row r="328">
          <cell r="C328" t="str">
            <v>CCM-V10-TT-4556-RD</v>
          </cell>
          <cell r="D328">
            <v>3</v>
          </cell>
        </row>
        <row r="329">
          <cell r="C329" t="str">
            <v>CCM-V10-TT-5056</v>
          </cell>
          <cell r="D329">
            <v>50</v>
          </cell>
        </row>
        <row r="330">
          <cell r="C330" t="str">
            <v>CCM-V10-TT-5056-RD</v>
          </cell>
          <cell r="D330">
            <v>96</v>
          </cell>
        </row>
        <row r="331">
          <cell r="C331" t="str">
            <v>CCM-V10-TT-5556</v>
          </cell>
          <cell r="D331">
            <v>0</v>
          </cell>
        </row>
        <row r="332">
          <cell r="C332" t="str">
            <v>CCM-V10-TT-5556-RD</v>
          </cell>
          <cell r="D332">
            <v>43</v>
          </cell>
        </row>
        <row r="333">
          <cell r="C333" t="str">
            <v>CCM-V10-TT-6056</v>
          </cell>
          <cell r="D333">
            <v>0</v>
          </cell>
        </row>
        <row r="334">
          <cell r="C334" t="str">
            <v>CCM-V10-TT-6056-RD</v>
          </cell>
          <cell r="D334">
            <v>1</v>
          </cell>
        </row>
        <row r="335">
          <cell r="C335" t="str">
            <v>CCM-V8.9-COPS-4060-BL</v>
          </cell>
          <cell r="D335">
            <v>3</v>
          </cell>
        </row>
        <row r="336">
          <cell r="C336" t="str">
            <v>CCM-V8.9-COPS-4560-BL</v>
          </cell>
          <cell r="D336">
            <v>11</v>
          </cell>
        </row>
        <row r="337">
          <cell r="C337" t="str">
            <v>CCM-V8.9-SC-3551</v>
          </cell>
          <cell r="D337">
            <v>0</v>
          </cell>
        </row>
        <row r="338">
          <cell r="C338" t="str">
            <v>CCM-V8.9-SC-4054</v>
          </cell>
          <cell r="D338">
            <v>0</v>
          </cell>
        </row>
        <row r="339">
          <cell r="C339" t="str">
            <v>CCM-V8.9-SC-4554</v>
          </cell>
          <cell r="D339">
            <v>0</v>
          </cell>
        </row>
        <row r="340">
          <cell r="C340" t="str">
            <v>CCM-V8.9-SC-5554</v>
          </cell>
          <cell r="D340">
            <v>0</v>
          </cell>
        </row>
        <row r="341">
          <cell r="C341" t="str">
            <v>CCM-V8.9-SC-6054</v>
          </cell>
          <cell r="D341">
            <v>0</v>
          </cell>
        </row>
        <row r="342">
          <cell r="C342" t="str">
            <v>CCM-V8.9-ST-3554-AO</v>
          </cell>
          <cell r="D342">
            <v>0</v>
          </cell>
        </row>
        <row r="343">
          <cell r="C343" t="str">
            <v>CCM-V8.9-ST-4054</v>
          </cell>
          <cell r="D343">
            <v>0</v>
          </cell>
        </row>
        <row r="344">
          <cell r="C344" t="str">
            <v>CCM-V8.9-ST-4054-AO</v>
          </cell>
          <cell r="D344">
            <v>0</v>
          </cell>
        </row>
        <row r="345">
          <cell r="C345" t="str">
            <v>CCM-V8.9-ST-4554</v>
          </cell>
          <cell r="D345">
            <v>0</v>
          </cell>
        </row>
        <row r="346">
          <cell r="C346" t="str">
            <v>CCM-V8.9-ST-5054</v>
          </cell>
          <cell r="D346">
            <v>0</v>
          </cell>
        </row>
        <row r="347">
          <cell r="C347" t="str">
            <v>CCM-V8.9-ST-5554</v>
          </cell>
          <cell r="D347">
            <v>0</v>
          </cell>
        </row>
        <row r="348">
          <cell r="C348" t="str">
            <v>CCM-V8.9-TC-4556</v>
          </cell>
          <cell r="D348">
            <v>0</v>
          </cell>
        </row>
        <row r="349">
          <cell r="C349" t="str">
            <v>CCM-V8.9-TC-6056</v>
          </cell>
          <cell r="D349">
            <v>0</v>
          </cell>
        </row>
        <row r="350">
          <cell r="C350" t="str">
            <v>CCM-V8.9-TT-3553</v>
          </cell>
          <cell r="D350">
            <v>0</v>
          </cell>
        </row>
        <row r="351">
          <cell r="C351" t="str">
            <v>CCM-V8.9-TT-4056</v>
          </cell>
          <cell r="D351">
            <v>69</v>
          </cell>
        </row>
        <row r="352">
          <cell r="C352" t="str">
            <v>CCM-V8.9-TT-4556</v>
          </cell>
          <cell r="D352">
            <v>0</v>
          </cell>
        </row>
        <row r="353">
          <cell r="C353" t="str">
            <v>CCM-V8.9-TT-5056</v>
          </cell>
          <cell r="D353">
            <v>0</v>
          </cell>
        </row>
        <row r="354">
          <cell r="C354" t="str">
            <v>CCM-V8.9-TT-5556</v>
          </cell>
          <cell r="D354">
            <v>0</v>
          </cell>
        </row>
        <row r="355">
          <cell r="C355" t="str">
            <v>CCM-V8.9-TT-6056</v>
          </cell>
          <cell r="D355">
            <v>0</v>
          </cell>
        </row>
        <row r="356">
          <cell r="C356" t="str">
            <v>CCM-V8-COPS-3060-NG</v>
          </cell>
          <cell r="D356">
            <v>3</v>
          </cell>
        </row>
        <row r="357">
          <cell r="C357" t="str">
            <v>CCM-V8-COPS-4060-NG</v>
          </cell>
          <cell r="D357">
            <v>8</v>
          </cell>
        </row>
        <row r="358">
          <cell r="C358" t="str">
            <v>CCM-V8-COPS-4560-NG</v>
          </cell>
          <cell r="D358">
            <v>28</v>
          </cell>
        </row>
        <row r="359">
          <cell r="C359" t="str">
            <v>CCM-V8-COPS-5060-NG</v>
          </cell>
          <cell r="D359">
            <v>1</v>
          </cell>
        </row>
        <row r="360">
          <cell r="C360" t="str">
            <v>CCM-V8-COPS-5560-NG</v>
          </cell>
          <cell r="D360">
            <v>3</v>
          </cell>
        </row>
        <row r="361">
          <cell r="C361" t="str">
            <v>CCM-V8-SC-3551</v>
          </cell>
          <cell r="D361">
            <v>0</v>
          </cell>
        </row>
        <row r="362">
          <cell r="C362" t="str">
            <v>CCM-V8-SC-3551-NG</v>
          </cell>
          <cell r="D362">
            <v>0</v>
          </cell>
        </row>
        <row r="363">
          <cell r="C363" t="str">
            <v>CCM-V8-SC-4054</v>
          </cell>
          <cell r="D363">
            <v>0</v>
          </cell>
        </row>
        <row r="364">
          <cell r="C364" t="str">
            <v>CCM-V8-SC-4054-NG</v>
          </cell>
          <cell r="D364">
            <v>14</v>
          </cell>
        </row>
        <row r="365">
          <cell r="C365" t="str">
            <v>CCM-V8-SC-4554</v>
          </cell>
          <cell r="D365">
            <v>0</v>
          </cell>
        </row>
        <row r="366">
          <cell r="C366" t="str">
            <v>CCM-V8-SC-4554-NG</v>
          </cell>
          <cell r="D366">
            <v>14</v>
          </cell>
        </row>
        <row r="367">
          <cell r="C367" t="str">
            <v>CCM-V8-SC-5054</v>
          </cell>
          <cell r="D367">
            <v>200</v>
          </cell>
        </row>
        <row r="368">
          <cell r="C368" t="str">
            <v>CCM-V8-SC-5054-NG</v>
          </cell>
          <cell r="D368">
            <v>51</v>
          </cell>
        </row>
        <row r="369">
          <cell r="C369" t="str">
            <v>CCM-V8-SC-5554</v>
          </cell>
          <cell r="D369">
            <v>0</v>
          </cell>
        </row>
        <row r="370">
          <cell r="C370" t="str">
            <v>CCM-V8-SC-5554-NG</v>
          </cell>
          <cell r="D370">
            <v>31</v>
          </cell>
        </row>
        <row r="371">
          <cell r="C371" t="str">
            <v>CCM-V8-SC-6054</v>
          </cell>
          <cell r="D371">
            <v>0</v>
          </cell>
        </row>
        <row r="372">
          <cell r="C372" t="str">
            <v>CCM-V8-SC-6054-NG</v>
          </cell>
          <cell r="D372">
            <v>9</v>
          </cell>
        </row>
        <row r="373">
          <cell r="C373" t="str">
            <v>CCM-V8-ST-3551</v>
          </cell>
          <cell r="D373">
            <v>0</v>
          </cell>
        </row>
        <row r="374">
          <cell r="C374" t="str">
            <v>CCM-V8-ST-4054</v>
          </cell>
          <cell r="D374">
            <v>0</v>
          </cell>
        </row>
        <row r="375">
          <cell r="C375" t="str">
            <v>CCM-V8-ST-4554</v>
          </cell>
          <cell r="D375">
            <v>0</v>
          </cell>
        </row>
        <row r="376">
          <cell r="C376" t="str">
            <v>CCM-V8-ST-5054</v>
          </cell>
          <cell r="D376">
            <v>0</v>
          </cell>
        </row>
        <row r="377">
          <cell r="C377" t="str">
            <v>CCM-V8-ST-5554</v>
          </cell>
          <cell r="D377">
            <v>0</v>
          </cell>
        </row>
        <row r="378">
          <cell r="C378" t="str">
            <v>CCM-V8-ST-6054</v>
          </cell>
          <cell r="D378">
            <v>0</v>
          </cell>
        </row>
        <row r="379">
          <cell r="C379" t="str">
            <v>CCM-V8-TC-3051</v>
          </cell>
          <cell r="D379">
            <v>0</v>
          </cell>
        </row>
        <row r="380">
          <cell r="C380" t="str">
            <v>CCM-V8-TC-3551</v>
          </cell>
          <cell r="D380">
            <v>2</v>
          </cell>
        </row>
        <row r="381">
          <cell r="C381" t="str">
            <v>CCM-V8-TC-4056</v>
          </cell>
          <cell r="D381">
            <v>0</v>
          </cell>
        </row>
        <row r="382">
          <cell r="C382" t="str">
            <v>CCM-V8-TC-4556</v>
          </cell>
          <cell r="D382">
            <v>0</v>
          </cell>
        </row>
        <row r="383">
          <cell r="C383" t="str">
            <v>CCM-V8-TC-4556-1</v>
          </cell>
          <cell r="D383">
            <v>0</v>
          </cell>
        </row>
        <row r="384">
          <cell r="C384" t="str">
            <v>CCM-V8-TC-5056</v>
          </cell>
          <cell r="D384">
            <v>50</v>
          </cell>
        </row>
        <row r="385">
          <cell r="C385" t="str">
            <v>CCM-V8-TC-5556</v>
          </cell>
          <cell r="D385">
            <v>0</v>
          </cell>
        </row>
        <row r="386">
          <cell r="C386" t="str">
            <v>CCM-V8-TC-6056</v>
          </cell>
          <cell r="D386">
            <v>0</v>
          </cell>
        </row>
        <row r="387">
          <cell r="C387" t="str">
            <v>CCM-V8-TT-3553</v>
          </cell>
          <cell r="D387">
            <v>0</v>
          </cell>
        </row>
        <row r="388">
          <cell r="C388" t="str">
            <v>CCM-V8-TT-4056</v>
          </cell>
          <cell r="D388">
            <v>0</v>
          </cell>
        </row>
        <row r="389">
          <cell r="C389" t="str">
            <v>CCM-V8-TT-4556</v>
          </cell>
          <cell r="D389">
            <v>0</v>
          </cell>
        </row>
        <row r="390">
          <cell r="C390" t="str">
            <v>CCM-V8-TT-5056</v>
          </cell>
          <cell r="D390">
            <v>0</v>
          </cell>
        </row>
        <row r="391">
          <cell r="C391" t="str">
            <v>CCM-V8-TT-5556</v>
          </cell>
          <cell r="D391">
            <v>0</v>
          </cell>
        </row>
        <row r="392">
          <cell r="C392" t="str">
            <v>CCM-V8-TT-6056</v>
          </cell>
          <cell r="D392">
            <v>0</v>
          </cell>
        </row>
        <row r="393">
          <cell r="C393" t="str">
            <v>CCM-VP-ST-5052-NG</v>
          </cell>
          <cell r="D393">
            <v>0</v>
          </cell>
        </row>
        <row r="394">
          <cell r="C394" t="str">
            <v>CCM-VP-ST-5052-TH</v>
          </cell>
          <cell r="D394">
            <v>0</v>
          </cell>
        </row>
        <row r="395">
          <cell r="C395" t="str">
            <v>CCM-VS-09052</v>
          </cell>
          <cell r="D395">
            <v>5</v>
          </cell>
        </row>
        <row r="396">
          <cell r="C396" t="str">
            <v>CCM-VS-10052</v>
          </cell>
          <cell r="D396">
            <v>2</v>
          </cell>
        </row>
        <row r="397">
          <cell r="C397" t="str">
            <v>CCM-VS-12052</v>
          </cell>
          <cell r="D397">
            <v>7</v>
          </cell>
        </row>
        <row r="398">
          <cell r="C398" t="str">
            <v>CLITEIS-41</v>
          </cell>
          <cell r="D398">
            <v>0</v>
          </cell>
        </row>
        <row r="399">
          <cell r="C399" t="str">
            <v>CLITEIX-41</v>
          </cell>
          <cell r="D399">
            <v>0</v>
          </cell>
        </row>
        <row r="400">
          <cell r="C400" t="str">
            <v>CNOTEIS-41</v>
          </cell>
          <cell r="D400">
            <v>5</v>
          </cell>
        </row>
        <row r="401">
          <cell r="C401" t="str">
            <v>CNOTEIX-41</v>
          </cell>
          <cell r="D401">
            <v>0</v>
          </cell>
        </row>
        <row r="402">
          <cell r="C402" t="str">
            <v>CUR-SIG-148</v>
          </cell>
          <cell r="D402">
            <v>2</v>
          </cell>
        </row>
        <row r="403">
          <cell r="C403" t="str">
            <v>CUR-SIG-1848</v>
          </cell>
          <cell r="D403">
            <v>5</v>
          </cell>
        </row>
        <row r="404">
          <cell r="C404" t="str">
            <v>ESP10BEL</v>
          </cell>
          <cell r="D404">
            <v>37</v>
          </cell>
        </row>
        <row r="405">
          <cell r="C405" t="str">
            <v>ESP10BER</v>
          </cell>
          <cell r="D405">
            <v>18</v>
          </cell>
        </row>
        <row r="406">
          <cell r="C406" t="str">
            <v>ESP10CLL</v>
          </cell>
          <cell r="D406">
            <v>63</v>
          </cell>
        </row>
        <row r="407">
          <cell r="C407" t="str">
            <v>ESP10CLR</v>
          </cell>
          <cell r="D407">
            <v>24</v>
          </cell>
        </row>
        <row r="408">
          <cell r="C408" t="str">
            <v>ESP10PRL</v>
          </cell>
          <cell r="D408">
            <v>36</v>
          </cell>
        </row>
        <row r="409">
          <cell r="C409" t="str">
            <v>ESP10PRR</v>
          </cell>
          <cell r="D409">
            <v>18</v>
          </cell>
        </row>
        <row r="410">
          <cell r="C410" t="str">
            <v>ESP10TAL</v>
          </cell>
          <cell r="D410">
            <v>1</v>
          </cell>
        </row>
        <row r="411">
          <cell r="C411" t="str">
            <v>ESP10TAR</v>
          </cell>
          <cell r="D411">
            <v>0</v>
          </cell>
        </row>
        <row r="412">
          <cell r="C412" t="str">
            <v>ESP70BEL</v>
          </cell>
          <cell r="D412">
            <v>0</v>
          </cell>
        </row>
        <row r="413">
          <cell r="C413" t="str">
            <v>ESP70BER</v>
          </cell>
          <cell r="D413">
            <v>0</v>
          </cell>
        </row>
        <row r="414">
          <cell r="C414" t="str">
            <v>ESP70CLL</v>
          </cell>
          <cell r="D414">
            <v>0</v>
          </cell>
        </row>
        <row r="415">
          <cell r="C415" t="str">
            <v>ESP70CLR</v>
          </cell>
          <cell r="D415">
            <v>0</v>
          </cell>
        </row>
        <row r="416">
          <cell r="C416" t="str">
            <v>ESP70TAL</v>
          </cell>
          <cell r="D416">
            <v>0</v>
          </cell>
        </row>
        <row r="417">
          <cell r="C417" t="str">
            <v>ESP70TAR</v>
          </cell>
          <cell r="D417">
            <v>0</v>
          </cell>
        </row>
        <row r="418">
          <cell r="C418" t="str">
            <v>ESP80BEL</v>
          </cell>
          <cell r="D418">
            <v>0</v>
          </cell>
        </row>
        <row r="419">
          <cell r="C419" t="str">
            <v>ESP80BER</v>
          </cell>
          <cell r="D419">
            <v>0</v>
          </cell>
        </row>
        <row r="420">
          <cell r="C420" t="str">
            <v>ESP80CLL</v>
          </cell>
          <cell r="D420">
            <v>24</v>
          </cell>
        </row>
        <row r="421">
          <cell r="C421" t="str">
            <v>ESP80CLR</v>
          </cell>
          <cell r="D421">
            <v>0</v>
          </cell>
        </row>
        <row r="422">
          <cell r="C422" t="str">
            <v>ESP80TAL</v>
          </cell>
          <cell r="D422">
            <v>1</v>
          </cell>
        </row>
        <row r="423">
          <cell r="C423" t="str">
            <v>ESP80TAR</v>
          </cell>
          <cell r="D423">
            <v>0</v>
          </cell>
        </row>
        <row r="424">
          <cell r="C424" t="str">
            <v>ESP90BEL</v>
          </cell>
          <cell r="D424">
            <v>1</v>
          </cell>
        </row>
        <row r="425">
          <cell r="C425" t="str">
            <v>ESP90BER</v>
          </cell>
          <cell r="D425">
            <v>0</v>
          </cell>
        </row>
        <row r="426">
          <cell r="C426" t="str">
            <v>ESP90CLL</v>
          </cell>
          <cell r="D426">
            <v>36</v>
          </cell>
        </row>
        <row r="427">
          <cell r="C427" t="str">
            <v>ESP90CLR</v>
          </cell>
          <cell r="D427">
            <v>18</v>
          </cell>
        </row>
        <row r="428">
          <cell r="C428" t="str">
            <v>ESP90TAL</v>
          </cell>
          <cell r="D428">
            <v>0</v>
          </cell>
        </row>
        <row r="429">
          <cell r="C429" t="str">
            <v>ESP90TAR</v>
          </cell>
          <cell r="D429">
            <v>0</v>
          </cell>
        </row>
        <row r="430">
          <cell r="C430" t="str">
            <v>FRMRHYIR-45</v>
          </cell>
          <cell r="D430">
            <v>0</v>
          </cell>
        </row>
        <row r="431">
          <cell r="C431" t="str">
            <v>FRMRHYIS-45</v>
          </cell>
          <cell r="D431">
            <v>0</v>
          </cell>
        </row>
        <row r="432">
          <cell r="C432" t="str">
            <v>FRMRHYIX-45</v>
          </cell>
          <cell r="D432">
            <v>0</v>
          </cell>
        </row>
        <row r="433">
          <cell r="C433" t="str">
            <v>FRX-WHT-10052</v>
          </cell>
          <cell r="D433">
            <v>6</v>
          </cell>
        </row>
        <row r="434">
          <cell r="C434" t="str">
            <v>FRX-WHT-12052</v>
          </cell>
          <cell r="D434">
            <v>8</v>
          </cell>
        </row>
        <row r="435">
          <cell r="C435" t="str">
            <v>FRX-WHT-S03L-H</v>
          </cell>
          <cell r="D435">
            <v>0</v>
          </cell>
        </row>
        <row r="436">
          <cell r="C436" t="str">
            <v>FRX-WHT-S03R-H</v>
          </cell>
          <cell r="D436">
            <v>0</v>
          </cell>
        </row>
        <row r="437">
          <cell r="C437" t="str">
            <v>GSAL355IR-40-T</v>
          </cell>
          <cell r="D437">
            <v>9</v>
          </cell>
        </row>
        <row r="438">
          <cell r="C438" t="str">
            <v>GSAL355IS-40-T</v>
          </cell>
          <cell r="D438">
            <v>32</v>
          </cell>
        </row>
        <row r="439">
          <cell r="C439" t="str">
            <v>HEX-ELIAS-L-050</v>
          </cell>
          <cell r="D439">
            <v>0</v>
          </cell>
        </row>
        <row r="440">
          <cell r="C440" t="str">
            <v>HEX-ELIAS-L-050-G</v>
          </cell>
          <cell r="D440">
            <v>0</v>
          </cell>
        </row>
        <row r="441">
          <cell r="C441" t="str">
            <v>HEX-ELIAS-L-075</v>
          </cell>
          <cell r="D441">
            <v>0</v>
          </cell>
        </row>
        <row r="442">
          <cell r="C442" t="str">
            <v>HEX-ELIAS-L-075-G</v>
          </cell>
          <cell r="D442">
            <v>0</v>
          </cell>
        </row>
        <row r="443">
          <cell r="C443" t="str">
            <v>HEX-ELIAS-L-085</v>
          </cell>
          <cell r="D443">
            <v>0</v>
          </cell>
        </row>
        <row r="444">
          <cell r="C444" t="str">
            <v>HEX-ELIAS-L-085-G</v>
          </cell>
          <cell r="D444">
            <v>0</v>
          </cell>
        </row>
        <row r="445">
          <cell r="C445" t="str">
            <v>HEX-ELIAS-L-100</v>
          </cell>
          <cell r="D445">
            <v>0</v>
          </cell>
        </row>
        <row r="446">
          <cell r="C446" t="str">
            <v>HEX-ELIAS-L-100-G</v>
          </cell>
          <cell r="D446">
            <v>0</v>
          </cell>
        </row>
        <row r="447">
          <cell r="C447" t="str">
            <v>HEX-ELIAS-R-050</v>
          </cell>
          <cell r="D447">
            <v>0</v>
          </cell>
        </row>
        <row r="448">
          <cell r="C448" t="str">
            <v>HEX-ELIAS-R-075</v>
          </cell>
          <cell r="D448">
            <v>0</v>
          </cell>
        </row>
        <row r="449">
          <cell r="C449" t="str">
            <v>HEX-ELIAS-R-085</v>
          </cell>
          <cell r="D449">
            <v>0</v>
          </cell>
        </row>
        <row r="450">
          <cell r="C450" t="str">
            <v>HEX-ELIAS-R-085-G</v>
          </cell>
          <cell r="D450">
            <v>0</v>
          </cell>
        </row>
        <row r="451">
          <cell r="C451" t="str">
            <v>HEX-ELIAS-R-100</v>
          </cell>
          <cell r="D451">
            <v>0</v>
          </cell>
        </row>
        <row r="452">
          <cell r="C452" t="str">
            <v>HEX-ELIAS-R-100-G</v>
          </cell>
          <cell r="D452">
            <v>0</v>
          </cell>
        </row>
        <row r="453">
          <cell r="C453" t="str">
            <v>HEX-HATCH-L-050</v>
          </cell>
          <cell r="D453">
            <v>0</v>
          </cell>
        </row>
        <row r="454">
          <cell r="C454" t="str">
            <v>HEX-HATCH-L-075</v>
          </cell>
          <cell r="D454">
            <v>0</v>
          </cell>
        </row>
        <row r="455">
          <cell r="C455" t="str">
            <v>HEX-HATCH-L-085</v>
          </cell>
          <cell r="D455">
            <v>0</v>
          </cell>
        </row>
        <row r="456">
          <cell r="C456" t="str">
            <v>HEX-HATCH-L-085-G</v>
          </cell>
          <cell r="D456">
            <v>0</v>
          </cell>
        </row>
        <row r="457">
          <cell r="C457" t="str">
            <v>HEX-HATCH-L-100</v>
          </cell>
          <cell r="D457">
            <v>0</v>
          </cell>
        </row>
        <row r="458">
          <cell r="C458" t="str">
            <v>HEX-HATCH-L-100-G</v>
          </cell>
          <cell r="D458">
            <v>0</v>
          </cell>
        </row>
        <row r="459">
          <cell r="C459" t="str">
            <v>HEX-HATCH-R-050</v>
          </cell>
          <cell r="D459">
            <v>0</v>
          </cell>
        </row>
        <row r="460">
          <cell r="C460" t="str">
            <v>HEX-HATCH-R-075</v>
          </cell>
          <cell r="D460">
            <v>0</v>
          </cell>
        </row>
        <row r="461">
          <cell r="C461" t="str">
            <v>HEX-HATCH-R-085</v>
          </cell>
          <cell r="D461">
            <v>0</v>
          </cell>
        </row>
        <row r="462">
          <cell r="C462" t="str">
            <v>HEX-HATCH-R-085-G</v>
          </cell>
          <cell r="D462">
            <v>0</v>
          </cell>
        </row>
        <row r="463">
          <cell r="C463" t="str">
            <v>HEX-HATCH-R-100</v>
          </cell>
          <cell r="D463">
            <v>0</v>
          </cell>
        </row>
        <row r="464">
          <cell r="C464" t="str">
            <v>HEX-HATCH-R-100-G</v>
          </cell>
          <cell r="D464">
            <v>0</v>
          </cell>
        </row>
        <row r="465">
          <cell r="C465" t="str">
            <v>HEX-HULL-L-050</v>
          </cell>
          <cell r="D465">
            <v>0</v>
          </cell>
        </row>
        <row r="466">
          <cell r="C466" t="str">
            <v>HEX-HULL-L-050-G</v>
          </cell>
          <cell r="D466">
            <v>0</v>
          </cell>
        </row>
        <row r="467">
          <cell r="C467" t="str">
            <v>HEX-HULL-L-075</v>
          </cell>
          <cell r="D467">
            <v>0</v>
          </cell>
        </row>
        <row r="468">
          <cell r="C468" t="str">
            <v>HEX-HULL-L-085</v>
          </cell>
          <cell r="D468">
            <v>0</v>
          </cell>
        </row>
        <row r="469">
          <cell r="C469" t="str">
            <v>HEX-HULL-L-085-G</v>
          </cell>
          <cell r="D469">
            <v>0</v>
          </cell>
        </row>
        <row r="470">
          <cell r="C470" t="str">
            <v>HEX-HULL-L-100</v>
          </cell>
          <cell r="D470">
            <v>0</v>
          </cell>
        </row>
        <row r="471">
          <cell r="C471" t="str">
            <v>HEX-HULL-L-100-G</v>
          </cell>
          <cell r="D471">
            <v>0</v>
          </cell>
        </row>
        <row r="472">
          <cell r="C472" t="str">
            <v>HEX-HULL-R-050</v>
          </cell>
          <cell r="D472">
            <v>0</v>
          </cell>
        </row>
        <row r="473">
          <cell r="C473" t="str">
            <v>HEX-HULL-R-075</v>
          </cell>
          <cell r="D473">
            <v>0</v>
          </cell>
        </row>
        <row r="474">
          <cell r="C474" t="str">
            <v>HEX-HULL-R-085</v>
          </cell>
          <cell r="D474">
            <v>0</v>
          </cell>
        </row>
        <row r="475">
          <cell r="C475" t="str">
            <v>HEX-HULL-R-085-G</v>
          </cell>
          <cell r="D475">
            <v>0</v>
          </cell>
        </row>
        <row r="476">
          <cell r="C476" t="str">
            <v>HEX-HULL-R-100</v>
          </cell>
          <cell r="D476">
            <v>0</v>
          </cell>
        </row>
        <row r="477">
          <cell r="C477" t="str">
            <v>HEX-HULL-R-100-G</v>
          </cell>
          <cell r="D477">
            <v>0</v>
          </cell>
        </row>
        <row r="478">
          <cell r="C478" t="str">
            <v>HEX-NEW-L-085</v>
          </cell>
          <cell r="D478">
            <v>0</v>
          </cell>
        </row>
        <row r="479">
          <cell r="C479" t="str">
            <v>HEX-NEW-L-085-G</v>
          </cell>
          <cell r="D479">
            <v>0</v>
          </cell>
        </row>
        <row r="480">
          <cell r="C480" t="str">
            <v>HEX-NEW-L-100</v>
          </cell>
          <cell r="D480">
            <v>0</v>
          </cell>
        </row>
        <row r="481">
          <cell r="C481" t="str">
            <v>HEX-NEW-L-100-G</v>
          </cell>
          <cell r="D481">
            <v>0</v>
          </cell>
        </row>
        <row r="482">
          <cell r="C482" t="str">
            <v>HEX-NEW-R-085</v>
          </cell>
          <cell r="D482">
            <v>0</v>
          </cell>
        </row>
        <row r="483">
          <cell r="C483" t="str">
            <v>HEX-NEW-R-085-G</v>
          </cell>
          <cell r="D483">
            <v>0</v>
          </cell>
        </row>
        <row r="484">
          <cell r="C484" t="str">
            <v>HEX-NEW-R-100</v>
          </cell>
          <cell r="D484">
            <v>0</v>
          </cell>
        </row>
        <row r="485">
          <cell r="C485" t="str">
            <v>HEX-NEW-R-100-G</v>
          </cell>
          <cell r="D485">
            <v>0</v>
          </cell>
        </row>
        <row r="486">
          <cell r="C486" t="str">
            <v>I19A-55PA-03600</v>
          </cell>
          <cell r="D486">
            <v>0</v>
          </cell>
        </row>
        <row r="487">
          <cell r="C487" t="str">
            <v>I19A-55PR-03600</v>
          </cell>
          <cell r="D487">
            <v>0</v>
          </cell>
        </row>
        <row r="488">
          <cell r="C488" t="str">
            <v>I19A-55PS-03600</v>
          </cell>
          <cell r="D488">
            <v>0</v>
          </cell>
        </row>
        <row r="489">
          <cell r="C489" t="str">
            <v>I19A-60PA-03600</v>
          </cell>
          <cell r="D489">
            <v>0</v>
          </cell>
        </row>
        <row r="490">
          <cell r="C490" t="str">
            <v>I19A-60PR-03600</v>
          </cell>
          <cell r="D490">
            <v>0</v>
          </cell>
        </row>
        <row r="491">
          <cell r="C491" t="str">
            <v>I19A-60PS-03600</v>
          </cell>
          <cell r="D491">
            <v>0</v>
          </cell>
        </row>
        <row r="492">
          <cell r="C492" t="str">
            <v>I19A-65PA-03600</v>
          </cell>
          <cell r="D492">
            <v>0</v>
          </cell>
        </row>
        <row r="493">
          <cell r="C493" t="str">
            <v>I19A-65PR-03600</v>
          </cell>
          <cell r="D493">
            <v>0</v>
          </cell>
        </row>
        <row r="494">
          <cell r="C494" t="str">
            <v>I19A-65PS-03600</v>
          </cell>
          <cell r="D494">
            <v>0</v>
          </cell>
        </row>
        <row r="495">
          <cell r="C495" t="str">
            <v>I19A-70PA-03600</v>
          </cell>
          <cell r="D495">
            <v>0</v>
          </cell>
        </row>
        <row r="496">
          <cell r="C496" t="str">
            <v>I19A-70PR-03600</v>
          </cell>
          <cell r="D496">
            <v>0</v>
          </cell>
        </row>
        <row r="497">
          <cell r="C497" t="str">
            <v>I19A-70PS-03600</v>
          </cell>
          <cell r="D497">
            <v>0</v>
          </cell>
        </row>
        <row r="498">
          <cell r="C498" t="str">
            <v>I19A-75PA-03600</v>
          </cell>
          <cell r="D498">
            <v>0</v>
          </cell>
        </row>
        <row r="499">
          <cell r="C499" t="str">
            <v>I19A-75PR-03600</v>
          </cell>
          <cell r="D499">
            <v>0</v>
          </cell>
        </row>
        <row r="500">
          <cell r="C500" t="str">
            <v>I19A-75PS-03600</v>
          </cell>
          <cell r="D500">
            <v>0</v>
          </cell>
        </row>
        <row r="501">
          <cell r="C501" t="str">
            <v>I19A-80PA-03600</v>
          </cell>
          <cell r="D501">
            <v>0</v>
          </cell>
        </row>
        <row r="502">
          <cell r="C502" t="str">
            <v>I19A-80PR-03600</v>
          </cell>
          <cell r="D502">
            <v>0</v>
          </cell>
        </row>
        <row r="503">
          <cell r="C503" t="str">
            <v>I19A-80PS-03600</v>
          </cell>
          <cell r="D503">
            <v>0</v>
          </cell>
        </row>
        <row r="504">
          <cell r="C504" t="str">
            <v>I19A-85PA-03600</v>
          </cell>
          <cell r="D504">
            <v>0</v>
          </cell>
        </row>
        <row r="505">
          <cell r="C505" t="str">
            <v>I19A-85PR-03600</v>
          </cell>
          <cell r="D505">
            <v>0</v>
          </cell>
        </row>
        <row r="506">
          <cell r="C506" t="str">
            <v>I19A-85PS-03600</v>
          </cell>
          <cell r="D506">
            <v>0</v>
          </cell>
        </row>
        <row r="507">
          <cell r="C507" t="str">
            <v>I19A-90PA-03600</v>
          </cell>
          <cell r="D507">
            <v>0</v>
          </cell>
        </row>
        <row r="508">
          <cell r="C508" t="str">
            <v>I19A-90PR-03600</v>
          </cell>
          <cell r="D508">
            <v>0</v>
          </cell>
        </row>
        <row r="509">
          <cell r="C509" t="str">
            <v>I19A-90PS-03600</v>
          </cell>
          <cell r="D509">
            <v>0</v>
          </cell>
        </row>
        <row r="510">
          <cell r="C510" t="str">
            <v>I19A-95PA-03600</v>
          </cell>
          <cell r="D510">
            <v>0</v>
          </cell>
        </row>
        <row r="511">
          <cell r="C511" t="str">
            <v>I19A-95PR-03600</v>
          </cell>
          <cell r="D511">
            <v>0</v>
          </cell>
        </row>
        <row r="512">
          <cell r="C512" t="str">
            <v>I19A-95PS-03600</v>
          </cell>
          <cell r="D512">
            <v>0</v>
          </cell>
        </row>
        <row r="513">
          <cell r="C513" t="str">
            <v>LAUNCHHYIA-41</v>
          </cell>
          <cell r="D513">
            <v>67</v>
          </cell>
        </row>
        <row r="514">
          <cell r="C514" t="str">
            <v>LAUNCHHYIR-41</v>
          </cell>
          <cell r="D514">
            <v>185</v>
          </cell>
        </row>
        <row r="515">
          <cell r="C515" t="str">
            <v>LAUNCHHYIS-41</v>
          </cell>
          <cell r="D515">
            <v>56</v>
          </cell>
        </row>
        <row r="516">
          <cell r="C516" t="str">
            <v>LAUNCHHYIX-41</v>
          </cell>
          <cell r="D516">
            <v>337</v>
          </cell>
        </row>
        <row r="517">
          <cell r="C517" t="str">
            <v>LAUNCHIR-41</v>
          </cell>
          <cell r="D517">
            <v>23</v>
          </cell>
        </row>
        <row r="518">
          <cell r="C518" t="str">
            <v>LAUNCHIS-41</v>
          </cell>
          <cell r="D518">
            <v>41</v>
          </cell>
        </row>
        <row r="519">
          <cell r="C519" t="str">
            <v>LAUNCHREDHYIR-41</v>
          </cell>
          <cell r="D519">
            <v>306</v>
          </cell>
        </row>
        <row r="520">
          <cell r="C520" t="str">
            <v>LAUNCHREDHYIS-41</v>
          </cell>
          <cell r="D520">
            <v>251</v>
          </cell>
        </row>
        <row r="521">
          <cell r="C521" t="str">
            <v>LAUNCHREDHYIX-41</v>
          </cell>
          <cell r="D521">
            <v>61</v>
          </cell>
        </row>
        <row r="522">
          <cell r="C522" t="str">
            <v>LAUNCHREDIR-365</v>
          </cell>
          <cell r="D522">
            <v>0</v>
          </cell>
        </row>
        <row r="523">
          <cell r="C523" t="str">
            <v>LAUNCHREDIR-37</v>
          </cell>
          <cell r="D523">
            <v>0</v>
          </cell>
        </row>
        <row r="524">
          <cell r="C524" t="str">
            <v>LAUNCHREDIR-375</v>
          </cell>
          <cell r="D524">
            <v>0</v>
          </cell>
        </row>
        <row r="525">
          <cell r="C525" t="str">
            <v>LAUNCHREDIR-38</v>
          </cell>
          <cell r="D525">
            <v>0</v>
          </cell>
        </row>
        <row r="526">
          <cell r="C526" t="str">
            <v>LAUNCHREDIR-385</v>
          </cell>
          <cell r="D526">
            <v>0</v>
          </cell>
        </row>
        <row r="527">
          <cell r="C527" t="str">
            <v>LAUNCHREDIR-39</v>
          </cell>
          <cell r="D527">
            <v>0</v>
          </cell>
        </row>
        <row r="528">
          <cell r="C528" t="str">
            <v>LAUNCHREDIR-395</v>
          </cell>
          <cell r="D528">
            <v>0</v>
          </cell>
        </row>
        <row r="529">
          <cell r="C529" t="str">
            <v>LAUNCHREDIR-40</v>
          </cell>
          <cell r="D529">
            <v>0</v>
          </cell>
        </row>
        <row r="530">
          <cell r="C530" t="str">
            <v>LAUNCHREDIR-405</v>
          </cell>
          <cell r="D530">
            <v>251</v>
          </cell>
        </row>
        <row r="531">
          <cell r="C531" t="str">
            <v>LAUNCHREDIR-SET</v>
          </cell>
          <cell r="D531">
            <v>0</v>
          </cell>
        </row>
        <row r="532">
          <cell r="C532" t="str">
            <v>LAUNCHREDIS-365</v>
          </cell>
          <cell r="D532">
            <v>0</v>
          </cell>
        </row>
        <row r="533">
          <cell r="C533" t="str">
            <v>LAUNCHREDIS-37</v>
          </cell>
          <cell r="D533">
            <v>0</v>
          </cell>
        </row>
        <row r="534">
          <cell r="C534" t="str">
            <v>LAUNCHREDIS-375</v>
          </cell>
          <cell r="D534">
            <v>0</v>
          </cell>
        </row>
        <row r="535">
          <cell r="C535" t="str">
            <v>LAUNCHREDIS-38</v>
          </cell>
          <cell r="D535">
            <v>0</v>
          </cell>
        </row>
        <row r="536">
          <cell r="C536" t="str">
            <v>LAUNCHREDIS-385</v>
          </cell>
          <cell r="D536">
            <v>0</v>
          </cell>
        </row>
        <row r="537">
          <cell r="C537" t="str">
            <v>LAUNCHREDIS-39</v>
          </cell>
          <cell r="D537">
            <v>0</v>
          </cell>
        </row>
        <row r="538">
          <cell r="C538" t="str">
            <v>LAUNCHREDIS-395</v>
          </cell>
          <cell r="D538">
            <v>0</v>
          </cell>
        </row>
        <row r="539">
          <cell r="C539" t="str">
            <v>LAUNCHREDIS-40</v>
          </cell>
          <cell r="D539">
            <v>0</v>
          </cell>
        </row>
        <row r="540">
          <cell r="C540" t="str">
            <v>LAUNCHREDIS-405</v>
          </cell>
          <cell r="D540">
            <v>361</v>
          </cell>
        </row>
        <row r="541">
          <cell r="C541" t="str">
            <v>LAUNCHREDIS-SET</v>
          </cell>
          <cell r="D541">
            <v>0</v>
          </cell>
        </row>
        <row r="542">
          <cell r="C542" t="str">
            <v>LAUNCHREDIX-405</v>
          </cell>
          <cell r="D542">
            <v>50</v>
          </cell>
        </row>
        <row r="543">
          <cell r="C543" t="str">
            <v>M18L-P-L-22745</v>
          </cell>
          <cell r="D543">
            <v>0</v>
          </cell>
        </row>
        <row r="544">
          <cell r="C544" t="str">
            <v>M66L-N6-S-03618</v>
          </cell>
          <cell r="D544">
            <v>0</v>
          </cell>
        </row>
        <row r="545">
          <cell r="C545" t="str">
            <v>M66L-N6X+-03618</v>
          </cell>
          <cell r="D545">
            <v>0</v>
          </cell>
        </row>
        <row r="546">
          <cell r="C546" t="str">
            <v>MGBGA-45</v>
          </cell>
          <cell r="D546">
            <v>0</v>
          </cell>
        </row>
        <row r="547">
          <cell r="C547" t="str">
            <v>MGBGL-45</v>
          </cell>
          <cell r="D547">
            <v>0</v>
          </cell>
        </row>
        <row r="548">
          <cell r="C548" t="str">
            <v>MGBGR3-45</v>
          </cell>
          <cell r="D548">
            <v>50</v>
          </cell>
        </row>
        <row r="549">
          <cell r="C549" t="str">
            <v>MGBGS3-45</v>
          </cell>
          <cell r="D549">
            <v>33</v>
          </cell>
        </row>
        <row r="550">
          <cell r="C550" t="str">
            <v>MGUCMTIA-40</v>
          </cell>
          <cell r="D550">
            <v>114</v>
          </cell>
        </row>
        <row r="551">
          <cell r="C551" t="str">
            <v>MGUCMTIL-40</v>
          </cell>
          <cell r="D551">
            <v>324</v>
          </cell>
        </row>
        <row r="552">
          <cell r="C552" t="str">
            <v>MGUCMTIR-40</v>
          </cell>
          <cell r="D552">
            <v>67</v>
          </cell>
        </row>
        <row r="553">
          <cell r="C553" t="str">
            <v>MGUCMTIS-40</v>
          </cell>
          <cell r="D553">
            <v>157</v>
          </cell>
        </row>
        <row r="554">
          <cell r="C554" t="str">
            <v>MIS-STA-J51L-5051</v>
          </cell>
          <cell r="D554">
            <v>0</v>
          </cell>
        </row>
        <row r="555">
          <cell r="C555" t="str">
            <v>MIS-STA-J51L-6555</v>
          </cell>
          <cell r="D555">
            <v>0</v>
          </cell>
        </row>
        <row r="556">
          <cell r="C556" t="str">
            <v>MIS-STA-J51R-5051</v>
          </cell>
          <cell r="D556">
            <v>0</v>
          </cell>
        </row>
        <row r="557">
          <cell r="C557" t="str">
            <v>MIS-STA-J51R-6555</v>
          </cell>
          <cell r="D557">
            <v>0</v>
          </cell>
        </row>
        <row r="558">
          <cell r="C558" t="str">
            <v>MIS-STA-J52L-5051</v>
          </cell>
          <cell r="D558">
            <v>0</v>
          </cell>
        </row>
        <row r="559">
          <cell r="C559" t="str">
            <v>MIS-STA-J52L-6555</v>
          </cell>
          <cell r="D559">
            <v>0</v>
          </cell>
        </row>
        <row r="560">
          <cell r="C560" t="str">
            <v>MIS-STA-J52R-5051</v>
          </cell>
          <cell r="D560">
            <v>0</v>
          </cell>
        </row>
        <row r="561">
          <cell r="C561" t="str">
            <v>MIS-STA-J52R-6555</v>
          </cell>
          <cell r="D561">
            <v>0</v>
          </cell>
        </row>
        <row r="562">
          <cell r="C562" t="str">
            <v>MIS-STA-S53L-08560</v>
          </cell>
          <cell r="D562">
            <v>0</v>
          </cell>
        </row>
        <row r="563">
          <cell r="C563" t="str">
            <v>MIS-STA-S53L-10060</v>
          </cell>
          <cell r="D563">
            <v>0</v>
          </cell>
        </row>
        <row r="564">
          <cell r="C564" t="str">
            <v>MIS-STA-S53R-08560</v>
          </cell>
          <cell r="D564">
            <v>0</v>
          </cell>
        </row>
        <row r="565">
          <cell r="C565" t="str">
            <v>MIS-STA-S53R-10060</v>
          </cell>
          <cell r="D565">
            <v>0</v>
          </cell>
        </row>
        <row r="566">
          <cell r="C566" t="str">
            <v>MIS-STA-S56L-08560</v>
          </cell>
          <cell r="D566">
            <v>0</v>
          </cell>
        </row>
        <row r="567">
          <cell r="C567" t="str">
            <v>MIS-STA-S56L-10060</v>
          </cell>
          <cell r="D567">
            <v>0</v>
          </cell>
        </row>
        <row r="568">
          <cell r="C568" t="str">
            <v>MIS-STA-S56R-08560</v>
          </cell>
          <cell r="D568">
            <v>0</v>
          </cell>
        </row>
        <row r="569">
          <cell r="C569" t="str">
            <v>MIS-STA-S56R-10060</v>
          </cell>
          <cell r="D569">
            <v>0</v>
          </cell>
        </row>
        <row r="570">
          <cell r="C570" t="str">
            <v>MIS-STA-ULT-07056</v>
          </cell>
          <cell r="D570">
            <v>0</v>
          </cell>
        </row>
        <row r="571">
          <cell r="C571" t="str">
            <v>MIS-STA-ULT-08056</v>
          </cell>
          <cell r="D571">
            <v>2</v>
          </cell>
        </row>
        <row r="572">
          <cell r="C572" t="str">
            <v>MIS-STA-ULT-10056</v>
          </cell>
          <cell r="D572">
            <v>3</v>
          </cell>
        </row>
        <row r="573">
          <cell r="C573" t="str">
            <v>OGWX-46</v>
          </cell>
          <cell r="D573">
            <v>24</v>
          </cell>
        </row>
        <row r="574">
          <cell r="C574" t="str">
            <v>PASS-COMP-SF-09052</v>
          </cell>
          <cell r="D574">
            <v>1</v>
          </cell>
        </row>
        <row r="575">
          <cell r="C575" t="str">
            <v>PASS-COMP-SF-10052</v>
          </cell>
          <cell r="D575">
            <v>8</v>
          </cell>
        </row>
        <row r="576">
          <cell r="C576" t="str">
            <v>PASS-COMP-SF-11052</v>
          </cell>
          <cell r="D576">
            <v>21</v>
          </cell>
        </row>
        <row r="577">
          <cell r="C577" t="str">
            <v>PASS-COMP-SF-12052</v>
          </cell>
          <cell r="D577">
            <v>1</v>
          </cell>
        </row>
        <row r="578">
          <cell r="C578" t="str">
            <v>PASS-EVO-07054</v>
          </cell>
          <cell r="D578">
            <v>1</v>
          </cell>
        </row>
        <row r="579">
          <cell r="C579" t="str">
            <v>PASS-EVO-07056</v>
          </cell>
          <cell r="D579">
            <v>1</v>
          </cell>
        </row>
        <row r="580">
          <cell r="C580" t="str">
            <v>PASS-EVO-09054</v>
          </cell>
          <cell r="D580">
            <v>12</v>
          </cell>
        </row>
        <row r="581">
          <cell r="C581" t="str">
            <v>PASS-EVO-10054</v>
          </cell>
          <cell r="D581">
            <v>0</v>
          </cell>
        </row>
        <row r="582">
          <cell r="C582" t="str">
            <v>PASS-EVO-10056</v>
          </cell>
          <cell r="D582">
            <v>5</v>
          </cell>
        </row>
        <row r="583">
          <cell r="C583" t="str">
            <v>PASS-EVO-10056-NG</v>
          </cell>
          <cell r="D583">
            <v>0</v>
          </cell>
        </row>
        <row r="584">
          <cell r="C584" t="str">
            <v>PASS-EVO-11054</v>
          </cell>
          <cell r="D584">
            <v>0</v>
          </cell>
        </row>
        <row r="585">
          <cell r="C585" t="str">
            <v>PASS-EVO-11056</v>
          </cell>
          <cell r="D585">
            <v>1</v>
          </cell>
        </row>
        <row r="586">
          <cell r="C586" t="str">
            <v>PASS-EVO-12054</v>
          </cell>
          <cell r="D586">
            <v>13</v>
          </cell>
        </row>
        <row r="587">
          <cell r="C587" t="str">
            <v>PASS-TI-07051</v>
          </cell>
          <cell r="D587">
            <v>0</v>
          </cell>
        </row>
        <row r="588">
          <cell r="C588" t="str">
            <v>PASS-TI-07054-NG</v>
          </cell>
          <cell r="D588">
            <v>16</v>
          </cell>
        </row>
        <row r="589">
          <cell r="C589" t="str">
            <v>PASS-TI-09051</v>
          </cell>
          <cell r="D589">
            <v>125</v>
          </cell>
        </row>
        <row r="590">
          <cell r="C590" t="str">
            <v>PASS-TI-10051</v>
          </cell>
          <cell r="D590">
            <v>0</v>
          </cell>
        </row>
        <row r="591">
          <cell r="C591" t="str">
            <v>PASS-TI-10054-NG</v>
          </cell>
          <cell r="D591">
            <v>2</v>
          </cell>
        </row>
        <row r="592">
          <cell r="C592" t="str">
            <v>PASS-TI-11051</v>
          </cell>
          <cell r="D592">
            <v>61</v>
          </cell>
        </row>
        <row r="593">
          <cell r="C593" t="str">
            <v>PASS-TI-12051</v>
          </cell>
          <cell r="D593">
            <v>67</v>
          </cell>
        </row>
        <row r="594">
          <cell r="C594" t="str">
            <v>PG11-P06-34</v>
          </cell>
          <cell r="D594">
            <v>43</v>
          </cell>
        </row>
        <row r="595">
          <cell r="C595" t="str">
            <v>PG11-P07-34</v>
          </cell>
          <cell r="D595">
            <v>16</v>
          </cell>
        </row>
        <row r="596">
          <cell r="C596" t="str">
            <v>PG11-P08-34</v>
          </cell>
          <cell r="D596">
            <v>12</v>
          </cell>
        </row>
        <row r="597">
          <cell r="C597" t="str">
            <v>PGT233WS-46</v>
          </cell>
          <cell r="D597">
            <v>58</v>
          </cell>
        </row>
        <row r="598">
          <cell r="C598" t="str">
            <v>PLHB-40-R</v>
          </cell>
          <cell r="D598">
            <v>0</v>
          </cell>
        </row>
        <row r="599">
          <cell r="C599" t="str">
            <v>PLHB-42-R</v>
          </cell>
          <cell r="D599">
            <v>0</v>
          </cell>
        </row>
        <row r="600">
          <cell r="C600" t="str">
            <v>PLHB-44-R</v>
          </cell>
          <cell r="D600">
            <v>0</v>
          </cell>
        </row>
        <row r="601">
          <cell r="C601" t="str">
            <v>PSP-272-270</v>
          </cell>
          <cell r="D601">
            <v>0</v>
          </cell>
        </row>
        <row r="602">
          <cell r="C602" t="str">
            <v>PSP-272-350</v>
          </cell>
          <cell r="D602">
            <v>0</v>
          </cell>
        </row>
        <row r="603">
          <cell r="C603" t="str">
            <v>QCOMPS10-8-744</v>
          </cell>
          <cell r="D603">
            <v>0</v>
          </cell>
        </row>
        <row r="604">
          <cell r="C604" t="str">
            <v>QCOMPS10-8-744-2</v>
          </cell>
          <cell r="D604">
            <v>1</v>
          </cell>
        </row>
        <row r="605">
          <cell r="C605" t="str">
            <v>QCOMPS10-8H-744</v>
          </cell>
          <cell r="D605">
            <v>2</v>
          </cell>
        </row>
        <row r="606">
          <cell r="C606" t="str">
            <v>QCOMPS10-8H-744-2</v>
          </cell>
          <cell r="D606">
            <v>1</v>
          </cell>
        </row>
        <row r="607">
          <cell r="C607" t="str">
            <v>QCOMPS20-1-637</v>
          </cell>
          <cell r="D607">
            <v>0</v>
          </cell>
        </row>
        <row r="608">
          <cell r="C608" t="str">
            <v>QCOMPS20-1-744</v>
          </cell>
          <cell r="D608">
            <v>2</v>
          </cell>
        </row>
        <row r="609">
          <cell r="C609" t="str">
            <v>QCOMPS20-8-741</v>
          </cell>
          <cell r="D609">
            <v>31</v>
          </cell>
        </row>
        <row r="610">
          <cell r="C610" t="str">
            <v>QCOMPS20-8-744</v>
          </cell>
          <cell r="D610">
            <v>1</v>
          </cell>
        </row>
        <row r="611">
          <cell r="C611" t="str">
            <v>QCOMPS20-8H-744</v>
          </cell>
          <cell r="D611">
            <v>0</v>
          </cell>
        </row>
        <row r="612">
          <cell r="C612" t="str">
            <v>QCOMPS20-8H-744-KHS</v>
          </cell>
          <cell r="D612">
            <v>0</v>
          </cell>
        </row>
        <row r="613">
          <cell r="C613" t="str">
            <v>QCS10-8-744</v>
          </cell>
          <cell r="D613">
            <v>0</v>
          </cell>
        </row>
        <row r="614">
          <cell r="C614" t="str">
            <v>QCX-1-747</v>
          </cell>
          <cell r="D614">
            <v>6</v>
          </cell>
        </row>
        <row r="615">
          <cell r="C615" t="str">
            <v>QCX20-8-747</v>
          </cell>
          <cell r="D615">
            <v>0</v>
          </cell>
        </row>
        <row r="616">
          <cell r="C616" t="str">
            <v>QCX-8-747</v>
          </cell>
          <cell r="D616">
            <v>0</v>
          </cell>
        </row>
        <row r="617">
          <cell r="C617" t="str">
            <v>QCX-8-747-2</v>
          </cell>
          <cell r="D617">
            <v>1</v>
          </cell>
        </row>
        <row r="618">
          <cell r="C618" t="str">
            <v>QGS10-1-744</v>
          </cell>
          <cell r="D618">
            <v>0</v>
          </cell>
        </row>
        <row r="619">
          <cell r="C619" t="str">
            <v>QGS10-8-741</v>
          </cell>
          <cell r="D619">
            <v>9</v>
          </cell>
        </row>
        <row r="620">
          <cell r="C620" t="str">
            <v>QGS10-8-741-2</v>
          </cell>
          <cell r="D620">
            <v>11</v>
          </cell>
        </row>
        <row r="621">
          <cell r="C621" t="str">
            <v>QGS10-8-741-2-UP</v>
          </cell>
          <cell r="D621">
            <v>1</v>
          </cell>
        </row>
        <row r="622">
          <cell r="C622" t="str">
            <v>QGS10-8-741-UP</v>
          </cell>
          <cell r="D622">
            <v>0</v>
          </cell>
        </row>
        <row r="623">
          <cell r="C623" t="str">
            <v>QGS10-8-744</v>
          </cell>
          <cell r="D623">
            <v>6</v>
          </cell>
        </row>
        <row r="624">
          <cell r="C624" t="str">
            <v>QGS10-8-744-2</v>
          </cell>
          <cell r="D624">
            <v>2</v>
          </cell>
        </row>
        <row r="625">
          <cell r="C625" t="str">
            <v>QGS10-8-744-2-UP</v>
          </cell>
          <cell r="D625">
            <v>11</v>
          </cell>
        </row>
        <row r="626">
          <cell r="C626" t="str">
            <v>QGS10-8-744-UP</v>
          </cell>
          <cell r="D626">
            <v>0</v>
          </cell>
        </row>
        <row r="627">
          <cell r="C627" t="str">
            <v>QGS10-8-746</v>
          </cell>
          <cell r="D627">
            <v>1</v>
          </cell>
        </row>
        <row r="628">
          <cell r="C628" t="str">
            <v>QGS10-8-747-2-UP</v>
          </cell>
          <cell r="D628">
            <v>0</v>
          </cell>
        </row>
        <row r="629">
          <cell r="C629" t="str">
            <v>QGS10-8-750</v>
          </cell>
          <cell r="D629">
            <v>0</v>
          </cell>
        </row>
        <row r="630">
          <cell r="C630" t="str">
            <v>QGS10-8-750-2</v>
          </cell>
          <cell r="D630">
            <v>8</v>
          </cell>
        </row>
        <row r="631">
          <cell r="C631" t="str">
            <v>QGS10-8-750-2-UP</v>
          </cell>
          <cell r="D631">
            <v>1</v>
          </cell>
        </row>
        <row r="632">
          <cell r="C632" t="str">
            <v>QGS10-8H-744</v>
          </cell>
          <cell r="D632">
            <v>56</v>
          </cell>
        </row>
        <row r="633">
          <cell r="C633" t="str">
            <v>QGS10-8H-744-2</v>
          </cell>
          <cell r="D633">
            <v>6</v>
          </cell>
        </row>
        <row r="634">
          <cell r="C634" t="str">
            <v>QGS10-8H-744-2-M</v>
          </cell>
          <cell r="D634">
            <v>0</v>
          </cell>
        </row>
        <row r="635">
          <cell r="C635" t="str">
            <v>QGS10-8H-744-M</v>
          </cell>
          <cell r="D635">
            <v>2</v>
          </cell>
        </row>
        <row r="636">
          <cell r="C636" t="str">
            <v>QGS20-8-640</v>
          </cell>
          <cell r="D636">
            <v>0</v>
          </cell>
        </row>
        <row r="637">
          <cell r="C637" t="str">
            <v>QGS20-8-743</v>
          </cell>
          <cell r="D637">
            <v>1</v>
          </cell>
        </row>
        <row r="638">
          <cell r="C638" t="str">
            <v>QGS20-8-743-UP</v>
          </cell>
          <cell r="D638">
            <v>0</v>
          </cell>
        </row>
        <row r="639">
          <cell r="C639" t="str">
            <v>QGS30-8-744</v>
          </cell>
          <cell r="D639">
            <v>19</v>
          </cell>
        </row>
        <row r="640">
          <cell r="C640" t="str">
            <v>QGS30-8-744-B</v>
          </cell>
          <cell r="D640">
            <v>0</v>
          </cell>
        </row>
        <row r="641">
          <cell r="C641" t="str">
            <v>QGS30-8-744-UP</v>
          </cell>
          <cell r="D641">
            <v>0</v>
          </cell>
        </row>
        <row r="642">
          <cell r="C642" t="str">
            <v>QGS30-8H-744</v>
          </cell>
          <cell r="D642">
            <v>3</v>
          </cell>
        </row>
        <row r="643">
          <cell r="C643" t="str">
            <v>QGS30-8H-744-B</v>
          </cell>
          <cell r="D643">
            <v>0</v>
          </cell>
        </row>
        <row r="644">
          <cell r="C644" t="str">
            <v>QTS20-8-743</v>
          </cell>
          <cell r="D644">
            <v>41</v>
          </cell>
        </row>
        <row r="645">
          <cell r="C645" t="str">
            <v>QTS20-8-743-2</v>
          </cell>
          <cell r="D645">
            <v>0</v>
          </cell>
        </row>
        <row r="646">
          <cell r="C646" t="str">
            <v>QWOLFCL-8-743</v>
          </cell>
          <cell r="D646">
            <v>0</v>
          </cell>
        </row>
        <row r="647">
          <cell r="C647" t="str">
            <v>QWOLFCL-GL</v>
          </cell>
          <cell r="D647">
            <v>9</v>
          </cell>
        </row>
        <row r="648">
          <cell r="C648" t="str">
            <v>QWOLFSL-8-743</v>
          </cell>
          <cell r="D648">
            <v>22</v>
          </cell>
        </row>
        <row r="649">
          <cell r="C649" t="str">
            <v>QX2-8-741</v>
          </cell>
          <cell r="D649">
            <v>0</v>
          </cell>
        </row>
        <row r="650">
          <cell r="C650" t="str">
            <v>QX2-8-744</v>
          </cell>
          <cell r="D650">
            <v>0</v>
          </cell>
        </row>
        <row r="651">
          <cell r="C651" t="str">
            <v>QZ-8-741</v>
          </cell>
          <cell r="D651">
            <v>0</v>
          </cell>
        </row>
        <row r="652">
          <cell r="C652" t="str">
            <v>QZ-8-741-UP</v>
          </cell>
          <cell r="D652">
            <v>0</v>
          </cell>
        </row>
        <row r="653">
          <cell r="C653" t="str">
            <v>QZ-8-744</v>
          </cell>
          <cell r="D653">
            <v>1</v>
          </cell>
        </row>
        <row r="654">
          <cell r="C654" t="str">
            <v>QZ-8-744-UP</v>
          </cell>
          <cell r="D654">
            <v>0</v>
          </cell>
        </row>
        <row r="655">
          <cell r="C655" t="str">
            <v>RBK-7.1K-SC-3551</v>
          </cell>
          <cell r="D655">
            <v>0</v>
          </cell>
        </row>
        <row r="656">
          <cell r="C656" t="str">
            <v>RBK-7.1K-SC-4054</v>
          </cell>
          <cell r="D656">
            <v>7</v>
          </cell>
        </row>
        <row r="657">
          <cell r="C657" t="str">
            <v>RBK-7.1K-SC-4554</v>
          </cell>
          <cell r="D657">
            <v>0</v>
          </cell>
        </row>
        <row r="658">
          <cell r="C658" t="str">
            <v>RBK-7.1K-SC-5054</v>
          </cell>
          <cell r="D658">
            <v>38</v>
          </cell>
        </row>
        <row r="659">
          <cell r="C659" t="str">
            <v>RBK-7.1K-SC-5554</v>
          </cell>
          <cell r="D659">
            <v>1</v>
          </cell>
        </row>
        <row r="660">
          <cell r="C660" t="str">
            <v>RBK-7.1K-ST-4054</v>
          </cell>
          <cell r="D660">
            <v>8</v>
          </cell>
        </row>
        <row r="661">
          <cell r="C661" t="str">
            <v>RBK-7.1K-ST-4554</v>
          </cell>
          <cell r="D661">
            <v>0</v>
          </cell>
        </row>
        <row r="662">
          <cell r="C662" t="str">
            <v>RBK-7.1K-ST-5054</v>
          </cell>
          <cell r="D662">
            <v>5</v>
          </cell>
        </row>
        <row r="663">
          <cell r="C663" t="str">
            <v>RBK-7.1K-ST-5554</v>
          </cell>
          <cell r="D663">
            <v>6</v>
          </cell>
        </row>
        <row r="664">
          <cell r="C664" t="str">
            <v>RBK-7.1K-ST-6054</v>
          </cell>
          <cell r="D664">
            <v>5</v>
          </cell>
        </row>
        <row r="665">
          <cell r="C665" t="str">
            <v>RBK-7.1K-TC-4056</v>
          </cell>
          <cell r="D665">
            <v>1</v>
          </cell>
        </row>
        <row r="666">
          <cell r="C666" t="str">
            <v>RBK-7.1K-TC-4556</v>
          </cell>
          <cell r="D666">
            <v>4</v>
          </cell>
        </row>
        <row r="667">
          <cell r="C667" t="str">
            <v>RBK-7.1K-TC-5056</v>
          </cell>
          <cell r="D667">
            <v>3</v>
          </cell>
        </row>
        <row r="668">
          <cell r="C668" t="str">
            <v>RBK-7.1K-TC-5556</v>
          </cell>
          <cell r="D668">
            <v>0</v>
          </cell>
        </row>
        <row r="669">
          <cell r="C669" t="str">
            <v>RBK-7.1K-TT-3554-DP</v>
          </cell>
          <cell r="D669">
            <v>6</v>
          </cell>
        </row>
        <row r="670">
          <cell r="C670" t="str">
            <v>RBK-7.1K-TT-4056</v>
          </cell>
          <cell r="D670">
            <v>3</v>
          </cell>
        </row>
        <row r="671">
          <cell r="C671" t="str">
            <v>RBK-7.1K-TT-4556</v>
          </cell>
          <cell r="D671">
            <v>4</v>
          </cell>
        </row>
        <row r="672">
          <cell r="C672" t="str">
            <v>RBK-7.1K-TT-5056</v>
          </cell>
          <cell r="D672">
            <v>6</v>
          </cell>
        </row>
        <row r="673">
          <cell r="C673" t="str">
            <v>RBK-7.1K-TT-5556</v>
          </cell>
          <cell r="D673">
            <v>12</v>
          </cell>
        </row>
        <row r="674">
          <cell r="C674" t="str">
            <v>RBK-7K-COPS-3560</v>
          </cell>
          <cell r="D674">
            <v>6</v>
          </cell>
        </row>
        <row r="675">
          <cell r="C675" t="str">
            <v>RBK-7K-COPS-4060</v>
          </cell>
          <cell r="D675">
            <v>224</v>
          </cell>
        </row>
        <row r="676">
          <cell r="C676" t="str">
            <v>RBK-7K-COPS-4060-NG</v>
          </cell>
          <cell r="D676">
            <v>0</v>
          </cell>
        </row>
        <row r="677">
          <cell r="C677" t="str">
            <v>RBK-7K-COPS-4560</v>
          </cell>
          <cell r="D677">
            <v>2126</v>
          </cell>
        </row>
        <row r="678">
          <cell r="C678" t="str">
            <v>RBK-7K-COPS-4560-NG</v>
          </cell>
          <cell r="D678">
            <v>0</v>
          </cell>
        </row>
        <row r="679">
          <cell r="C679" t="str">
            <v>RBK-7K-COPS-5060</v>
          </cell>
          <cell r="D679">
            <v>19</v>
          </cell>
        </row>
        <row r="680">
          <cell r="C680" t="str">
            <v>RBK-7K-COPS-5060-NG</v>
          </cell>
          <cell r="D680">
            <v>0</v>
          </cell>
        </row>
        <row r="681">
          <cell r="C681" t="str">
            <v>RBK-7K-COPS-5560</v>
          </cell>
          <cell r="D681">
            <v>0</v>
          </cell>
        </row>
        <row r="682">
          <cell r="C682" t="str">
            <v>RBK-7K-COPS-5560-NG</v>
          </cell>
          <cell r="D682">
            <v>3</v>
          </cell>
        </row>
        <row r="683">
          <cell r="C683" t="str">
            <v>RBK-7K-SC-4054</v>
          </cell>
          <cell r="D683">
            <v>23</v>
          </cell>
        </row>
        <row r="684">
          <cell r="C684" t="str">
            <v>RBK-7K-SC-4554</v>
          </cell>
          <cell r="D684">
            <v>78</v>
          </cell>
        </row>
        <row r="685">
          <cell r="C685" t="str">
            <v>RBK-7K-SC-5054</v>
          </cell>
          <cell r="D685">
            <v>19</v>
          </cell>
        </row>
        <row r="686">
          <cell r="C686" t="str">
            <v>RBK-7K-SC-5554</v>
          </cell>
          <cell r="D686">
            <v>51</v>
          </cell>
        </row>
        <row r="687">
          <cell r="C687" t="str">
            <v>RBK-7K-SC-6054</v>
          </cell>
          <cell r="D687">
            <v>1</v>
          </cell>
        </row>
        <row r="688">
          <cell r="C688" t="str">
            <v>RBK-7K-ST-5554-NG</v>
          </cell>
          <cell r="D688">
            <v>2</v>
          </cell>
        </row>
        <row r="689">
          <cell r="C689" t="str">
            <v>RBK-7K-TOPS-3560</v>
          </cell>
          <cell r="D689">
            <v>7</v>
          </cell>
        </row>
        <row r="690">
          <cell r="C690" t="str">
            <v>RBK-7K-TOPS-3560-NG</v>
          </cell>
          <cell r="D690">
            <v>0</v>
          </cell>
        </row>
        <row r="691">
          <cell r="C691" t="str">
            <v>RBK-7K-TOPS-4060</v>
          </cell>
          <cell r="D691">
            <v>119</v>
          </cell>
        </row>
        <row r="692">
          <cell r="C692" t="str">
            <v>RBK-7K-TOPS-4060-NG</v>
          </cell>
          <cell r="D692">
            <v>0</v>
          </cell>
        </row>
        <row r="693">
          <cell r="C693" t="str">
            <v>RBK-7K-TOPS-4560</v>
          </cell>
          <cell r="D693">
            <v>605</v>
          </cell>
        </row>
        <row r="694">
          <cell r="C694" t="str">
            <v>RBK-7K-TOPS-4560-NG</v>
          </cell>
          <cell r="D694">
            <v>0</v>
          </cell>
        </row>
        <row r="695">
          <cell r="C695" t="str">
            <v>RBK-7K-TOPS-5060</v>
          </cell>
          <cell r="D695">
            <v>919</v>
          </cell>
        </row>
        <row r="696">
          <cell r="C696" t="str">
            <v>RBK-7K-TOPS-5060-NG</v>
          </cell>
          <cell r="D696">
            <v>0</v>
          </cell>
        </row>
        <row r="697">
          <cell r="C697" t="str">
            <v>RBK-7K-TOPS-5560</v>
          </cell>
          <cell r="D697">
            <v>1</v>
          </cell>
        </row>
        <row r="698">
          <cell r="C698" t="str">
            <v>RBK-7K-TOPS-5560-NG</v>
          </cell>
          <cell r="D698">
            <v>0</v>
          </cell>
        </row>
        <row r="699">
          <cell r="C699" t="str">
            <v>RBK-7K-TT-4056</v>
          </cell>
          <cell r="D699">
            <v>0</v>
          </cell>
        </row>
        <row r="700">
          <cell r="C700" t="str">
            <v>RBK-7K-TT-4056-NG</v>
          </cell>
          <cell r="D700">
            <v>481</v>
          </cell>
        </row>
        <row r="701">
          <cell r="C701" t="str">
            <v>RBK-7K-TT-4556-NG</v>
          </cell>
          <cell r="D701">
            <v>738</v>
          </cell>
        </row>
        <row r="702">
          <cell r="C702" t="str">
            <v>RBK-7K-TT-5056-NG</v>
          </cell>
          <cell r="D702">
            <v>251</v>
          </cell>
        </row>
        <row r="703">
          <cell r="C703" t="str">
            <v>RBK-7K-TT-5556-NG</v>
          </cell>
          <cell r="D703">
            <v>2</v>
          </cell>
        </row>
        <row r="704">
          <cell r="C704" t="str">
            <v>RBK-P125-G01L-57</v>
          </cell>
          <cell r="D704">
            <v>1</v>
          </cell>
        </row>
        <row r="705">
          <cell r="C705" t="str">
            <v>RBK-P226-G02L-57</v>
          </cell>
          <cell r="D705">
            <v>5</v>
          </cell>
        </row>
        <row r="706">
          <cell r="C706" t="str">
            <v>RBK-VIP-11048-SC</v>
          </cell>
          <cell r="D706">
            <v>6</v>
          </cell>
        </row>
        <row r="707">
          <cell r="C707" t="str">
            <v>RHN-EVO-H-SF-10060</v>
          </cell>
          <cell r="D707">
            <v>0</v>
          </cell>
        </row>
        <row r="708">
          <cell r="C708" t="str">
            <v>RHN-EVO-M-SF-10060</v>
          </cell>
          <cell r="D708">
            <v>0</v>
          </cell>
        </row>
        <row r="709">
          <cell r="C709" t="str">
            <v>RHN-EVO-M-SF-10060-BY</v>
          </cell>
          <cell r="D709">
            <v>0</v>
          </cell>
        </row>
        <row r="710">
          <cell r="C710" t="str">
            <v>RHN-EVO-S03L-H-10060-SB</v>
          </cell>
          <cell r="D710">
            <v>0</v>
          </cell>
        </row>
        <row r="711">
          <cell r="C711" t="str">
            <v>RHN-EVO-S03L-M</v>
          </cell>
          <cell r="D711">
            <v>0</v>
          </cell>
        </row>
        <row r="712">
          <cell r="C712" t="str">
            <v>RHN-EVO-S03L-M-10060</v>
          </cell>
          <cell r="D712">
            <v>0</v>
          </cell>
        </row>
        <row r="713">
          <cell r="C713" t="str">
            <v>RHN-EVO-S03L-M-10060-BY</v>
          </cell>
          <cell r="D713">
            <v>10</v>
          </cell>
        </row>
        <row r="714">
          <cell r="C714" t="str">
            <v>RHN-EVO-S03L-M-10060-WB</v>
          </cell>
          <cell r="D714">
            <v>1</v>
          </cell>
        </row>
        <row r="715">
          <cell r="C715" t="str">
            <v>RHN-EVO-S03R-H-10060-SB</v>
          </cell>
          <cell r="D715">
            <v>2</v>
          </cell>
        </row>
        <row r="716">
          <cell r="C716" t="str">
            <v>RHN-EVO-S03R-M</v>
          </cell>
          <cell r="D716">
            <v>0</v>
          </cell>
        </row>
        <row r="717">
          <cell r="C717" t="str">
            <v>RHN-EVO-S03R-M-10060</v>
          </cell>
          <cell r="D717">
            <v>0</v>
          </cell>
        </row>
        <row r="718">
          <cell r="C718" t="str">
            <v>RHN-EVO-S03R-M-10060-BY</v>
          </cell>
          <cell r="D718">
            <v>10</v>
          </cell>
        </row>
        <row r="719">
          <cell r="C719" t="str">
            <v>RHN-EVO-S03R-M-10060-WB</v>
          </cell>
          <cell r="D719">
            <v>3</v>
          </cell>
        </row>
        <row r="720">
          <cell r="C720" t="str">
            <v>RHN-EVO-S05L-H-10060-SB</v>
          </cell>
          <cell r="D720">
            <v>0</v>
          </cell>
        </row>
        <row r="721">
          <cell r="C721" t="str">
            <v>RHN-EVO-S05L-M</v>
          </cell>
          <cell r="D721">
            <v>0</v>
          </cell>
        </row>
        <row r="722">
          <cell r="C722" t="str">
            <v>RHN-EVO-S05L-M-10060</v>
          </cell>
          <cell r="D722">
            <v>0</v>
          </cell>
        </row>
        <row r="723">
          <cell r="C723" t="str">
            <v>RHN-EVO-S05L-M-10060-WB</v>
          </cell>
          <cell r="D723">
            <v>0</v>
          </cell>
        </row>
        <row r="724">
          <cell r="C724" t="str">
            <v>RHN-EVO-S05R-M</v>
          </cell>
          <cell r="D724">
            <v>0</v>
          </cell>
        </row>
        <row r="725">
          <cell r="C725" t="str">
            <v>RHN-EVO-S05R-M-10060</v>
          </cell>
          <cell r="D725">
            <v>0</v>
          </cell>
        </row>
        <row r="726">
          <cell r="C726" t="str">
            <v>RHN-EVO-S06L-H-10060-SB</v>
          </cell>
          <cell r="D726">
            <v>0</v>
          </cell>
        </row>
        <row r="727">
          <cell r="C727" t="str">
            <v>RHN-EVO-S06L-M</v>
          </cell>
          <cell r="D727">
            <v>0</v>
          </cell>
        </row>
        <row r="728">
          <cell r="C728" t="str">
            <v>RHN-EVO-S06L-M-10060</v>
          </cell>
          <cell r="D728">
            <v>0</v>
          </cell>
        </row>
        <row r="729">
          <cell r="C729" t="str">
            <v>RHN-EVO-S06L-M-10060-BY</v>
          </cell>
          <cell r="D729">
            <v>9</v>
          </cell>
        </row>
        <row r="730">
          <cell r="C730" t="str">
            <v>RHN-EVO-S06L-M-10060-WB</v>
          </cell>
          <cell r="D730">
            <v>0</v>
          </cell>
        </row>
        <row r="731">
          <cell r="C731" t="str">
            <v>RHN-EVO-S06R-M</v>
          </cell>
          <cell r="D731">
            <v>0</v>
          </cell>
        </row>
        <row r="732">
          <cell r="C732" t="str">
            <v>RHN-EVO-S06R-M-10060</v>
          </cell>
          <cell r="D732">
            <v>0</v>
          </cell>
        </row>
        <row r="733">
          <cell r="C733" t="str">
            <v>RHN-EVO-S06R-M-10060-BY</v>
          </cell>
          <cell r="D733">
            <v>10</v>
          </cell>
        </row>
        <row r="734">
          <cell r="C734" t="str">
            <v>RHN-EVO-S06R-M-10060-WB</v>
          </cell>
          <cell r="D734">
            <v>0</v>
          </cell>
        </row>
        <row r="735">
          <cell r="C735" t="str">
            <v>RHN-EVO-S07L-H-10060-SB</v>
          </cell>
          <cell r="D735">
            <v>0</v>
          </cell>
        </row>
        <row r="736">
          <cell r="C736" t="str">
            <v>RHN-EVO-S07L-M</v>
          </cell>
          <cell r="D736">
            <v>0</v>
          </cell>
        </row>
        <row r="737">
          <cell r="C737" t="str">
            <v>RHN-EVO-S07L-M-10060</v>
          </cell>
          <cell r="D737">
            <v>0</v>
          </cell>
        </row>
        <row r="738">
          <cell r="C738" t="str">
            <v>RHN-EVO-S07L-M-10060-WB</v>
          </cell>
          <cell r="D738">
            <v>0</v>
          </cell>
        </row>
        <row r="739">
          <cell r="C739" t="str">
            <v>RHN-EVO-S07R-M</v>
          </cell>
          <cell r="D739">
            <v>0</v>
          </cell>
        </row>
        <row r="740">
          <cell r="C740" t="str">
            <v>RHN-EVO-S07R-M-10060</v>
          </cell>
          <cell r="D740">
            <v>0</v>
          </cell>
        </row>
        <row r="741">
          <cell r="C741" t="str">
            <v>RHN-EVO-S07R-M-10060-WB</v>
          </cell>
          <cell r="D741">
            <v>0</v>
          </cell>
        </row>
        <row r="742">
          <cell r="C742" t="str">
            <v>SAMPEC</v>
          </cell>
          <cell r="D742">
            <v>0</v>
          </cell>
        </row>
        <row r="743">
          <cell r="C743" t="str">
            <v>SHR-CBY-11048P</v>
          </cell>
          <cell r="D743">
            <v>1</v>
          </cell>
        </row>
        <row r="744">
          <cell r="C744" t="str">
            <v>SHR-COMP-09563</v>
          </cell>
          <cell r="D744">
            <v>69</v>
          </cell>
        </row>
        <row r="745">
          <cell r="C745" t="str">
            <v>SHR-COMP-10563</v>
          </cell>
          <cell r="D745">
            <v>0</v>
          </cell>
        </row>
        <row r="746">
          <cell r="C746" t="str">
            <v>SHR-ECL-08563</v>
          </cell>
          <cell r="D746">
            <v>98</v>
          </cell>
        </row>
        <row r="747">
          <cell r="C747" t="str">
            <v>SHR-ECL-09563</v>
          </cell>
          <cell r="D747">
            <v>18</v>
          </cell>
        </row>
        <row r="748">
          <cell r="C748" t="str">
            <v>SHR-ECL-10563</v>
          </cell>
          <cell r="D748">
            <v>235</v>
          </cell>
        </row>
        <row r="749">
          <cell r="C749" t="str">
            <v>SHR-FF3-09052P</v>
          </cell>
          <cell r="D749">
            <v>0</v>
          </cell>
        </row>
        <row r="750">
          <cell r="C750" t="str">
            <v>SHR-FF3-09052P-1</v>
          </cell>
          <cell r="D750">
            <v>2</v>
          </cell>
        </row>
        <row r="751">
          <cell r="C751" t="str">
            <v>SHR-FF3-10052P</v>
          </cell>
          <cell r="D751">
            <v>0</v>
          </cell>
        </row>
        <row r="752">
          <cell r="C752" t="str">
            <v>SHR-FF3-10052P-1</v>
          </cell>
          <cell r="D752">
            <v>26</v>
          </cell>
        </row>
        <row r="753">
          <cell r="C753" t="str">
            <v>SHR-FF3-11052P</v>
          </cell>
          <cell r="D753">
            <v>0</v>
          </cell>
        </row>
        <row r="754">
          <cell r="C754" t="str">
            <v>SHR-FF3-11052P-1</v>
          </cell>
          <cell r="D754">
            <v>29</v>
          </cell>
        </row>
        <row r="755">
          <cell r="C755" t="str">
            <v>SHR-FF3-12052P</v>
          </cell>
          <cell r="D755">
            <v>369</v>
          </cell>
        </row>
        <row r="756">
          <cell r="C756" t="str">
            <v>SHR-FF3-12052P-1</v>
          </cell>
          <cell r="D756">
            <v>0</v>
          </cell>
        </row>
        <row r="757">
          <cell r="C757" t="str">
            <v>SHR-MOM-085</v>
          </cell>
          <cell r="D757">
            <v>147</v>
          </cell>
        </row>
        <row r="758">
          <cell r="C758" t="str">
            <v>SHR-MOM-095</v>
          </cell>
          <cell r="D758">
            <v>5</v>
          </cell>
        </row>
        <row r="759">
          <cell r="C759" t="str">
            <v>SHR-MOM-105</v>
          </cell>
          <cell r="D759">
            <v>0</v>
          </cell>
        </row>
        <row r="760">
          <cell r="C760" t="str">
            <v>SHR-MOM-S03L</v>
          </cell>
          <cell r="D760">
            <v>0</v>
          </cell>
        </row>
        <row r="761">
          <cell r="C761" t="str">
            <v>SHR-MOM-S03R</v>
          </cell>
          <cell r="D761">
            <v>0</v>
          </cell>
        </row>
        <row r="762">
          <cell r="C762" t="str">
            <v>SHR-MOM-S04L</v>
          </cell>
          <cell r="D762">
            <v>0</v>
          </cell>
        </row>
        <row r="763">
          <cell r="C763" t="str">
            <v>SHR-MOM-S04R</v>
          </cell>
          <cell r="D763">
            <v>0</v>
          </cell>
        </row>
        <row r="764">
          <cell r="C764" t="str">
            <v>SHR-MOM-S05L</v>
          </cell>
          <cell r="D764">
            <v>0</v>
          </cell>
        </row>
        <row r="765">
          <cell r="C765" t="str">
            <v>SHR-MOM-S05R</v>
          </cell>
          <cell r="D765">
            <v>0</v>
          </cell>
        </row>
        <row r="766">
          <cell r="C766" t="str">
            <v>SHR-MOM-S06L</v>
          </cell>
          <cell r="D766">
            <v>0</v>
          </cell>
        </row>
        <row r="767">
          <cell r="C767" t="str">
            <v>SHR-MOM-S06R</v>
          </cell>
          <cell r="D767">
            <v>0</v>
          </cell>
        </row>
        <row r="768">
          <cell r="C768" t="str">
            <v>SHR-MOM-S07L</v>
          </cell>
          <cell r="D768">
            <v>0</v>
          </cell>
        </row>
        <row r="769">
          <cell r="C769" t="str">
            <v>SHR-MOM-S07L-M</v>
          </cell>
          <cell r="D769">
            <v>0</v>
          </cell>
        </row>
        <row r="770">
          <cell r="C770" t="str">
            <v>SHR-MOM-S07R</v>
          </cell>
          <cell r="D770">
            <v>0</v>
          </cell>
        </row>
        <row r="771">
          <cell r="C771" t="str">
            <v>SHR-MOM-S13L</v>
          </cell>
          <cell r="D771">
            <v>3</v>
          </cell>
        </row>
        <row r="772">
          <cell r="C772" t="str">
            <v>SHR-MOM-S13R</v>
          </cell>
          <cell r="D772">
            <v>9</v>
          </cell>
        </row>
        <row r="773">
          <cell r="C773" t="str">
            <v>SHR-MOM-S53L</v>
          </cell>
          <cell r="D773">
            <v>15</v>
          </cell>
        </row>
        <row r="774">
          <cell r="C774" t="str">
            <v>SHR-MOM-S53R</v>
          </cell>
          <cell r="D774">
            <v>15</v>
          </cell>
        </row>
        <row r="775">
          <cell r="C775" t="str">
            <v>SHR-MOM-S56L</v>
          </cell>
          <cell r="D775">
            <v>2</v>
          </cell>
        </row>
        <row r="776">
          <cell r="C776" t="str">
            <v>SHR-MOM-S56R</v>
          </cell>
          <cell r="D776">
            <v>2</v>
          </cell>
        </row>
        <row r="777">
          <cell r="C777" t="str">
            <v>SHR-MOM-S63L</v>
          </cell>
          <cell r="D777">
            <v>0</v>
          </cell>
        </row>
        <row r="778">
          <cell r="C778" t="str">
            <v>SHR-MOM-S63R</v>
          </cell>
          <cell r="D778">
            <v>1</v>
          </cell>
        </row>
        <row r="779">
          <cell r="C779" t="str">
            <v>SHR-RM-07552</v>
          </cell>
          <cell r="D779">
            <v>71</v>
          </cell>
        </row>
        <row r="780">
          <cell r="C780" t="str">
            <v>SHR-RM-08552</v>
          </cell>
          <cell r="D780">
            <v>8</v>
          </cell>
        </row>
        <row r="781">
          <cell r="C781" t="str">
            <v>SHR-RM-09552</v>
          </cell>
          <cell r="D781">
            <v>39</v>
          </cell>
        </row>
        <row r="782">
          <cell r="C782" t="str">
            <v>SHR-RM-10552</v>
          </cell>
          <cell r="D782">
            <v>15</v>
          </cell>
        </row>
        <row r="783">
          <cell r="C783" t="str">
            <v>SHR-RM-11552</v>
          </cell>
          <cell r="D783">
            <v>4</v>
          </cell>
        </row>
        <row r="784">
          <cell r="C784" t="str">
            <v>SHR-RM19-07563</v>
          </cell>
          <cell r="D784">
            <v>10</v>
          </cell>
        </row>
        <row r="785">
          <cell r="C785" t="str">
            <v>SHR-RM19-08563</v>
          </cell>
          <cell r="D785">
            <v>1</v>
          </cell>
        </row>
        <row r="786">
          <cell r="C786" t="str">
            <v>SHR-RM19-09563</v>
          </cell>
          <cell r="D786">
            <v>11</v>
          </cell>
        </row>
        <row r="787">
          <cell r="C787" t="str">
            <v>SHR-RM19-10563</v>
          </cell>
          <cell r="D787">
            <v>3</v>
          </cell>
        </row>
        <row r="788">
          <cell r="C788" t="str">
            <v>SHR-RM19-11563</v>
          </cell>
          <cell r="D788">
            <v>0</v>
          </cell>
        </row>
        <row r="789">
          <cell r="C789" t="str">
            <v>SHR-RM19-P226-G01L-57</v>
          </cell>
          <cell r="D789">
            <v>15</v>
          </cell>
        </row>
        <row r="790">
          <cell r="C790" t="str">
            <v>SHR-RM9-S03L</v>
          </cell>
          <cell r="D790">
            <v>6</v>
          </cell>
        </row>
        <row r="791">
          <cell r="C791" t="str">
            <v>SHR-RM9-S03R</v>
          </cell>
          <cell r="D791">
            <v>4</v>
          </cell>
        </row>
        <row r="792">
          <cell r="C792" t="str">
            <v>SHR-RM9-S04L</v>
          </cell>
          <cell r="D792">
            <v>2</v>
          </cell>
        </row>
        <row r="793">
          <cell r="C793" t="str">
            <v>SHR-RM9-S04R</v>
          </cell>
          <cell r="D793">
            <v>22</v>
          </cell>
        </row>
        <row r="794">
          <cell r="C794" t="str">
            <v>SHR-RM9-S05L</v>
          </cell>
          <cell r="D794">
            <v>33</v>
          </cell>
        </row>
        <row r="795">
          <cell r="C795" t="str">
            <v>SHR-RM9-S05R</v>
          </cell>
          <cell r="D795">
            <v>18</v>
          </cell>
        </row>
        <row r="796">
          <cell r="C796" t="str">
            <v>SHR-RM9-S06L</v>
          </cell>
          <cell r="D796">
            <v>10</v>
          </cell>
        </row>
        <row r="797">
          <cell r="C797" t="str">
            <v>SHR-RM9-S06R</v>
          </cell>
          <cell r="D797">
            <v>19</v>
          </cell>
        </row>
        <row r="798">
          <cell r="C798" t="str">
            <v>SHR-RM9-S07L</v>
          </cell>
          <cell r="D798">
            <v>8</v>
          </cell>
        </row>
        <row r="799">
          <cell r="C799" t="str">
            <v>SHR-RM9-S07R</v>
          </cell>
          <cell r="D799">
            <v>12</v>
          </cell>
        </row>
        <row r="800">
          <cell r="C800" t="str">
            <v>SHR-RM9-S13L</v>
          </cell>
          <cell r="D800">
            <v>212</v>
          </cell>
        </row>
        <row r="801">
          <cell r="C801" t="str">
            <v>SHR-RM9-S13R</v>
          </cell>
          <cell r="D801">
            <v>198</v>
          </cell>
        </row>
        <row r="802">
          <cell r="C802" t="str">
            <v>SHR-RM9-S15L</v>
          </cell>
          <cell r="D802">
            <v>4</v>
          </cell>
        </row>
        <row r="803">
          <cell r="C803" t="str">
            <v>SHR-RM9-S15R</v>
          </cell>
          <cell r="D803">
            <v>5</v>
          </cell>
        </row>
        <row r="804">
          <cell r="C804" t="str">
            <v>SHR-RM9-S53L</v>
          </cell>
          <cell r="D804">
            <v>15</v>
          </cell>
        </row>
        <row r="805">
          <cell r="C805" t="str">
            <v>SHR-RM9-S53R</v>
          </cell>
          <cell r="D805">
            <v>35</v>
          </cell>
        </row>
        <row r="806">
          <cell r="C806" t="str">
            <v>SHR-RM9-S56L</v>
          </cell>
          <cell r="D806">
            <v>1</v>
          </cell>
        </row>
        <row r="807">
          <cell r="C807" t="str">
            <v>SHR-RM9-S56R</v>
          </cell>
          <cell r="D807">
            <v>3</v>
          </cell>
        </row>
        <row r="808">
          <cell r="C808" t="str">
            <v>SHR-RM9-S63L</v>
          </cell>
          <cell r="D808">
            <v>100</v>
          </cell>
        </row>
        <row r="809">
          <cell r="C809" t="str">
            <v>SHR-RM9-S63R</v>
          </cell>
          <cell r="D809">
            <v>0</v>
          </cell>
        </row>
        <row r="810">
          <cell r="C810" t="str">
            <v>SHR-RMLC-08563</v>
          </cell>
          <cell r="D810">
            <v>2</v>
          </cell>
        </row>
        <row r="811">
          <cell r="C811" t="str">
            <v>SHR-RMLC-08563-BL</v>
          </cell>
          <cell r="D811">
            <v>0</v>
          </cell>
        </row>
        <row r="812">
          <cell r="C812" t="str">
            <v>SHR-RMLC-09563</v>
          </cell>
          <cell r="D812">
            <v>6</v>
          </cell>
        </row>
        <row r="813">
          <cell r="C813" t="str">
            <v>SHR-RMLC-09563-BL</v>
          </cell>
          <cell r="D813">
            <v>5</v>
          </cell>
        </row>
        <row r="814">
          <cell r="C814" t="str">
            <v>SHR-RMLC-10563</v>
          </cell>
          <cell r="D814">
            <v>12</v>
          </cell>
        </row>
        <row r="815">
          <cell r="C815" t="str">
            <v>SHR-RMLC-10563-BL</v>
          </cell>
          <cell r="D815">
            <v>3</v>
          </cell>
        </row>
        <row r="816">
          <cell r="C816" t="str">
            <v>SHR-RMTF-07553</v>
          </cell>
          <cell r="D816">
            <v>0</v>
          </cell>
        </row>
        <row r="817">
          <cell r="C817" t="str">
            <v>SHR-RMTF-08553</v>
          </cell>
          <cell r="D817">
            <v>7</v>
          </cell>
        </row>
        <row r="818">
          <cell r="C818" t="str">
            <v>SHR-RMTF-09553</v>
          </cell>
          <cell r="D818">
            <v>2</v>
          </cell>
        </row>
        <row r="819">
          <cell r="C819" t="str">
            <v>SHR-RMTF-10553</v>
          </cell>
          <cell r="D819">
            <v>3</v>
          </cell>
        </row>
        <row r="820">
          <cell r="C820" t="str">
            <v>SHR-RMTF-11553</v>
          </cell>
          <cell r="D820">
            <v>58</v>
          </cell>
        </row>
        <row r="821">
          <cell r="C821" t="str">
            <v>SHR-TEN-RF</v>
          </cell>
          <cell r="D821">
            <v>76</v>
          </cell>
        </row>
        <row r="822">
          <cell r="C822" t="str">
            <v>SHR-TEN-TF</v>
          </cell>
          <cell r="D822">
            <v>405</v>
          </cell>
        </row>
        <row r="823">
          <cell r="C823" t="str">
            <v>SHR-TF-07544P-1</v>
          </cell>
          <cell r="D823">
            <v>0</v>
          </cell>
        </row>
        <row r="824">
          <cell r="C824" t="str">
            <v>SHR-TF-08552</v>
          </cell>
          <cell r="D824">
            <v>0</v>
          </cell>
        </row>
        <row r="825">
          <cell r="C825" t="str">
            <v>SHR-TF-08552P-1</v>
          </cell>
          <cell r="D825">
            <v>0</v>
          </cell>
        </row>
        <row r="826">
          <cell r="C826" t="str">
            <v>SHR-TF-09552P</v>
          </cell>
          <cell r="D826">
            <v>0</v>
          </cell>
        </row>
        <row r="827">
          <cell r="C827" t="str">
            <v>SHR-TF-09552P-1</v>
          </cell>
          <cell r="D827">
            <v>0</v>
          </cell>
        </row>
        <row r="828">
          <cell r="C828" t="str">
            <v>SHR-TF-10552P</v>
          </cell>
          <cell r="D828">
            <v>0</v>
          </cell>
        </row>
        <row r="829">
          <cell r="C829" t="str">
            <v>SHR-TF-10552P-1</v>
          </cell>
          <cell r="D829">
            <v>0</v>
          </cell>
        </row>
        <row r="830">
          <cell r="C830" t="str">
            <v>SHR-TF-11552P</v>
          </cell>
          <cell r="D830">
            <v>25</v>
          </cell>
        </row>
        <row r="831">
          <cell r="C831" t="str">
            <v>SHR-TF-11552P-1</v>
          </cell>
          <cell r="D831">
            <v>0</v>
          </cell>
        </row>
        <row r="832">
          <cell r="C832" t="str">
            <v>SHR-XD-08552P</v>
          </cell>
          <cell r="D832">
            <v>16</v>
          </cell>
        </row>
        <row r="833">
          <cell r="C833" t="str">
            <v>SHR-XD-09552P</v>
          </cell>
          <cell r="D833">
            <v>4</v>
          </cell>
        </row>
        <row r="834">
          <cell r="C834" t="str">
            <v>SHR-XD-10552P</v>
          </cell>
          <cell r="D834">
            <v>8</v>
          </cell>
        </row>
        <row r="835">
          <cell r="C835" t="str">
            <v>TAQ-100-CX-CB-70047</v>
          </cell>
          <cell r="D835">
            <v>0</v>
          </cell>
        </row>
        <row r="836">
          <cell r="C836" t="str">
            <v>TAQ-100-ST-CB-70044</v>
          </cell>
          <cell r="D836">
            <v>0</v>
          </cell>
        </row>
        <row r="837">
          <cell r="C837" t="str">
            <v>TAQ-100-ST-CB-70044-UP</v>
          </cell>
          <cell r="D837">
            <v>0</v>
          </cell>
        </row>
        <row r="838">
          <cell r="C838" t="str">
            <v>TAQ-1125-IH-ST-CB-70044</v>
          </cell>
          <cell r="D838">
            <v>0</v>
          </cell>
        </row>
        <row r="839">
          <cell r="C839" t="str">
            <v>TAQ-1125-ST-CB-70041</v>
          </cell>
          <cell r="D839">
            <v>0</v>
          </cell>
        </row>
        <row r="840">
          <cell r="C840" t="str">
            <v>TAQ-1125-ST-CB-70044</v>
          </cell>
          <cell r="D840">
            <v>0</v>
          </cell>
        </row>
        <row r="841">
          <cell r="C841" t="str">
            <v>TAQ-1125-TN-CB-70041</v>
          </cell>
          <cell r="D841">
            <v>0</v>
          </cell>
        </row>
        <row r="842">
          <cell r="C842" t="str">
            <v>TAQ-1125-TN-CB-70044</v>
          </cell>
          <cell r="D842">
            <v>0</v>
          </cell>
        </row>
        <row r="843">
          <cell r="C843" t="str">
            <v>TAQ-1125-TN-CB-70044-UP</v>
          </cell>
          <cell r="D843">
            <v>0</v>
          </cell>
        </row>
        <row r="844">
          <cell r="C844" t="str">
            <v>TAQA-1125-ST-CB-65040-GL</v>
          </cell>
          <cell r="D844">
            <v>0</v>
          </cell>
        </row>
        <row r="845">
          <cell r="C845" t="str">
            <v>TAQA-1125-ST-CB-70043</v>
          </cell>
          <cell r="D845">
            <v>0</v>
          </cell>
        </row>
        <row r="846">
          <cell r="C846" t="str">
            <v>TAQA-1125-ST-CB-70043-GL</v>
          </cell>
          <cell r="D846">
            <v>0</v>
          </cell>
        </row>
        <row r="847">
          <cell r="C847" t="str">
            <v>TAQA-1125-ST-CB-70043-UP</v>
          </cell>
          <cell r="D847">
            <v>0</v>
          </cell>
        </row>
        <row r="848">
          <cell r="C848" t="str">
            <v>TAQEL-1125-ST-OX-70044</v>
          </cell>
          <cell r="D848">
            <v>0</v>
          </cell>
        </row>
        <row r="849">
          <cell r="C849" t="str">
            <v>TAQEX-100-ST-CB-70044</v>
          </cell>
          <cell r="D849">
            <v>0</v>
          </cell>
        </row>
        <row r="850">
          <cell r="C850" t="str">
            <v>TAQEX-1125-IH-ST-CB-70044</v>
          </cell>
          <cell r="D850">
            <v>0</v>
          </cell>
        </row>
        <row r="851">
          <cell r="C851" t="str">
            <v>TAQEX-1125-ST-CB-70038</v>
          </cell>
          <cell r="D851">
            <v>0</v>
          </cell>
        </row>
        <row r="852">
          <cell r="C852" t="str">
            <v>TAQEX-1125-ST-CB-70044</v>
          </cell>
          <cell r="D852">
            <v>0</v>
          </cell>
        </row>
        <row r="853">
          <cell r="C853" t="str">
            <v>TAQ-PLSP-250</v>
          </cell>
          <cell r="D853">
            <v>0</v>
          </cell>
        </row>
        <row r="854">
          <cell r="C854" t="str">
            <v>TAQ-PLSP-350</v>
          </cell>
          <cell r="D854">
            <v>0</v>
          </cell>
        </row>
        <row r="855">
          <cell r="C855" t="str">
            <v>TAQS3-100-ST-CB-70044</v>
          </cell>
          <cell r="D855">
            <v>0</v>
          </cell>
        </row>
        <row r="856">
          <cell r="C856" t="str">
            <v>TAQS3-100-ST-CB-70044-UP</v>
          </cell>
          <cell r="D856">
            <v>0</v>
          </cell>
        </row>
        <row r="857">
          <cell r="C857" t="str">
            <v>TAQS3-10-CV-CB-70044</v>
          </cell>
          <cell r="D857">
            <v>0</v>
          </cell>
        </row>
        <row r="858">
          <cell r="C858" t="str">
            <v>TAQS3-1125-IH-ST-CB-70044</v>
          </cell>
          <cell r="D858">
            <v>0</v>
          </cell>
        </row>
        <row r="859">
          <cell r="C859" t="str">
            <v>TAQS3-1125-ST-CB-70041</v>
          </cell>
          <cell r="D859">
            <v>0</v>
          </cell>
        </row>
        <row r="860">
          <cell r="C860" t="str">
            <v>TAQS3-1125-ST-CB-70044</v>
          </cell>
          <cell r="D860">
            <v>0</v>
          </cell>
        </row>
        <row r="861">
          <cell r="C861" t="str">
            <v>TAQZ-1125-ST-CB-70041</v>
          </cell>
          <cell r="D861">
            <v>0</v>
          </cell>
        </row>
        <row r="862">
          <cell r="C862" t="str">
            <v>TAQZ-1125-ST-CB-70044</v>
          </cell>
          <cell r="D862">
            <v>0</v>
          </cell>
        </row>
        <row r="863">
          <cell r="C863" t="str">
            <v>TB1000-26</v>
          </cell>
          <cell r="D863">
            <v>203</v>
          </cell>
        </row>
        <row r="864">
          <cell r="C864" t="str">
            <v>TB1125-26</v>
          </cell>
          <cell r="D864">
            <v>258</v>
          </cell>
        </row>
        <row r="865">
          <cell r="C865" t="str">
            <v>TB1125-LT-26</v>
          </cell>
          <cell r="D865">
            <v>0</v>
          </cell>
        </row>
        <row r="866">
          <cell r="C866" t="str">
            <v>TFC100HYR-41</v>
          </cell>
          <cell r="D866">
            <v>1</v>
          </cell>
        </row>
        <row r="867">
          <cell r="C867" t="str">
            <v>TFC100HYS-41</v>
          </cell>
          <cell r="D867">
            <v>0</v>
          </cell>
        </row>
        <row r="868">
          <cell r="C868" t="str">
            <v>TFC100IA-1-40</v>
          </cell>
          <cell r="D868">
            <v>42</v>
          </cell>
        </row>
        <row r="869">
          <cell r="C869" t="str">
            <v>TFC100IR-10-355</v>
          </cell>
          <cell r="D869">
            <v>1279</v>
          </cell>
        </row>
        <row r="870">
          <cell r="C870" t="str">
            <v>TFC100IR-1-40</v>
          </cell>
          <cell r="D870">
            <v>0</v>
          </cell>
        </row>
        <row r="871">
          <cell r="C871" t="str">
            <v>TFC100IR-2-395</v>
          </cell>
          <cell r="D871">
            <v>20</v>
          </cell>
        </row>
        <row r="872">
          <cell r="C872" t="str">
            <v>TFC100IR-3-39</v>
          </cell>
          <cell r="D872">
            <v>107</v>
          </cell>
        </row>
        <row r="873">
          <cell r="C873" t="str">
            <v>TFC100IR-4-385</v>
          </cell>
          <cell r="D873">
            <v>0</v>
          </cell>
        </row>
        <row r="874">
          <cell r="C874" t="str">
            <v>TFC100IR-5-38</v>
          </cell>
          <cell r="D874">
            <v>5</v>
          </cell>
        </row>
        <row r="875">
          <cell r="C875" t="str">
            <v>TFC100IR-6-375</v>
          </cell>
          <cell r="D875">
            <v>3</v>
          </cell>
        </row>
        <row r="876">
          <cell r="C876" t="str">
            <v>TFC100IR-7-37</v>
          </cell>
          <cell r="D876">
            <v>12</v>
          </cell>
        </row>
        <row r="877">
          <cell r="C877" t="str">
            <v>TFC100IR-8-365</v>
          </cell>
          <cell r="D877">
            <v>125</v>
          </cell>
        </row>
        <row r="878">
          <cell r="C878" t="str">
            <v>TFC100IR-9-36</v>
          </cell>
          <cell r="D878">
            <v>65</v>
          </cell>
        </row>
        <row r="879">
          <cell r="C879" t="str">
            <v>TFC100IS-10-355</v>
          </cell>
          <cell r="D879">
            <v>620</v>
          </cell>
        </row>
        <row r="880">
          <cell r="C880" t="str">
            <v>TFC100IS-1-40</v>
          </cell>
          <cell r="D880">
            <v>2</v>
          </cell>
        </row>
        <row r="881">
          <cell r="C881" t="str">
            <v>TFC100IS-2-395</v>
          </cell>
          <cell r="D881">
            <v>20</v>
          </cell>
        </row>
        <row r="882">
          <cell r="C882" t="str">
            <v>TFC100IS-3-39</v>
          </cell>
          <cell r="D882">
            <v>700</v>
          </cell>
        </row>
        <row r="883">
          <cell r="C883" t="str">
            <v>TFC100IS-4-385</v>
          </cell>
          <cell r="D883">
            <v>610</v>
          </cell>
        </row>
        <row r="884">
          <cell r="C884" t="str">
            <v>TFC100IS-5-38</v>
          </cell>
          <cell r="D884">
            <v>966</v>
          </cell>
        </row>
        <row r="885">
          <cell r="C885" t="str">
            <v>TFC100IS-6-375</v>
          </cell>
          <cell r="D885">
            <v>1212</v>
          </cell>
        </row>
        <row r="886">
          <cell r="C886" t="str">
            <v>TFC100IS-7-37</v>
          </cell>
          <cell r="D886">
            <v>898</v>
          </cell>
        </row>
        <row r="887">
          <cell r="C887" t="str">
            <v>TFC100IS-8-365</v>
          </cell>
          <cell r="D887">
            <v>1155</v>
          </cell>
        </row>
        <row r="888">
          <cell r="C888" t="str">
            <v>TFC100IS-9-36</v>
          </cell>
          <cell r="D888">
            <v>694</v>
          </cell>
        </row>
        <row r="889">
          <cell r="C889" t="str">
            <v>TITUNPLFWR-44</v>
          </cell>
          <cell r="D889">
            <v>0</v>
          </cell>
        </row>
        <row r="890">
          <cell r="C890" t="str">
            <v>TITUNPLFWS-44</v>
          </cell>
          <cell r="D890">
            <v>0</v>
          </cell>
        </row>
        <row r="891">
          <cell r="C891" t="str">
            <v>TITUNPLFWX-44</v>
          </cell>
          <cell r="D891">
            <v>0</v>
          </cell>
        </row>
        <row r="892">
          <cell r="C892" t="str">
            <v>TITUNPLWR-46</v>
          </cell>
          <cell r="D892">
            <v>10</v>
          </cell>
        </row>
        <row r="893">
          <cell r="C893" t="str">
            <v>TITUNPLWS-46</v>
          </cell>
          <cell r="D893">
            <v>9</v>
          </cell>
        </row>
        <row r="894">
          <cell r="C894" t="str">
            <v>TTS-STDSQ-08548P</v>
          </cell>
          <cell r="D894">
            <v>0</v>
          </cell>
        </row>
        <row r="895">
          <cell r="C895" t="str">
            <v>TTS-STDSQ-10048P</v>
          </cell>
          <cell r="D895">
            <v>0</v>
          </cell>
        </row>
        <row r="896">
          <cell r="C896" t="str">
            <v>TTS-STDSQ-11048P</v>
          </cell>
          <cell r="D896">
            <v>0</v>
          </cell>
        </row>
        <row r="897">
          <cell r="C897" t="str">
            <v>TTS-STDSQ-12048P</v>
          </cell>
          <cell r="D897">
            <v>0</v>
          </cell>
        </row>
        <row r="898">
          <cell r="C898" t="str">
            <v>TTS-STDSQ-14048P</v>
          </cell>
          <cell r="D898">
            <v>0</v>
          </cell>
        </row>
        <row r="899">
          <cell r="C899" t="str">
            <v>TTSW-37</v>
          </cell>
          <cell r="D899">
            <v>0</v>
          </cell>
        </row>
        <row r="900">
          <cell r="C900" t="str">
            <v>UACLIC-43</v>
          </cell>
          <cell r="D900">
            <v>85</v>
          </cell>
        </row>
        <row r="901">
          <cell r="C901" t="str">
            <v>UACLIL-42</v>
          </cell>
          <cell r="D901">
            <v>1</v>
          </cell>
        </row>
        <row r="902">
          <cell r="C902" t="str">
            <v>UACLWC-48</v>
          </cell>
          <cell r="D902">
            <v>798</v>
          </cell>
        </row>
        <row r="903">
          <cell r="C903" t="str">
            <v>UACLWL-45</v>
          </cell>
          <cell r="D903">
            <v>10</v>
          </cell>
        </row>
        <row r="904">
          <cell r="C904" t="str">
            <v>UADA2OSHYIR-42</v>
          </cell>
          <cell r="D904">
            <v>10</v>
          </cell>
        </row>
        <row r="905">
          <cell r="C905" t="str">
            <v>UADA2OSHYIS-42</v>
          </cell>
          <cell r="D905">
            <v>2</v>
          </cell>
        </row>
        <row r="906">
          <cell r="C906" t="str">
            <v>UADA2OSIR-41</v>
          </cell>
          <cell r="D906">
            <v>7</v>
          </cell>
        </row>
        <row r="907">
          <cell r="C907" t="str">
            <v>UADA2OSIS-41</v>
          </cell>
          <cell r="D907">
            <v>225</v>
          </cell>
        </row>
        <row r="908">
          <cell r="C908" t="str">
            <v>UADA2OSIW-405</v>
          </cell>
          <cell r="D908">
            <v>131</v>
          </cell>
        </row>
        <row r="909">
          <cell r="C909" t="str">
            <v>UADPLPTHYIA-42</v>
          </cell>
          <cell r="D909">
            <v>18589</v>
          </cell>
        </row>
        <row r="910">
          <cell r="C910" t="str">
            <v>UADPLPTHYIR-42</v>
          </cell>
          <cell r="D910">
            <v>47545</v>
          </cell>
        </row>
        <row r="911">
          <cell r="C911" t="str">
            <v>UADPLPTHYIS-42</v>
          </cell>
          <cell r="D911">
            <v>1416</v>
          </cell>
        </row>
        <row r="912">
          <cell r="C912" t="str">
            <v>UADPLPTIA-41</v>
          </cell>
          <cell r="D912">
            <v>4345</v>
          </cell>
        </row>
        <row r="913">
          <cell r="C913" t="str">
            <v>UADPLPTIR-41</v>
          </cell>
          <cell r="D913">
            <v>6554</v>
          </cell>
        </row>
        <row r="914">
          <cell r="C914" t="str">
            <v>UADPLPTIS-41</v>
          </cell>
          <cell r="D914">
            <v>1336</v>
          </cell>
        </row>
        <row r="915">
          <cell r="C915" t="str">
            <v>UADPLPTIW-41</v>
          </cell>
          <cell r="D915">
            <v>3424</v>
          </cell>
        </row>
        <row r="916">
          <cell r="C916" t="str">
            <v>UAGT75WR-45</v>
          </cell>
          <cell r="D916">
            <v>19</v>
          </cell>
        </row>
        <row r="917">
          <cell r="C917" t="str">
            <v>UAGT75WS-45</v>
          </cell>
          <cell r="D917">
            <v>19</v>
          </cell>
        </row>
        <row r="918">
          <cell r="C918" t="str">
            <v>UALJLFWL-45</v>
          </cell>
          <cell r="D918">
            <v>5</v>
          </cell>
        </row>
        <row r="919">
          <cell r="C919" t="str">
            <v>UALJLIL-40</v>
          </cell>
          <cell r="D919">
            <v>2</v>
          </cell>
        </row>
        <row r="920">
          <cell r="C920" t="str">
            <v>UALJLWL-45</v>
          </cell>
          <cell r="D920">
            <v>1</v>
          </cell>
        </row>
        <row r="921">
          <cell r="C921" t="str">
            <v>UAMP33WA-46</v>
          </cell>
          <cell r="D921">
            <v>10</v>
          </cell>
        </row>
        <row r="922">
          <cell r="C922" t="str">
            <v>UAMP33WR-46</v>
          </cell>
          <cell r="D922">
            <v>0</v>
          </cell>
        </row>
        <row r="923">
          <cell r="C923" t="str">
            <v>UAMP33WS-46</v>
          </cell>
          <cell r="D923">
            <v>12</v>
          </cell>
        </row>
        <row r="924">
          <cell r="C924" t="str">
            <v>UAXIS733WR-46</v>
          </cell>
          <cell r="D924">
            <v>20</v>
          </cell>
        </row>
        <row r="925">
          <cell r="C925" t="str">
            <v>UAXIS733WS-46</v>
          </cell>
          <cell r="D925">
            <v>2</v>
          </cell>
        </row>
        <row r="926">
          <cell r="C926" t="str">
            <v>UAXIS733WTX-46</v>
          </cell>
          <cell r="D926">
            <v>0</v>
          </cell>
        </row>
        <row r="927">
          <cell r="C927" t="str">
            <v>UAXIS733WX-46</v>
          </cell>
          <cell r="D927">
            <v>0</v>
          </cell>
        </row>
        <row r="928">
          <cell r="C928" t="str">
            <v>UAXIS933WS-46</v>
          </cell>
          <cell r="D928">
            <v>31</v>
          </cell>
        </row>
        <row r="929">
          <cell r="C929" t="str">
            <v>UAXIS933WX-46</v>
          </cell>
          <cell r="D929">
            <v>0</v>
          </cell>
        </row>
        <row r="930">
          <cell r="C930" t="str">
            <v>UBEPRO6533WR-45</v>
          </cell>
          <cell r="D930">
            <v>0</v>
          </cell>
        </row>
        <row r="931">
          <cell r="C931" t="str">
            <v>UBHWAL-48</v>
          </cell>
          <cell r="D931">
            <v>115</v>
          </cell>
        </row>
        <row r="932">
          <cell r="C932" t="str">
            <v>UBHWRS-48</v>
          </cell>
          <cell r="D932">
            <v>117</v>
          </cell>
        </row>
        <row r="933">
          <cell r="C933" t="str">
            <v>UBLKIS-41</v>
          </cell>
          <cell r="D933">
            <v>162</v>
          </cell>
        </row>
        <row r="934">
          <cell r="C934" t="str">
            <v>UBLU433WR-46</v>
          </cell>
          <cell r="D934">
            <v>0</v>
          </cell>
        </row>
        <row r="935">
          <cell r="C935" t="str">
            <v>UBLU533WR-46</v>
          </cell>
          <cell r="D935">
            <v>0</v>
          </cell>
        </row>
        <row r="936">
          <cell r="C936" t="str">
            <v>UBLU533WS-46</v>
          </cell>
          <cell r="D936">
            <v>0</v>
          </cell>
        </row>
        <row r="937">
          <cell r="C937" t="str">
            <v>UBLU533WX-46</v>
          </cell>
          <cell r="D937">
            <v>0</v>
          </cell>
        </row>
        <row r="938">
          <cell r="C938" t="str">
            <v>UBLU633WR-46</v>
          </cell>
          <cell r="D938">
            <v>371</v>
          </cell>
        </row>
        <row r="939">
          <cell r="C939" t="str">
            <v>UBLU633WS-46</v>
          </cell>
          <cell r="D939">
            <v>292</v>
          </cell>
        </row>
        <row r="940">
          <cell r="C940" t="str">
            <v>UBLU633WX-46</v>
          </cell>
          <cell r="D940">
            <v>1</v>
          </cell>
        </row>
        <row r="941">
          <cell r="C941" t="str">
            <v>UBLU635WR-46</v>
          </cell>
          <cell r="D941">
            <v>124</v>
          </cell>
        </row>
        <row r="942">
          <cell r="C942" t="str">
            <v>UBLU635WR-46-BT</v>
          </cell>
          <cell r="D942">
            <v>92</v>
          </cell>
        </row>
        <row r="943">
          <cell r="C943" t="str">
            <v>UBLU635WS-46</v>
          </cell>
          <cell r="D943">
            <v>13</v>
          </cell>
        </row>
        <row r="944">
          <cell r="C944" t="str">
            <v>UBLU635WS-46-BT</v>
          </cell>
          <cell r="D944">
            <v>128</v>
          </cell>
        </row>
        <row r="945">
          <cell r="C945" t="str">
            <v>UBLU635WX-46</v>
          </cell>
          <cell r="D945">
            <v>15</v>
          </cell>
        </row>
        <row r="946">
          <cell r="C946" t="str">
            <v>UBLU635WX-46-BT</v>
          </cell>
          <cell r="D946">
            <v>121</v>
          </cell>
        </row>
        <row r="947">
          <cell r="C947" t="str">
            <v>UBLU733FPS-46</v>
          </cell>
          <cell r="D947">
            <v>15</v>
          </cell>
        </row>
        <row r="948">
          <cell r="C948" t="str">
            <v>UBLU733WR-46</v>
          </cell>
          <cell r="D948">
            <v>360</v>
          </cell>
        </row>
        <row r="949">
          <cell r="C949" t="str">
            <v>UBLU733WS-46</v>
          </cell>
          <cell r="D949">
            <v>249</v>
          </cell>
        </row>
        <row r="950">
          <cell r="C950" t="str">
            <v>UBLU733WX-46</v>
          </cell>
          <cell r="D950">
            <v>36</v>
          </cell>
        </row>
        <row r="951">
          <cell r="C951" t="str">
            <v>UBLU735WR-46</v>
          </cell>
          <cell r="D951">
            <v>17</v>
          </cell>
        </row>
        <row r="952">
          <cell r="C952" t="str">
            <v>UBLU735WS-46</v>
          </cell>
          <cell r="D952">
            <v>10</v>
          </cell>
        </row>
        <row r="953">
          <cell r="C953" t="str">
            <v>UBLU735WX-46</v>
          </cell>
          <cell r="D953">
            <v>0</v>
          </cell>
        </row>
        <row r="954">
          <cell r="C954" t="str">
            <v>UBLU933WS-46</v>
          </cell>
          <cell r="D954">
            <v>19</v>
          </cell>
        </row>
        <row r="955">
          <cell r="C955" t="str">
            <v>UBLU933WX-46</v>
          </cell>
          <cell r="D955">
            <v>0</v>
          </cell>
        </row>
        <row r="956">
          <cell r="C956" t="str">
            <v>UBLUCNOTEIX-41</v>
          </cell>
          <cell r="D956">
            <v>0</v>
          </cell>
        </row>
        <row r="957">
          <cell r="C957" t="str">
            <v>UBLUH633WR-46</v>
          </cell>
          <cell r="D957">
            <v>0</v>
          </cell>
        </row>
        <row r="958">
          <cell r="C958" t="str">
            <v>UBLUH633WS-46</v>
          </cell>
          <cell r="D958">
            <v>0</v>
          </cell>
        </row>
        <row r="959">
          <cell r="C959" t="str">
            <v>UBLULD33-48-S</v>
          </cell>
          <cell r="D959">
            <v>44</v>
          </cell>
        </row>
        <row r="960">
          <cell r="C960" t="str">
            <v>UBLULD33-48-X</v>
          </cell>
          <cell r="D960">
            <v>61</v>
          </cell>
        </row>
        <row r="961">
          <cell r="C961" t="str">
            <v>UBLULD33-50-1X2X</v>
          </cell>
          <cell r="D961">
            <v>0</v>
          </cell>
        </row>
        <row r="962">
          <cell r="C962" t="str">
            <v>UBLULD33-50-2X3X</v>
          </cell>
          <cell r="D962">
            <v>0</v>
          </cell>
        </row>
        <row r="963">
          <cell r="C963" t="str">
            <v>UBLULD33-50-4X5X</v>
          </cell>
          <cell r="D963">
            <v>17</v>
          </cell>
        </row>
        <row r="964">
          <cell r="C964" t="str">
            <v>UBLULD733W1X-50</v>
          </cell>
          <cell r="D964">
            <v>81</v>
          </cell>
        </row>
        <row r="965">
          <cell r="C965" t="str">
            <v>UBLULD733W2X-50</v>
          </cell>
          <cell r="D965">
            <v>2</v>
          </cell>
        </row>
        <row r="966">
          <cell r="C966" t="str">
            <v>UBLULD733W3X-50</v>
          </cell>
          <cell r="D966">
            <v>35</v>
          </cell>
        </row>
        <row r="967">
          <cell r="C967" t="str">
            <v>UBLUPNT633WR-46</v>
          </cell>
          <cell r="D967">
            <v>0</v>
          </cell>
        </row>
        <row r="968">
          <cell r="C968" t="str">
            <v>UBLUPNT633WS-46</v>
          </cell>
          <cell r="D968">
            <v>9</v>
          </cell>
        </row>
        <row r="969">
          <cell r="C969" t="str">
            <v>UBLUPNT633WX-46</v>
          </cell>
          <cell r="D969">
            <v>0</v>
          </cell>
        </row>
        <row r="970">
          <cell r="C970" t="str">
            <v>UBLUPNT635WR-46</v>
          </cell>
          <cell r="D970">
            <v>19</v>
          </cell>
        </row>
        <row r="971">
          <cell r="C971" t="str">
            <v>UBLUPNT635WS-46</v>
          </cell>
          <cell r="D971">
            <v>6</v>
          </cell>
        </row>
        <row r="972">
          <cell r="C972" t="str">
            <v>UBLUPNT635WX-46</v>
          </cell>
          <cell r="D972">
            <v>29</v>
          </cell>
        </row>
        <row r="973">
          <cell r="C973" t="str">
            <v>UBLUPNT833WR-46</v>
          </cell>
          <cell r="D973">
            <v>192</v>
          </cell>
        </row>
        <row r="974">
          <cell r="C974" t="str">
            <v>UBLUPNT833WS-46</v>
          </cell>
          <cell r="D974">
            <v>0</v>
          </cell>
        </row>
        <row r="975">
          <cell r="C975" t="str">
            <v>UBLUPNT833WX-46</v>
          </cell>
          <cell r="D975">
            <v>0</v>
          </cell>
        </row>
        <row r="976">
          <cell r="C976" t="str">
            <v>UBLUPNT835WR-46</v>
          </cell>
          <cell r="D976">
            <v>0</v>
          </cell>
        </row>
        <row r="977">
          <cell r="C977" t="str">
            <v>UBLUPNT835WS-46</v>
          </cell>
          <cell r="D977">
            <v>5</v>
          </cell>
        </row>
        <row r="978">
          <cell r="C978" t="str">
            <v>UBLUPNT835WX-46</v>
          </cell>
          <cell r="D978">
            <v>42</v>
          </cell>
        </row>
        <row r="979">
          <cell r="C979" t="str">
            <v>UBLUPNTHY33WR-44</v>
          </cell>
          <cell r="D979">
            <v>54</v>
          </cell>
        </row>
        <row r="980">
          <cell r="C980" t="str">
            <v>UBLUPNTHY33WS-44</v>
          </cell>
          <cell r="D980">
            <v>40</v>
          </cell>
        </row>
        <row r="981">
          <cell r="C981" t="str">
            <v>UBLUPNTHY33WX-44</v>
          </cell>
          <cell r="D981">
            <v>13</v>
          </cell>
        </row>
        <row r="982">
          <cell r="C982" t="str">
            <v>UBLUPNTHY35WS-44</v>
          </cell>
          <cell r="D982">
            <v>44</v>
          </cell>
        </row>
        <row r="983">
          <cell r="C983" t="str">
            <v>UBLUPNTHY35WX-44</v>
          </cell>
          <cell r="D983">
            <v>26</v>
          </cell>
        </row>
        <row r="984">
          <cell r="C984" t="str">
            <v>UBLUPROTOJDWX-46</v>
          </cell>
          <cell r="D984">
            <v>20</v>
          </cell>
        </row>
        <row r="985">
          <cell r="C985" t="str">
            <v>UBLUTIT33WR-46</v>
          </cell>
          <cell r="D985">
            <v>89</v>
          </cell>
        </row>
        <row r="986">
          <cell r="C986" t="str">
            <v>UBLUTIT33WS-46</v>
          </cell>
          <cell r="D986">
            <v>3</v>
          </cell>
        </row>
        <row r="987">
          <cell r="C987" t="str">
            <v>UBLUTIT33WX-46</v>
          </cell>
          <cell r="D987">
            <v>7</v>
          </cell>
        </row>
        <row r="988">
          <cell r="C988" t="str">
            <v>UBLUTW33WX-46</v>
          </cell>
          <cell r="D988">
            <v>14</v>
          </cell>
        </row>
        <row r="989">
          <cell r="C989" t="str">
            <v>UBROP6533WL-45</v>
          </cell>
          <cell r="D989">
            <v>0</v>
          </cell>
        </row>
        <row r="990">
          <cell r="C990" t="str">
            <v>UBROP6533WR-45</v>
          </cell>
          <cell r="D990">
            <v>0</v>
          </cell>
        </row>
        <row r="991">
          <cell r="C991" t="str">
            <v>UBROP6533WS-45</v>
          </cell>
          <cell r="D991">
            <v>23</v>
          </cell>
        </row>
        <row r="992">
          <cell r="C992" t="str">
            <v>UBROP7033WL-45</v>
          </cell>
          <cell r="D992">
            <v>119</v>
          </cell>
        </row>
        <row r="993">
          <cell r="C993" t="str">
            <v>UBROP7033WR-45</v>
          </cell>
          <cell r="D993">
            <v>0</v>
          </cell>
        </row>
        <row r="994">
          <cell r="C994" t="str">
            <v>UBROP7033WS-45</v>
          </cell>
          <cell r="D994">
            <v>127</v>
          </cell>
        </row>
        <row r="995">
          <cell r="C995" t="str">
            <v>UBROP70IL-40</v>
          </cell>
          <cell r="D995">
            <v>0</v>
          </cell>
        </row>
        <row r="996">
          <cell r="C996" t="str">
            <v>UBROP70IR-40</v>
          </cell>
          <cell r="D996">
            <v>0</v>
          </cell>
        </row>
        <row r="997">
          <cell r="C997" t="str">
            <v>UBROP70IS-40</v>
          </cell>
          <cell r="D997">
            <v>0</v>
          </cell>
        </row>
        <row r="998">
          <cell r="C998" t="str">
            <v>UBRX35DA-46</v>
          </cell>
          <cell r="D998">
            <v>0</v>
          </cell>
        </row>
        <row r="999">
          <cell r="C999" t="str">
            <v>UBRX35DR-46</v>
          </cell>
          <cell r="D999">
            <v>0</v>
          </cell>
        </row>
        <row r="1000">
          <cell r="C1000" t="str">
            <v>UBRX35DS-46</v>
          </cell>
          <cell r="D1000">
            <v>0</v>
          </cell>
        </row>
        <row r="1001">
          <cell r="C1001" t="str">
            <v>UBRX35DX-46</v>
          </cell>
          <cell r="D1001">
            <v>2</v>
          </cell>
        </row>
        <row r="1002">
          <cell r="C1002" t="str">
            <v>UBRX35DXX-46</v>
          </cell>
          <cell r="D1002">
            <v>0</v>
          </cell>
        </row>
        <row r="1003">
          <cell r="C1003" t="str">
            <v>UBRX35FA-44</v>
          </cell>
          <cell r="D1003">
            <v>15</v>
          </cell>
        </row>
        <row r="1004">
          <cell r="C1004" t="str">
            <v>UBRX35FR-44</v>
          </cell>
          <cell r="D1004">
            <v>22</v>
          </cell>
        </row>
        <row r="1005">
          <cell r="C1005" t="str">
            <v>UBRX35FS-44</v>
          </cell>
          <cell r="D1005">
            <v>61</v>
          </cell>
        </row>
        <row r="1006">
          <cell r="C1006" t="str">
            <v>UBRX35FX-44</v>
          </cell>
          <cell r="D1006">
            <v>0</v>
          </cell>
        </row>
        <row r="1007">
          <cell r="C1007" t="str">
            <v>UBRX35FXX-44</v>
          </cell>
          <cell r="D1007">
            <v>0</v>
          </cell>
        </row>
        <row r="1008">
          <cell r="C1008" t="str">
            <v>UBRX848DR-46</v>
          </cell>
          <cell r="D1008">
            <v>0</v>
          </cell>
        </row>
        <row r="1009">
          <cell r="C1009" t="str">
            <v>UBRX848DS-46</v>
          </cell>
          <cell r="D1009">
            <v>0</v>
          </cell>
        </row>
        <row r="1010">
          <cell r="C1010" t="str">
            <v>UBRXDA-44</v>
          </cell>
          <cell r="D1010">
            <v>0</v>
          </cell>
        </row>
        <row r="1011">
          <cell r="C1011" t="str">
            <v>UBRXDA-46</v>
          </cell>
          <cell r="D1011">
            <v>0</v>
          </cell>
        </row>
        <row r="1012">
          <cell r="C1012" t="str">
            <v>UBRXDR-46</v>
          </cell>
          <cell r="D1012">
            <v>0</v>
          </cell>
        </row>
        <row r="1013">
          <cell r="C1013" t="str">
            <v>UBRXDS-46</v>
          </cell>
          <cell r="D1013">
            <v>0</v>
          </cell>
        </row>
        <row r="1014">
          <cell r="C1014" t="str">
            <v>UBRXDX-46</v>
          </cell>
          <cell r="D1014">
            <v>0</v>
          </cell>
        </row>
        <row r="1015">
          <cell r="C1015" t="str">
            <v>UBRXDXX-46</v>
          </cell>
          <cell r="D1015">
            <v>18</v>
          </cell>
        </row>
        <row r="1016">
          <cell r="C1016" t="str">
            <v>UBRXFA-44</v>
          </cell>
          <cell r="D1016">
            <v>0</v>
          </cell>
        </row>
        <row r="1017">
          <cell r="C1017" t="str">
            <v>UBRXFR-44</v>
          </cell>
          <cell r="D1017">
            <v>0</v>
          </cell>
        </row>
        <row r="1018">
          <cell r="C1018" t="str">
            <v>UBRXFS-44</v>
          </cell>
          <cell r="D1018">
            <v>0</v>
          </cell>
        </row>
        <row r="1019">
          <cell r="C1019" t="str">
            <v>UBRXFX-44</v>
          </cell>
          <cell r="D1019">
            <v>0</v>
          </cell>
        </row>
        <row r="1020">
          <cell r="C1020" t="str">
            <v>UBRXFX-46</v>
          </cell>
          <cell r="D1020">
            <v>0</v>
          </cell>
        </row>
        <row r="1021">
          <cell r="C1021" t="str">
            <v>UBRXFXX-44</v>
          </cell>
          <cell r="D1021">
            <v>0</v>
          </cell>
        </row>
        <row r="1022">
          <cell r="C1022" t="str">
            <v>UCLITEIR-41</v>
          </cell>
          <cell r="D1022">
            <v>0</v>
          </cell>
        </row>
        <row r="1023">
          <cell r="C1023" t="str">
            <v>UCLITEIS-41</v>
          </cell>
          <cell r="D1023">
            <v>0</v>
          </cell>
        </row>
        <row r="1024">
          <cell r="C1024" t="str">
            <v>UCLITEIX-41</v>
          </cell>
          <cell r="D1024">
            <v>0</v>
          </cell>
        </row>
        <row r="1025">
          <cell r="C1025" t="str">
            <v>UCNOTEIS-41</v>
          </cell>
          <cell r="D1025">
            <v>9</v>
          </cell>
        </row>
        <row r="1026">
          <cell r="C1026" t="str">
            <v>UCNOTEIX-41</v>
          </cell>
          <cell r="D1026">
            <v>55</v>
          </cell>
        </row>
        <row r="1027">
          <cell r="C1027" t="str">
            <v>UDA05GIC-43</v>
          </cell>
          <cell r="D1027">
            <v>0</v>
          </cell>
        </row>
        <row r="1028">
          <cell r="C1028" t="str">
            <v>UDA05GWC-48</v>
          </cell>
          <cell r="D1028">
            <v>0</v>
          </cell>
        </row>
        <row r="1029">
          <cell r="C1029" t="str">
            <v>UEI233WR-46</v>
          </cell>
          <cell r="D1029">
            <v>0</v>
          </cell>
        </row>
        <row r="1030">
          <cell r="C1030" t="str">
            <v>UEI233WR-46-DG</v>
          </cell>
          <cell r="D1030">
            <v>0</v>
          </cell>
        </row>
        <row r="1031">
          <cell r="C1031" t="str">
            <v>UEI233WS-46</v>
          </cell>
          <cell r="D1031">
            <v>0</v>
          </cell>
        </row>
        <row r="1032">
          <cell r="C1032" t="str">
            <v>UEI233WS-46-DG</v>
          </cell>
          <cell r="D1032">
            <v>0</v>
          </cell>
        </row>
        <row r="1033">
          <cell r="C1033" t="str">
            <v>UEI233WX-46</v>
          </cell>
          <cell r="D1033">
            <v>0</v>
          </cell>
        </row>
        <row r="1034">
          <cell r="C1034" t="str">
            <v>UEI233WXX-46</v>
          </cell>
          <cell r="D1034">
            <v>0</v>
          </cell>
        </row>
        <row r="1035">
          <cell r="C1035" t="str">
            <v>UEI235WR-46</v>
          </cell>
          <cell r="D1035">
            <v>0</v>
          </cell>
        </row>
        <row r="1036">
          <cell r="C1036" t="str">
            <v>UEI235WS-46</v>
          </cell>
          <cell r="D1036">
            <v>0</v>
          </cell>
        </row>
        <row r="1037">
          <cell r="C1037" t="str">
            <v>UEI235WX-46</v>
          </cell>
          <cell r="D1037">
            <v>0</v>
          </cell>
        </row>
        <row r="1038">
          <cell r="C1038" t="str">
            <v>UFRMR70IS-45</v>
          </cell>
          <cell r="D1038">
            <v>0</v>
          </cell>
        </row>
        <row r="1039">
          <cell r="C1039" t="str">
            <v>UFRMR70WR-48</v>
          </cell>
          <cell r="D1039">
            <v>0</v>
          </cell>
        </row>
        <row r="1040">
          <cell r="C1040" t="str">
            <v>UFRMR70WR-48-350</v>
          </cell>
          <cell r="D1040">
            <v>0</v>
          </cell>
        </row>
        <row r="1041">
          <cell r="C1041" t="str">
            <v>UFRMR70WS-48</v>
          </cell>
          <cell r="D1041">
            <v>21</v>
          </cell>
        </row>
        <row r="1042">
          <cell r="C1042" t="str">
            <v>UFRMR70WS-48-350</v>
          </cell>
          <cell r="D1042">
            <v>195</v>
          </cell>
        </row>
        <row r="1043">
          <cell r="C1043" t="str">
            <v>UFRMR70WX-48</v>
          </cell>
          <cell r="D1043">
            <v>0</v>
          </cell>
        </row>
        <row r="1044">
          <cell r="C1044" t="str">
            <v>UFRMR70WX-48-350</v>
          </cell>
          <cell r="D1044">
            <v>1</v>
          </cell>
        </row>
        <row r="1045">
          <cell r="C1045" t="str">
            <v>UFRMR75WS-48</v>
          </cell>
          <cell r="D1045">
            <v>7</v>
          </cell>
        </row>
        <row r="1046">
          <cell r="C1046" t="str">
            <v>UFRMR75WX-48</v>
          </cell>
          <cell r="D1046">
            <v>0</v>
          </cell>
        </row>
        <row r="1047">
          <cell r="C1047" t="str">
            <v>UFRMR90WR-48</v>
          </cell>
          <cell r="D1047">
            <v>0</v>
          </cell>
        </row>
        <row r="1048">
          <cell r="C1048" t="str">
            <v>UFRMR90WR-48-350</v>
          </cell>
          <cell r="D1048">
            <v>0</v>
          </cell>
        </row>
        <row r="1049">
          <cell r="C1049" t="str">
            <v>UFRMR90WS-48</v>
          </cell>
          <cell r="D1049">
            <v>0</v>
          </cell>
        </row>
        <row r="1050">
          <cell r="C1050" t="str">
            <v>UFRMR90WS-48-350</v>
          </cell>
          <cell r="D1050">
            <v>0</v>
          </cell>
        </row>
        <row r="1051">
          <cell r="C1051" t="str">
            <v>UFRMR90WX-48</v>
          </cell>
          <cell r="D1051">
            <v>0</v>
          </cell>
        </row>
        <row r="1052">
          <cell r="C1052" t="str">
            <v>UFRMR90WX-48-350</v>
          </cell>
          <cell r="D1052">
            <v>2</v>
          </cell>
        </row>
        <row r="1053">
          <cell r="C1053" t="str">
            <v>UFRMRHYIR-45</v>
          </cell>
          <cell r="D1053">
            <v>0</v>
          </cell>
        </row>
        <row r="1054">
          <cell r="C1054" t="str">
            <v>UFRMRHYIS-45</v>
          </cell>
          <cell r="D1054">
            <v>0</v>
          </cell>
        </row>
        <row r="1055">
          <cell r="C1055" t="str">
            <v>UFRMRHYIX-45</v>
          </cell>
          <cell r="D1055">
            <v>0</v>
          </cell>
        </row>
        <row r="1056">
          <cell r="C1056" t="str">
            <v>UGPB33DX-46-BLACK</v>
          </cell>
          <cell r="D1056">
            <v>0</v>
          </cell>
        </row>
        <row r="1057">
          <cell r="C1057" t="str">
            <v>UGSAL33WA-45</v>
          </cell>
          <cell r="D1057">
            <v>381</v>
          </cell>
        </row>
        <row r="1058">
          <cell r="C1058" t="str">
            <v>UGSAL33WL-45</v>
          </cell>
          <cell r="D1058">
            <v>43</v>
          </cell>
        </row>
        <row r="1059">
          <cell r="C1059" t="str">
            <v>UGSAL33WR-45</v>
          </cell>
          <cell r="D1059">
            <v>0</v>
          </cell>
        </row>
        <row r="1060">
          <cell r="C1060" t="str">
            <v>UGSAL33WS-45</v>
          </cell>
          <cell r="D1060">
            <v>0</v>
          </cell>
        </row>
        <row r="1061">
          <cell r="C1061" t="str">
            <v>UGSAL37IA-40</v>
          </cell>
          <cell r="D1061">
            <v>6</v>
          </cell>
        </row>
        <row r="1062">
          <cell r="C1062" t="str">
            <v>UGSAL37IL-40</v>
          </cell>
          <cell r="D1062">
            <v>5</v>
          </cell>
        </row>
        <row r="1063">
          <cell r="C1063" t="str">
            <v>UGSAL37IR-40</v>
          </cell>
          <cell r="D1063">
            <v>80</v>
          </cell>
        </row>
        <row r="1064">
          <cell r="C1064" t="str">
            <v>UGSAL37IS-40</v>
          </cell>
          <cell r="D1064">
            <v>289</v>
          </cell>
        </row>
        <row r="1065">
          <cell r="C1065" t="str">
            <v>UGSMX3IC-43</v>
          </cell>
          <cell r="D1065">
            <v>0</v>
          </cell>
        </row>
        <row r="1066">
          <cell r="C1066" t="str">
            <v>UGSSA33WA-45</v>
          </cell>
          <cell r="D1066">
            <v>22</v>
          </cell>
        </row>
        <row r="1067">
          <cell r="C1067" t="str">
            <v>UGSSA33WL-45</v>
          </cell>
          <cell r="D1067">
            <v>28</v>
          </cell>
        </row>
        <row r="1068">
          <cell r="C1068" t="str">
            <v>UGSSA33WR-45</v>
          </cell>
          <cell r="D1068">
            <v>0</v>
          </cell>
        </row>
        <row r="1069">
          <cell r="C1069" t="str">
            <v>UGSSA33WS-45</v>
          </cell>
          <cell r="D1069">
            <v>0</v>
          </cell>
        </row>
        <row r="1070">
          <cell r="C1070" t="str">
            <v>UHBGS2IL-395</v>
          </cell>
          <cell r="D1070">
            <v>11</v>
          </cell>
        </row>
        <row r="1071">
          <cell r="C1071" t="str">
            <v>UHBGS2IM-41</v>
          </cell>
          <cell r="D1071">
            <v>22</v>
          </cell>
        </row>
        <row r="1072">
          <cell r="C1072" t="str">
            <v>UHBGS2WM-465</v>
          </cell>
          <cell r="D1072">
            <v>21</v>
          </cell>
        </row>
        <row r="1073">
          <cell r="C1073" t="str">
            <v>UHPO35WR-46</v>
          </cell>
          <cell r="D1073">
            <v>0</v>
          </cell>
        </row>
        <row r="1074">
          <cell r="C1074" t="str">
            <v>UHPO35WS-46</v>
          </cell>
          <cell r="D1074">
            <v>0</v>
          </cell>
        </row>
        <row r="1075">
          <cell r="C1075" t="str">
            <v>UIQHYIRS-42</v>
          </cell>
          <cell r="D1075">
            <v>55</v>
          </cell>
        </row>
        <row r="1076">
          <cell r="C1076" t="str">
            <v>UIQWRS-48</v>
          </cell>
          <cell r="D1076">
            <v>154</v>
          </cell>
        </row>
        <row r="1077">
          <cell r="C1077" t="str">
            <v>ULAUNCH145MTR-46</v>
          </cell>
          <cell r="D1077">
            <v>0</v>
          </cell>
        </row>
        <row r="1078">
          <cell r="C1078" t="str">
            <v>ULAUNCH145MTS-46</v>
          </cell>
          <cell r="D1078">
            <v>0</v>
          </cell>
        </row>
        <row r="1079">
          <cell r="C1079" t="str">
            <v>ULAUNCH145TS-46</v>
          </cell>
          <cell r="D1079">
            <v>35</v>
          </cell>
        </row>
        <row r="1080">
          <cell r="C1080" t="str">
            <v>ULAUNCH433WA-46</v>
          </cell>
          <cell r="D1080">
            <v>10</v>
          </cell>
        </row>
        <row r="1081">
          <cell r="C1081" t="str">
            <v>ULAUNCH433WL-46</v>
          </cell>
          <cell r="D1081">
            <v>0</v>
          </cell>
        </row>
        <row r="1082">
          <cell r="C1082" t="str">
            <v>ULAUNCH433WR-46</v>
          </cell>
          <cell r="D1082">
            <v>314</v>
          </cell>
        </row>
        <row r="1083">
          <cell r="C1083" t="str">
            <v>ULAUNCH433WS-46</v>
          </cell>
          <cell r="D1083">
            <v>0</v>
          </cell>
        </row>
        <row r="1084">
          <cell r="C1084" t="str">
            <v>ULAUNCH435WA-46</v>
          </cell>
          <cell r="D1084">
            <v>11</v>
          </cell>
        </row>
        <row r="1085">
          <cell r="C1085" t="str">
            <v>ULAUNCH435WL-46</v>
          </cell>
          <cell r="D1085">
            <v>54</v>
          </cell>
        </row>
        <row r="1086">
          <cell r="C1086" t="str">
            <v>ULAUNCH435WR-46</v>
          </cell>
          <cell r="D1086">
            <v>24</v>
          </cell>
        </row>
        <row r="1087">
          <cell r="C1087" t="str">
            <v>ULAUNCH435WS-46</v>
          </cell>
          <cell r="D1087">
            <v>9</v>
          </cell>
        </row>
        <row r="1088">
          <cell r="C1088" t="str">
            <v>ULAUNCH533WA-46</v>
          </cell>
          <cell r="D1088">
            <v>40</v>
          </cell>
        </row>
        <row r="1089">
          <cell r="C1089" t="str">
            <v>ULAUNCH533WR-46</v>
          </cell>
          <cell r="D1089">
            <v>221</v>
          </cell>
        </row>
        <row r="1090">
          <cell r="C1090" t="str">
            <v>ULAUNCH533WS-46</v>
          </cell>
          <cell r="D1090">
            <v>8</v>
          </cell>
        </row>
        <row r="1091">
          <cell r="C1091" t="str">
            <v>ULAUNCH533WX-46</v>
          </cell>
          <cell r="D1091">
            <v>30</v>
          </cell>
        </row>
        <row r="1092">
          <cell r="C1092" t="str">
            <v>ULAUNCH535WA-46</v>
          </cell>
          <cell r="D1092">
            <v>50</v>
          </cell>
        </row>
        <row r="1093">
          <cell r="C1093" t="str">
            <v>ULAUNCH535WR-46</v>
          </cell>
          <cell r="D1093">
            <v>90</v>
          </cell>
        </row>
        <row r="1094">
          <cell r="C1094" t="str">
            <v>ULAUNCH535WS-46</v>
          </cell>
          <cell r="D1094">
            <v>9</v>
          </cell>
        </row>
        <row r="1095">
          <cell r="C1095" t="str">
            <v>ULAUNCH535WX-46</v>
          </cell>
          <cell r="D1095">
            <v>13</v>
          </cell>
        </row>
        <row r="1096">
          <cell r="C1096" t="str">
            <v>ULAUNCH5SEWR-46</v>
          </cell>
          <cell r="D1096">
            <v>0</v>
          </cell>
        </row>
        <row r="1097">
          <cell r="C1097" t="str">
            <v>ULAUNCH633WR-46</v>
          </cell>
          <cell r="D1097">
            <v>544</v>
          </cell>
        </row>
        <row r="1098">
          <cell r="C1098" t="str">
            <v>ULAUNCH633WS-46</v>
          </cell>
          <cell r="D1098">
            <v>16</v>
          </cell>
        </row>
        <row r="1099">
          <cell r="C1099" t="str">
            <v>ULAUNCH633WX-46</v>
          </cell>
          <cell r="D1099">
            <v>1559</v>
          </cell>
        </row>
        <row r="1100">
          <cell r="C1100" t="str">
            <v>ULAUNCH635WR-46</v>
          </cell>
          <cell r="D1100">
            <v>602</v>
          </cell>
        </row>
        <row r="1101">
          <cell r="C1101" t="str">
            <v>ULAUNCH635WR-46-WIL</v>
          </cell>
          <cell r="D1101">
            <v>79</v>
          </cell>
        </row>
        <row r="1102">
          <cell r="C1102" t="str">
            <v>ULAUNCH635WS-46</v>
          </cell>
          <cell r="D1102">
            <v>881</v>
          </cell>
        </row>
        <row r="1103">
          <cell r="C1103" t="str">
            <v>ULAUNCH635WS-46-WIL</v>
          </cell>
          <cell r="D1103">
            <v>8</v>
          </cell>
        </row>
        <row r="1104">
          <cell r="C1104" t="str">
            <v>ULAUNCH635WX-46</v>
          </cell>
          <cell r="D1104">
            <v>440</v>
          </cell>
        </row>
        <row r="1105">
          <cell r="C1105" t="str">
            <v>ULAUNCH6SEWR-46</v>
          </cell>
          <cell r="D1105">
            <v>114</v>
          </cell>
        </row>
        <row r="1106">
          <cell r="C1106" t="str">
            <v>ULAUNCH6SEWS-46</v>
          </cell>
          <cell r="D1106">
            <v>285</v>
          </cell>
        </row>
        <row r="1107">
          <cell r="C1107" t="str">
            <v>ULAUNCH733WR-46</v>
          </cell>
          <cell r="D1107">
            <v>52</v>
          </cell>
        </row>
        <row r="1108">
          <cell r="C1108" t="str">
            <v>ULAUNCH733WS-46</v>
          </cell>
          <cell r="D1108">
            <v>51</v>
          </cell>
        </row>
        <row r="1109">
          <cell r="C1109" t="str">
            <v>ULAUNCH733WX-46</v>
          </cell>
          <cell r="D1109">
            <v>0</v>
          </cell>
        </row>
        <row r="1110">
          <cell r="C1110" t="str">
            <v>ULAUNCH735WR-46</v>
          </cell>
          <cell r="D1110">
            <v>414</v>
          </cell>
        </row>
        <row r="1111">
          <cell r="C1111" t="str">
            <v>ULAUNCH735WS-46</v>
          </cell>
          <cell r="D1111">
            <v>635</v>
          </cell>
        </row>
        <row r="1112">
          <cell r="C1112" t="str">
            <v>ULAUNCH735WX-46</v>
          </cell>
          <cell r="D1112">
            <v>565</v>
          </cell>
        </row>
        <row r="1113">
          <cell r="C1113" t="str">
            <v>ULAUNCH833WR-46</v>
          </cell>
          <cell r="D1113">
            <v>1</v>
          </cell>
        </row>
        <row r="1114">
          <cell r="C1114" t="str">
            <v>ULAUNCH833WS-46</v>
          </cell>
          <cell r="D1114">
            <v>27</v>
          </cell>
        </row>
        <row r="1115">
          <cell r="C1115" t="str">
            <v>ULAUNCH833WX-46</v>
          </cell>
          <cell r="D1115">
            <v>41</v>
          </cell>
        </row>
        <row r="1116">
          <cell r="C1116" t="str">
            <v>ULAUNCHADFWR-44</v>
          </cell>
          <cell r="D1116">
            <v>20</v>
          </cell>
        </row>
        <row r="1117">
          <cell r="C1117" t="str">
            <v>ULAUNCHADFWS-44</v>
          </cell>
          <cell r="D1117">
            <v>0</v>
          </cell>
        </row>
        <row r="1118">
          <cell r="C1118" t="str">
            <v>ULAUNCHADFWX-44</v>
          </cell>
          <cell r="D1118">
            <v>121</v>
          </cell>
        </row>
        <row r="1119">
          <cell r="C1119" t="str">
            <v>ULAUNCHADWR-46</v>
          </cell>
          <cell r="D1119">
            <v>58</v>
          </cell>
        </row>
        <row r="1120">
          <cell r="C1120" t="str">
            <v>ULAUNCHADWS-46</v>
          </cell>
          <cell r="D1120">
            <v>12</v>
          </cell>
        </row>
        <row r="1121">
          <cell r="C1121" t="str">
            <v>ULAUNCHFW33A-44</v>
          </cell>
          <cell r="D1121">
            <v>11</v>
          </cell>
        </row>
        <row r="1122">
          <cell r="C1122" t="str">
            <v>ULAUNCHFW33R-44</v>
          </cell>
          <cell r="D1122">
            <v>0</v>
          </cell>
        </row>
        <row r="1123">
          <cell r="C1123" t="str">
            <v>ULAUNCHFW33S-44</v>
          </cell>
          <cell r="D1123">
            <v>0</v>
          </cell>
        </row>
        <row r="1124">
          <cell r="C1124" t="str">
            <v>ULAUNCHFW33X-44</v>
          </cell>
          <cell r="D1124">
            <v>0</v>
          </cell>
        </row>
        <row r="1125">
          <cell r="C1125" t="str">
            <v>ULAUNCHHY33WA-41</v>
          </cell>
          <cell r="D1125">
            <v>62</v>
          </cell>
        </row>
        <row r="1126">
          <cell r="C1126" t="str">
            <v>ULAUNCHHY33WR-41</v>
          </cell>
          <cell r="D1126">
            <v>7</v>
          </cell>
        </row>
        <row r="1127">
          <cell r="C1127" t="str">
            <v>ULAUNCHHY33WS-41</v>
          </cell>
          <cell r="D1127">
            <v>0</v>
          </cell>
        </row>
        <row r="1128">
          <cell r="C1128" t="str">
            <v>ULAUNCHHY33WX-41</v>
          </cell>
          <cell r="D1128">
            <v>33</v>
          </cell>
        </row>
        <row r="1129">
          <cell r="C1129" t="str">
            <v>ULAUNCHHY35WA-41</v>
          </cell>
          <cell r="D1129">
            <v>154</v>
          </cell>
        </row>
        <row r="1130">
          <cell r="C1130" t="str">
            <v>ULAUNCHHY35WR-41</v>
          </cell>
          <cell r="D1130">
            <v>73</v>
          </cell>
        </row>
        <row r="1131">
          <cell r="C1131" t="str">
            <v>ULAUNCHHY35WS-41</v>
          </cell>
          <cell r="D1131">
            <v>77</v>
          </cell>
        </row>
        <row r="1132">
          <cell r="C1132" t="str">
            <v>ULAUNCHHY35WX-41</v>
          </cell>
          <cell r="D1132">
            <v>69</v>
          </cell>
        </row>
        <row r="1133">
          <cell r="C1133" t="str">
            <v>ULAUNCHHYIA-41</v>
          </cell>
          <cell r="D1133">
            <v>16</v>
          </cell>
        </row>
        <row r="1134">
          <cell r="C1134" t="str">
            <v>ULAUNCHHYIR-41</v>
          </cell>
          <cell r="D1134">
            <v>43</v>
          </cell>
        </row>
        <row r="1135">
          <cell r="C1135" t="str">
            <v>ULAUNCHHYIS-41</v>
          </cell>
          <cell r="D1135">
            <v>98</v>
          </cell>
        </row>
        <row r="1136">
          <cell r="C1136" t="str">
            <v>ULAUNCHHYIX-41</v>
          </cell>
          <cell r="D1136">
            <v>340</v>
          </cell>
        </row>
        <row r="1137">
          <cell r="C1137" t="str">
            <v>ULAUNCHHYJLIR-41</v>
          </cell>
          <cell r="D1137">
            <v>11</v>
          </cell>
        </row>
        <row r="1138">
          <cell r="C1138" t="str">
            <v>ULAUNCHHYMDIL-41</v>
          </cell>
          <cell r="D1138">
            <v>37</v>
          </cell>
        </row>
        <row r="1139">
          <cell r="C1139" t="str">
            <v>ULAUNCHHYMDIR-41</v>
          </cell>
          <cell r="D1139">
            <v>57</v>
          </cell>
        </row>
        <row r="1140">
          <cell r="C1140" t="str">
            <v>ULAUNCHHYMDIS-41</v>
          </cell>
          <cell r="D1140">
            <v>95</v>
          </cell>
        </row>
        <row r="1141">
          <cell r="C1141" t="str">
            <v>ULAUNCHHYRMIR-41</v>
          </cell>
          <cell r="D1141">
            <v>52</v>
          </cell>
        </row>
        <row r="1142">
          <cell r="C1142" t="str">
            <v>ULAUNCHHYRMIS-41</v>
          </cell>
          <cell r="D1142">
            <v>120</v>
          </cell>
        </row>
        <row r="1143">
          <cell r="C1143" t="str">
            <v>ULAUNCHIA-41</v>
          </cell>
          <cell r="D1143">
            <v>0</v>
          </cell>
        </row>
        <row r="1144">
          <cell r="C1144" t="str">
            <v>ULAUNCHIR-41</v>
          </cell>
          <cell r="D1144">
            <v>0</v>
          </cell>
        </row>
        <row r="1145">
          <cell r="C1145" t="str">
            <v>ULAUNCHIS-41</v>
          </cell>
          <cell r="D1145">
            <v>369</v>
          </cell>
        </row>
        <row r="1146">
          <cell r="C1146" t="str">
            <v>ULAUNCHJLFWS-44</v>
          </cell>
          <cell r="D1146">
            <v>23</v>
          </cell>
        </row>
        <row r="1147">
          <cell r="C1147" t="str">
            <v>ULAUNCHJLIR-41</v>
          </cell>
          <cell r="D1147">
            <v>11</v>
          </cell>
        </row>
        <row r="1148">
          <cell r="C1148" t="str">
            <v>ULAUNCHJLWR-46</v>
          </cell>
          <cell r="D1148">
            <v>10</v>
          </cell>
        </row>
        <row r="1149">
          <cell r="C1149" t="str">
            <v>ULAUNCHJLWS-46</v>
          </cell>
          <cell r="D1149">
            <v>3</v>
          </cell>
        </row>
        <row r="1150">
          <cell r="C1150" t="str">
            <v>ULAUNCHMDWR-46</v>
          </cell>
          <cell r="D1150">
            <v>23</v>
          </cell>
        </row>
        <row r="1151">
          <cell r="C1151" t="str">
            <v>ULAUNCHMDWS-46</v>
          </cell>
          <cell r="D1151">
            <v>26</v>
          </cell>
        </row>
        <row r="1152">
          <cell r="C1152" t="str">
            <v>ULAUNCHMSTIL-41</v>
          </cell>
          <cell r="D1152">
            <v>102</v>
          </cell>
        </row>
        <row r="1153">
          <cell r="C1153" t="str">
            <v>ULAUNCHMSTIR-41</v>
          </cell>
          <cell r="D1153">
            <v>277</v>
          </cell>
        </row>
        <row r="1154">
          <cell r="C1154" t="str">
            <v>ULAUNCHMSTWA-45</v>
          </cell>
          <cell r="D1154">
            <v>26</v>
          </cell>
        </row>
        <row r="1155">
          <cell r="C1155" t="str">
            <v>ULAUNCHMSTWL-45</v>
          </cell>
          <cell r="D1155">
            <v>74</v>
          </cell>
        </row>
        <row r="1156">
          <cell r="C1156" t="str">
            <v>ULAUNCHMSTWR-45</v>
          </cell>
          <cell r="D1156">
            <v>544</v>
          </cell>
        </row>
        <row r="1157">
          <cell r="C1157" t="str">
            <v>ULAUNCHMSTWS-45</v>
          </cell>
          <cell r="D1157">
            <v>2</v>
          </cell>
        </row>
        <row r="1158">
          <cell r="C1158" t="str">
            <v>ULAUNCHOS35WR-46</v>
          </cell>
          <cell r="D1158">
            <v>9</v>
          </cell>
        </row>
        <row r="1159">
          <cell r="C1159" t="str">
            <v>ULAUNCHOS35WS-46</v>
          </cell>
          <cell r="D1159">
            <v>1</v>
          </cell>
        </row>
        <row r="1160">
          <cell r="C1160" t="str">
            <v>ULAUNCHOSFWWR-44</v>
          </cell>
          <cell r="D1160">
            <v>25</v>
          </cell>
        </row>
        <row r="1161">
          <cell r="C1161" t="str">
            <v>ULAUNCHOSFWWS-44</v>
          </cell>
          <cell r="D1161">
            <v>13</v>
          </cell>
        </row>
        <row r="1162">
          <cell r="C1162" t="str">
            <v>ULAUNCHOSHYIR-41</v>
          </cell>
          <cell r="D1162">
            <v>9</v>
          </cell>
        </row>
        <row r="1163">
          <cell r="C1163" t="str">
            <v>ULAUNCHPRSTFIR-41</v>
          </cell>
          <cell r="D1163">
            <v>1</v>
          </cell>
        </row>
        <row r="1164">
          <cell r="C1164" t="str">
            <v>ULAUNCHPRSTFWR-46</v>
          </cell>
          <cell r="D1164">
            <v>2</v>
          </cell>
        </row>
        <row r="1165">
          <cell r="C1165" t="str">
            <v>ULAUNCHPSIA-41</v>
          </cell>
          <cell r="D1165">
            <v>0</v>
          </cell>
        </row>
        <row r="1166">
          <cell r="C1166" t="str">
            <v>ULAUNCHPSIL-41</v>
          </cell>
          <cell r="D1166">
            <v>0</v>
          </cell>
        </row>
        <row r="1167">
          <cell r="C1167" t="str">
            <v>ULAUNCHPSIR-41</v>
          </cell>
          <cell r="D1167">
            <v>0</v>
          </cell>
        </row>
        <row r="1168">
          <cell r="C1168" t="str">
            <v>ULAUNCHPSIS-41</v>
          </cell>
          <cell r="D1168">
            <v>0</v>
          </cell>
        </row>
        <row r="1169">
          <cell r="C1169" t="str">
            <v>ULAUNCHPSISW-41</v>
          </cell>
          <cell r="D1169">
            <v>135</v>
          </cell>
        </row>
        <row r="1170">
          <cell r="C1170" t="str">
            <v>ULAUNCHPSWA-46</v>
          </cell>
          <cell r="D1170">
            <v>14</v>
          </cell>
        </row>
        <row r="1171">
          <cell r="C1171" t="str">
            <v>ULAUNCHPSWL-46</v>
          </cell>
          <cell r="D1171">
            <v>26</v>
          </cell>
        </row>
        <row r="1172">
          <cell r="C1172" t="str">
            <v>ULAUNCHPSWR-46</v>
          </cell>
          <cell r="D1172">
            <v>64</v>
          </cell>
        </row>
        <row r="1173">
          <cell r="C1173" t="str">
            <v>ULAUNCHPSWS-46</v>
          </cell>
          <cell r="D1173">
            <v>0</v>
          </cell>
        </row>
        <row r="1174">
          <cell r="C1174" t="str">
            <v>ULAUNCHRED35FWWR-44</v>
          </cell>
          <cell r="D1174">
            <v>43</v>
          </cell>
        </row>
        <row r="1175">
          <cell r="C1175" t="str">
            <v>ULAUNCHRED35FWWS-44</v>
          </cell>
          <cell r="D1175">
            <v>72</v>
          </cell>
        </row>
        <row r="1176">
          <cell r="C1176" t="str">
            <v>ULAUNCHRED35FWWX-44</v>
          </cell>
          <cell r="D1176">
            <v>196</v>
          </cell>
        </row>
        <row r="1177">
          <cell r="C1177" t="str">
            <v>ULAUNCHRED633WR-46</v>
          </cell>
          <cell r="D1177">
            <v>2</v>
          </cell>
        </row>
        <row r="1178">
          <cell r="C1178" t="str">
            <v>ULAUNCHRED633WS-46</v>
          </cell>
          <cell r="D1178">
            <v>526</v>
          </cell>
        </row>
        <row r="1179">
          <cell r="C1179" t="str">
            <v>ULAUNCHRED633WX-46</v>
          </cell>
          <cell r="D1179">
            <v>668</v>
          </cell>
        </row>
        <row r="1180">
          <cell r="C1180" t="str">
            <v>ULAUNCHRED635WR-46</v>
          </cell>
          <cell r="D1180">
            <v>23</v>
          </cell>
        </row>
        <row r="1181">
          <cell r="C1181" t="str">
            <v>ULAUNCHRED635WS-46</v>
          </cell>
          <cell r="D1181">
            <v>30</v>
          </cell>
        </row>
        <row r="1182">
          <cell r="C1182" t="str">
            <v>ULAUNCHRED635WX-46</v>
          </cell>
          <cell r="D1182">
            <v>62</v>
          </cell>
        </row>
        <row r="1183">
          <cell r="C1183" t="str">
            <v>ULAUNCHREDADFWWR-46</v>
          </cell>
          <cell r="D1183">
            <v>0</v>
          </cell>
        </row>
        <row r="1184">
          <cell r="C1184" t="str">
            <v>ULAUNCHREDADFWWS-46</v>
          </cell>
          <cell r="D1184">
            <v>0</v>
          </cell>
        </row>
        <row r="1185">
          <cell r="C1185" t="str">
            <v>ULAUNCHREDADFWWX-46</v>
          </cell>
          <cell r="D1185">
            <v>0</v>
          </cell>
        </row>
        <row r="1186">
          <cell r="C1186" t="str">
            <v>ULAUNCHREDADHYIR-41</v>
          </cell>
          <cell r="D1186">
            <v>2307</v>
          </cell>
        </row>
        <row r="1187">
          <cell r="C1187" t="str">
            <v>ULAUNCHREDADHYIS-41</v>
          </cell>
          <cell r="D1187">
            <v>572</v>
          </cell>
        </row>
        <row r="1188">
          <cell r="C1188" t="str">
            <v>ULAUNCHREDADIR-41</v>
          </cell>
          <cell r="D1188">
            <v>9031</v>
          </cell>
        </row>
        <row r="1189">
          <cell r="C1189" t="str">
            <v>ULAUNCHREDADIS-41</v>
          </cell>
          <cell r="D1189">
            <v>2067</v>
          </cell>
        </row>
        <row r="1190">
          <cell r="C1190" t="str">
            <v>ULAUNCHREDADWR-46</v>
          </cell>
          <cell r="D1190">
            <v>1</v>
          </cell>
        </row>
        <row r="1191">
          <cell r="C1191" t="str">
            <v>ULAUNCHREDADWS-46</v>
          </cell>
          <cell r="D1191">
            <v>145</v>
          </cell>
        </row>
        <row r="1192">
          <cell r="C1192" t="str">
            <v>ULAUNCHREDADWX-46</v>
          </cell>
          <cell r="D1192">
            <v>52</v>
          </cell>
        </row>
        <row r="1193">
          <cell r="C1193" t="str">
            <v>ULAUNCHREDFWWR-44</v>
          </cell>
          <cell r="D1193">
            <v>0</v>
          </cell>
        </row>
        <row r="1194">
          <cell r="C1194" t="str">
            <v>ULAUNCHREDFWWS-44</v>
          </cell>
          <cell r="D1194">
            <v>70</v>
          </cell>
        </row>
        <row r="1195">
          <cell r="C1195" t="str">
            <v>ULAUNCHREDFWWX-44</v>
          </cell>
          <cell r="D1195">
            <v>24</v>
          </cell>
        </row>
        <row r="1196">
          <cell r="C1196" t="str">
            <v>ULAUNCHREDHYIR-41</v>
          </cell>
          <cell r="D1196">
            <v>358</v>
          </cell>
        </row>
        <row r="1197">
          <cell r="C1197" t="str">
            <v>ULAUNCHREDHYIS-41</v>
          </cell>
          <cell r="D1197">
            <v>140</v>
          </cell>
        </row>
        <row r="1198">
          <cell r="C1198" t="str">
            <v>ULAUNCHREDHYIX-41</v>
          </cell>
          <cell r="D1198">
            <v>275</v>
          </cell>
        </row>
        <row r="1199">
          <cell r="C1199" t="str">
            <v>ULAUNCHREDIR-40</v>
          </cell>
          <cell r="D1199">
            <v>11</v>
          </cell>
        </row>
        <row r="1200">
          <cell r="C1200" t="str">
            <v>ULAUNCHREDIS-40</v>
          </cell>
          <cell r="D1200">
            <v>22</v>
          </cell>
        </row>
        <row r="1201">
          <cell r="C1201" t="str">
            <v>ULAUNCHRM633WR-46</v>
          </cell>
          <cell r="D1201">
            <v>2</v>
          </cell>
        </row>
        <row r="1202">
          <cell r="C1202" t="str">
            <v>ULAUNCHRM633WS-46</v>
          </cell>
          <cell r="D1202">
            <v>101</v>
          </cell>
        </row>
        <row r="1203">
          <cell r="C1203" t="str">
            <v>ULAUNCHRMFWR-44</v>
          </cell>
          <cell r="D1203">
            <v>63</v>
          </cell>
        </row>
        <row r="1204">
          <cell r="C1204" t="str">
            <v>ULAUNCHRMFWS-44</v>
          </cell>
          <cell r="D1204">
            <v>24</v>
          </cell>
        </row>
        <row r="1205">
          <cell r="C1205" t="str">
            <v>ULAUNCHSEFW33R-44</v>
          </cell>
          <cell r="D1205">
            <v>16</v>
          </cell>
        </row>
        <row r="1206">
          <cell r="C1206" t="str">
            <v>ULAUNCHSEFW33S-44</v>
          </cell>
          <cell r="D1206">
            <v>278</v>
          </cell>
        </row>
        <row r="1207">
          <cell r="C1207" t="str">
            <v>ULAUNCHSEIR-41</v>
          </cell>
          <cell r="D1207">
            <v>111</v>
          </cell>
        </row>
        <row r="1208">
          <cell r="C1208" t="str">
            <v>ULAUNCHSEIS-41</v>
          </cell>
          <cell r="D1208">
            <v>149</v>
          </cell>
        </row>
        <row r="1209">
          <cell r="C1209" t="str">
            <v>ULAUNCHSEJI-37</v>
          </cell>
          <cell r="D1209">
            <v>20</v>
          </cell>
        </row>
        <row r="1210">
          <cell r="C1210" t="str">
            <v>ULAUNCHSEJW-40</v>
          </cell>
          <cell r="D1210">
            <v>3</v>
          </cell>
        </row>
        <row r="1211">
          <cell r="C1211" t="str">
            <v>ULTOUR33WR-46-BLUE</v>
          </cell>
          <cell r="D1211">
            <v>10</v>
          </cell>
        </row>
        <row r="1212">
          <cell r="C1212" t="str">
            <v>ULTOUR33WR-46-RED</v>
          </cell>
          <cell r="D1212">
            <v>0</v>
          </cell>
        </row>
        <row r="1213">
          <cell r="C1213" t="str">
            <v>ULTOUR33WS-46-BLUE</v>
          </cell>
          <cell r="D1213">
            <v>0</v>
          </cell>
        </row>
        <row r="1214">
          <cell r="C1214" t="str">
            <v>ULTOUR33WS-46-RED</v>
          </cell>
          <cell r="D1214">
            <v>0</v>
          </cell>
        </row>
        <row r="1215">
          <cell r="C1215" t="str">
            <v>UMAXFLIEZIRS-43</v>
          </cell>
          <cell r="D1215">
            <v>44</v>
          </cell>
        </row>
        <row r="1216">
          <cell r="C1216" t="str">
            <v>UMAXFLIFIREWRS-48</v>
          </cell>
          <cell r="D1216">
            <v>1</v>
          </cell>
        </row>
        <row r="1217">
          <cell r="C1217" t="str">
            <v>UMAXFLIMIAL-43</v>
          </cell>
          <cell r="D1217">
            <v>0</v>
          </cell>
        </row>
        <row r="1218">
          <cell r="C1218" t="str">
            <v>UMAXFLIMIRS-43</v>
          </cell>
          <cell r="D1218">
            <v>37</v>
          </cell>
        </row>
        <row r="1219">
          <cell r="C1219" t="str">
            <v>UMAXFLIMWAL-48</v>
          </cell>
          <cell r="D1219">
            <v>65</v>
          </cell>
        </row>
        <row r="1220">
          <cell r="C1220" t="str">
            <v>UMAXFLIMWRS-48</v>
          </cell>
          <cell r="D1220">
            <v>273</v>
          </cell>
        </row>
        <row r="1221">
          <cell r="C1221" t="str">
            <v>UMAXFLIRIRS-43</v>
          </cell>
          <cell r="D1221">
            <v>77</v>
          </cell>
        </row>
        <row r="1222">
          <cell r="C1222" t="str">
            <v>UMAXFLIROYALWR-46</v>
          </cell>
          <cell r="D1222">
            <v>45</v>
          </cell>
        </row>
        <row r="1223">
          <cell r="C1223" t="str">
            <v>UMAXFLIROYALWRS-48</v>
          </cell>
          <cell r="D1223">
            <v>55</v>
          </cell>
        </row>
        <row r="1224">
          <cell r="C1224" t="str">
            <v>UMAXFLIROYALWS-46</v>
          </cell>
          <cell r="D1224">
            <v>53</v>
          </cell>
        </row>
        <row r="1225">
          <cell r="C1225" t="str">
            <v>UMAXFLIRWRS-48</v>
          </cell>
          <cell r="D1225">
            <v>115</v>
          </cell>
        </row>
        <row r="1226">
          <cell r="C1226" t="str">
            <v>UMDPL65WR-46</v>
          </cell>
          <cell r="D1226">
            <v>0</v>
          </cell>
        </row>
        <row r="1227">
          <cell r="C1227" t="str">
            <v>UMDPL65WS-46</v>
          </cell>
          <cell r="D1227">
            <v>8</v>
          </cell>
        </row>
        <row r="1228">
          <cell r="C1228" t="str">
            <v>UMGLL733WR-46</v>
          </cell>
          <cell r="D1228">
            <v>157</v>
          </cell>
        </row>
        <row r="1229">
          <cell r="C1229" t="str">
            <v>UMGMC60WA-45</v>
          </cell>
          <cell r="D1229">
            <v>108</v>
          </cell>
        </row>
        <row r="1230">
          <cell r="C1230" t="str">
            <v>UMGMC60WL-45</v>
          </cell>
          <cell r="D1230">
            <v>236</v>
          </cell>
        </row>
        <row r="1231">
          <cell r="C1231" t="str">
            <v>UMGMC60WR-45</v>
          </cell>
          <cell r="D1231">
            <v>77</v>
          </cell>
        </row>
        <row r="1232">
          <cell r="C1232" t="str">
            <v>UMGMC60WS-45</v>
          </cell>
          <cell r="D1232">
            <v>167</v>
          </cell>
        </row>
        <row r="1233">
          <cell r="C1233" t="str">
            <v>UMK33FWA2-44</v>
          </cell>
          <cell r="D1233">
            <v>63</v>
          </cell>
        </row>
        <row r="1234">
          <cell r="C1234" t="str">
            <v>UMK33FWR2-44</v>
          </cell>
          <cell r="D1234">
            <v>121</v>
          </cell>
        </row>
        <row r="1235">
          <cell r="C1235" t="str">
            <v>UMK33FWR2-44-RED</v>
          </cell>
          <cell r="D1235">
            <v>56</v>
          </cell>
        </row>
        <row r="1236">
          <cell r="C1236" t="str">
            <v>UMK33FWS2-44</v>
          </cell>
          <cell r="D1236">
            <v>157</v>
          </cell>
        </row>
        <row r="1237">
          <cell r="C1237" t="str">
            <v>UMK33FWS2-44-RED</v>
          </cell>
          <cell r="D1237">
            <v>37</v>
          </cell>
        </row>
        <row r="1238">
          <cell r="C1238" t="str">
            <v>UMK33FWX2-44</v>
          </cell>
          <cell r="D1238">
            <v>43</v>
          </cell>
        </row>
        <row r="1239">
          <cell r="C1239" t="str">
            <v>UMKIA2-40</v>
          </cell>
          <cell r="D1239">
            <v>0</v>
          </cell>
        </row>
        <row r="1240">
          <cell r="C1240" t="str">
            <v>UMKIR2-40</v>
          </cell>
          <cell r="D1240">
            <v>5</v>
          </cell>
        </row>
        <row r="1241">
          <cell r="C1241" t="str">
            <v>UMKIR2-40-RED</v>
          </cell>
          <cell r="D1241">
            <v>48</v>
          </cell>
        </row>
        <row r="1242">
          <cell r="C1242" t="str">
            <v>UMKIS2-40</v>
          </cell>
          <cell r="D1242">
            <v>0</v>
          </cell>
        </row>
        <row r="1243">
          <cell r="C1243" t="str">
            <v>UMKIS2-40-RED</v>
          </cell>
          <cell r="D1243">
            <v>218</v>
          </cell>
        </row>
        <row r="1244">
          <cell r="C1244" t="str">
            <v>UMKLAUNCHWS-46-RED</v>
          </cell>
          <cell r="D1244">
            <v>36</v>
          </cell>
        </row>
        <row r="1245">
          <cell r="C1245" t="str">
            <v>UNKSF65WR-45</v>
          </cell>
          <cell r="D1245">
            <v>91</v>
          </cell>
        </row>
        <row r="1246">
          <cell r="C1246" t="str">
            <v>UNKSF65WS-45</v>
          </cell>
          <cell r="D1246">
            <v>9</v>
          </cell>
        </row>
        <row r="1247">
          <cell r="C1247" t="str">
            <v>UNKSF85HI-41</v>
          </cell>
          <cell r="D1247">
            <v>29</v>
          </cell>
        </row>
        <row r="1248">
          <cell r="C1248" t="str">
            <v>UNKSF85WR-44</v>
          </cell>
          <cell r="D1248">
            <v>4</v>
          </cell>
        </row>
        <row r="1249">
          <cell r="C1249" t="str">
            <v>UNKSF85WS-44</v>
          </cell>
          <cell r="D1249">
            <v>12</v>
          </cell>
        </row>
        <row r="1250">
          <cell r="C1250" t="str">
            <v>UNZ633SEWR-46</v>
          </cell>
          <cell r="D1250">
            <v>21</v>
          </cell>
        </row>
        <row r="1251">
          <cell r="C1251" t="str">
            <v>UNZ633SEWS-46</v>
          </cell>
          <cell r="D1251">
            <v>3</v>
          </cell>
        </row>
        <row r="1252">
          <cell r="C1252" t="str">
            <v>UNZ633WR-46</v>
          </cell>
          <cell r="D1252">
            <v>0</v>
          </cell>
        </row>
        <row r="1253">
          <cell r="C1253" t="str">
            <v>UNZ633WS-46</v>
          </cell>
          <cell r="D1253">
            <v>0</v>
          </cell>
        </row>
        <row r="1254">
          <cell r="C1254" t="str">
            <v>UNZ633WX-46</v>
          </cell>
          <cell r="D1254">
            <v>0</v>
          </cell>
        </row>
        <row r="1255">
          <cell r="C1255" t="str">
            <v>UNZ6SEIR-41</v>
          </cell>
          <cell r="D1255">
            <v>2</v>
          </cell>
        </row>
        <row r="1256">
          <cell r="C1256" t="str">
            <v>UNZ6SEIS-41</v>
          </cell>
          <cell r="D1256">
            <v>0</v>
          </cell>
        </row>
        <row r="1257">
          <cell r="C1257" t="str">
            <v>UPCCLUB35IR-42</v>
          </cell>
          <cell r="D1257">
            <v>0</v>
          </cell>
        </row>
        <row r="1258">
          <cell r="C1258" t="str">
            <v>UPCGIAL-43</v>
          </cell>
          <cell r="D1258">
            <v>568</v>
          </cell>
        </row>
        <row r="1259">
          <cell r="C1259" t="str">
            <v>UPCGIRS-43</v>
          </cell>
          <cell r="D1259">
            <v>529</v>
          </cell>
        </row>
        <row r="1260">
          <cell r="C1260" t="str">
            <v>UPCGWAL-48</v>
          </cell>
          <cell r="D1260">
            <v>159</v>
          </cell>
        </row>
        <row r="1261">
          <cell r="C1261" t="str">
            <v>UPCGWRS-48</v>
          </cell>
          <cell r="D1261">
            <v>389</v>
          </cell>
        </row>
        <row r="1262">
          <cell r="C1262" t="str">
            <v>UPCSPOON35IR-42</v>
          </cell>
          <cell r="D1262">
            <v>47</v>
          </cell>
        </row>
        <row r="1263">
          <cell r="C1263" t="str">
            <v>UPGF33WR-45</v>
          </cell>
          <cell r="D1263">
            <v>0</v>
          </cell>
        </row>
        <row r="1264">
          <cell r="C1264" t="str">
            <v>UPGF33WS-45</v>
          </cell>
          <cell r="D1264">
            <v>0</v>
          </cell>
        </row>
        <row r="1265">
          <cell r="C1265" t="str">
            <v>UPGLAUNCH33WA-46</v>
          </cell>
          <cell r="D1265">
            <v>49</v>
          </cell>
        </row>
        <row r="1266">
          <cell r="C1266" t="str">
            <v>UPGLAUNCH33WL-46</v>
          </cell>
          <cell r="D1266">
            <v>39</v>
          </cell>
        </row>
        <row r="1267">
          <cell r="C1267" t="str">
            <v>UPGLAUNCH33WR-46</v>
          </cell>
          <cell r="D1267">
            <v>7</v>
          </cell>
        </row>
        <row r="1268">
          <cell r="C1268" t="str">
            <v>UPGLAUNCH33WS-46</v>
          </cell>
          <cell r="D1268">
            <v>0</v>
          </cell>
        </row>
        <row r="1269">
          <cell r="C1269" t="str">
            <v>UPK33WA-46</v>
          </cell>
          <cell r="D1269">
            <v>41</v>
          </cell>
        </row>
        <row r="1270">
          <cell r="C1270" t="str">
            <v>UPK33WL-46</v>
          </cell>
          <cell r="D1270">
            <v>101</v>
          </cell>
        </row>
        <row r="1271">
          <cell r="C1271" t="str">
            <v>UPK33WR-46</v>
          </cell>
          <cell r="D1271">
            <v>25</v>
          </cell>
        </row>
        <row r="1272">
          <cell r="C1272" t="str">
            <v>UPK33WS-46</v>
          </cell>
          <cell r="D1272">
            <v>31</v>
          </cell>
        </row>
        <row r="1273">
          <cell r="C1273" t="str">
            <v>UPKIA-41</v>
          </cell>
          <cell r="D1273">
            <v>64</v>
          </cell>
        </row>
        <row r="1274">
          <cell r="C1274" t="str">
            <v>UPKIL-41</v>
          </cell>
          <cell r="D1274">
            <v>93</v>
          </cell>
        </row>
        <row r="1275">
          <cell r="C1275" t="str">
            <v>UPKIR-41</v>
          </cell>
          <cell r="D1275">
            <v>30</v>
          </cell>
        </row>
        <row r="1276">
          <cell r="C1276" t="str">
            <v>UPKIS-41</v>
          </cell>
          <cell r="D1276">
            <v>45</v>
          </cell>
        </row>
        <row r="1277">
          <cell r="C1277" t="str">
            <v>UPKWA-46</v>
          </cell>
          <cell r="D1277">
            <v>0</v>
          </cell>
        </row>
        <row r="1278">
          <cell r="C1278" t="str">
            <v>UPKWR-46</v>
          </cell>
          <cell r="D1278">
            <v>0</v>
          </cell>
        </row>
        <row r="1279">
          <cell r="C1279" t="str">
            <v>UPKWS-46</v>
          </cell>
          <cell r="D1279">
            <v>3</v>
          </cell>
        </row>
        <row r="1280">
          <cell r="C1280" t="str">
            <v>UPLT-65-WS-46</v>
          </cell>
          <cell r="D1280">
            <v>111</v>
          </cell>
        </row>
        <row r="1281">
          <cell r="C1281" t="str">
            <v>UPLT-65-WX-46</v>
          </cell>
          <cell r="D1281">
            <v>21</v>
          </cell>
        </row>
        <row r="1282">
          <cell r="C1282" t="str">
            <v>UPMP65WR-46</v>
          </cell>
          <cell r="D1282">
            <v>28</v>
          </cell>
        </row>
        <row r="1283">
          <cell r="C1283" t="str">
            <v>UPMP65WS-46</v>
          </cell>
          <cell r="D1283">
            <v>0</v>
          </cell>
        </row>
        <row r="1284">
          <cell r="C1284" t="str">
            <v>UPMTWS-46</v>
          </cell>
          <cell r="D1284">
            <v>0</v>
          </cell>
        </row>
        <row r="1285">
          <cell r="C1285" t="str">
            <v>UPMTWX-46</v>
          </cell>
          <cell r="D1285">
            <v>0</v>
          </cell>
        </row>
        <row r="1286">
          <cell r="C1286" t="str">
            <v>UPMXD60WR-46</v>
          </cell>
          <cell r="D1286">
            <v>0</v>
          </cell>
        </row>
        <row r="1287">
          <cell r="C1287" t="str">
            <v>UPMXD60WS-46</v>
          </cell>
          <cell r="D1287">
            <v>0</v>
          </cell>
        </row>
        <row r="1288">
          <cell r="C1288" t="str">
            <v>UPNSKRULIL-40</v>
          </cell>
          <cell r="D1288">
            <v>0</v>
          </cell>
        </row>
        <row r="1289">
          <cell r="C1289" t="str">
            <v>UPNSKRULIR-40</v>
          </cell>
          <cell r="D1289">
            <v>0</v>
          </cell>
        </row>
        <row r="1290">
          <cell r="C1290" t="str">
            <v>UPRLT33WR-46-BLACK</v>
          </cell>
          <cell r="D1290">
            <v>16</v>
          </cell>
        </row>
        <row r="1291">
          <cell r="C1291" t="str">
            <v>UPRLT33WR-46-BURG</v>
          </cell>
          <cell r="D1291">
            <v>158</v>
          </cell>
        </row>
        <row r="1292">
          <cell r="C1292" t="str">
            <v>UPRLT33WS-46-BLACK</v>
          </cell>
          <cell r="D1292">
            <v>0</v>
          </cell>
        </row>
        <row r="1293">
          <cell r="C1293" t="str">
            <v>UPRLT33WS-46-BURG</v>
          </cell>
          <cell r="D1293">
            <v>33</v>
          </cell>
        </row>
        <row r="1294">
          <cell r="C1294" t="str">
            <v>UPRLT33WX-46-BLACK</v>
          </cell>
          <cell r="D1294">
            <v>0</v>
          </cell>
        </row>
        <row r="1295">
          <cell r="C1295" t="str">
            <v>UPRLT33WX-46-BURG</v>
          </cell>
          <cell r="D1295">
            <v>0</v>
          </cell>
        </row>
        <row r="1296">
          <cell r="C1296" t="str">
            <v>UPRLT35WR-46-BLACK</v>
          </cell>
          <cell r="D1296">
            <v>32</v>
          </cell>
        </row>
        <row r="1297">
          <cell r="C1297" t="str">
            <v>UPRLT35WR-46-BURG</v>
          </cell>
          <cell r="D1297">
            <v>53</v>
          </cell>
        </row>
        <row r="1298">
          <cell r="C1298" t="str">
            <v>UPRLT35WS-46-BLACK</v>
          </cell>
          <cell r="D1298">
            <v>15</v>
          </cell>
        </row>
        <row r="1299">
          <cell r="C1299" t="str">
            <v>UPRLT35WS-46-BURG</v>
          </cell>
          <cell r="D1299">
            <v>11</v>
          </cell>
        </row>
        <row r="1300">
          <cell r="C1300" t="str">
            <v>UPRLT35WX-46-BLACK</v>
          </cell>
          <cell r="D1300">
            <v>67</v>
          </cell>
        </row>
        <row r="1301">
          <cell r="C1301" t="str">
            <v>UPRLT35WX-46-BURG</v>
          </cell>
          <cell r="D1301">
            <v>20</v>
          </cell>
        </row>
        <row r="1302">
          <cell r="C1302" t="str">
            <v>UPRLT3833WL-45</v>
          </cell>
          <cell r="D1302">
            <v>0</v>
          </cell>
        </row>
        <row r="1303">
          <cell r="C1303" t="str">
            <v>UPRLT3833WR-45</v>
          </cell>
          <cell r="D1303">
            <v>0</v>
          </cell>
        </row>
        <row r="1304">
          <cell r="C1304" t="str">
            <v>UPRLT3833WS-45</v>
          </cell>
          <cell r="D1304">
            <v>0</v>
          </cell>
        </row>
        <row r="1305">
          <cell r="C1305" t="str">
            <v>UPRLT433WA-46-BLACK</v>
          </cell>
          <cell r="D1305">
            <v>0</v>
          </cell>
        </row>
        <row r="1306">
          <cell r="C1306" t="str">
            <v>UPRLT433WR-46-BLACK</v>
          </cell>
          <cell r="D1306">
            <v>0</v>
          </cell>
        </row>
        <row r="1307">
          <cell r="C1307" t="str">
            <v>UPRLT433WS-46-BLACK</v>
          </cell>
          <cell r="D1307">
            <v>42</v>
          </cell>
        </row>
        <row r="1308">
          <cell r="C1308" t="str">
            <v>UPRLTF33WR-44-BLACK</v>
          </cell>
          <cell r="D1308">
            <v>57</v>
          </cell>
        </row>
        <row r="1309">
          <cell r="C1309" t="str">
            <v>UPRLTF33WS-44-BLACK</v>
          </cell>
          <cell r="D1309">
            <v>29</v>
          </cell>
        </row>
        <row r="1310">
          <cell r="C1310" t="str">
            <v>UPRLTF33WX-44-BLACK</v>
          </cell>
          <cell r="D1310">
            <v>47</v>
          </cell>
        </row>
        <row r="1311">
          <cell r="C1311" t="str">
            <v>UPRLTF35WR-44-BLACK</v>
          </cell>
          <cell r="D1311">
            <v>0</v>
          </cell>
        </row>
        <row r="1312">
          <cell r="C1312" t="str">
            <v>UPRLTF35WS-44-BLACK</v>
          </cell>
          <cell r="D1312">
            <v>0</v>
          </cell>
        </row>
        <row r="1313">
          <cell r="C1313" t="str">
            <v>UPRLTF35WX-44-BLACK</v>
          </cell>
          <cell r="D1313">
            <v>0</v>
          </cell>
        </row>
        <row r="1314">
          <cell r="C1314" t="str">
            <v>UPRLTIA-41-MD</v>
          </cell>
          <cell r="D1314">
            <v>296</v>
          </cell>
        </row>
        <row r="1315">
          <cell r="C1315" t="str">
            <v>UPRLTIL-41-MD</v>
          </cell>
          <cell r="D1315">
            <v>922</v>
          </cell>
        </row>
        <row r="1316">
          <cell r="C1316" t="str">
            <v>UPRLTIR-41</v>
          </cell>
          <cell r="D1316">
            <v>0</v>
          </cell>
        </row>
        <row r="1317">
          <cell r="C1317" t="str">
            <v>UPRLTIR-41-MD</v>
          </cell>
          <cell r="D1317">
            <v>98</v>
          </cell>
        </row>
        <row r="1318">
          <cell r="C1318" t="str">
            <v>UPRLTIS-41</v>
          </cell>
          <cell r="D1318">
            <v>0</v>
          </cell>
        </row>
        <row r="1319">
          <cell r="C1319" t="str">
            <v>UPRLTMX2P33WC-46</v>
          </cell>
          <cell r="D1319">
            <v>0</v>
          </cell>
        </row>
        <row r="1320">
          <cell r="C1320" t="str">
            <v>UPRLTMX2P33WR-46</v>
          </cell>
          <cell r="D1320">
            <v>0</v>
          </cell>
        </row>
        <row r="1321">
          <cell r="C1321" t="str">
            <v>UPRLTMX2P33WS-46</v>
          </cell>
          <cell r="D1321">
            <v>0</v>
          </cell>
        </row>
        <row r="1322">
          <cell r="C1322" t="str">
            <v>UPRLTMX33WR-46</v>
          </cell>
          <cell r="D1322">
            <v>0</v>
          </cell>
        </row>
        <row r="1323">
          <cell r="C1323" t="str">
            <v>UPRLTMX33WS-46</v>
          </cell>
          <cell r="D1323">
            <v>0</v>
          </cell>
        </row>
        <row r="1324">
          <cell r="C1324" t="str">
            <v>UPRLTPS35WR-46</v>
          </cell>
          <cell r="D1324">
            <v>49</v>
          </cell>
        </row>
        <row r="1325">
          <cell r="C1325" t="str">
            <v>UPRLTPS35WS-46</v>
          </cell>
          <cell r="D1325">
            <v>27</v>
          </cell>
        </row>
        <row r="1326">
          <cell r="C1326" t="str">
            <v>UPRLTPS35WX-46</v>
          </cell>
          <cell r="D1326">
            <v>37</v>
          </cell>
        </row>
        <row r="1327">
          <cell r="C1327" t="str">
            <v>UPRLTRAM33WL-45</v>
          </cell>
          <cell r="D1327">
            <v>2</v>
          </cell>
        </row>
        <row r="1328">
          <cell r="C1328" t="str">
            <v>UPRLTRAM33WR-45</v>
          </cell>
          <cell r="D1328">
            <v>131</v>
          </cell>
        </row>
        <row r="1329">
          <cell r="C1329" t="str">
            <v>UPRLTRAM33WS-45</v>
          </cell>
          <cell r="D1329">
            <v>42</v>
          </cell>
        </row>
        <row r="1330">
          <cell r="C1330" t="str">
            <v>UPRLTWL-46-MD</v>
          </cell>
          <cell r="D1330">
            <v>37</v>
          </cell>
        </row>
        <row r="1331">
          <cell r="C1331" t="str">
            <v>UPRLTWR-46-MD</v>
          </cell>
          <cell r="D1331">
            <v>6</v>
          </cell>
        </row>
        <row r="1332">
          <cell r="C1332" t="str">
            <v>UPRLTWS-46-MD</v>
          </cell>
          <cell r="D1332">
            <v>0</v>
          </cell>
        </row>
        <row r="1333">
          <cell r="C1333" t="str">
            <v>UPTM2TWA-46</v>
          </cell>
          <cell r="D1333">
            <v>115</v>
          </cell>
        </row>
        <row r="1334">
          <cell r="C1334" t="str">
            <v>UPTM2TWR-46</v>
          </cell>
          <cell r="D1334">
            <v>70</v>
          </cell>
        </row>
        <row r="1335">
          <cell r="C1335" t="str">
            <v>UPTM2TWS-46</v>
          </cell>
          <cell r="D1335">
            <v>365</v>
          </cell>
        </row>
        <row r="1336">
          <cell r="C1336" t="str">
            <v>UQPIC-43</v>
          </cell>
          <cell r="D1336">
            <v>72</v>
          </cell>
        </row>
        <row r="1337">
          <cell r="C1337" t="str">
            <v>UQPIL-42</v>
          </cell>
          <cell r="D1337">
            <v>1</v>
          </cell>
        </row>
        <row r="1338">
          <cell r="C1338" t="str">
            <v>UQPWC-48</v>
          </cell>
          <cell r="D1338">
            <v>27</v>
          </cell>
        </row>
        <row r="1339">
          <cell r="C1339" t="str">
            <v>UQPWL-45</v>
          </cell>
          <cell r="D1339">
            <v>18</v>
          </cell>
        </row>
        <row r="1340">
          <cell r="C1340" t="str">
            <v>URAM33WAL-48</v>
          </cell>
          <cell r="D1340">
            <v>23</v>
          </cell>
        </row>
        <row r="1341">
          <cell r="C1341" t="str">
            <v>URAM33WRS-48</v>
          </cell>
          <cell r="D1341">
            <v>36</v>
          </cell>
        </row>
        <row r="1342">
          <cell r="C1342" t="str">
            <v>URAMIAL-43</v>
          </cell>
          <cell r="D1342">
            <v>248</v>
          </cell>
        </row>
        <row r="1343">
          <cell r="C1343" t="str">
            <v>URAMIRS-43</v>
          </cell>
          <cell r="D1343">
            <v>55</v>
          </cell>
        </row>
        <row r="1344">
          <cell r="C1344" t="str">
            <v>USKMXHYLIL-43</v>
          </cell>
          <cell r="D1344">
            <v>47</v>
          </cell>
        </row>
        <row r="1345">
          <cell r="C1345" t="str">
            <v>USKMXHYLIS-43</v>
          </cell>
          <cell r="D1345">
            <v>83</v>
          </cell>
        </row>
        <row r="1346">
          <cell r="C1346" t="str">
            <v>USKMXPRLIL-43</v>
          </cell>
          <cell r="D1346">
            <v>27</v>
          </cell>
        </row>
        <row r="1347">
          <cell r="C1347" t="str">
            <v>USKMXPRLIS-43</v>
          </cell>
          <cell r="D1347">
            <v>174</v>
          </cell>
        </row>
        <row r="1348">
          <cell r="C1348" t="str">
            <v>USKMXPRLWL-48</v>
          </cell>
          <cell r="D1348">
            <v>22</v>
          </cell>
        </row>
        <row r="1349">
          <cell r="C1349" t="str">
            <v>USKMXPRLWS-48</v>
          </cell>
          <cell r="D1349">
            <v>0</v>
          </cell>
        </row>
        <row r="1350">
          <cell r="C1350" t="str">
            <v>USLAL33WR-45</v>
          </cell>
          <cell r="D1350">
            <v>0</v>
          </cell>
        </row>
        <row r="1351">
          <cell r="C1351" t="str">
            <v>USLAL33WS-45</v>
          </cell>
          <cell r="D1351">
            <v>0</v>
          </cell>
        </row>
        <row r="1352">
          <cell r="C1352" t="str">
            <v>USLAL37IR-40</v>
          </cell>
          <cell r="D1352">
            <v>0</v>
          </cell>
        </row>
        <row r="1353">
          <cell r="C1353" t="str">
            <v>USP33LWS-46</v>
          </cell>
          <cell r="D1353">
            <v>295</v>
          </cell>
        </row>
        <row r="1354">
          <cell r="C1354" t="str">
            <v>USP33WR-46</v>
          </cell>
          <cell r="D1354">
            <v>0</v>
          </cell>
        </row>
        <row r="1355">
          <cell r="C1355" t="str">
            <v>USPHYIC-43</v>
          </cell>
          <cell r="D1355">
            <v>0</v>
          </cell>
        </row>
        <row r="1356">
          <cell r="C1356" t="str">
            <v>USRXTSIA-41</v>
          </cell>
          <cell r="D1356">
            <v>0</v>
          </cell>
        </row>
        <row r="1357">
          <cell r="C1357" t="str">
            <v>USRXTSIL-39</v>
          </cell>
          <cell r="D1357">
            <v>335</v>
          </cell>
        </row>
        <row r="1358">
          <cell r="C1358" t="str">
            <v>USRXTSIR-41</v>
          </cell>
          <cell r="D1358">
            <v>461</v>
          </cell>
        </row>
        <row r="1359">
          <cell r="C1359" t="str">
            <v>USRXTSIS-41</v>
          </cell>
          <cell r="D1359">
            <v>25</v>
          </cell>
        </row>
        <row r="1360">
          <cell r="C1360" t="str">
            <v>USRXTSWA-45</v>
          </cell>
          <cell r="D1360">
            <v>16</v>
          </cell>
        </row>
        <row r="1361">
          <cell r="C1361" t="str">
            <v>USRXTSWL-45</v>
          </cell>
          <cell r="D1361">
            <v>3</v>
          </cell>
        </row>
        <row r="1362">
          <cell r="C1362" t="str">
            <v>USRXTSWR-45</v>
          </cell>
          <cell r="D1362">
            <v>1</v>
          </cell>
        </row>
        <row r="1363">
          <cell r="C1363" t="str">
            <v>USRXTSWS-45</v>
          </cell>
          <cell r="D1363">
            <v>6</v>
          </cell>
        </row>
        <row r="1364">
          <cell r="C1364" t="str">
            <v>UTADWL-46</v>
          </cell>
          <cell r="D1364">
            <v>25</v>
          </cell>
        </row>
        <row r="1365">
          <cell r="C1365" t="str">
            <v>UTADWR-46</v>
          </cell>
          <cell r="D1365">
            <v>81</v>
          </cell>
        </row>
        <row r="1366">
          <cell r="C1366" t="str">
            <v>UTADWS-46</v>
          </cell>
          <cell r="D1366">
            <v>22</v>
          </cell>
        </row>
        <row r="1367">
          <cell r="C1367" t="str">
            <v>UTAFWR-45</v>
          </cell>
          <cell r="D1367">
            <v>6</v>
          </cell>
        </row>
        <row r="1368">
          <cell r="C1368" t="str">
            <v>UTAFWS-45</v>
          </cell>
          <cell r="D1368">
            <v>141</v>
          </cell>
        </row>
        <row r="1369">
          <cell r="C1369" t="str">
            <v>UTAIL-40</v>
          </cell>
          <cell r="D1369">
            <v>11</v>
          </cell>
        </row>
        <row r="1370">
          <cell r="C1370" t="str">
            <v>UTAIR-40</v>
          </cell>
          <cell r="D1370">
            <v>89</v>
          </cell>
        </row>
        <row r="1371">
          <cell r="C1371" t="str">
            <v>UTAIS-40</v>
          </cell>
          <cell r="D1371">
            <v>65</v>
          </cell>
        </row>
        <row r="1372">
          <cell r="C1372" t="str">
            <v>UTCTRHLWR-46</v>
          </cell>
          <cell r="D1372">
            <v>0</v>
          </cell>
        </row>
        <row r="1373">
          <cell r="C1373" t="str">
            <v>UTCTRHLWS-46</v>
          </cell>
          <cell r="D1373">
            <v>0</v>
          </cell>
        </row>
        <row r="1374">
          <cell r="C1374" t="str">
            <v>UTCTRHLWX-46</v>
          </cell>
          <cell r="D1374">
            <v>0</v>
          </cell>
        </row>
        <row r="1375">
          <cell r="C1375" t="str">
            <v>UTCTRMLWR-46</v>
          </cell>
          <cell r="D1375">
            <v>0</v>
          </cell>
        </row>
        <row r="1376">
          <cell r="C1376" t="str">
            <v>UTCTRMLWS-46</v>
          </cell>
          <cell r="D1376">
            <v>0</v>
          </cell>
        </row>
        <row r="1377">
          <cell r="C1377" t="str">
            <v>UTCTRMLWX-46</v>
          </cell>
          <cell r="D1377">
            <v>0</v>
          </cell>
        </row>
        <row r="1378">
          <cell r="C1378" t="str">
            <v>UTE33V25WA-46</v>
          </cell>
          <cell r="D1378">
            <v>0</v>
          </cell>
        </row>
        <row r="1379">
          <cell r="C1379" t="str">
            <v>UTE33V25WL-46</v>
          </cell>
          <cell r="D1379">
            <v>0</v>
          </cell>
        </row>
        <row r="1380">
          <cell r="C1380" t="str">
            <v>UTE33V25WR-46</v>
          </cell>
          <cell r="D1380">
            <v>0</v>
          </cell>
        </row>
        <row r="1381">
          <cell r="C1381" t="str">
            <v>UTE33V25WS-46</v>
          </cell>
          <cell r="D1381">
            <v>71</v>
          </cell>
        </row>
        <row r="1382">
          <cell r="C1382" t="str">
            <v>UTE33V25WX-46</v>
          </cell>
          <cell r="D1382">
            <v>41</v>
          </cell>
        </row>
        <row r="1383">
          <cell r="C1383" t="str">
            <v>UTEGEO33WA-45</v>
          </cell>
          <cell r="D1383">
            <v>224</v>
          </cell>
        </row>
        <row r="1384">
          <cell r="C1384" t="str">
            <v>UTEGEO33WL-45</v>
          </cell>
          <cell r="D1384">
            <v>76</v>
          </cell>
        </row>
        <row r="1385">
          <cell r="C1385" t="str">
            <v>UTEGEO33WR-45</v>
          </cell>
          <cell r="D1385">
            <v>97</v>
          </cell>
        </row>
        <row r="1386">
          <cell r="C1386" t="str">
            <v>UTEGEO33WS-45</v>
          </cell>
          <cell r="D1386">
            <v>491</v>
          </cell>
        </row>
        <row r="1387">
          <cell r="C1387" t="str">
            <v>UTEGEO33WX-45</v>
          </cell>
          <cell r="D1387">
            <v>4</v>
          </cell>
        </row>
        <row r="1388">
          <cell r="C1388" t="str">
            <v>UTEJMQL33WA-46</v>
          </cell>
          <cell r="D1388">
            <v>58</v>
          </cell>
        </row>
        <row r="1389">
          <cell r="C1389" t="str">
            <v>UTEJMQL33WL-46</v>
          </cell>
          <cell r="D1389">
            <v>128</v>
          </cell>
        </row>
        <row r="1390">
          <cell r="C1390" t="str">
            <v>UTEJMQL33WR-46</v>
          </cell>
          <cell r="D1390">
            <v>27</v>
          </cell>
        </row>
        <row r="1391">
          <cell r="C1391" t="str">
            <v>UTEJMQL33WS-46</v>
          </cell>
          <cell r="D1391">
            <v>278</v>
          </cell>
        </row>
        <row r="1392">
          <cell r="C1392" t="str">
            <v>UTEJMQL33WX-46</v>
          </cell>
          <cell r="D1392">
            <v>25</v>
          </cell>
        </row>
        <row r="1393">
          <cell r="C1393" t="str">
            <v>UTFC10035DR-46</v>
          </cell>
          <cell r="D1393">
            <v>10</v>
          </cell>
        </row>
        <row r="1394">
          <cell r="C1394" t="str">
            <v>UTFC10035DS-46</v>
          </cell>
          <cell r="D1394">
            <v>48</v>
          </cell>
        </row>
        <row r="1395">
          <cell r="C1395" t="str">
            <v>UTFC10035FWR-445</v>
          </cell>
          <cell r="D1395">
            <v>0</v>
          </cell>
        </row>
        <row r="1396">
          <cell r="C1396" t="str">
            <v>UTFC10035FWS-445</v>
          </cell>
          <cell r="D1396">
            <v>0</v>
          </cell>
        </row>
        <row r="1397">
          <cell r="C1397" t="str">
            <v>UW430PDA-47</v>
          </cell>
          <cell r="D1397">
            <v>9</v>
          </cell>
        </row>
        <row r="1398">
          <cell r="C1398" t="str">
            <v>UW430PDR-47</v>
          </cell>
          <cell r="D1398">
            <v>71</v>
          </cell>
        </row>
        <row r="1399">
          <cell r="C1399" t="str">
            <v>UW430PDS-47</v>
          </cell>
          <cell r="D1399">
            <v>37</v>
          </cell>
        </row>
        <row r="1400">
          <cell r="C1400" t="str">
            <v>UW430PFA-44</v>
          </cell>
          <cell r="D1400">
            <v>39</v>
          </cell>
        </row>
        <row r="1401">
          <cell r="C1401" t="str">
            <v>UW430PFL-45</v>
          </cell>
          <cell r="D1401">
            <v>0</v>
          </cell>
        </row>
        <row r="1402">
          <cell r="C1402" t="str">
            <v>UW430PFR-44</v>
          </cell>
          <cell r="D1402">
            <v>216</v>
          </cell>
        </row>
        <row r="1403">
          <cell r="C1403" t="str">
            <v>UWBLUPNT635DWR-46</v>
          </cell>
          <cell r="D1403">
            <v>893</v>
          </cell>
        </row>
        <row r="1404">
          <cell r="C1404" t="str">
            <v>UWBLUPNT635DWS-46</v>
          </cell>
          <cell r="D1404">
            <v>588</v>
          </cell>
        </row>
        <row r="1405">
          <cell r="C1405" t="str">
            <v>UWFS3WA-47</v>
          </cell>
          <cell r="D1405">
            <v>225</v>
          </cell>
        </row>
        <row r="1406">
          <cell r="C1406" t="str">
            <v>UWFS3WL-45</v>
          </cell>
          <cell r="D1406">
            <v>2</v>
          </cell>
        </row>
        <row r="1407">
          <cell r="C1407" t="str">
            <v>UWFS3WL-F-45</v>
          </cell>
          <cell r="D1407">
            <v>48</v>
          </cell>
        </row>
        <row r="1408">
          <cell r="C1408" t="str">
            <v>UWFS3WR-47</v>
          </cell>
          <cell r="D1408">
            <v>0</v>
          </cell>
        </row>
        <row r="1409">
          <cell r="C1409" t="str">
            <v>UWFS3WR-F-44</v>
          </cell>
          <cell r="D1409">
            <v>30</v>
          </cell>
        </row>
        <row r="1410">
          <cell r="C1410" t="str">
            <v>UWFS3WS-47</v>
          </cell>
          <cell r="D1410">
            <v>76</v>
          </cell>
        </row>
        <row r="1411">
          <cell r="C1411" t="str">
            <v>UWFS3WS-F-44</v>
          </cell>
          <cell r="D1411">
            <v>28</v>
          </cell>
        </row>
        <row r="1412">
          <cell r="C1412" t="str">
            <v>UWFS440WR-45</v>
          </cell>
          <cell r="D1412">
            <v>6</v>
          </cell>
        </row>
        <row r="1413">
          <cell r="C1413" t="str">
            <v>UWFS480WR-47</v>
          </cell>
          <cell r="D1413">
            <v>4</v>
          </cell>
        </row>
        <row r="1414">
          <cell r="C1414" t="str">
            <v>UWFS4WL-45-NC</v>
          </cell>
          <cell r="D1414">
            <v>2</v>
          </cell>
        </row>
        <row r="1415">
          <cell r="C1415" t="str">
            <v>UWFS4WR-47</v>
          </cell>
          <cell r="D1415">
            <v>6</v>
          </cell>
        </row>
        <row r="1416">
          <cell r="C1416" t="str">
            <v>UWFS4WR-47-NC</v>
          </cell>
          <cell r="D1416">
            <v>17</v>
          </cell>
        </row>
        <row r="1417">
          <cell r="C1417" t="str">
            <v>UWFS4WS-47</v>
          </cell>
          <cell r="D1417">
            <v>1</v>
          </cell>
        </row>
        <row r="1418">
          <cell r="C1418" t="str">
            <v>UWFS4WS-47-NC</v>
          </cell>
          <cell r="D1418">
            <v>2</v>
          </cell>
        </row>
        <row r="1419">
          <cell r="C1419" t="str">
            <v>UWFS5FWWR-44</v>
          </cell>
          <cell r="D1419">
            <v>60</v>
          </cell>
        </row>
        <row r="1420">
          <cell r="C1420" t="str">
            <v>UWFS5WR-47</v>
          </cell>
          <cell r="D1420">
            <v>77</v>
          </cell>
        </row>
        <row r="1421">
          <cell r="C1421" t="str">
            <v>UWNANO2635DWA-46</v>
          </cell>
          <cell r="D1421">
            <v>0</v>
          </cell>
        </row>
        <row r="1422">
          <cell r="C1422" t="str">
            <v>UWNANO2635DWR-46</v>
          </cell>
          <cell r="D1422">
            <v>8</v>
          </cell>
        </row>
        <row r="1423">
          <cell r="C1423" t="str">
            <v>UWNANO2635DWS-46</v>
          </cell>
          <cell r="D1423">
            <v>0</v>
          </cell>
        </row>
        <row r="1424">
          <cell r="C1424" t="str">
            <v>UWNANO2635DWX-46</v>
          </cell>
          <cell r="D1424">
            <v>50</v>
          </cell>
        </row>
        <row r="1425">
          <cell r="C1425" t="str">
            <v>UWNANO2FW3A-44</v>
          </cell>
          <cell r="D1425">
            <v>33</v>
          </cell>
        </row>
        <row r="1426">
          <cell r="C1426" t="str">
            <v>UWNANO2FW3R-44</v>
          </cell>
          <cell r="D1426">
            <v>30</v>
          </cell>
        </row>
        <row r="1427">
          <cell r="C1427" t="str">
            <v>UWNANO2FW3S-44</v>
          </cell>
          <cell r="D1427">
            <v>89</v>
          </cell>
        </row>
        <row r="1428">
          <cell r="C1428" t="str">
            <v>UWNANO2FW3X-44</v>
          </cell>
          <cell r="D1428">
            <v>242</v>
          </cell>
        </row>
        <row r="1429">
          <cell r="C1429" t="str">
            <v>UWNANO2FW579A-43</v>
          </cell>
          <cell r="D1429">
            <v>0</v>
          </cell>
        </row>
        <row r="1430">
          <cell r="C1430" t="str">
            <v>UWNANO2FW579R-43</v>
          </cell>
          <cell r="D1430">
            <v>41</v>
          </cell>
        </row>
        <row r="1431">
          <cell r="C1431" t="str">
            <v>UWNANO2FW579S-43</v>
          </cell>
          <cell r="D1431">
            <v>0</v>
          </cell>
        </row>
        <row r="1432">
          <cell r="C1432" t="str">
            <v>UWNANO2FW579X-43</v>
          </cell>
          <cell r="D1432">
            <v>5</v>
          </cell>
        </row>
        <row r="1433">
          <cell r="C1433" t="str">
            <v>UWSHG815WR-47</v>
          </cell>
          <cell r="D1433">
            <v>34</v>
          </cell>
        </row>
        <row r="1434">
          <cell r="C1434" t="str">
            <v>UWSHG816WR-45</v>
          </cell>
          <cell r="D1434">
            <v>58</v>
          </cell>
        </row>
        <row r="1435">
          <cell r="C1435" t="str">
            <v>UWST35DWA-46</v>
          </cell>
          <cell r="D1435">
            <v>0</v>
          </cell>
        </row>
        <row r="1436">
          <cell r="C1436" t="str">
            <v>UWST35DWR-46</v>
          </cell>
          <cell r="D1436">
            <v>627</v>
          </cell>
        </row>
        <row r="1437">
          <cell r="C1437" t="str">
            <v>UWST35DWS-46</v>
          </cell>
          <cell r="D1437">
            <v>0</v>
          </cell>
        </row>
        <row r="1438">
          <cell r="C1438" t="str">
            <v>UWST35DWX-46</v>
          </cell>
          <cell r="D1438">
            <v>0</v>
          </cell>
        </row>
        <row r="1439">
          <cell r="C1439" t="str">
            <v>UWST35FWA-44</v>
          </cell>
          <cell r="D1439">
            <v>37</v>
          </cell>
        </row>
        <row r="1440">
          <cell r="C1440" t="str">
            <v>UWST35FWR-44</v>
          </cell>
          <cell r="D1440">
            <v>0</v>
          </cell>
        </row>
        <row r="1441">
          <cell r="C1441" t="str">
            <v>UWST35FWS-44</v>
          </cell>
          <cell r="D1441">
            <v>0</v>
          </cell>
        </row>
        <row r="1442">
          <cell r="C1442" t="str">
            <v>UWST35FWX-44</v>
          </cell>
          <cell r="D1442">
            <v>22</v>
          </cell>
        </row>
        <row r="1443">
          <cell r="C1443" t="str">
            <v>UWST43DWA-47</v>
          </cell>
          <cell r="D1443">
            <v>208</v>
          </cell>
        </row>
        <row r="1444">
          <cell r="C1444" t="str">
            <v>UWST43DWR-47</v>
          </cell>
          <cell r="D1444">
            <v>230</v>
          </cell>
        </row>
        <row r="1445">
          <cell r="C1445" t="str">
            <v>UWST43DWS-47</v>
          </cell>
          <cell r="D1445">
            <v>1154</v>
          </cell>
        </row>
        <row r="1446">
          <cell r="C1446" t="str">
            <v>UWST43DWX-47</v>
          </cell>
          <cell r="D1446">
            <v>65</v>
          </cell>
        </row>
        <row r="1447">
          <cell r="C1447" t="str">
            <v>UWTP428FWR-45</v>
          </cell>
          <cell r="D1447">
            <v>66</v>
          </cell>
        </row>
        <row r="1448">
          <cell r="C1448" t="str">
            <v>UWTP480DWR-47</v>
          </cell>
          <cell r="D1448">
            <v>0</v>
          </cell>
        </row>
        <row r="1449">
          <cell r="C1449" t="str">
            <v>WLNBLK1</v>
          </cell>
          <cell r="D1449">
            <v>560</v>
          </cell>
        </row>
        <row r="1450">
          <cell r="C1450" t="str">
            <v>WWEFIR2-42</v>
          </cell>
          <cell r="D1450">
            <v>0</v>
          </cell>
        </row>
        <row r="1451">
          <cell r="C1451" t="str">
            <v>WWEFWL2-47</v>
          </cell>
          <cell r="D1451">
            <v>0</v>
          </cell>
        </row>
        <row r="1452">
          <cell r="C1452" t="str">
            <v>WWPLWA-46</v>
          </cell>
          <cell r="D1452">
            <v>18</v>
          </cell>
        </row>
        <row r="1453">
          <cell r="C1453" t="str">
            <v>WWPLWR-46</v>
          </cell>
          <cell r="D1453">
            <v>0</v>
          </cell>
        </row>
        <row r="1454">
          <cell r="C1454" t="str">
            <v>WWPLWS-46</v>
          </cell>
          <cell r="D1454">
            <v>0</v>
          </cell>
        </row>
        <row r="1455">
          <cell r="C1455" t="str">
            <v>WWPLWX-46</v>
          </cell>
          <cell r="D1455">
            <v>8</v>
          </cell>
        </row>
        <row r="1456">
          <cell r="C1456" t="str">
            <v>WWTPWIA-42</v>
          </cell>
          <cell r="D1456">
            <v>154</v>
          </cell>
        </row>
        <row r="1457">
          <cell r="C1457" t="str">
            <v>WWTPWIL-42</v>
          </cell>
          <cell r="D1457">
            <v>0</v>
          </cell>
        </row>
        <row r="1458">
          <cell r="C1458" t="str">
            <v>WWTPWIR-42</v>
          </cell>
          <cell r="D1458">
            <v>0</v>
          </cell>
        </row>
        <row r="1459">
          <cell r="C1459" t="str">
            <v>WWTPWIS-42</v>
          </cell>
          <cell r="D1459">
            <v>673</v>
          </cell>
        </row>
        <row r="1460">
          <cell r="C1460" t="str">
            <v>WWTPWIW-42</v>
          </cell>
          <cell r="D1460">
            <v>188</v>
          </cell>
        </row>
        <row r="1461">
          <cell r="C1461" t="str">
            <v>WWTPWWA-47</v>
          </cell>
          <cell r="D1461">
            <v>0</v>
          </cell>
        </row>
        <row r="1462">
          <cell r="C1462" t="str">
            <v>WWTPWWA-47-P2</v>
          </cell>
          <cell r="D1462">
            <v>151</v>
          </cell>
        </row>
        <row r="1463">
          <cell r="C1463" t="str">
            <v>WWTPWWL-47</v>
          </cell>
          <cell r="D1463">
            <v>0</v>
          </cell>
        </row>
        <row r="1464">
          <cell r="C1464" t="str">
            <v>WWTPWWL-47-P2</v>
          </cell>
          <cell r="D1464">
            <v>0</v>
          </cell>
        </row>
        <row r="1465">
          <cell r="C1465" t="str">
            <v>WWTPWWR-47</v>
          </cell>
          <cell r="D1465">
            <v>0</v>
          </cell>
        </row>
        <row r="1466">
          <cell r="C1466" t="str">
            <v>WWTPWWR-47-P2</v>
          </cell>
          <cell r="D1466">
            <v>84</v>
          </cell>
        </row>
        <row r="1467">
          <cell r="C1467" t="str">
            <v>WWTPWWS-47</v>
          </cell>
          <cell r="D1467">
            <v>1</v>
          </cell>
        </row>
        <row r="1468">
          <cell r="C1468" t="str">
            <v>WWTPWWS-47-P2</v>
          </cell>
          <cell r="D1468">
            <v>4</v>
          </cell>
        </row>
        <row r="1469">
          <cell r="C1469" t="str">
            <v>SHR-RM19-P225-G01L-57</v>
          </cell>
          <cell r="D1469">
            <v>0</v>
          </cell>
        </row>
        <row r="1470">
          <cell r="C1470" t="str">
            <v>SHR-RM19-P227-G01L-57</v>
          </cell>
          <cell r="D1470">
            <v>0</v>
          </cell>
        </row>
        <row r="1471">
          <cell r="C1471" t="str">
            <v>CCM-V10-COPS-4560-RB</v>
          </cell>
          <cell r="D1471">
            <v>30</v>
          </cell>
        </row>
        <row r="1472">
          <cell r="C1472" t="str">
            <v>CCM-V10-TOPS-3560-TL</v>
          </cell>
          <cell r="D1472">
            <v>4</v>
          </cell>
        </row>
        <row r="1473">
          <cell r="C1473" t="str">
            <v>BAL-45CAL-T-11055-UP</v>
          </cell>
          <cell r="D1473">
            <v>25</v>
          </cell>
        </row>
        <row r="1474">
          <cell r="C1474" t="str">
            <v>BAL-45CAL-T-10055-UP</v>
          </cell>
          <cell r="D1474">
            <v>25</v>
          </cell>
        </row>
        <row r="1475">
          <cell r="C1475" t="str">
            <v>BAL-45CAL-T-09055-UP</v>
          </cell>
          <cell r="D1475">
            <v>25</v>
          </cell>
        </row>
        <row r="1476">
          <cell r="C1476" t="str">
            <v>BAL-45CAL-T-08055-UP</v>
          </cell>
          <cell r="D1476">
            <v>25</v>
          </cell>
        </row>
        <row r="1477">
          <cell r="C1477" t="str">
            <v>ULAUNCHSIGWRS-46</v>
          </cell>
          <cell r="D1477">
            <v>201</v>
          </cell>
        </row>
        <row r="1478">
          <cell r="C1478" t="str">
            <v>ULAUNCHSIGWAL-46</v>
          </cell>
          <cell r="D1478">
            <v>84</v>
          </cell>
        </row>
        <row r="1479">
          <cell r="C1479" t="str">
            <v>QCOMPS10-8H-744-2-UP</v>
          </cell>
          <cell r="D1479">
            <v>20</v>
          </cell>
        </row>
        <row r="1480">
          <cell r="C1480" t="str">
            <v>QGS10-8H-744-2-UP</v>
          </cell>
          <cell r="D1480">
            <v>32</v>
          </cell>
        </row>
        <row r="1481">
          <cell r="C1481" t="str">
            <v>BAL-45CAL-T-12055-UP</v>
          </cell>
          <cell r="D1481">
            <v>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6"/>
  <sheetViews>
    <sheetView tabSelected="1" zoomScale="80" zoomScaleNormal="80" workbookViewId="0">
      <selection activeCell="Q8" sqref="Q8"/>
    </sheetView>
  </sheetViews>
  <sheetFormatPr defaultRowHeight="14.4"/>
  <cols>
    <col min="1" max="1" width="26.77734375" customWidth="1"/>
    <col min="2" max="2" width="5.77734375" customWidth="1"/>
    <col min="3" max="3" width="7.77734375" customWidth="1"/>
    <col min="4" max="6" width="0" hidden="1" customWidth="1"/>
    <col min="7" max="7" width="9.6640625" customWidth="1"/>
    <col min="8" max="9" width="7.77734375" customWidth="1"/>
    <col min="10" max="10" width="9.77734375" customWidth="1"/>
    <col min="11" max="11" width="14.109375" customWidth="1"/>
    <col min="12" max="12" width="11.77734375" customWidth="1"/>
    <col min="13" max="13" width="19.77734375" customWidth="1"/>
    <col min="14" max="14" width="8.44140625" customWidth="1"/>
    <col min="15" max="15" width="6.77734375" customWidth="1"/>
    <col min="16" max="16" width="11.77734375" customWidth="1"/>
    <col min="17" max="30" width="22.77734375" customWidth="1"/>
  </cols>
  <sheetData>
    <row r="1" spans="1:17" ht="72" customHeight="1">
      <c r="A1" s="189"/>
      <c r="B1" s="216"/>
      <c r="C1" s="216"/>
      <c r="D1" s="216"/>
      <c r="E1" s="216"/>
      <c r="F1" s="216"/>
      <c r="G1" s="216"/>
      <c r="H1" s="190"/>
      <c r="I1" s="191" t="s">
        <v>1854</v>
      </c>
      <c r="J1" s="217">
        <f ca="1">NOW()</f>
        <v>43130.90651296296</v>
      </c>
      <c r="K1" s="217"/>
      <c r="L1" s="190"/>
      <c r="M1" s="192"/>
      <c r="N1" s="190"/>
      <c r="O1" s="193"/>
      <c r="P1" s="194">
        <v>18</v>
      </c>
      <c r="Q1" s="192" t="s">
        <v>1855</v>
      </c>
    </row>
    <row r="2" spans="1:17" ht="34.950000000000003" customHeight="1">
      <c r="A2" s="195" t="s">
        <v>1856</v>
      </c>
      <c r="B2" s="196" t="s">
        <v>1857</v>
      </c>
      <c r="C2" s="197" t="s">
        <v>1858</v>
      </c>
      <c r="D2" s="197" t="s">
        <v>1859</v>
      </c>
      <c r="E2" s="197" t="s">
        <v>1860</v>
      </c>
      <c r="F2" s="197" t="s">
        <v>1861</v>
      </c>
      <c r="G2" s="198" t="s">
        <v>1862</v>
      </c>
      <c r="H2" s="197" t="s">
        <v>1863</v>
      </c>
      <c r="I2" s="197" t="s">
        <v>1864</v>
      </c>
      <c r="J2" s="197" t="s">
        <v>1865</v>
      </c>
      <c r="K2" s="199" t="s">
        <v>1866</v>
      </c>
      <c r="L2" s="200" t="s">
        <v>1867</v>
      </c>
      <c r="M2" s="200" t="s">
        <v>1868</v>
      </c>
      <c r="N2" s="201" t="s">
        <v>1869</v>
      </c>
      <c r="O2" s="201" t="s">
        <v>1870</v>
      </c>
      <c r="P2" s="201" t="s">
        <v>1871</v>
      </c>
      <c r="Q2" s="202" t="s">
        <v>1872</v>
      </c>
    </row>
    <row r="3" spans="1:17" ht="27" customHeight="1">
      <c r="A3" s="195" t="s">
        <v>1873</v>
      </c>
      <c r="B3" s="203" t="s">
        <v>1874</v>
      </c>
      <c r="C3" s="203" t="s">
        <v>1875</v>
      </c>
      <c r="D3" s="203" t="s">
        <v>1876</v>
      </c>
      <c r="E3" s="203" t="s">
        <v>1877</v>
      </c>
      <c r="F3" s="203" t="s">
        <v>1878</v>
      </c>
      <c r="G3" s="204" t="s">
        <v>1879</v>
      </c>
      <c r="H3" s="205" t="s">
        <v>1880</v>
      </c>
      <c r="I3" s="201" t="s">
        <v>1881</v>
      </c>
      <c r="J3" s="201" t="s">
        <v>1882</v>
      </c>
      <c r="K3" s="201" t="s">
        <v>1883</v>
      </c>
      <c r="L3" s="206" t="s">
        <v>1884</v>
      </c>
      <c r="M3" s="200" t="s">
        <v>1885</v>
      </c>
      <c r="N3" s="201" t="s">
        <v>1886</v>
      </c>
      <c r="O3" s="201" t="s">
        <v>1887</v>
      </c>
      <c r="P3" s="201" t="s">
        <v>1888</v>
      </c>
      <c r="Q3" s="202" t="s">
        <v>1889</v>
      </c>
    </row>
    <row r="4" spans="1:17" ht="22.05" customHeight="1">
      <c r="A4" s="207" t="s">
        <v>503</v>
      </c>
      <c r="B4" s="208">
        <f>VLOOKUP(A:A,[1]重量与单价数据!A$1:F$65536,6,0)</f>
        <v>385</v>
      </c>
      <c r="C4" s="208">
        <f>VLOOKUP(A:A,[1]重量与单价数据!A$1:G$65536,4,0)</f>
        <v>50</v>
      </c>
      <c r="D4" s="208"/>
      <c r="E4" s="208"/>
      <c r="F4" s="208"/>
      <c r="G4" s="209">
        <v>295</v>
      </c>
      <c r="H4" s="210">
        <f>VLOOKUP(A:A,[1]重量与单价数据!A$1:C$65536,3,0)</f>
        <v>326</v>
      </c>
      <c r="I4" s="210">
        <f>VLOOKUP(A:A,[1]重量与单价数据!A$1:E$65536,5,0)</f>
        <v>1.48</v>
      </c>
      <c r="J4" s="210"/>
      <c r="K4" s="210">
        <f t="shared" ref="K4:K18" si="0">J4-G4</f>
        <v>-295</v>
      </c>
      <c r="L4" s="211" t="str">
        <f>VLOOKUP(A:A,[1]重量与单价数据!A$1:G$65536,7,0)</f>
        <v>Shaft</v>
      </c>
      <c r="M4" s="211">
        <f>VLOOKUP(A:A,重量与单价数据!A$1:P$65536,16,0)</f>
        <v>0</v>
      </c>
      <c r="N4" s="212">
        <f t="shared" ref="N4:N18" si="1">CEILING(G4/C4,1)</f>
        <v>6</v>
      </c>
      <c r="O4" s="212">
        <f t="shared" ref="O4:O18" si="2">G4-FLOOR(G4,C4)</f>
        <v>45</v>
      </c>
      <c r="P4" s="213" t="str">
        <f>VLOOKUP(A:A,重量与单价数据!A$1:H$65536,8,0)</f>
        <v>145*29*16</v>
      </c>
      <c r="Q4" s="214"/>
    </row>
    <row r="5" spans="1:17" ht="22.05" customHeight="1">
      <c r="A5" s="207" t="s">
        <v>504</v>
      </c>
      <c r="B5" s="208">
        <f>VLOOKUP(A:A,[1]重量与单价数据!A$1:F$65536,6,0)</f>
        <v>386</v>
      </c>
      <c r="C5" s="208">
        <f>VLOOKUP(A:A,[1]重量与单价数据!A$1:G$65536,4,0)</f>
        <v>1</v>
      </c>
      <c r="D5" s="208"/>
      <c r="E5" s="208"/>
      <c r="F5" s="208"/>
      <c r="G5" s="209">
        <v>36</v>
      </c>
      <c r="H5" s="210">
        <f>VLOOKUP(A:A,[1]重量与单价数据!A$1:C$65536,3,0)</f>
        <v>430</v>
      </c>
      <c r="I5" s="210">
        <f>VLOOKUP(A:A,[1]重量与单价数据!A$1:E$65536,5,0)</f>
        <v>0.5</v>
      </c>
      <c r="J5" s="210"/>
      <c r="K5" s="210">
        <f t="shared" ref="K5:K14" si="3">J5-G5</f>
        <v>-36</v>
      </c>
      <c r="L5" s="211" t="str">
        <f>VLOOKUP(A:A,[1]重量与单价数据!A$1:G$65536,7,0)</f>
        <v>fork</v>
      </c>
      <c r="M5" s="211">
        <f>VLOOKUP(A:A,重量与单价数据!A$1:P$65536,16,0)</f>
        <v>0</v>
      </c>
      <c r="N5" s="212">
        <f t="shared" ref="N5:N14" si="4">CEILING(G5/C5,1)</f>
        <v>36</v>
      </c>
      <c r="O5" s="212">
        <f t="shared" ref="O5:O14" si="5">G5-FLOOR(G5,C5)</f>
        <v>0</v>
      </c>
      <c r="P5" s="213" t="str">
        <f>VLOOKUP(A:A,重量与单价数据!A$1:H$65536,8,0)</f>
        <v>89*14*9</v>
      </c>
      <c r="Q5" s="214"/>
    </row>
    <row r="6" spans="1:17" ht="22.05" customHeight="1">
      <c r="A6" s="207" t="s">
        <v>448</v>
      </c>
      <c r="B6" s="208">
        <f>VLOOKUP(A:A,[1]重量与单价数据!A$1:F$65536,6,0)</f>
        <v>340</v>
      </c>
      <c r="C6" s="208">
        <f>VLOOKUP(A:A,[1]重量与单价数据!A$1:G$65536,4,0)</f>
        <v>50</v>
      </c>
      <c r="D6" s="208"/>
      <c r="E6" s="208"/>
      <c r="F6" s="208"/>
      <c r="G6" s="209">
        <v>234</v>
      </c>
      <c r="H6" s="210">
        <f>VLOOKUP(A:A,[1]重量与单价数据!A$1:C$65536,3,0)</f>
        <v>99</v>
      </c>
      <c r="I6" s="210">
        <f>VLOOKUP(A:A,[1]重量与单价数据!A$1:E$65536,5,0)</f>
        <v>0.6</v>
      </c>
      <c r="J6" s="210"/>
      <c r="K6" s="210">
        <f t="shared" si="3"/>
        <v>-234</v>
      </c>
      <c r="L6" s="211" t="str">
        <f>VLOOKUP(A:A,[1]重量与单价数据!A$1:G$65536,7,0)</f>
        <v>golf</v>
      </c>
      <c r="M6" s="211">
        <f>VLOOKUP(A:A,重量与单价数据!A$1:P$65536,16,0)</f>
        <v>0</v>
      </c>
      <c r="N6" s="212">
        <f t="shared" si="4"/>
        <v>5</v>
      </c>
      <c r="O6" s="212">
        <f t="shared" si="5"/>
        <v>34</v>
      </c>
      <c r="P6" s="213" t="str">
        <f>VLOOKUP(A:A,重量与单价数据!A$1:H$65536,8,0)</f>
        <v>122*15*10</v>
      </c>
      <c r="Q6" s="214"/>
    </row>
    <row r="7" spans="1:17" ht="22.05" customHeight="1">
      <c r="A7" s="207" t="s">
        <v>949</v>
      </c>
      <c r="B7" s="208">
        <f>VLOOKUP(A:A,[1]重量与单价数据!A$1:F$65536,6,0)</f>
        <v>765</v>
      </c>
      <c r="C7" s="208">
        <f>VLOOKUP(A:A,[1]重量与单价数据!A$1:G$65536,4,0)</f>
        <v>50</v>
      </c>
      <c r="D7" s="208"/>
      <c r="E7" s="208"/>
      <c r="F7" s="208"/>
      <c r="G7" s="209">
        <v>18</v>
      </c>
      <c r="H7" s="210">
        <f>VLOOKUP(A:A,[1]重量与单价数据!A$1:C$65536,3,0)</f>
        <v>72</v>
      </c>
      <c r="I7" s="210">
        <f>VLOOKUP(A:A,[1]重量与单价数据!A$1:E$65536,5,0)</f>
        <v>0.6</v>
      </c>
      <c r="J7" s="210"/>
      <c r="K7" s="210">
        <f t="shared" ref="K7:K11" si="6">J7-G7</f>
        <v>-18</v>
      </c>
      <c r="L7" s="211" t="str">
        <f>VLOOKUP(A:A,[1]重量与单价数据!A$1:G$65536,7,0)</f>
        <v>golf</v>
      </c>
      <c r="M7" s="211">
        <f>VLOOKUP(A:A,重量与单价数据!A$1:P$65536,16,0)</f>
        <v>0</v>
      </c>
      <c r="N7" s="212">
        <f t="shared" ref="N7:N11" si="7">CEILING(G7/C7,1)</f>
        <v>1</v>
      </c>
      <c r="O7" s="212">
        <f t="shared" ref="O7:O11" si="8">G7-FLOOR(G7,C7)</f>
        <v>18</v>
      </c>
      <c r="P7" s="213" t="str">
        <f>VLOOKUP(A:A,重量与单价数据!A$1:H$65536,8,0)</f>
        <v>122*15*10</v>
      </c>
      <c r="Q7" s="214"/>
    </row>
    <row r="8" spans="1:17" ht="22.05" customHeight="1">
      <c r="A8" s="207" t="s">
        <v>445</v>
      </c>
      <c r="B8" s="208">
        <f>VLOOKUP(A:A,[1]重量与单价数据!A$1:F$65536,6,0)</f>
        <v>339</v>
      </c>
      <c r="C8" s="208">
        <f>VLOOKUP(A:A,[1]重量与单价数据!A$1:G$65536,4,0)</f>
        <v>1</v>
      </c>
      <c r="D8" s="208"/>
      <c r="E8" s="208"/>
      <c r="F8" s="208"/>
      <c r="G8" s="209">
        <v>50</v>
      </c>
      <c r="H8" s="210">
        <f>VLOOKUP(A:A,[1]重量与单价数据!A$1:C$65536,3,0)</f>
        <v>430</v>
      </c>
      <c r="I8" s="210">
        <f>VLOOKUP(A:A,[1]重量与单价数据!A$1:E$65536,5,0)</f>
        <v>0.5</v>
      </c>
      <c r="J8" s="210"/>
      <c r="K8" s="210">
        <f t="shared" si="6"/>
        <v>-50</v>
      </c>
      <c r="L8" s="211" t="str">
        <f>VLOOKUP(A:A,[1]重量与单价数据!A$1:G$65536,7,0)</f>
        <v>fork</v>
      </c>
      <c r="M8" s="211">
        <f>VLOOKUP(A:A,重量与单价数据!A$1:P$65536,16,0)</f>
        <v>0</v>
      </c>
      <c r="N8" s="212">
        <f t="shared" si="7"/>
        <v>50</v>
      </c>
      <c r="O8" s="212">
        <f t="shared" si="8"/>
        <v>0</v>
      </c>
      <c r="P8" s="213" t="str">
        <f>VLOOKUP(A:A,重量与单价数据!A$1:H$65536,8,0)</f>
        <v>89*14*9</v>
      </c>
      <c r="Q8" s="214"/>
    </row>
    <row r="9" spans="1:17" ht="22.05" customHeight="1">
      <c r="A9" s="207" t="s">
        <v>448</v>
      </c>
      <c r="B9" s="208">
        <f>VLOOKUP(A:A,[1]重量与单价数据!A$1:F$65536,6,0)</f>
        <v>340</v>
      </c>
      <c r="C9" s="208">
        <f>VLOOKUP(A:A,[1]重量与单价数据!A$1:G$65536,4,0)</f>
        <v>50</v>
      </c>
      <c r="D9" s="208"/>
      <c r="E9" s="208"/>
      <c r="F9" s="208"/>
      <c r="G9" s="209">
        <v>234</v>
      </c>
      <c r="H9" s="210">
        <f>VLOOKUP(A:A,[1]重量与单价数据!A$1:C$65536,3,0)</f>
        <v>99</v>
      </c>
      <c r="I9" s="210">
        <f>VLOOKUP(A:A,[1]重量与单价数据!A$1:E$65536,5,0)</f>
        <v>0.6</v>
      </c>
      <c r="J9" s="210"/>
      <c r="K9" s="210">
        <f t="shared" si="6"/>
        <v>-234</v>
      </c>
      <c r="L9" s="211" t="str">
        <f>VLOOKUP(A:A,[1]重量与单价数据!A$1:G$65536,7,0)</f>
        <v>golf</v>
      </c>
      <c r="M9" s="211">
        <f>VLOOKUP(A:A,重量与单价数据!A$1:P$65536,16,0)</f>
        <v>0</v>
      </c>
      <c r="N9" s="212">
        <f t="shared" si="7"/>
        <v>5</v>
      </c>
      <c r="O9" s="212">
        <f t="shared" si="8"/>
        <v>34</v>
      </c>
      <c r="P9" s="213" t="str">
        <f>VLOOKUP(A:A,重量与单价数据!A$1:H$65536,8,0)</f>
        <v>122*15*10</v>
      </c>
      <c r="Q9" s="214"/>
    </row>
    <row r="10" spans="1:17" ht="22.05" customHeight="1">
      <c r="A10" s="207" t="s">
        <v>949</v>
      </c>
      <c r="B10" s="208">
        <f>VLOOKUP(A:A,[1]重量与单价数据!A$1:F$65536,6,0)</f>
        <v>765</v>
      </c>
      <c r="C10" s="208">
        <f>VLOOKUP(A:A,[1]重量与单价数据!A$1:G$65536,4,0)</f>
        <v>50</v>
      </c>
      <c r="D10" s="208"/>
      <c r="E10" s="208"/>
      <c r="F10" s="208"/>
      <c r="G10" s="209">
        <v>18</v>
      </c>
      <c r="H10" s="210">
        <f>VLOOKUP(A:A,[1]重量与单价数据!A$1:C$65536,3,0)</f>
        <v>72</v>
      </c>
      <c r="I10" s="210">
        <f>VLOOKUP(A:A,[1]重量与单价数据!A$1:E$65536,5,0)</f>
        <v>0.6</v>
      </c>
      <c r="J10" s="210"/>
      <c r="K10" s="210">
        <f t="shared" si="6"/>
        <v>-18</v>
      </c>
      <c r="L10" s="211" t="str">
        <f>VLOOKUP(A:A,[1]重量与单价数据!A$1:G$65536,7,0)</f>
        <v>golf</v>
      </c>
      <c r="M10" s="211">
        <f>VLOOKUP(A:A,重量与单价数据!A$1:P$65536,16,0)</f>
        <v>0</v>
      </c>
      <c r="N10" s="212">
        <f t="shared" si="7"/>
        <v>1</v>
      </c>
      <c r="O10" s="212">
        <f t="shared" si="8"/>
        <v>18</v>
      </c>
      <c r="P10" s="213" t="str">
        <f>VLOOKUP(A:A,重量与单价数据!A$1:H$65536,8,0)</f>
        <v>122*15*10</v>
      </c>
      <c r="Q10" s="214"/>
    </row>
    <row r="11" spans="1:17" ht="22.05" customHeight="1">
      <c r="A11" s="207" t="s">
        <v>950</v>
      </c>
      <c r="B11" s="208">
        <f>VLOOKUP(A:A,[1]重量与单价数据!A$1:F$65536,6,0)</f>
        <v>766</v>
      </c>
      <c r="C11" s="208">
        <f>VLOOKUP(A:A,[1]重量与单价数据!A$1:G$65536,4,0)</f>
        <v>50</v>
      </c>
      <c r="D11" s="208"/>
      <c r="E11" s="208"/>
      <c r="F11" s="208"/>
      <c r="G11" s="209">
        <v>25</v>
      </c>
      <c r="H11" s="210">
        <f>VLOOKUP(A:A,[1]重量与单价数据!A$1:C$65536,3,0)</f>
        <v>380</v>
      </c>
      <c r="I11" s="210">
        <f>VLOOKUP(A:A,[1]重量与单价数据!A$1:E$65536,5,0)</f>
        <v>1.48</v>
      </c>
      <c r="J11" s="210"/>
      <c r="K11" s="210">
        <f t="shared" si="6"/>
        <v>-25</v>
      </c>
      <c r="L11" s="211" t="str">
        <f>VLOOKUP(A:A,[1]重量与单价数据!A$1:G$65536,7,0)</f>
        <v>shaft</v>
      </c>
      <c r="M11" s="211">
        <f>VLOOKUP(A:A,重量与单价数据!A$1:P$65536,16,0)</f>
        <v>0</v>
      </c>
      <c r="N11" s="212">
        <f t="shared" si="7"/>
        <v>1</v>
      </c>
      <c r="O11" s="212">
        <f t="shared" si="8"/>
        <v>25</v>
      </c>
      <c r="P11" s="213" t="str">
        <f>VLOOKUP(A:A,重量与单价数据!A$1:H$65536,8,0)</f>
        <v>145*29*16</v>
      </c>
      <c r="Q11" s="214"/>
    </row>
    <row r="12" spans="1:17" ht="22.05" customHeight="1">
      <c r="A12" s="207" t="s">
        <v>1756</v>
      </c>
      <c r="B12" s="208">
        <f>VLOOKUP(A:A,[1]重量与单价数据!A$1:F$65536,6,0)</f>
        <v>1496</v>
      </c>
      <c r="C12" s="208">
        <f>VLOOKUP(A:A,[1]重量与单价数据!A$1:G$65536,4,0)</f>
        <v>12</v>
      </c>
      <c r="D12" s="208"/>
      <c r="E12" s="208"/>
      <c r="F12" s="208"/>
      <c r="G12" s="209">
        <v>25</v>
      </c>
      <c r="H12" s="210">
        <f>VLOOKUP(A:A,[1]重量与单价数据!A$1:C$65536,3,0)</f>
        <v>740</v>
      </c>
      <c r="I12" s="210">
        <f>VLOOKUP(A:A,[1]重量与单价数据!A$1:E$65536,5,0)</f>
        <v>2.2200000000000002</v>
      </c>
      <c r="J12" s="210"/>
      <c r="K12" s="210">
        <f>J12-G12</f>
        <v>-25</v>
      </c>
      <c r="L12" s="211" t="str">
        <f>VLOOKUP(A:A,[1]重量与单价数据!A$1:G$65536,7,0)</f>
        <v>goalier</v>
      </c>
      <c r="M12" s="211">
        <f>VLOOKUP(A:A,重量与单价数据!A$1:P$65536,16,0)</f>
        <v>0</v>
      </c>
      <c r="N12" s="212">
        <f>CEILING(G12/C12,1)</f>
        <v>3</v>
      </c>
      <c r="O12" s="212">
        <f>G12-FLOOR(G12,C12)</f>
        <v>1</v>
      </c>
      <c r="P12" s="213" t="str">
        <f>VLOOKUP(A:A,重量与单价数据!A$1:H$65536,8,0)</f>
        <v>179*42*15</v>
      </c>
      <c r="Q12" s="214"/>
    </row>
    <row r="13" spans="1:17" ht="22.05" customHeight="1">
      <c r="A13" s="207" t="s">
        <v>1756</v>
      </c>
      <c r="B13" s="208">
        <f>VLOOKUP(A:A,[1]重量与单价数据!A$1:F$65536,6,0)</f>
        <v>1496</v>
      </c>
      <c r="C13" s="208">
        <f>VLOOKUP(A:A,[1]重量与单价数据!A$1:G$65536,4,0)</f>
        <v>12</v>
      </c>
      <c r="D13" s="208"/>
      <c r="E13" s="208"/>
      <c r="F13" s="208"/>
      <c r="G13" s="209">
        <v>25</v>
      </c>
      <c r="H13" s="210">
        <f>VLOOKUP(A:A,[1]重量与单价数据!A$1:C$65536,3,0)</f>
        <v>740</v>
      </c>
      <c r="I13" s="210">
        <f>VLOOKUP(A:A,[1]重量与单价数据!A$1:E$65536,5,0)</f>
        <v>2.2200000000000002</v>
      </c>
      <c r="J13" s="210"/>
      <c r="K13" s="210">
        <f>J13-G13</f>
        <v>-25</v>
      </c>
      <c r="L13" s="211" t="str">
        <f>VLOOKUP(A:A,[1]重量与单价数据!A$1:G$65536,7,0)</f>
        <v>goalier</v>
      </c>
      <c r="M13" s="211">
        <f>VLOOKUP(A:A,重量与单价数据!A$1:P$65536,16,0)</f>
        <v>0</v>
      </c>
      <c r="N13" s="212">
        <f>CEILING(G13/C13,1)</f>
        <v>3</v>
      </c>
      <c r="O13" s="212">
        <f>G13-FLOOR(G13,C13)</f>
        <v>1</v>
      </c>
      <c r="P13" s="213" t="str">
        <f>VLOOKUP(A:A,重量与单价数据!A$1:H$65536,8,0)</f>
        <v>179*42*15</v>
      </c>
      <c r="Q13" s="214"/>
    </row>
    <row r="14" spans="1:17" ht="22.05" customHeight="1">
      <c r="A14" s="207" t="s">
        <v>949</v>
      </c>
      <c r="B14" s="208">
        <f>VLOOKUP(A:A,[1]重量与单价数据!A$1:F$65536,6,0)</f>
        <v>765</v>
      </c>
      <c r="C14" s="208">
        <f>VLOOKUP(A:A,[1]重量与单价数据!A$1:G$65536,4,0)</f>
        <v>50</v>
      </c>
      <c r="D14" s="208"/>
      <c r="E14" s="208"/>
      <c r="F14" s="208"/>
      <c r="G14" s="209">
        <v>18</v>
      </c>
      <c r="H14" s="210">
        <f>VLOOKUP(A:A,[1]重量与单价数据!A$1:C$65536,3,0)</f>
        <v>72</v>
      </c>
      <c r="I14" s="210">
        <f>VLOOKUP(A:A,[1]重量与单价数据!A$1:E$65536,5,0)</f>
        <v>0.6</v>
      </c>
      <c r="J14" s="210"/>
      <c r="K14" s="210">
        <f t="shared" si="3"/>
        <v>-18</v>
      </c>
      <c r="L14" s="211" t="str">
        <f>VLOOKUP(A:A,[1]重量与单价数据!A$1:G$65536,7,0)</f>
        <v>golf</v>
      </c>
      <c r="M14" s="211">
        <f>VLOOKUP(A:A,重量与单价数据!A$1:P$65536,16,0)</f>
        <v>0</v>
      </c>
      <c r="N14" s="212">
        <f t="shared" si="4"/>
        <v>1</v>
      </c>
      <c r="O14" s="212">
        <f t="shared" si="5"/>
        <v>18</v>
      </c>
      <c r="P14" s="213" t="str">
        <f>VLOOKUP(A:A,重量与单价数据!A$1:H$65536,8,0)</f>
        <v>122*15*10</v>
      </c>
      <c r="Q14" s="214"/>
    </row>
    <row r="15" spans="1:17" ht="22.05" customHeight="1">
      <c r="A15" s="207" t="s">
        <v>445</v>
      </c>
      <c r="B15" s="208">
        <f>VLOOKUP(A:A,[1]重量与单价数据!A$1:F$65536,6,0)</f>
        <v>339</v>
      </c>
      <c r="C15" s="208">
        <f>VLOOKUP(A:A,[1]重量与单价数据!A$1:G$65536,4,0)</f>
        <v>1</v>
      </c>
      <c r="D15" s="208"/>
      <c r="E15" s="208"/>
      <c r="F15" s="208"/>
      <c r="G15" s="209">
        <v>50</v>
      </c>
      <c r="H15" s="210">
        <f>VLOOKUP(A:A,[1]重量与单价数据!A$1:C$65536,3,0)</f>
        <v>430</v>
      </c>
      <c r="I15" s="210">
        <f>VLOOKUP(A:A,[1]重量与单价数据!A$1:E$65536,5,0)</f>
        <v>0.5</v>
      </c>
      <c r="J15" s="210"/>
      <c r="K15" s="210">
        <f t="shared" si="0"/>
        <v>-50</v>
      </c>
      <c r="L15" s="211" t="str">
        <f>VLOOKUP(A:A,[1]重量与单价数据!A$1:G$65536,7,0)</f>
        <v>fork</v>
      </c>
      <c r="M15" s="211">
        <f>VLOOKUP(A:A,重量与单价数据!A$1:P$65536,16,0)</f>
        <v>0</v>
      </c>
      <c r="N15" s="212">
        <f t="shared" si="1"/>
        <v>50</v>
      </c>
      <c r="O15" s="212">
        <f t="shared" si="2"/>
        <v>0</v>
      </c>
      <c r="P15" s="213" t="str">
        <f>VLOOKUP(A:A,重量与单价数据!A$1:H$65536,8,0)</f>
        <v>89*14*9</v>
      </c>
      <c r="Q15" s="214"/>
    </row>
    <row r="16" spans="1:17" ht="22.05" customHeight="1">
      <c r="A16" s="207" t="s">
        <v>448</v>
      </c>
      <c r="B16" s="208">
        <f>VLOOKUP(A:A,[1]重量与单价数据!A$1:F$65536,6,0)</f>
        <v>340</v>
      </c>
      <c r="C16" s="208">
        <f>VLOOKUP(A:A,[1]重量与单价数据!A$1:G$65536,4,0)</f>
        <v>50</v>
      </c>
      <c r="D16" s="208"/>
      <c r="E16" s="208"/>
      <c r="F16" s="208"/>
      <c r="G16" s="209">
        <v>234</v>
      </c>
      <c r="H16" s="210">
        <f>VLOOKUP(A:A,[1]重量与单价数据!A$1:C$65536,3,0)</f>
        <v>99</v>
      </c>
      <c r="I16" s="210">
        <f>VLOOKUP(A:A,[1]重量与单价数据!A$1:E$65536,5,0)</f>
        <v>0.6</v>
      </c>
      <c r="J16" s="210"/>
      <c r="K16" s="210">
        <f t="shared" si="0"/>
        <v>-234</v>
      </c>
      <c r="L16" s="211" t="str">
        <f>VLOOKUP(A:A,[1]重量与单价数据!A$1:G$65536,7,0)</f>
        <v>golf</v>
      </c>
      <c r="M16" s="211">
        <f>VLOOKUP(A:A,重量与单价数据!A$1:P$65536,16,0)</f>
        <v>0</v>
      </c>
      <c r="N16" s="212">
        <f t="shared" si="1"/>
        <v>5</v>
      </c>
      <c r="O16" s="212">
        <f t="shared" si="2"/>
        <v>34</v>
      </c>
      <c r="P16" s="213" t="str">
        <f>VLOOKUP(A:A,重量与单价数据!A$1:H$65536,8,0)</f>
        <v>122*15*10</v>
      </c>
      <c r="Q16" s="214"/>
    </row>
    <row r="17" spans="1:17" ht="22.05" customHeight="1">
      <c r="A17" s="207" t="s">
        <v>949</v>
      </c>
      <c r="B17" s="208">
        <f>VLOOKUP(A:A,[1]重量与单价数据!A$1:F$65536,6,0)</f>
        <v>765</v>
      </c>
      <c r="C17" s="208">
        <f>VLOOKUP(A:A,[1]重量与单价数据!A$1:G$65536,4,0)</f>
        <v>50</v>
      </c>
      <c r="D17" s="208"/>
      <c r="E17" s="208"/>
      <c r="F17" s="208"/>
      <c r="G17" s="209">
        <v>18</v>
      </c>
      <c r="H17" s="210">
        <f>VLOOKUP(A:A,[1]重量与单价数据!A$1:C$65536,3,0)</f>
        <v>72</v>
      </c>
      <c r="I17" s="210">
        <f>VLOOKUP(A:A,[1]重量与单价数据!A$1:E$65536,5,0)</f>
        <v>0.6</v>
      </c>
      <c r="J17" s="210"/>
      <c r="K17" s="210">
        <f t="shared" si="0"/>
        <v>-18</v>
      </c>
      <c r="L17" s="211" t="str">
        <f>VLOOKUP(A:A,[1]重量与单价数据!A$1:G$65536,7,0)</f>
        <v>golf</v>
      </c>
      <c r="M17" s="211">
        <f>VLOOKUP(A:A,重量与单价数据!A$1:P$65536,16,0)</f>
        <v>0</v>
      </c>
      <c r="N17" s="212">
        <f t="shared" si="1"/>
        <v>1</v>
      </c>
      <c r="O17" s="212">
        <f t="shared" si="2"/>
        <v>18</v>
      </c>
      <c r="P17" s="213" t="str">
        <f>VLOOKUP(A:A,重量与单价数据!A$1:H$65536,8,0)</f>
        <v>122*15*10</v>
      </c>
      <c r="Q17" s="214"/>
    </row>
    <row r="18" spans="1:17" ht="22.05" customHeight="1">
      <c r="A18" s="207" t="s">
        <v>950</v>
      </c>
      <c r="B18" s="208">
        <f>VLOOKUP(A:A,[1]重量与单价数据!A$1:F$65536,6,0)</f>
        <v>766</v>
      </c>
      <c r="C18" s="208">
        <f>VLOOKUP(A:A,[1]重量与单价数据!A$1:G$65536,4,0)</f>
        <v>50</v>
      </c>
      <c r="D18" s="208"/>
      <c r="E18" s="208"/>
      <c r="F18" s="208"/>
      <c r="G18" s="209">
        <v>25</v>
      </c>
      <c r="H18" s="210">
        <f>VLOOKUP(A:A,[1]重量与单价数据!A$1:C$65536,3,0)</f>
        <v>380</v>
      </c>
      <c r="I18" s="210">
        <f>VLOOKUP(A:A,[1]重量与单价数据!A$1:E$65536,5,0)</f>
        <v>1.48</v>
      </c>
      <c r="J18" s="210"/>
      <c r="K18" s="210">
        <f t="shared" si="0"/>
        <v>-25</v>
      </c>
      <c r="L18" s="211" t="str">
        <f>VLOOKUP(A:A,[1]重量与单价数据!A$1:G$65536,7,0)</f>
        <v>shaft</v>
      </c>
      <c r="M18" s="211">
        <f>VLOOKUP(A:A,重量与单价数据!A$1:P$65536,16,0)</f>
        <v>0</v>
      </c>
      <c r="N18" s="212">
        <f t="shared" si="1"/>
        <v>1</v>
      </c>
      <c r="O18" s="212">
        <f t="shared" si="2"/>
        <v>25</v>
      </c>
      <c r="P18" s="213" t="str">
        <f>VLOOKUP(A:A,重量与单价数据!A$1:H$65536,8,0)</f>
        <v>145*29*16</v>
      </c>
      <c r="Q18" s="214"/>
    </row>
    <row r="19" spans="1:17" ht="22.05" customHeight="1">
      <c r="A19" s="207" t="s">
        <v>1890</v>
      </c>
      <c r="B19" s="208">
        <f>VLOOKUP(A:A,[1]重量与单价数据!A$1:F$65536,6,0)</f>
        <v>1496</v>
      </c>
      <c r="C19" s="208">
        <f>VLOOKUP(A:A,[1]重量与单价数据!A$1:G$65536,4,0)</f>
        <v>12</v>
      </c>
      <c r="D19" s="208"/>
      <c r="E19" s="208"/>
      <c r="F19" s="208"/>
      <c r="G19" s="209">
        <v>25</v>
      </c>
      <c r="H19" s="210">
        <f>VLOOKUP(A:A,[1]重量与单价数据!A$1:C$65536,3,0)</f>
        <v>740</v>
      </c>
      <c r="I19" s="210">
        <f>VLOOKUP(A:A,[1]重量与单价数据!A$1:E$65536,5,0)</f>
        <v>2.2200000000000002</v>
      </c>
      <c r="J19" s="210"/>
      <c r="K19" s="210">
        <f>J19-G19</f>
        <v>-25</v>
      </c>
      <c r="L19" s="211" t="str">
        <f>VLOOKUP(A:A,[1]重量与单价数据!A$1:G$65536,7,0)</f>
        <v>goalier</v>
      </c>
      <c r="M19" s="211">
        <f>VLOOKUP(A:A,重量与单价数据!A$1:P$65536,16,0)</f>
        <v>0</v>
      </c>
      <c r="N19" s="212">
        <f>CEILING(G19/C19,1)</f>
        <v>3</v>
      </c>
      <c r="O19" s="212">
        <f>G19-FLOOR(G19,C19)</f>
        <v>1</v>
      </c>
      <c r="P19" s="213" t="str">
        <f>VLOOKUP(A:A,重量与单价数据!A$1:H$65536,8,0)</f>
        <v>179*42*15</v>
      </c>
      <c r="Q19" s="214"/>
    </row>
    <row r="20" spans="1:17" ht="22.05" customHeight="1">
      <c r="A20" s="207" t="s">
        <v>1890</v>
      </c>
      <c r="B20" s="208">
        <f>VLOOKUP(A:A,[1]重量与单价数据!A$1:F$65536,6,0)</f>
        <v>1496</v>
      </c>
      <c r="C20" s="208">
        <f>VLOOKUP(A:A,[1]重量与单价数据!A$1:G$65536,4,0)</f>
        <v>12</v>
      </c>
      <c r="D20" s="208"/>
      <c r="E20" s="208"/>
      <c r="F20" s="208"/>
      <c r="G20" s="209">
        <v>25</v>
      </c>
      <c r="H20" s="210">
        <f>VLOOKUP(A:A,[1]重量与单价数据!A$1:C$65536,3,0)</f>
        <v>740</v>
      </c>
      <c r="I20" s="210">
        <f>VLOOKUP(A:A,[1]重量与单价数据!A$1:E$65536,5,0)</f>
        <v>2.2200000000000002</v>
      </c>
      <c r="J20" s="210"/>
      <c r="K20" s="210">
        <f>J20-G20</f>
        <v>-25</v>
      </c>
      <c r="L20" s="211" t="str">
        <f>VLOOKUP(A:A,[1]重量与单价数据!A$1:G$65536,7,0)</f>
        <v>goalier</v>
      </c>
      <c r="M20" s="211">
        <f>VLOOKUP(A:A,重量与单价数据!A$1:P$65536,16,0)</f>
        <v>0</v>
      </c>
      <c r="N20" s="212">
        <f>CEILING(G20/C20,1)</f>
        <v>3</v>
      </c>
      <c r="O20" s="212">
        <f>G20-FLOOR(G20,C20)</f>
        <v>1</v>
      </c>
      <c r="P20" s="213" t="str">
        <f>VLOOKUP(A:A,重量与单价数据!A$1:H$65536,8,0)</f>
        <v>179*42*15</v>
      </c>
      <c r="Q20" s="214"/>
    </row>
    <row r="21" spans="1:17" ht="16.05" customHeight="1">
      <c r="A21" s="215" t="s">
        <v>1891</v>
      </c>
      <c r="B21" s="215"/>
      <c r="C21" s="215"/>
      <c r="D21" s="215"/>
      <c r="E21" s="215"/>
      <c r="F21" s="215"/>
      <c r="G21" s="215">
        <f>SUM(G$1:G20)</f>
        <v>1355</v>
      </c>
      <c r="H21" s="215"/>
      <c r="I21" s="215"/>
      <c r="J21" s="215"/>
      <c r="K21" s="215"/>
      <c r="L21" s="215"/>
      <c r="M21" s="215"/>
      <c r="N21" s="215">
        <f>SUM(N$1:N20)</f>
        <v>175</v>
      </c>
      <c r="O21" s="215"/>
      <c r="P21" s="215"/>
    </row>
    <row r="22" spans="1:17" ht="16.05" customHeight="1"/>
    <row r="23" spans="1:17" ht="16.05" customHeight="1"/>
    <row r="24" spans="1:17" ht="16.05" customHeight="1"/>
    <row r="25" spans="1:17" ht="16.05" customHeight="1"/>
    <row r="26" spans="1:17" ht="16.05" customHeight="1"/>
    <row r="27" spans="1:17" ht="16.05" customHeight="1"/>
    <row r="28" spans="1:17" ht="16.05" customHeight="1"/>
    <row r="29" spans="1:17" ht="16.05" customHeight="1"/>
    <row r="30" spans="1:17" ht="16.05" customHeight="1"/>
    <row r="31" spans="1:17" ht="16.05" customHeight="1"/>
    <row r="32" spans="1:17" ht="16.05" customHeight="1"/>
    <row r="33" ht="16.05" customHeight="1"/>
    <row r="34" ht="16.05" customHeight="1"/>
    <row r="35" ht="16.05" customHeight="1"/>
    <row r="36" ht="16.05" customHeight="1"/>
    <row r="37" ht="16.05" customHeight="1"/>
    <row r="38" ht="16.05" customHeight="1"/>
    <row r="39" ht="16.05" customHeight="1"/>
    <row r="40" ht="16.05" customHeight="1"/>
    <row r="41" ht="16.05" customHeight="1"/>
    <row r="42" ht="16.05" customHeight="1"/>
    <row r="43" ht="16.05" customHeight="1"/>
    <row r="44" ht="16.05" customHeight="1"/>
    <row r="45" ht="16.05" customHeight="1"/>
    <row r="46" ht="16.05" customHeight="1"/>
    <row r="47" ht="16.05" customHeight="1"/>
    <row r="48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  <row r="56" ht="16.05" customHeight="1"/>
    <row r="57" ht="16.05" customHeight="1"/>
    <row r="58" ht="16.05" customHeight="1"/>
    <row r="59" ht="16.05" customHeight="1"/>
    <row r="60" ht="16.05" customHeight="1"/>
    <row r="61" ht="16.05" customHeight="1"/>
    <row r="62" ht="16.05" customHeight="1"/>
    <row r="63" ht="16.05" customHeight="1"/>
    <row r="64" ht="16.05" customHeight="1"/>
    <row r="65" ht="16.05" customHeight="1"/>
    <row r="66" ht="16.05" customHeight="1"/>
    <row r="67" ht="16.05" customHeight="1"/>
    <row r="68" ht="16.05" customHeight="1"/>
    <row r="69" ht="16.05" customHeight="1"/>
    <row r="70" ht="16.05" customHeight="1"/>
    <row r="71" ht="16.05" customHeight="1"/>
    <row r="72" ht="16.05" customHeight="1"/>
    <row r="73" ht="16.05" customHeight="1"/>
    <row r="74" ht="16.05" customHeight="1"/>
    <row r="75" ht="16.05" customHeight="1"/>
    <row r="76" ht="16.05" customHeight="1"/>
    <row r="77" ht="16.05" customHeight="1"/>
    <row r="78" ht="16.05" customHeight="1"/>
    <row r="79" ht="16.05" customHeight="1"/>
    <row r="80" ht="16.05" customHeight="1"/>
    <row r="81" ht="16.05" customHeight="1"/>
    <row r="82" ht="16.05" customHeight="1"/>
    <row r="83" ht="16.05" customHeight="1"/>
    <row r="84" ht="16.05" customHeight="1"/>
    <row r="85" ht="16.05" customHeight="1"/>
    <row r="86" ht="16.05" customHeight="1"/>
    <row r="87" ht="16.05" customHeight="1"/>
    <row r="88" ht="16.05" customHeight="1"/>
    <row r="89" ht="16.05" customHeight="1"/>
    <row r="90" ht="16.05" customHeight="1"/>
    <row r="91" ht="16.05" customHeight="1"/>
    <row r="92" ht="16.05" customHeight="1"/>
    <row r="93" ht="16.05" customHeight="1"/>
    <row r="94" ht="16.05" customHeight="1"/>
    <row r="95" ht="16.05" customHeight="1"/>
    <row r="96" ht="16.05" customHeight="1"/>
    <row r="97" ht="16.05" customHeight="1"/>
    <row r="98" ht="16.05" customHeight="1"/>
    <row r="99" ht="16.05" customHeight="1"/>
    <row r="100" ht="16.05" customHeight="1"/>
    <row r="101" ht="16.05" customHeight="1"/>
    <row r="102" ht="16.05" customHeight="1"/>
    <row r="103" ht="16.05" customHeight="1"/>
    <row r="104" ht="16.05" customHeight="1"/>
    <row r="105" ht="16.05" customHeight="1"/>
    <row r="106" ht="16.05" customHeight="1"/>
  </sheetData>
  <mergeCells count="2">
    <mergeCell ref="B1:G1"/>
    <mergeCell ref="J1:K1"/>
  </mergeCells>
  <phoneticPr fontId="1" type="noConversion"/>
  <conditionalFormatting sqref="K2:K20">
    <cfRule type="cellIs" dxfId="2" priority="3" stopIfTrue="1" operator="lessThan">
      <formula>0</formula>
    </cfRule>
  </conditionalFormatting>
  <conditionalFormatting sqref="A4:A20">
    <cfRule type="expression" dxfId="1" priority="2" stopIfTrue="1">
      <formula>MOD(ROW(),2)=0</formula>
    </cfRule>
  </conditionalFormatting>
  <conditionalFormatting sqref="G4:G20 A4:A20">
    <cfRule type="cellIs" dxfId="0" priority="1" stopIfTrue="1" operator="equal">
      <formula>"新油墨"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36"/>
  <sheetViews>
    <sheetView topLeftCell="A40" zoomScale="50" zoomScaleNormal="50" workbookViewId="0">
      <selection activeCell="H55" sqref="H55"/>
    </sheetView>
  </sheetViews>
  <sheetFormatPr defaultRowHeight="14.4"/>
  <cols>
    <col min="1" max="1" width="24.77734375" customWidth="1"/>
    <col min="2" max="2" width="16.77734375" customWidth="1"/>
    <col min="3" max="3" width="30.77734375" customWidth="1"/>
    <col min="4" max="4" width="16.77734375" customWidth="1"/>
    <col min="5" max="5" width="14.77734375" customWidth="1"/>
    <col min="6" max="6" width="17.77734375" customWidth="1"/>
    <col min="7" max="7" width="8.77734375" customWidth="1"/>
    <col min="8" max="8" width="30.77734375" customWidth="1"/>
    <col min="9" max="9" width="24.77734375" customWidth="1"/>
    <col min="10" max="10" width="21.77734375" customWidth="1"/>
    <col min="11" max="11" width="0" hidden="1" customWidth="1"/>
    <col min="12" max="12" width="11.77734375" customWidth="1"/>
    <col min="13" max="30" width="8.77734375" customWidth="1"/>
  </cols>
  <sheetData>
    <row r="1" spans="1:10" ht="31.95" customHeight="1">
      <c r="A1" s="224" t="s">
        <v>1831</v>
      </c>
      <c r="B1" s="224"/>
      <c r="C1" s="224"/>
      <c r="D1" s="224"/>
      <c r="E1" s="224"/>
      <c r="F1" s="224"/>
      <c r="G1" s="224"/>
      <c r="H1" s="224"/>
      <c r="I1" s="224"/>
      <c r="J1" s="224"/>
    </row>
    <row r="2" spans="1:10" ht="28.05" customHeight="1">
      <c r="A2" s="225" t="s">
        <v>1832</v>
      </c>
      <c r="B2" s="225"/>
      <c r="C2" s="225"/>
      <c r="D2" s="225"/>
      <c r="E2" s="225"/>
      <c r="F2" s="225"/>
      <c r="G2" s="225"/>
      <c r="H2" s="225"/>
      <c r="I2" s="225"/>
      <c r="J2" s="225"/>
    </row>
    <row r="3" spans="1:10" ht="25.05" customHeight="1">
      <c r="A3" s="226" t="s">
        <v>1833</v>
      </c>
      <c r="B3" s="226"/>
      <c r="C3" s="226"/>
      <c r="D3" s="226"/>
      <c r="E3" s="226"/>
      <c r="F3" s="226"/>
      <c r="G3" s="226"/>
      <c r="H3" s="226"/>
      <c r="I3" s="226"/>
      <c r="J3" s="226"/>
    </row>
    <row r="4" spans="1:10" ht="24" customHeight="1">
      <c r="A4" s="227" t="s">
        <v>1834</v>
      </c>
      <c r="B4" s="227"/>
      <c r="C4" s="227"/>
      <c r="D4" s="227"/>
      <c r="E4" s="227"/>
      <c r="F4" s="227"/>
      <c r="G4" s="227"/>
      <c r="H4" s="227"/>
      <c r="I4" s="227"/>
      <c r="J4" s="227"/>
    </row>
    <row r="5" spans="1:10" ht="18" customHeight="1">
      <c r="A5" s="151"/>
      <c r="B5" s="151"/>
      <c r="C5" s="151"/>
      <c r="D5" s="151"/>
      <c r="E5" s="151"/>
      <c r="F5" s="152"/>
      <c r="G5" s="152"/>
      <c r="H5" s="152"/>
      <c r="I5" s="152"/>
    </row>
    <row r="6" spans="1:10" ht="31.05" customHeight="1">
      <c r="A6" s="228" t="s">
        <v>1835</v>
      </c>
      <c r="B6" s="228"/>
      <c r="C6" s="228"/>
      <c r="D6" s="228"/>
      <c r="E6" s="228"/>
      <c r="F6" s="228"/>
      <c r="G6" s="228"/>
      <c r="H6" s="228"/>
      <c r="I6" s="228"/>
      <c r="J6" s="228"/>
    </row>
    <row r="7" spans="1:10" ht="30" customHeight="1">
      <c r="A7" s="223" t="s">
        <v>1836</v>
      </c>
      <c r="B7" s="223"/>
      <c r="C7" s="223"/>
      <c r="D7" s="223"/>
      <c r="E7" s="223"/>
      <c r="F7" s="223"/>
      <c r="G7" s="223"/>
      <c r="H7" s="223"/>
      <c r="I7" s="223"/>
      <c r="J7" s="223"/>
    </row>
    <row r="8" spans="1:10" ht="30" customHeight="1">
      <c r="C8" s="153"/>
      <c r="D8" s="153"/>
      <c r="E8" s="153"/>
      <c r="F8" s="154"/>
      <c r="G8" s="155"/>
      <c r="H8" s="156" t="s">
        <v>1837</v>
      </c>
      <c r="I8" s="157" t="s">
        <v>1838</v>
      </c>
      <c r="J8" s="158"/>
    </row>
    <row r="9" spans="1:10" ht="25.05" customHeight="1">
      <c r="A9" s="159" t="s">
        <v>1839</v>
      </c>
      <c r="B9" s="160"/>
      <c r="C9" s="160"/>
      <c r="D9" s="160"/>
      <c r="E9" s="160"/>
      <c r="F9" s="161"/>
      <c r="G9" s="160"/>
      <c r="H9" s="156" t="s">
        <v>1840</v>
      </c>
      <c r="I9" s="162">
        <v>38483</v>
      </c>
      <c r="J9" s="163"/>
    </row>
    <row r="10" spans="1:10" ht="28.05" customHeight="1">
      <c r="A10" s="218" t="s">
        <v>1841</v>
      </c>
      <c r="B10" s="218"/>
      <c r="C10" s="218"/>
      <c r="D10" s="218"/>
      <c r="E10" s="218"/>
      <c r="F10" s="164"/>
      <c r="G10" s="164"/>
      <c r="H10" s="164"/>
      <c r="I10" s="164"/>
      <c r="J10" s="160"/>
    </row>
    <row r="11" spans="1:10" ht="28.05" customHeight="1">
      <c r="A11" s="165" t="s">
        <v>1842</v>
      </c>
      <c r="B11" s="160"/>
      <c r="C11" s="166"/>
      <c r="D11" s="166"/>
      <c r="E11" s="166"/>
      <c r="F11" s="164"/>
      <c r="G11" s="164"/>
      <c r="H11" s="164"/>
      <c r="I11" s="167">
        <v>25</v>
      </c>
      <c r="J11" s="160"/>
    </row>
    <row r="12" spans="1:10" ht="28.05" customHeight="1">
      <c r="A12" s="165"/>
      <c r="B12" s="160"/>
      <c r="C12" s="166"/>
      <c r="D12" s="166"/>
      <c r="E12" s="166"/>
      <c r="F12" s="164"/>
      <c r="G12" s="164"/>
      <c r="H12" s="164"/>
      <c r="I12" s="164"/>
      <c r="J12" s="160"/>
    </row>
    <row r="13" spans="1:10" ht="18" customHeight="1">
      <c r="A13" s="219"/>
      <c r="B13" s="219"/>
      <c r="C13" s="219"/>
      <c r="D13" s="219"/>
      <c r="E13" s="160"/>
      <c r="F13" s="164"/>
      <c r="G13" s="164"/>
      <c r="H13" s="164"/>
      <c r="I13" s="164"/>
      <c r="J13" s="160"/>
    </row>
    <row r="14" spans="1:10" ht="22.95" customHeight="1">
      <c r="A14" s="168" t="s">
        <v>1843</v>
      </c>
      <c r="B14" s="220" t="s">
        <v>1844</v>
      </c>
      <c r="C14" s="220"/>
      <c r="D14" s="168" t="s">
        <v>1845</v>
      </c>
      <c r="E14" s="220" t="s">
        <v>1846</v>
      </c>
      <c r="F14" s="220"/>
      <c r="G14" s="220"/>
      <c r="H14" s="220"/>
      <c r="I14" s="169"/>
      <c r="J14" s="170"/>
    </row>
    <row r="15" spans="1:10" ht="22.95" customHeight="1">
      <c r="A15" s="168"/>
      <c r="B15" s="169"/>
      <c r="C15" s="169"/>
      <c r="D15" s="168"/>
      <c r="E15" s="169"/>
      <c r="F15" s="169"/>
      <c r="G15" s="169"/>
      <c r="H15" s="169"/>
      <c r="I15" s="169"/>
      <c r="J15" s="170"/>
    </row>
    <row r="16" spans="1:10" ht="22.95" customHeight="1">
      <c r="A16" s="168"/>
      <c r="B16" s="169"/>
      <c r="C16" s="169"/>
      <c r="D16" s="168"/>
      <c r="E16" s="169"/>
      <c r="F16" s="169"/>
      <c r="G16" s="169"/>
      <c r="H16" s="169"/>
      <c r="I16" s="169"/>
      <c r="J16" s="170"/>
    </row>
    <row r="17" spans="1:11" ht="24" customHeight="1" thickBot="1">
      <c r="A17" s="171" t="s">
        <v>1847</v>
      </c>
      <c r="B17" s="221" t="s">
        <v>1848</v>
      </c>
      <c r="C17" s="221"/>
      <c r="D17" s="221"/>
      <c r="E17" s="221" t="s">
        <v>1849</v>
      </c>
      <c r="F17" s="221"/>
      <c r="G17" s="221" t="s">
        <v>1850</v>
      </c>
      <c r="H17" s="222"/>
      <c r="I17" s="222"/>
      <c r="J17" s="222"/>
    </row>
    <row r="18" spans="1:11" ht="31.95" customHeight="1">
      <c r="A18" s="172"/>
      <c r="B18" s="172"/>
      <c r="C18" s="172"/>
      <c r="D18" s="173"/>
      <c r="E18" s="174"/>
      <c r="F18" s="175" t="s">
        <v>1851</v>
      </c>
      <c r="G18" s="176"/>
      <c r="H18" s="177"/>
      <c r="I18" s="176"/>
      <c r="J18" s="178"/>
    </row>
    <row r="19" spans="1:11" ht="28.05" customHeight="1">
      <c r="A19" s="179"/>
      <c r="B19" s="180" t="s">
        <v>503</v>
      </c>
      <c r="C19" s="181"/>
      <c r="D19" s="180">
        <v>295</v>
      </c>
      <c r="E19" s="182" t="s">
        <v>1852</v>
      </c>
      <c r="F19" s="183">
        <f>VLOOKUP(B:B,重量与单价数据!A:B,2,0)</f>
        <v>9</v>
      </c>
      <c r="G19" s="184"/>
      <c r="H19" s="183">
        <f>D19*F19</f>
        <v>2655</v>
      </c>
      <c r="I19" s="182"/>
      <c r="J19" s="185"/>
      <c r="K19">
        <f>VLOOKUP(B:B,重量与单价数据!A:D,4,0)</f>
        <v>50</v>
      </c>
    </row>
    <row r="20" spans="1:11" ht="7.05" customHeight="1">
      <c r="A20" s="186"/>
      <c r="B20" s="180"/>
      <c r="C20" s="181"/>
      <c r="D20" s="180"/>
      <c r="E20" s="182"/>
      <c r="F20" s="183"/>
      <c r="G20" s="187"/>
      <c r="H20" s="183"/>
      <c r="I20" s="182"/>
      <c r="J20" s="188"/>
    </row>
    <row r="21" spans="1:11" ht="28.05" customHeight="1">
      <c r="A21" s="179"/>
      <c r="B21" s="180" t="s">
        <v>504</v>
      </c>
      <c r="C21" s="181"/>
      <c r="D21" s="180">
        <v>36</v>
      </c>
      <c r="E21" s="182" t="s">
        <v>1852</v>
      </c>
      <c r="F21" s="183">
        <f>VLOOKUP(B:B,重量与单价数据!A:B,2,0)</f>
        <v>9</v>
      </c>
      <c r="G21" s="184"/>
      <c r="H21" s="183">
        <f t="shared" ref="H21:H52" si="0">D21*F21</f>
        <v>324</v>
      </c>
      <c r="I21" s="182"/>
      <c r="J21" s="185"/>
      <c r="K21">
        <f>VLOOKUP(B:B,重量与单价数据!A:D,4,0)</f>
        <v>1</v>
      </c>
    </row>
    <row r="22" spans="1:11" ht="7.05" customHeight="1">
      <c r="A22" s="186"/>
      <c r="B22" s="180"/>
      <c r="C22" s="181"/>
      <c r="D22" s="180"/>
      <c r="E22" s="182"/>
      <c r="F22" s="183"/>
      <c r="G22" s="187"/>
      <c r="H22" s="183"/>
      <c r="I22" s="182"/>
      <c r="J22" s="188"/>
    </row>
    <row r="23" spans="1:11" ht="28.05" customHeight="1">
      <c r="A23" s="179"/>
      <c r="B23" s="180" t="s">
        <v>448</v>
      </c>
      <c r="C23" s="181"/>
      <c r="D23" s="180">
        <v>234</v>
      </c>
      <c r="E23" s="182" t="s">
        <v>1852</v>
      </c>
      <c r="F23" s="183">
        <f>VLOOKUP(B:B,重量与单价数据!A:B,2,0)</f>
        <v>9</v>
      </c>
      <c r="G23" s="184"/>
      <c r="H23" s="183">
        <f t="shared" ref="H23:H52" si="1">D23*F23</f>
        <v>2106</v>
      </c>
      <c r="I23" s="182"/>
      <c r="J23" s="185"/>
      <c r="K23">
        <f>VLOOKUP(B:B,重量与单价数据!A:D,4,0)</f>
        <v>50</v>
      </c>
    </row>
    <row r="24" spans="1:11" ht="7.05" customHeight="1">
      <c r="A24" s="186"/>
      <c r="B24" s="180"/>
      <c r="C24" s="181"/>
      <c r="D24" s="180"/>
      <c r="E24" s="182"/>
      <c r="F24" s="183"/>
      <c r="G24" s="187"/>
      <c r="H24" s="183"/>
      <c r="I24" s="182"/>
      <c r="J24" s="188"/>
    </row>
    <row r="25" spans="1:11" ht="28.05" customHeight="1">
      <c r="A25" s="179"/>
      <c r="B25" s="180" t="s">
        <v>949</v>
      </c>
      <c r="C25" s="181"/>
      <c r="D25" s="180">
        <v>18</v>
      </c>
      <c r="E25" s="182" t="s">
        <v>1852</v>
      </c>
      <c r="F25" s="183">
        <f>VLOOKUP(B:B,重量与单价数据!A:B,2,0)</f>
        <v>9</v>
      </c>
      <c r="G25" s="184"/>
      <c r="H25" s="183">
        <f t="shared" ref="H25:H52" si="2">D25*F25</f>
        <v>162</v>
      </c>
      <c r="I25" s="182"/>
      <c r="J25" s="185"/>
      <c r="K25">
        <f>VLOOKUP(B:B,重量与单价数据!A:D,4,0)</f>
        <v>50</v>
      </c>
    </row>
    <row r="26" spans="1:11" ht="7.05" customHeight="1">
      <c r="A26" s="186"/>
      <c r="B26" s="180"/>
      <c r="C26" s="181"/>
      <c r="D26" s="180"/>
      <c r="E26" s="182"/>
      <c r="F26" s="183"/>
      <c r="G26" s="187"/>
      <c r="H26" s="183"/>
      <c r="I26" s="182"/>
      <c r="J26" s="188"/>
    </row>
    <row r="27" spans="1:11" ht="28.05" customHeight="1">
      <c r="A27" s="179"/>
      <c r="B27" s="180" t="s">
        <v>445</v>
      </c>
      <c r="C27" s="181"/>
      <c r="D27" s="180">
        <v>50</v>
      </c>
      <c r="E27" s="182" t="s">
        <v>1852</v>
      </c>
      <c r="F27" s="183">
        <f>VLOOKUP(B:B,重量与单价数据!A:B,2,0)</f>
        <v>9</v>
      </c>
      <c r="G27" s="184"/>
      <c r="H27" s="183">
        <f t="shared" ref="H27:H52" si="3">D27*F27</f>
        <v>450</v>
      </c>
      <c r="I27" s="182"/>
      <c r="J27" s="185"/>
      <c r="K27">
        <f>VLOOKUP(B:B,重量与单价数据!A:D,4,0)</f>
        <v>1</v>
      </c>
    </row>
    <row r="28" spans="1:11" ht="7.05" customHeight="1">
      <c r="A28" s="186"/>
      <c r="B28" s="180"/>
      <c r="C28" s="181"/>
      <c r="D28" s="180"/>
      <c r="E28" s="182"/>
      <c r="F28" s="183"/>
      <c r="G28" s="187"/>
      <c r="H28" s="183"/>
      <c r="I28" s="182"/>
      <c r="J28" s="188"/>
    </row>
    <row r="29" spans="1:11" ht="28.05" customHeight="1">
      <c r="A29" s="179"/>
      <c r="B29" s="180" t="s">
        <v>448</v>
      </c>
      <c r="C29" s="181"/>
      <c r="D29" s="180">
        <v>234</v>
      </c>
      <c r="E29" s="182" t="s">
        <v>1852</v>
      </c>
      <c r="F29" s="183">
        <f>VLOOKUP(B:B,重量与单价数据!A:B,2,0)</f>
        <v>9</v>
      </c>
      <c r="G29" s="184"/>
      <c r="H29" s="183">
        <f t="shared" ref="H29:H52" si="4">D29*F29</f>
        <v>2106</v>
      </c>
      <c r="I29" s="182"/>
      <c r="J29" s="185"/>
      <c r="K29">
        <f>VLOOKUP(B:B,重量与单价数据!A:D,4,0)</f>
        <v>50</v>
      </c>
    </row>
    <row r="30" spans="1:11" ht="7.05" customHeight="1">
      <c r="A30" s="186"/>
      <c r="B30" s="180"/>
      <c r="C30" s="181"/>
      <c r="D30" s="180"/>
      <c r="E30" s="182"/>
      <c r="F30" s="183"/>
      <c r="G30" s="187"/>
      <c r="H30" s="183"/>
      <c r="I30" s="182"/>
      <c r="J30" s="188"/>
    </row>
    <row r="31" spans="1:11" ht="28.05" customHeight="1">
      <c r="A31" s="179"/>
      <c r="B31" s="180" t="s">
        <v>949</v>
      </c>
      <c r="C31" s="181"/>
      <c r="D31" s="180">
        <v>18</v>
      </c>
      <c r="E31" s="182" t="s">
        <v>1852</v>
      </c>
      <c r="F31" s="183">
        <f>VLOOKUP(B:B,重量与单价数据!A:B,2,0)</f>
        <v>9</v>
      </c>
      <c r="G31" s="184"/>
      <c r="H31" s="183">
        <f t="shared" ref="H31:H52" si="5">D31*F31</f>
        <v>162</v>
      </c>
      <c r="I31" s="182"/>
      <c r="J31" s="185"/>
      <c r="K31">
        <f>VLOOKUP(B:B,重量与单价数据!A:D,4,0)</f>
        <v>50</v>
      </c>
    </row>
    <row r="32" spans="1:11" ht="7.05" customHeight="1">
      <c r="A32" s="186"/>
      <c r="B32" s="180"/>
      <c r="C32" s="181"/>
      <c r="D32" s="180"/>
      <c r="E32" s="182"/>
      <c r="F32" s="183"/>
      <c r="G32" s="187"/>
      <c r="H32" s="183"/>
      <c r="I32" s="182"/>
      <c r="J32" s="188"/>
    </row>
    <row r="33" spans="1:11" ht="28.05" customHeight="1">
      <c r="A33" s="179"/>
      <c r="B33" s="180" t="s">
        <v>950</v>
      </c>
      <c r="C33" s="181"/>
      <c r="D33" s="180">
        <v>25</v>
      </c>
      <c r="E33" s="182" t="s">
        <v>1852</v>
      </c>
      <c r="F33" s="183">
        <f>VLOOKUP(B:B,重量与单价数据!A:B,2,0)</f>
        <v>9</v>
      </c>
      <c r="G33" s="184"/>
      <c r="H33" s="183">
        <f t="shared" ref="H33:H52" si="6">D33*F33</f>
        <v>225</v>
      </c>
      <c r="I33" s="182"/>
      <c r="J33" s="185"/>
      <c r="K33">
        <f>VLOOKUP(B:B,重量与单价数据!A:D,4,0)</f>
        <v>50</v>
      </c>
    </row>
    <row r="34" spans="1:11" ht="7.05" customHeight="1">
      <c r="A34" s="186"/>
      <c r="B34" s="180"/>
      <c r="C34" s="181"/>
      <c r="D34" s="180"/>
      <c r="E34" s="182"/>
      <c r="F34" s="183"/>
      <c r="G34" s="187"/>
      <c r="H34" s="183"/>
      <c r="I34" s="182"/>
      <c r="J34" s="188"/>
    </row>
    <row r="35" spans="1:11" ht="28.05" customHeight="1">
      <c r="A35" s="179"/>
      <c r="B35" s="180" t="s">
        <v>1853</v>
      </c>
      <c r="C35" s="181"/>
      <c r="D35" s="180">
        <v>25</v>
      </c>
      <c r="E35" s="182" t="s">
        <v>1852</v>
      </c>
      <c r="F35" s="183">
        <f>VLOOKUP(B:B,重量与单价数据!A:B,2,0)</f>
        <v>9</v>
      </c>
      <c r="G35" s="184"/>
      <c r="H35" s="183">
        <f t="shared" ref="H35:H52" si="7">D35*F35</f>
        <v>225</v>
      </c>
      <c r="I35" s="182"/>
      <c r="J35" s="185"/>
      <c r="K35">
        <f>VLOOKUP(B:B,重量与单价数据!A:D,4,0)</f>
        <v>12</v>
      </c>
    </row>
    <row r="36" spans="1:11" ht="7.05" customHeight="1">
      <c r="A36" s="186"/>
      <c r="B36" s="180"/>
      <c r="C36" s="181"/>
      <c r="D36" s="180"/>
      <c r="E36" s="182"/>
      <c r="F36" s="183"/>
      <c r="G36" s="187"/>
      <c r="H36" s="183"/>
      <c r="I36" s="182"/>
      <c r="J36" s="188"/>
    </row>
    <row r="37" spans="1:11" ht="28.05" customHeight="1">
      <c r="A37" s="179"/>
      <c r="B37" s="180" t="s">
        <v>1853</v>
      </c>
      <c r="C37" s="181"/>
      <c r="D37" s="180">
        <v>25</v>
      </c>
      <c r="E37" s="182" t="s">
        <v>1852</v>
      </c>
      <c r="F37" s="183">
        <f>VLOOKUP(B:B,重量与单价数据!A:B,2,0)</f>
        <v>9</v>
      </c>
      <c r="G37" s="184"/>
      <c r="H37" s="183">
        <f t="shared" ref="H37:H52" si="8">D37*F37</f>
        <v>225</v>
      </c>
      <c r="I37" s="182"/>
      <c r="J37" s="185"/>
      <c r="K37">
        <f>VLOOKUP(B:B,重量与单价数据!A:D,4,0)</f>
        <v>12</v>
      </c>
    </row>
    <row r="38" spans="1:11" ht="7.05" customHeight="1">
      <c r="A38" s="186"/>
      <c r="B38" s="180"/>
      <c r="C38" s="181"/>
      <c r="D38" s="180"/>
      <c r="E38" s="182"/>
      <c r="F38" s="183"/>
      <c r="G38" s="187"/>
      <c r="H38" s="183"/>
      <c r="I38" s="182"/>
      <c r="J38" s="188"/>
    </row>
    <row r="39" spans="1:11" ht="28.05" customHeight="1">
      <c r="A39" s="179"/>
      <c r="B39" s="180" t="s">
        <v>949</v>
      </c>
      <c r="C39" s="181"/>
      <c r="D39" s="180">
        <v>18</v>
      </c>
      <c r="E39" s="182" t="s">
        <v>1852</v>
      </c>
      <c r="F39" s="183">
        <f>VLOOKUP(B:B,重量与单价数据!A:B,2,0)</f>
        <v>9</v>
      </c>
      <c r="G39" s="184"/>
      <c r="H39" s="183">
        <f t="shared" ref="H39:H52" si="9">D39*F39</f>
        <v>162</v>
      </c>
      <c r="I39" s="182"/>
      <c r="J39" s="185"/>
      <c r="K39">
        <f>VLOOKUP(B:B,重量与单价数据!A:D,4,0)</f>
        <v>50</v>
      </c>
    </row>
    <row r="40" spans="1:11" ht="7.05" customHeight="1">
      <c r="A40" s="186"/>
      <c r="B40" s="180"/>
      <c r="C40" s="181"/>
      <c r="D40" s="180"/>
      <c r="E40" s="182"/>
      <c r="F40" s="183"/>
      <c r="G40" s="187"/>
      <c r="H40" s="183"/>
      <c r="I40" s="182"/>
      <c r="J40" s="188"/>
    </row>
    <row r="41" spans="1:11" ht="28.05" customHeight="1">
      <c r="A41" s="179"/>
      <c r="B41" s="180" t="s">
        <v>445</v>
      </c>
      <c r="C41" s="181"/>
      <c r="D41" s="180">
        <v>50</v>
      </c>
      <c r="E41" s="182" t="s">
        <v>1852</v>
      </c>
      <c r="F41" s="183">
        <f>VLOOKUP(B:B,重量与单价数据!A:B,2,0)</f>
        <v>9</v>
      </c>
      <c r="G41" s="184"/>
      <c r="H41" s="183">
        <f t="shared" ref="H41:H52" si="10">D41*F41</f>
        <v>450</v>
      </c>
      <c r="I41" s="182"/>
      <c r="J41" s="185"/>
      <c r="K41">
        <f>VLOOKUP(B:B,重量与单价数据!A:D,4,0)</f>
        <v>1</v>
      </c>
    </row>
    <row r="42" spans="1:11" ht="7.05" customHeight="1">
      <c r="A42" s="186"/>
      <c r="B42" s="180"/>
      <c r="C42" s="181"/>
      <c r="D42" s="180"/>
      <c r="E42" s="182"/>
      <c r="F42" s="183"/>
      <c r="G42" s="187"/>
      <c r="H42" s="183"/>
      <c r="I42" s="182"/>
      <c r="J42" s="188"/>
    </row>
    <row r="43" spans="1:11" ht="28.05" customHeight="1">
      <c r="A43" s="179"/>
      <c r="B43" s="180" t="s">
        <v>448</v>
      </c>
      <c r="C43" s="181"/>
      <c r="D43" s="180">
        <v>234</v>
      </c>
      <c r="E43" s="182" t="s">
        <v>1852</v>
      </c>
      <c r="F43" s="183">
        <f>VLOOKUP(B:B,重量与单价数据!A:B,2,0)</f>
        <v>9</v>
      </c>
      <c r="G43" s="184"/>
      <c r="H43" s="183">
        <f t="shared" ref="H43:H52" si="11">D43*F43</f>
        <v>2106</v>
      </c>
      <c r="I43" s="182"/>
      <c r="J43" s="185"/>
      <c r="K43">
        <f>VLOOKUP(B:B,重量与单价数据!A:D,4,0)</f>
        <v>50</v>
      </c>
    </row>
    <row r="44" spans="1:11" ht="7.05" customHeight="1">
      <c r="A44" s="186"/>
      <c r="B44" s="180"/>
      <c r="C44" s="181"/>
      <c r="D44" s="180"/>
      <c r="E44" s="182"/>
      <c r="F44" s="183"/>
      <c r="G44" s="187"/>
      <c r="H44" s="183"/>
      <c r="I44" s="182"/>
      <c r="J44" s="188"/>
    </row>
    <row r="45" spans="1:11" ht="28.05" customHeight="1">
      <c r="A45" s="179"/>
      <c r="B45" s="180" t="s">
        <v>949</v>
      </c>
      <c r="C45" s="181"/>
      <c r="D45" s="180">
        <v>18</v>
      </c>
      <c r="E45" s="182" t="s">
        <v>1852</v>
      </c>
      <c r="F45" s="183">
        <f>VLOOKUP(B:B,重量与单价数据!A:B,2,0)</f>
        <v>9</v>
      </c>
      <c r="G45" s="184"/>
      <c r="H45" s="183">
        <f t="shared" ref="H45:H52" si="12">D45*F45</f>
        <v>162</v>
      </c>
      <c r="I45" s="182"/>
      <c r="J45" s="185"/>
      <c r="K45">
        <f>VLOOKUP(B:B,重量与单价数据!A:D,4,0)</f>
        <v>50</v>
      </c>
    </row>
    <row r="46" spans="1:11" ht="7.05" customHeight="1">
      <c r="A46" s="186"/>
      <c r="B46" s="180"/>
      <c r="C46" s="181"/>
      <c r="D46" s="180"/>
      <c r="E46" s="182"/>
      <c r="F46" s="183"/>
      <c r="G46" s="187"/>
      <c r="H46" s="183"/>
      <c r="I46" s="182"/>
      <c r="J46" s="188"/>
    </row>
    <row r="47" spans="1:11" ht="28.05" customHeight="1">
      <c r="A47" s="179"/>
      <c r="B47" s="180" t="s">
        <v>950</v>
      </c>
      <c r="C47" s="181"/>
      <c r="D47" s="180">
        <v>25</v>
      </c>
      <c r="E47" s="182" t="s">
        <v>1852</v>
      </c>
      <c r="F47" s="183">
        <f>VLOOKUP(B:B,重量与单价数据!A:B,2,0)</f>
        <v>9</v>
      </c>
      <c r="G47" s="184"/>
      <c r="H47" s="183">
        <f t="shared" ref="H47:H52" si="13">D47*F47</f>
        <v>225</v>
      </c>
      <c r="I47" s="182"/>
      <c r="J47" s="185"/>
      <c r="K47">
        <f>VLOOKUP(B:B,重量与单价数据!A:D,4,0)</f>
        <v>50</v>
      </c>
    </row>
    <row r="48" spans="1:11" ht="7.05" customHeight="1">
      <c r="A48" s="186"/>
      <c r="B48" s="180"/>
      <c r="C48" s="181"/>
      <c r="D48" s="180"/>
      <c r="E48" s="182"/>
      <c r="F48" s="183"/>
      <c r="G48" s="187"/>
      <c r="H48" s="183"/>
      <c r="I48" s="182"/>
      <c r="J48" s="188"/>
    </row>
    <row r="49" spans="1:11" ht="28.05" customHeight="1">
      <c r="A49" s="179"/>
      <c r="B49" s="180" t="s">
        <v>1853</v>
      </c>
      <c r="C49" s="181"/>
      <c r="D49" s="180">
        <v>25</v>
      </c>
      <c r="E49" s="182" t="s">
        <v>1852</v>
      </c>
      <c r="F49" s="183">
        <f>VLOOKUP(B:B,重量与单价数据!A:B,2,0)</f>
        <v>9</v>
      </c>
      <c r="G49" s="184"/>
      <c r="H49" s="183">
        <f t="shared" ref="H49:H52" si="14">D49*F49</f>
        <v>225</v>
      </c>
      <c r="I49" s="182"/>
      <c r="J49" s="185"/>
      <c r="K49">
        <f>VLOOKUP(B:B,重量与单价数据!A:D,4,0)</f>
        <v>12</v>
      </c>
    </row>
    <row r="50" spans="1:11" ht="7.05" customHeight="1">
      <c r="A50" s="186"/>
      <c r="B50" s="180"/>
      <c r="C50" s="181"/>
      <c r="D50" s="180"/>
      <c r="E50" s="182"/>
      <c r="F50" s="183"/>
      <c r="G50" s="187"/>
      <c r="H50" s="183"/>
      <c r="I50" s="182"/>
      <c r="J50" s="188"/>
    </row>
    <row r="51" spans="1:11" ht="28.05" customHeight="1">
      <c r="A51" s="179"/>
      <c r="B51" s="180" t="s">
        <v>1853</v>
      </c>
      <c r="C51" s="181"/>
      <c r="D51" s="180">
        <v>25</v>
      </c>
      <c r="E51" s="182" t="s">
        <v>1852</v>
      </c>
      <c r="F51" s="183">
        <f>VLOOKUP(B:B,重量与单价数据!A:B,2,0)</f>
        <v>9</v>
      </c>
      <c r="G51" s="184"/>
      <c r="H51" s="183">
        <f t="shared" ref="H51:H52" si="15">D51*F51</f>
        <v>225</v>
      </c>
      <c r="I51" s="182"/>
      <c r="J51" s="185"/>
      <c r="K51">
        <f>VLOOKUP(B:B,重量与单价数据!A:D,4,0)</f>
        <v>12</v>
      </c>
    </row>
    <row r="52" spans="1:11" ht="7.05" customHeight="1">
      <c r="A52" s="186"/>
      <c r="B52" s="180"/>
      <c r="C52" s="181"/>
      <c r="D52" s="180"/>
      <c r="E52" s="182"/>
      <c r="F52" s="183"/>
      <c r="G52" s="187"/>
      <c r="H52" s="183"/>
      <c r="I52" s="182"/>
      <c r="J52" s="188"/>
    </row>
    <row r="53" spans="1:11" ht="28.05" customHeight="1">
      <c r="A53" s="179"/>
      <c r="B53" s="180"/>
      <c r="C53" s="181"/>
      <c r="D53" s="180"/>
      <c r="E53" s="182"/>
      <c r="F53" s="183"/>
      <c r="G53" s="184"/>
      <c r="H53" s="183"/>
      <c r="I53" s="182"/>
      <c r="J53" s="185"/>
    </row>
    <row r="54" spans="1:11" ht="7.05" customHeight="1">
      <c r="A54" s="186"/>
      <c r="B54" s="180"/>
      <c r="C54" s="181"/>
      <c r="D54" s="180"/>
      <c r="E54" s="182"/>
      <c r="F54" s="183"/>
      <c r="G54" s="187"/>
      <c r="H54" s="183"/>
      <c r="I54" s="182"/>
      <c r="J54" s="188"/>
    </row>
    <row r="55" spans="1:11" ht="28.05" customHeight="1">
      <c r="A55" s="179"/>
      <c r="B55" s="180" t="s">
        <v>1920</v>
      </c>
      <c r="C55" s="181"/>
      <c r="D55" s="180">
        <f>SUM(D$1:D54)</f>
        <v>1355</v>
      </c>
      <c r="E55" s="182" t="s">
        <v>1919</v>
      </c>
      <c r="F55" s="183"/>
      <c r="G55" s="184"/>
      <c r="H55" s="180">
        <f>SUM(H$1:H54)</f>
        <v>12195</v>
      </c>
      <c r="I55" s="182"/>
      <c r="J55" s="185"/>
    </row>
    <row r="56" spans="1:11" ht="7.05" customHeight="1"/>
    <row r="57" spans="1:11" ht="28.05" customHeight="1"/>
    <row r="58" spans="1:11" ht="7.05" customHeight="1"/>
    <row r="59" spans="1:11" ht="28.05" customHeight="1"/>
    <row r="60" spans="1:11" ht="7.05" customHeight="1"/>
    <row r="61" spans="1:11" ht="28.05" customHeight="1"/>
    <row r="62" spans="1:11" ht="7.05" customHeight="1"/>
    <row r="63" spans="1:11" ht="28.05" customHeight="1"/>
    <row r="64" spans="1:11" ht="7.05" customHeight="1"/>
    <row r="65" ht="28.05" customHeight="1"/>
    <row r="66" ht="7.05" customHeight="1"/>
    <row r="67" ht="28.05" customHeight="1"/>
    <row r="68" ht="7.05" customHeight="1"/>
    <row r="69" ht="16.05" customHeight="1"/>
    <row r="70" ht="16.05" customHeight="1"/>
    <row r="71" ht="16.05" customHeight="1"/>
    <row r="72" ht="16.05" customHeight="1"/>
    <row r="73" ht="16.05" customHeight="1"/>
    <row r="74" ht="16.05" customHeight="1"/>
    <row r="75" ht="16.05" customHeight="1"/>
    <row r="76" ht="16.05" customHeight="1"/>
    <row r="77" ht="16.05" customHeight="1"/>
    <row r="78" ht="16.05" customHeight="1"/>
    <row r="79" ht="16.05" customHeight="1"/>
    <row r="80" ht="16.05" customHeight="1"/>
    <row r="81" ht="16.05" customHeight="1"/>
    <row r="82" ht="16.05" customHeight="1"/>
    <row r="83" ht="16.05" customHeight="1"/>
    <row r="84" ht="16.05" customHeight="1"/>
    <row r="85" ht="16.05" customHeight="1"/>
    <row r="86" ht="16.05" customHeight="1"/>
    <row r="87" ht="16.05" customHeight="1"/>
    <row r="88" ht="16.05" customHeight="1"/>
    <row r="89" ht="16.05" customHeight="1"/>
    <row r="90" ht="16.05" customHeight="1"/>
    <row r="91" ht="16.05" customHeight="1"/>
    <row r="92" ht="16.05" customHeight="1"/>
    <row r="93" ht="16.05" customHeight="1"/>
    <row r="94" ht="16.05" customHeight="1"/>
    <row r="95" ht="16.05" customHeight="1"/>
    <row r="96" ht="16.05" customHeight="1"/>
    <row r="97" ht="16.05" customHeight="1"/>
    <row r="98" ht="16.05" customHeight="1"/>
    <row r="99" ht="16.05" customHeight="1"/>
    <row r="100" ht="16.05" customHeight="1"/>
    <row r="101" ht="16.05" customHeight="1"/>
    <row r="102" ht="16.05" customHeight="1"/>
    <row r="103" ht="16.05" customHeight="1"/>
    <row r="104" ht="16.05" customHeight="1"/>
    <row r="105" ht="16.05" customHeight="1"/>
    <row r="106" ht="16.05" customHeight="1"/>
    <row r="107" ht="16.05" customHeight="1"/>
    <row r="108" ht="16.05" customHeight="1"/>
    <row r="109" ht="16.05" customHeight="1"/>
    <row r="110" ht="16.05" customHeight="1"/>
    <row r="111" ht="16.05" customHeight="1"/>
    <row r="112" ht="16.05" customHeight="1"/>
    <row r="113" ht="16.05" customHeight="1"/>
    <row r="114" ht="16.05" customHeight="1"/>
    <row r="115" ht="16.05" customHeight="1"/>
    <row r="116" ht="16.05" customHeight="1"/>
    <row r="117" ht="16.05" customHeight="1"/>
    <row r="118" ht="16.05" customHeight="1"/>
    <row r="119" ht="16.05" customHeight="1"/>
    <row r="120" ht="16.05" customHeight="1"/>
    <row r="121" ht="16.05" customHeight="1"/>
    <row r="122" ht="16.05" customHeight="1"/>
    <row r="123" ht="16.05" customHeight="1"/>
    <row r="124" ht="16.05" customHeight="1"/>
    <row r="125" ht="16.05" customHeight="1"/>
    <row r="126" ht="16.05" customHeight="1"/>
    <row r="127" ht="16.05" customHeight="1"/>
    <row r="128" ht="16.05" customHeight="1"/>
    <row r="129" ht="16.05" customHeight="1"/>
    <row r="130" ht="16.05" customHeight="1"/>
    <row r="131" ht="16.05" customHeight="1"/>
    <row r="132" ht="16.05" customHeight="1"/>
    <row r="133" ht="16.05" customHeight="1"/>
    <row r="134" ht="16.05" customHeight="1"/>
    <row r="135" ht="16.05" customHeight="1"/>
    <row r="136" ht="16.05" customHeight="1"/>
  </sheetData>
  <mergeCells count="13">
    <mergeCell ref="A7:J7"/>
    <mergeCell ref="A1:J1"/>
    <mergeCell ref="A2:J2"/>
    <mergeCell ref="A3:J3"/>
    <mergeCell ref="A4:J4"/>
    <mergeCell ref="A6:J6"/>
    <mergeCell ref="A10:E10"/>
    <mergeCell ref="A13:D13"/>
    <mergeCell ref="B14:C14"/>
    <mergeCell ref="E14:H14"/>
    <mergeCell ref="B17:D17"/>
    <mergeCell ref="E17:F17"/>
    <mergeCell ref="G17:J17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V142"/>
  <sheetViews>
    <sheetView topLeftCell="A62" zoomScale="55" zoomScaleNormal="55" workbookViewId="0">
      <selection activeCell="C69" sqref="C69"/>
    </sheetView>
  </sheetViews>
  <sheetFormatPr defaultRowHeight="14.4"/>
  <cols>
    <col min="1" max="1" width="15" customWidth="1"/>
    <col min="2" max="2" width="19.77734375" customWidth="1"/>
    <col min="3" max="3" width="10.77734375" customWidth="1"/>
    <col min="4" max="4" width="14.77734375" customWidth="1"/>
    <col min="5" max="5" width="12.77734375" customWidth="1"/>
    <col min="6" max="6" width="28.77734375" customWidth="1"/>
    <col min="7" max="7" width="14.77734375" customWidth="1"/>
    <col min="8" max="8" width="7.77734375" customWidth="1"/>
    <col min="9" max="9" width="11.77734375" customWidth="1"/>
    <col min="10" max="11" width="7.77734375" customWidth="1"/>
    <col min="12" max="12" width="1.77734375" customWidth="1"/>
    <col min="13" max="13" width="7.77734375" customWidth="1"/>
    <col min="14" max="14" width="2.77734375" customWidth="1"/>
    <col min="15" max="15" width="7.77734375" customWidth="1"/>
    <col min="16" max="16" width="6.77734375" customWidth="1"/>
    <col min="17" max="20" width="0" hidden="1" customWidth="1"/>
    <col min="21" max="21" width="13.77734375" customWidth="1"/>
    <col min="22" max="22" width="32.77734375" customWidth="1"/>
    <col min="23" max="23" width="16.77734375" customWidth="1"/>
    <col min="24" max="24" width="19.77734375" customWidth="1"/>
    <col min="25" max="25" width="11.77734375" customWidth="1"/>
    <col min="26" max="26" width="12.77734375" customWidth="1"/>
    <col min="27" max="27" width="84.77734375" customWidth="1"/>
    <col min="28" max="30" width="8.77734375" customWidth="1"/>
  </cols>
  <sheetData>
    <row r="1" spans="1:22" ht="37.950000000000003" customHeight="1">
      <c r="A1" s="251" t="s">
        <v>1758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42" t="s">
        <v>1759</v>
      </c>
      <c r="R1" s="43"/>
      <c r="S1" s="44"/>
      <c r="T1" s="44"/>
      <c r="U1" s="45"/>
      <c r="V1" s="45"/>
    </row>
    <row r="2" spans="1:22" ht="28.95" customHeight="1">
      <c r="A2" s="252" t="s">
        <v>1760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42" t="s">
        <v>1761</v>
      </c>
      <c r="R2" s="43"/>
      <c r="S2" s="44"/>
      <c r="T2" s="44"/>
      <c r="U2" s="45"/>
      <c r="V2" s="45"/>
    </row>
    <row r="3" spans="1:22" ht="27" customHeight="1">
      <c r="A3" s="253" t="s">
        <v>1762</v>
      </c>
      <c r="B3" s="25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46" t="s">
        <v>1763</v>
      </c>
      <c r="R3" s="43"/>
      <c r="S3" s="44"/>
      <c r="T3" s="44"/>
      <c r="U3" s="45"/>
      <c r="V3" s="45"/>
    </row>
    <row r="4" spans="1:22" ht="24" customHeight="1">
      <c r="A4" s="254" t="s">
        <v>1764</v>
      </c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47" t="s">
        <v>1765</v>
      </c>
      <c r="R4" s="43"/>
      <c r="S4" s="44"/>
      <c r="T4" s="44"/>
      <c r="U4" s="45"/>
      <c r="V4" s="45"/>
    </row>
    <row r="5" spans="1:22" ht="24" customHeight="1">
      <c r="A5" s="48"/>
      <c r="B5" s="49"/>
      <c r="C5" s="49"/>
      <c r="D5" s="49"/>
      <c r="E5" s="49"/>
      <c r="F5" s="49"/>
      <c r="G5" s="50"/>
      <c r="H5" s="49"/>
      <c r="I5" s="51"/>
      <c r="J5" s="49"/>
      <c r="K5" s="49"/>
      <c r="L5" s="49"/>
      <c r="M5" s="49"/>
      <c r="N5" s="49"/>
      <c r="O5" s="49"/>
      <c r="P5" s="49"/>
      <c r="Q5" s="49"/>
      <c r="R5" s="43"/>
      <c r="S5" s="44"/>
      <c r="T5" s="44"/>
      <c r="U5" s="52" t="s">
        <v>1766</v>
      </c>
      <c r="V5" s="48"/>
    </row>
    <row r="6" spans="1:22" ht="37.049999999999997" customHeight="1">
      <c r="A6" s="53"/>
      <c r="B6" s="54"/>
      <c r="C6" s="255" t="s">
        <v>1767</v>
      </c>
      <c r="D6" s="255"/>
      <c r="E6" s="255"/>
      <c r="F6" s="255"/>
      <c r="G6" s="255"/>
      <c r="H6" s="255"/>
      <c r="I6" s="255"/>
      <c r="J6" s="255"/>
      <c r="K6" s="255"/>
      <c r="L6" s="54"/>
      <c r="M6" s="54"/>
      <c r="N6" s="54"/>
      <c r="O6" s="54"/>
      <c r="P6" s="54"/>
      <c r="Q6" s="54"/>
      <c r="R6" s="43"/>
      <c r="S6" s="44"/>
      <c r="T6" s="44"/>
      <c r="U6" s="55" t="s">
        <v>1768</v>
      </c>
      <c r="V6" s="53"/>
    </row>
    <row r="7" spans="1:22" ht="31.95" customHeight="1">
      <c r="A7" s="53"/>
      <c r="B7" s="54"/>
      <c r="C7" s="256" t="s">
        <v>1769</v>
      </c>
      <c r="D7" s="256"/>
      <c r="E7" s="256"/>
      <c r="F7" s="256"/>
      <c r="G7" s="256"/>
      <c r="H7" s="256"/>
      <c r="I7" s="256"/>
      <c r="J7" s="256"/>
      <c r="K7" s="256"/>
      <c r="L7" s="54"/>
      <c r="M7" s="54"/>
      <c r="N7" s="54"/>
      <c r="O7" s="54"/>
      <c r="P7" s="54"/>
      <c r="Q7" s="56"/>
      <c r="R7" s="57"/>
      <c r="S7" s="56"/>
      <c r="T7" s="56"/>
      <c r="U7" s="238">
        <f ca="1">NOW()</f>
        <v>43130.90651296296</v>
      </c>
      <c r="V7" s="238"/>
    </row>
    <row r="8" spans="1:22" ht="22.95" customHeight="1">
      <c r="A8" s="58" t="s">
        <v>1770</v>
      </c>
      <c r="B8" s="59"/>
      <c r="C8" s="59"/>
      <c r="D8" s="59"/>
      <c r="E8" s="59"/>
      <c r="F8" s="59"/>
      <c r="G8" s="60"/>
      <c r="H8" s="61"/>
      <c r="I8" s="62" t="s">
        <v>1771</v>
      </c>
      <c r="J8" s="239" t="s">
        <v>1772</v>
      </c>
      <c r="K8" s="239"/>
      <c r="L8" s="239"/>
      <c r="M8" s="239"/>
      <c r="N8" s="59"/>
      <c r="O8" s="59"/>
      <c r="P8" s="59"/>
      <c r="Q8" s="59"/>
      <c r="R8" s="63"/>
      <c r="S8" s="64"/>
      <c r="T8" s="64"/>
      <c r="U8" s="65" t="s">
        <v>1773</v>
      </c>
      <c r="V8" s="59"/>
    </row>
    <row r="9" spans="1:22" ht="28.05" customHeight="1">
      <c r="A9" s="240" t="s">
        <v>1774</v>
      </c>
      <c r="B9" s="240"/>
      <c r="C9" s="240"/>
      <c r="D9" s="240"/>
      <c r="E9" s="240"/>
      <c r="F9" s="240"/>
      <c r="G9" s="60"/>
      <c r="H9" s="61"/>
      <c r="I9" s="62" t="s">
        <v>1775</v>
      </c>
      <c r="J9" s="241" t="s">
        <v>1776</v>
      </c>
      <c r="K9" s="241"/>
      <c r="L9" s="241"/>
      <c r="M9" s="241"/>
      <c r="N9" s="241"/>
      <c r="O9" s="241"/>
      <c r="P9" s="59"/>
      <c r="Q9" s="59"/>
      <c r="R9" s="63"/>
      <c r="S9" s="64"/>
      <c r="T9" s="64"/>
      <c r="U9" s="59"/>
      <c r="V9" s="59"/>
    </row>
    <row r="10" spans="1:22" ht="22.95" customHeight="1">
      <c r="A10" s="242" t="s">
        <v>1777</v>
      </c>
      <c r="B10" s="242"/>
      <c r="C10" s="242"/>
      <c r="D10" s="242"/>
      <c r="E10" s="242"/>
      <c r="F10" s="242"/>
      <c r="G10" s="242"/>
      <c r="H10" s="59"/>
      <c r="I10" s="66"/>
      <c r="J10" s="59"/>
      <c r="K10" s="59"/>
      <c r="L10" s="59"/>
      <c r="M10" s="59"/>
      <c r="N10" s="59"/>
      <c r="O10" s="59"/>
      <c r="P10" s="59"/>
      <c r="Q10" s="59"/>
      <c r="R10" s="63"/>
      <c r="S10" s="64"/>
      <c r="T10" s="64"/>
      <c r="U10" s="67"/>
      <c r="V10" s="67"/>
    </row>
    <row r="11" spans="1:22" ht="22.95" customHeight="1">
      <c r="A11" s="68"/>
      <c r="B11" s="69" t="s">
        <v>617</v>
      </c>
      <c r="C11" s="70"/>
      <c r="D11" s="70"/>
      <c r="E11" s="70"/>
      <c r="F11" s="70"/>
      <c r="G11" s="71"/>
      <c r="H11" s="59"/>
      <c r="I11" s="66"/>
      <c r="J11" s="59"/>
      <c r="K11" s="69">
        <f>IF(TYPE(VLOOKUP(B:B,[1]重量与单价数据!A$1:I$65536,9,0))=16,"",VLOOKUP(B:B,[1]重量与单价数据!A$1:I$65536,9,0))</f>
        <v>122</v>
      </c>
      <c r="L11" s="69" t="s">
        <v>1778</v>
      </c>
      <c r="M11" s="69">
        <f>IF(TYPE(VLOOKUP(B:B,[1]重量与单价数据!A$1:J$65536,10,0))=16,"",VLOOKUP(B:B,[1]重量与单价数据!A$1:J$65536,10,0))</f>
        <v>15</v>
      </c>
      <c r="N11" s="69" t="s">
        <v>1778</v>
      </c>
      <c r="O11" s="69">
        <f>IF(TYPE(VLOOKUP(B:B,[1]重量与单价数据!A$1:K$65536,11,0))=16,"",VLOOKUP(B:B,[1]重量与单价数据!A$1:K$65536,11,0))</f>
        <v>10</v>
      </c>
      <c r="P11" s="69" t="s">
        <v>1779</v>
      </c>
      <c r="Q11" s="69"/>
      <c r="R11" s="72"/>
      <c r="S11" s="73"/>
      <c r="T11" s="73"/>
      <c r="U11" s="74" t="str">
        <f>IF(TYPE(VLOOKUP(B:B,[1]制单!A$1:J$65536,10,0))=16,"",VLOOKUP(B:B,[1]制单!A$1:J$65536,10,0))</f>
        <v/>
      </c>
      <c r="V11" s="75" t="str">
        <f>IF(TYPE(VLOOKUP(B:B,[1]出货计划Remark!A$1:L$65536,12,0))=16,"",VLOOKUP(B:B,[1]出货计划Remark!A$1:L$65536,12,0))</f>
        <v/>
      </c>
    </row>
    <row r="12" spans="1:22" ht="22.95" customHeight="1">
      <c r="A12" s="67" t="s">
        <v>1780</v>
      </c>
      <c r="B12" s="243" t="s">
        <v>1781</v>
      </c>
      <c r="C12" s="243"/>
      <c r="D12" s="243"/>
      <c r="E12" s="76" t="s">
        <v>1782</v>
      </c>
      <c r="F12" s="243"/>
      <c r="G12" s="243"/>
      <c r="H12" s="59"/>
      <c r="I12" s="66"/>
      <c r="J12" s="59"/>
      <c r="K12" s="59"/>
      <c r="L12" s="59"/>
      <c r="M12" s="59"/>
      <c r="N12" s="59"/>
      <c r="O12" s="59"/>
      <c r="P12" s="59"/>
      <c r="Q12" s="59"/>
      <c r="R12" s="63"/>
      <c r="S12" s="64"/>
      <c r="T12" s="64"/>
      <c r="U12" s="74"/>
      <c r="V12" s="59"/>
    </row>
    <row r="13" spans="1:22" ht="28.95" customHeight="1" thickBot="1">
      <c r="A13" s="68"/>
      <c r="B13" s="77"/>
      <c r="C13" s="70"/>
      <c r="D13" s="59" t="str">
        <f>IF(TYPE(VLOOKUP(B:B,[1]制单!A$1:G$65536,7,0))=16,"",VLOOKUP(B:B,[1]制单!A$1:G$65536,7,0))</f>
        <v/>
      </c>
      <c r="E13" s="59"/>
      <c r="F13" s="59"/>
      <c r="G13" s="60"/>
      <c r="H13" s="59"/>
      <c r="I13" s="66"/>
      <c r="J13" s="59"/>
      <c r="K13" s="59"/>
      <c r="L13" s="59"/>
      <c r="M13" s="59"/>
      <c r="N13" s="59"/>
      <c r="O13" s="59"/>
      <c r="P13" s="59"/>
      <c r="Q13" s="59"/>
      <c r="R13" s="63"/>
      <c r="S13" s="64"/>
      <c r="T13" s="64"/>
      <c r="U13" s="78" t="str">
        <f>IF(TYPE(VLOOKUP(B:B,[1]制单!A$1:K$65536,11,0))=16,"",IF(VLOOKUP(B:B,[1]制单!A$1:K$65536,11,0)&gt;=0,"",VLOOKUP(B:B,[1]制单!A$1:K$65536,11,0)))</f>
        <v/>
      </c>
      <c r="V13" s="68"/>
    </row>
    <row r="14" spans="1:22" ht="19.95" customHeight="1">
      <c r="A14" s="257" t="s">
        <v>1783</v>
      </c>
      <c r="B14" s="259" t="s">
        <v>1784</v>
      </c>
      <c r="C14" s="260"/>
      <c r="D14" s="261"/>
      <c r="E14" s="259" t="s">
        <v>1785</v>
      </c>
      <c r="F14" s="261"/>
      <c r="G14" s="265" t="s">
        <v>1786</v>
      </c>
      <c r="H14" s="266"/>
      <c r="I14" s="265" t="s">
        <v>1787</v>
      </c>
      <c r="J14" s="266"/>
      <c r="K14" s="265" t="s">
        <v>1788</v>
      </c>
      <c r="L14" s="267"/>
      <c r="M14" s="267"/>
      <c r="N14" s="267"/>
      <c r="O14" s="267"/>
      <c r="P14" s="268"/>
      <c r="Q14" s="79" t="s">
        <v>1789</v>
      </c>
      <c r="R14" s="80" t="s">
        <v>1790</v>
      </c>
      <c r="S14" s="81" t="s">
        <v>1791</v>
      </c>
      <c r="T14" s="79" t="s">
        <v>1792</v>
      </c>
      <c r="U14" s="244" t="s">
        <v>1793</v>
      </c>
      <c r="V14" s="246" t="s">
        <v>1794</v>
      </c>
    </row>
    <row r="15" spans="1:22" ht="21" customHeight="1" thickBot="1">
      <c r="A15" s="258"/>
      <c r="B15" s="262"/>
      <c r="C15" s="263"/>
      <c r="D15" s="264"/>
      <c r="E15" s="262"/>
      <c r="F15" s="264"/>
      <c r="G15" s="247" t="s">
        <v>1795</v>
      </c>
      <c r="H15" s="248"/>
      <c r="I15" s="247" t="s">
        <v>1795</v>
      </c>
      <c r="J15" s="248"/>
      <c r="K15" s="247" t="s">
        <v>1796</v>
      </c>
      <c r="L15" s="249"/>
      <c r="M15" s="249"/>
      <c r="N15" s="249"/>
      <c r="O15" s="249"/>
      <c r="P15" s="250"/>
      <c r="Q15" s="79"/>
      <c r="R15" s="80"/>
      <c r="S15" s="81"/>
      <c r="T15" s="79"/>
      <c r="U15" s="245" t="str">
        <f>IF(TYPE(VLOOKUP(B:B,[1]制单!A$1:K$65536,11,0))=16,"",IF(VLOOKUP(B:B,[1]制单!A$1:K$65536,11,0)&gt;=0,"",VLOOKUP(B:B,[1]制单!A$1:K$65536,11,0)))</f>
        <v/>
      </c>
      <c r="V15" s="245"/>
    </row>
    <row r="16" spans="1:22" ht="28.95" customHeight="1">
      <c r="A16" s="82"/>
      <c r="B16" s="83" t="s">
        <v>1797</v>
      </c>
      <c r="C16" s="84"/>
      <c r="D16" s="85" t="s">
        <v>1931</v>
      </c>
      <c r="E16" s="84"/>
      <c r="F16" s="84"/>
      <c r="G16" s="86"/>
      <c r="H16" s="87"/>
      <c r="I16" s="86"/>
      <c r="J16" s="87"/>
      <c r="K16" s="87"/>
      <c r="L16" s="87"/>
      <c r="M16" s="87"/>
      <c r="N16" s="87"/>
      <c r="O16" s="87"/>
      <c r="P16" s="88"/>
      <c r="Q16" s="89"/>
      <c r="R16" s="90"/>
      <c r="S16" s="81"/>
      <c r="T16" s="81"/>
      <c r="U16" s="82" t="str">
        <f>IF(TYPE(VLOOKUP(B:B,[1]制单!A$1:K$65536,11,0))=16,"",IF(VLOOKUP(B:B,[1]制单!A$1:K$65536,11,0)&gt;=0,"",VLOOKUP(B:B,[1]制单!A$1:K$65536,11,0)))</f>
        <v/>
      </c>
      <c r="V16" s="82"/>
    </row>
    <row r="17" spans="1:22" ht="30" customHeight="1">
      <c r="A17" s="91" t="s">
        <v>1798</v>
      </c>
      <c r="B17" s="92" t="str">
        <f>INVOICE!B19</f>
        <v>BAL-SQRB-11052</v>
      </c>
      <c r="C17" s="93"/>
      <c r="D17" s="94"/>
      <c r="E17" s="95">
        <v>5</v>
      </c>
      <c r="F17" s="96" t="s">
        <v>1799</v>
      </c>
      <c r="G17" s="97">
        <v>88.9</v>
      </c>
      <c r="H17" s="98" t="s">
        <v>1800</v>
      </c>
      <c r="I17" s="99">
        <v>81.5</v>
      </c>
      <c r="J17" s="100" t="s">
        <v>1800</v>
      </c>
      <c r="K17" s="229">
        <f>VLOOKUP(B:B,重量与单价数据!A:I,9,0)</f>
        <v>145</v>
      </c>
      <c r="L17" s="231" t="s">
        <v>1778</v>
      </c>
      <c r="M17" s="231">
        <f>VLOOKUP(B:B,重量与单价数据!A:J,10,0)</f>
        <v>29</v>
      </c>
      <c r="N17" s="231" t="s">
        <v>1778</v>
      </c>
      <c r="O17" s="231">
        <f>VLOOKUP(B:B,重量与单价数据!A:K,11,0)</f>
        <v>16</v>
      </c>
      <c r="P17" s="233" t="s">
        <v>1779</v>
      </c>
      <c r="Q17" s="101">
        <f>E17*K17*M17*O17/1000000</f>
        <v>0.33639999999999998</v>
      </c>
      <c r="R17" s="102">
        <f>VLOOKUP(B:B,重量与单价数据!A:C,3,0)/1000</f>
        <v>0.32600000000000001</v>
      </c>
      <c r="S17" s="103">
        <f>VLOOKUP(B:B,重量与单价数据!A:E,5,0)</f>
        <v>1.48</v>
      </c>
      <c r="T17" s="104">
        <f>VLOOKUP(B:B,重量与单价数据!A:D,4,0)</f>
        <v>50</v>
      </c>
      <c r="U17" s="105"/>
      <c r="V17" s="105"/>
    </row>
    <row r="18" spans="1:22" ht="30" customHeight="1">
      <c r="A18" s="106"/>
      <c r="B18" s="107"/>
      <c r="C18" s="108"/>
      <c r="D18" s="109"/>
      <c r="E18" s="235" t="s">
        <v>1801</v>
      </c>
      <c r="F18" s="236"/>
      <c r="G18" s="230" t="s">
        <v>1901</v>
      </c>
      <c r="H18" s="237"/>
      <c r="I18" s="230" t="s">
        <v>1902</v>
      </c>
      <c r="J18" s="237"/>
      <c r="K18" s="230"/>
      <c r="L18" s="232"/>
      <c r="M18" s="232"/>
      <c r="N18" s="232"/>
      <c r="O18" s="232"/>
      <c r="P18" s="234"/>
      <c r="Q18" s="101"/>
      <c r="R18" s="102"/>
      <c r="S18" s="103"/>
      <c r="T18" s="104"/>
      <c r="U18" s="110"/>
      <c r="V18" s="110"/>
    </row>
    <row r="19" spans="1:22" ht="30" customHeight="1">
      <c r="A19" s="91" t="s">
        <v>1802</v>
      </c>
      <c r="B19" s="92" t="str">
        <f>B17</f>
        <v>BAL-SQRB-11052</v>
      </c>
      <c r="C19" s="93"/>
      <c r="D19" s="94"/>
      <c r="E19" s="95">
        <v>1</v>
      </c>
      <c r="F19" s="96" t="s">
        <v>1799</v>
      </c>
      <c r="G19" s="97">
        <v>16.149999999999999</v>
      </c>
      <c r="H19" s="98" t="s">
        <v>1800</v>
      </c>
      <c r="I19" s="99">
        <v>14.67</v>
      </c>
      <c r="J19" s="100" t="s">
        <v>1800</v>
      </c>
      <c r="K19" s="229">
        <f>VLOOKUP(B:B,重量与单价数据!A:I,9,0)</f>
        <v>145</v>
      </c>
      <c r="L19" s="231" t="s">
        <v>1778</v>
      </c>
      <c r="M19" s="231">
        <f>VLOOKUP(B:B,重量与单价数据!A:J,10,0)</f>
        <v>29</v>
      </c>
      <c r="N19" s="231" t="s">
        <v>1778</v>
      </c>
      <c r="O19" s="231">
        <f>VLOOKUP(B:B,重量与单价数据!A:K,11,0)</f>
        <v>16</v>
      </c>
      <c r="P19" s="233" t="s">
        <v>1779</v>
      </c>
      <c r="Q19" s="101">
        <f>E19*K19*M19*O19/1000000</f>
        <v>6.7280000000000006E-2</v>
      </c>
      <c r="R19" s="102">
        <f>VLOOKUP(B:B,重量与单价数据!A:C,3,0)/1000</f>
        <v>0.32600000000000001</v>
      </c>
      <c r="S19" s="103"/>
      <c r="T19" s="104"/>
      <c r="U19" s="105"/>
      <c r="V19" s="105"/>
    </row>
    <row r="20" spans="1:22" ht="30" customHeight="1">
      <c r="A20" s="106"/>
      <c r="B20" s="107"/>
      <c r="C20" s="108"/>
      <c r="D20" s="109"/>
      <c r="E20" s="235" t="s">
        <v>1803</v>
      </c>
      <c r="F20" s="236"/>
      <c r="G20" s="230" t="s">
        <v>1903</v>
      </c>
      <c r="H20" s="237"/>
      <c r="I20" s="230" t="s">
        <v>1904</v>
      </c>
      <c r="J20" s="237"/>
      <c r="K20" s="230"/>
      <c r="L20" s="232"/>
      <c r="M20" s="232"/>
      <c r="N20" s="232"/>
      <c r="O20" s="232"/>
      <c r="P20" s="234"/>
      <c r="Q20" s="101"/>
      <c r="R20" s="102"/>
      <c r="S20" s="103"/>
      <c r="T20" s="104"/>
      <c r="U20" s="110"/>
      <c r="V20" s="110"/>
    </row>
    <row r="21" spans="1:22" ht="30" customHeight="1">
      <c r="A21" s="91" t="s">
        <v>1909</v>
      </c>
      <c r="B21" s="92" t="str">
        <f>INVOICE!B21</f>
        <v>TAQ-1125-ST-CB-70041</v>
      </c>
      <c r="C21" s="93"/>
      <c r="D21" s="94"/>
      <c r="E21" s="95">
        <v>36</v>
      </c>
      <c r="F21" s="96" t="s">
        <v>1799</v>
      </c>
      <c r="G21" s="97">
        <v>33.479999999999997</v>
      </c>
      <c r="H21" s="98" t="s">
        <v>1800</v>
      </c>
      <c r="I21" s="99">
        <v>15.48</v>
      </c>
      <c r="J21" s="100" t="s">
        <v>1800</v>
      </c>
      <c r="K21" s="229">
        <f>VLOOKUP(B:B,重量与单价数据!A:I,9,0)</f>
        <v>89</v>
      </c>
      <c r="L21" s="231" t="s">
        <v>1778</v>
      </c>
      <c r="M21" s="231">
        <f>VLOOKUP(B:B,重量与单价数据!A:J,10,0)</f>
        <v>14</v>
      </c>
      <c r="N21" s="231" t="s">
        <v>1778</v>
      </c>
      <c r="O21" s="231">
        <f>VLOOKUP(B:B,重量与单价数据!A:K,11,0)</f>
        <v>9</v>
      </c>
      <c r="P21" s="233" t="s">
        <v>1779</v>
      </c>
      <c r="Q21" s="101">
        <f>E21*K21*M21*O21/1000000</f>
        <v>0.40370400000000001</v>
      </c>
      <c r="R21" s="102">
        <f>VLOOKUP(B:B,重量与单价数据!A:C,3,0)/1000</f>
        <v>0.43</v>
      </c>
      <c r="S21" s="103">
        <f>VLOOKUP(B:B,重量与单价数据!A:E,5,0)</f>
        <v>0.5</v>
      </c>
      <c r="T21" s="104">
        <f>VLOOKUP(B:B,重量与单价数据!A:D,4,0)</f>
        <v>1</v>
      </c>
      <c r="U21" s="105"/>
      <c r="V21" s="105"/>
    </row>
    <row r="22" spans="1:22" ht="30" customHeight="1">
      <c r="A22" s="106"/>
      <c r="B22" s="107"/>
      <c r="C22" s="108"/>
      <c r="D22" s="109"/>
      <c r="E22" s="235" t="s">
        <v>1908</v>
      </c>
      <c r="F22" s="236"/>
      <c r="G22" s="230" t="s">
        <v>1895</v>
      </c>
      <c r="H22" s="237"/>
      <c r="I22" s="230" t="s">
        <v>1896</v>
      </c>
      <c r="J22" s="237"/>
      <c r="K22" s="230"/>
      <c r="L22" s="232"/>
      <c r="M22" s="232"/>
      <c r="N22" s="232"/>
      <c r="O22" s="232"/>
      <c r="P22" s="234"/>
      <c r="Q22" s="101"/>
      <c r="R22" s="102"/>
      <c r="S22" s="103"/>
      <c r="T22" s="104"/>
      <c r="U22" s="110"/>
      <c r="V22" s="110"/>
    </row>
    <row r="23" spans="1:22" ht="30" customHeight="1">
      <c r="A23" s="91" t="s">
        <v>1910</v>
      </c>
      <c r="B23" s="92" t="str">
        <f>INVOICE!B23</f>
        <v>ULAUNCH145TS-46</v>
      </c>
      <c r="C23" s="93"/>
      <c r="D23" s="94"/>
      <c r="E23" s="95">
        <v>4</v>
      </c>
      <c r="F23" s="96" t="s">
        <v>1799</v>
      </c>
      <c r="G23" s="97">
        <v>22.2</v>
      </c>
      <c r="H23" s="98" t="s">
        <v>1800</v>
      </c>
      <c r="I23" s="99">
        <v>19.8</v>
      </c>
      <c r="J23" s="100" t="s">
        <v>1800</v>
      </c>
      <c r="K23" s="229">
        <f>VLOOKUP(B:B,重量与单价数据!A:I,9,0)</f>
        <v>122</v>
      </c>
      <c r="L23" s="231" t="s">
        <v>1778</v>
      </c>
      <c r="M23" s="231">
        <f>VLOOKUP(B:B,重量与单价数据!A:J,10,0)</f>
        <v>15</v>
      </c>
      <c r="N23" s="231" t="s">
        <v>1778</v>
      </c>
      <c r="O23" s="231">
        <f>VLOOKUP(B:B,重量与单价数据!A:K,11,0)</f>
        <v>10</v>
      </c>
      <c r="P23" s="233" t="s">
        <v>1779</v>
      </c>
      <c r="Q23" s="101">
        <f>E23*K23*M23*O23/1000000</f>
        <v>7.3200000000000001E-2</v>
      </c>
      <c r="R23" s="102">
        <f>VLOOKUP(B:B,重量与单价数据!A:C,3,0)/1000</f>
        <v>9.9000000000000005E-2</v>
      </c>
      <c r="S23" s="103">
        <f>VLOOKUP(B:B,重量与单价数据!A:E,5,0)</f>
        <v>0.6</v>
      </c>
      <c r="T23" s="104">
        <f>VLOOKUP(B:B,重量与单价数据!A:D,4,0)</f>
        <v>50</v>
      </c>
      <c r="U23" s="105"/>
      <c r="V23" s="105"/>
    </row>
    <row r="24" spans="1:22" ht="30" customHeight="1">
      <c r="A24" s="106"/>
      <c r="B24" s="107"/>
      <c r="C24" s="108"/>
      <c r="D24" s="109"/>
      <c r="E24" s="235" t="s">
        <v>1892</v>
      </c>
      <c r="F24" s="236"/>
      <c r="G24" s="230" t="s">
        <v>1897</v>
      </c>
      <c r="H24" s="237"/>
      <c r="I24" s="230" t="s">
        <v>1898</v>
      </c>
      <c r="J24" s="237"/>
      <c r="K24" s="230"/>
      <c r="L24" s="232"/>
      <c r="M24" s="232"/>
      <c r="N24" s="232"/>
      <c r="O24" s="232"/>
      <c r="P24" s="234"/>
      <c r="Q24" s="101"/>
      <c r="R24" s="102"/>
      <c r="S24" s="103"/>
      <c r="T24" s="104"/>
      <c r="U24" s="110"/>
      <c r="V24" s="110"/>
    </row>
    <row r="25" spans="1:22" ht="30" customHeight="1">
      <c r="A25" s="91" t="s">
        <v>1911</v>
      </c>
      <c r="B25" s="92" t="str">
        <f>B23</f>
        <v>ULAUNCH145TS-46</v>
      </c>
      <c r="C25" s="93"/>
      <c r="D25" s="94"/>
      <c r="E25" s="95">
        <v>1</v>
      </c>
      <c r="F25" s="96" t="s">
        <v>1799</v>
      </c>
      <c r="G25" s="97">
        <v>3.9660000000000002</v>
      </c>
      <c r="H25" s="98" t="s">
        <v>1800</v>
      </c>
      <c r="I25" s="99">
        <v>3.3660000000000001</v>
      </c>
      <c r="J25" s="100" t="s">
        <v>1800</v>
      </c>
      <c r="K25" s="229">
        <f>VLOOKUP(B:B,重量与单价数据!A:I,9,0)</f>
        <v>122</v>
      </c>
      <c r="L25" s="231" t="s">
        <v>1778</v>
      </c>
      <c r="M25" s="231">
        <f>VLOOKUP(B:B,重量与单价数据!A:J,10,0)</f>
        <v>15</v>
      </c>
      <c r="N25" s="231" t="s">
        <v>1778</v>
      </c>
      <c r="O25" s="231">
        <f>VLOOKUP(B:B,重量与单价数据!A:K,11,0)</f>
        <v>10</v>
      </c>
      <c r="P25" s="233" t="s">
        <v>1779</v>
      </c>
      <c r="Q25" s="101">
        <f>E25*K25*M25*O25/1000000</f>
        <v>1.83E-2</v>
      </c>
      <c r="R25" s="102">
        <f>VLOOKUP(B:B,重量与单价数据!A:C,3,0)/1000</f>
        <v>9.9000000000000005E-2</v>
      </c>
      <c r="S25" s="103"/>
      <c r="T25" s="104"/>
      <c r="U25" s="105"/>
      <c r="V25" s="105"/>
    </row>
    <row r="26" spans="1:22" ht="30" customHeight="1">
      <c r="A26" s="106"/>
      <c r="B26" s="107"/>
      <c r="C26" s="108"/>
      <c r="D26" s="109"/>
      <c r="E26" s="235" t="s">
        <v>1893</v>
      </c>
      <c r="F26" s="236"/>
      <c r="G26" s="230" t="s">
        <v>1899</v>
      </c>
      <c r="H26" s="237"/>
      <c r="I26" s="230" t="s">
        <v>1900</v>
      </c>
      <c r="J26" s="237"/>
      <c r="K26" s="230"/>
      <c r="L26" s="232"/>
      <c r="M26" s="232"/>
      <c r="N26" s="232"/>
      <c r="O26" s="232"/>
      <c r="P26" s="234"/>
      <c r="Q26" s="101"/>
      <c r="R26" s="102"/>
      <c r="S26" s="103"/>
      <c r="T26" s="104"/>
      <c r="U26" s="110"/>
      <c r="V26" s="110"/>
    </row>
    <row r="27" spans="1:22" ht="30" customHeight="1">
      <c r="A27" s="91" t="s">
        <v>1912</v>
      </c>
      <c r="B27" s="92" t="str">
        <f>INVOICE!B25</f>
        <v>GSAL355IS-40-T</v>
      </c>
      <c r="C27" s="93"/>
      <c r="D27" s="94"/>
      <c r="E27" s="95">
        <v>1</v>
      </c>
      <c r="F27" s="96" t="s">
        <v>1799</v>
      </c>
      <c r="G27" s="97">
        <v>1.8959999999999999</v>
      </c>
      <c r="H27" s="98" t="s">
        <v>1800</v>
      </c>
      <c r="I27" s="99">
        <v>1.2959999999999998</v>
      </c>
      <c r="J27" s="100" t="s">
        <v>1800</v>
      </c>
      <c r="K27" s="229">
        <f>VLOOKUP(B:B,重量与单价数据!A:I,9,0)</f>
        <v>122</v>
      </c>
      <c r="L27" s="231" t="s">
        <v>1778</v>
      </c>
      <c r="M27" s="231">
        <f>VLOOKUP(B:B,重量与单价数据!A:J,10,0)</f>
        <v>15</v>
      </c>
      <c r="N27" s="231" t="s">
        <v>1778</v>
      </c>
      <c r="O27" s="231">
        <f>VLOOKUP(B:B,重量与单价数据!A:K,11,0)</f>
        <v>10</v>
      </c>
      <c r="P27" s="233" t="s">
        <v>1779</v>
      </c>
      <c r="Q27" s="101">
        <f>E27*K27*M27*O27/1000000</f>
        <v>1.83E-2</v>
      </c>
      <c r="R27" s="102">
        <f>VLOOKUP(B:B,重量与单价数据!A:C,3,0)/1000</f>
        <v>7.1999999999999995E-2</v>
      </c>
      <c r="S27" s="103">
        <f>VLOOKUP(B:B,重量与单价数据!A:E,5,0)</f>
        <v>0.6</v>
      </c>
      <c r="T27" s="104">
        <f>VLOOKUP(B:B,重量与单价数据!A:D,4,0)</f>
        <v>50</v>
      </c>
      <c r="U27" s="105"/>
      <c r="V27" s="105"/>
    </row>
    <row r="28" spans="1:22" ht="30" customHeight="1">
      <c r="A28" s="106"/>
      <c r="B28" s="107"/>
      <c r="C28" s="108"/>
      <c r="D28" s="109"/>
      <c r="E28" s="235" t="s">
        <v>1804</v>
      </c>
      <c r="F28" s="236"/>
      <c r="G28" s="230" t="s">
        <v>1805</v>
      </c>
      <c r="H28" s="237"/>
      <c r="I28" s="230" t="s">
        <v>1806</v>
      </c>
      <c r="J28" s="237"/>
      <c r="K28" s="230"/>
      <c r="L28" s="232"/>
      <c r="M28" s="232"/>
      <c r="N28" s="232"/>
      <c r="O28" s="232"/>
      <c r="P28" s="234"/>
      <c r="Q28" s="101"/>
      <c r="R28" s="102"/>
      <c r="S28" s="103"/>
      <c r="T28" s="104"/>
      <c r="U28" s="110"/>
      <c r="V28" s="110"/>
    </row>
    <row r="29" spans="1:22" ht="30" customHeight="1">
      <c r="A29" s="91" t="s">
        <v>1913</v>
      </c>
      <c r="B29" s="92" t="str">
        <f>INVOICE!B27</f>
        <v>TAQEX-1125-ST-CB-70044</v>
      </c>
      <c r="C29" s="93"/>
      <c r="D29" s="94"/>
      <c r="E29" s="95">
        <v>50</v>
      </c>
      <c r="F29" s="96" t="s">
        <v>1799</v>
      </c>
      <c r="G29" s="97">
        <v>46.5</v>
      </c>
      <c r="H29" s="98" t="s">
        <v>1800</v>
      </c>
      <c r="I29" s="99">
        <v>21.5</v>
      </c>
      <c r="J29" s="100" t="s">
        <v>1800</v>
      </c>
      <c r="K29" s="229">
        <f>VLOOKUP(B:B,重量与单价数据!A:I,9,0)</f>
        <v>89</v>
      </c>
      <c r="L29" s="231" t="s">
        <v>1778</v>
      </c>
      <c r="M29" s="231">
        <f>VLOOKUP(B:B,重量与单价数据!A:J,10,0)</f>
        <v>14</v>
      </c>
      <c r="N29" s="231" t="s">
        <v>1778</v>
      </c>
      <c r="O29" s="231">
        <f>VLOOKUP(B:B,重量与单价数据!A:K,11,0)</f>
        <v>9</v>
      </c>
      <c r="P29" s="233" t="s">
        <v>1779</v>
      </c>
      <c r="Q29" s="101">
        <f>E29*K29*M29*O29/1000000</f>
        <v>0.56069999999999998</v>
      </c>
      <c r="R29" s="102">
        <f>VLOOKUP(B:B,重量与单价数据!A:C,3,0)/1000</f>
        <v>0.43</v>
      </c>
      <c r="S29" s="103">
        <f>VLOOKUP(B:B,重量与单价数据!A:E,5,0)</f>
        <v>0.5</v>
      </c>
      <c r="T29" s="104">
        <f>VLOOKUP(B:B,重量与单价数据!A:D,4,0)</f>
        <v>1</v>
      </c>
      <c r="U29" s="105"/>
      <c r="V29" s="105"/>
    </row>
    <row r="30" spans="1:22" ht="30" customHeight="1">
      <c r="A30" s="106"/>
      <c r="B30" s="107"/>
      <c r="C30" s="108"/>
      <c r="D30" s="109"/>
      <c r="E30" s="235" t="s">
        <v>1894</v>
      </c>
      <c r="F30" s="236"/>
      <c r="G30" s="230" t="s">
        <v>1895</v>
      </c>
      <c r="H30" s="237"/>
      <c r="I30" s="230" t="s">
        <v>1896</v>
      </c>
      <c r="J30" s="237"/>
      <c r="K30" s="230"/>
      <c r="L30" s="232"/>
      <c r="M30" s="232"/>
      <c r="N30" s="232"/>
      <c r="O30" s="232"/>
      <c r="P30" s="234"/>
      <c r="Q30" s="101"/>
      <c r="R30" s="102"/>
      <c r="S30" s="103"/>
      <c r="T30" s="104"/>
      <c r="U30" s="110"/>
      <c r="V30" s="110"/>
    </row>
    <row r="31" spans="1:22" ht="30" customHeight="1">
      <c r="A31" s="91" t="s">
        <v>1914</v>
      </c>
      <c r="B31" s="92" t="str">
        <f>INVOICE!B29</f>
        <v>ULAUNCH145TS-46</v>
      </c>
      <c r="C31" s="93"/>
      <c r="D31" s="94"/>
      <c r="E31" s="95">
        <v>4</v>
      </c>
      <c r="F31" s="96" t="s">
        <v>1799</v>
      </c>
      <c r="G31" s="97">
        <v>22.2</v>
      </c>
      <c r="H31" s="98" t="s">
        <v>1800</v>
      </c>
      <c r="I31" s="99">
        <v>19.8</v>
      </c>
      <c r="J31" s="100" t="s">
        <v>1800</v>
      </c>
      <c r="K31" s="229">
        <f>VLOOKUP(B:B,重量与单价数据!A:I,9,0)</f>
        <v>122</v>
      </c>
      <c r="L31" s="231" t="s">
        <v>1778</v>
      </c>
      <c r="M31" s="231">
        <f>VLOOKUP(B:B,重量与单价数据!A:J,10,0)</f>
        <v>15</v>
      </c>
      <c r="N31" s="231" t="s">
        <v>1778</v>
      </c>
      <c r="O31" s="231">
        <f>VLOOKUP(B:B,重量与单价数据!A:K,11,0)</f>
        <v>10</v>
      </c>
      <c r="P31" s="233" t="s">
        <v>1779</v>
      </c>
      <c r="Q31" s="101">
        <f>E31*K31*M31*O31/1000000</f>
        <v>7.3200000000000001E-2</v>
      </c>
      <c r="R31" s="102">
        <f>VLOOKUP(B:B,重量与单价数据!A:C,3,0)/1000</f>
        <v>9.9000000000000005E-2</v>
      </c>
      <c r="S31" s="103">
        <f>VLOOKUP(B:B,重量与单价数据!A:E,5,0)</f>
        <v>0.6</v>
      </c>
      <c r="T31" s="104">
        <f>VLOOKUP(B:B,重量与单价数据!A:D,4,0)</f>
        <v>50</v>
      </c>
      <c r="U31" s="105"/>
      <c r="V31" s="105"/>
    </row>
    <row r="32" spans="1:22" ht="30" customHeight="1">
      <c r="A32" s="106"/>
      <c r="B32" s="107"/>
      <c r="C32" s="108"/>
      <c r="D32" s="109"/>
      <c r="E32" s="235" t="s">
        <v>1892</v>
      </c>
      <c r="F32" s="236"/>
      <c r="G32" s="230" t="s">
        <v>1897</v>
      </c>
      <c r="H32" s="237"/>
      <c r="I32" s="230" t="s">
        <v>1898</v>
      </c>
      <c r="J32" s="237"/>
      <c r="K32" s="230"/>
      <c r="L32" s="232"/>
      <c r="M32" s="232"/>
      <c r="N32" s="232"/>
      <c r="O32" s="232"/>
      <c r="P32" s="234"/>
      <c r="Q32" s="101"/>
      <c r="R32" s="102"/>
      <c r="S32" s="103"/>
      <c r="T32" s="104"/>
      <c r="U32" s="110"/>
      <c r="V32" s="110"/>
    </row>
    <row r="33" spans="1:22" ht="30" customHeight="1">
      <c r="A33" s="91" t="s">
        <v>1915</v>
      </c>
      <c r="B33" s="92" t="str">
        <f>B31</f>
        <v>ULAUNCH145TS-46</v>
      </c>
      <c r="C33" s="93"/>
      <c r="D33" s="94"/>
      <c r="E33" s="95">
        <v>1</v>
      </c>
      <c r="F33" s="96" t="s">
        <v>1799</v>
      </c>
      <c r="G33" s="97">
        <v>3.9660000000000002</v>
      </c>
      <c r="H33" s="98" t="s">
        <v>1800</v>
      </c>
      <c r="I33" s="99">
        <v>3.3660000000000001</v>
      </c>
      <c r="J33" s="100" t="s">
        <v>1800</v>
      </c>
      <c r="K33" s="229">
        <f>VLOOKUP(B:B,重量与单价数据!A:I,9,0)</f>
        <v>122</v>
      </c>
      <c r="L33" s="231" t="s">
        <v>1778</v>
      </c>
      <c r="M33" s="231">
        <f>VLOOKUP(B:B,重量与单价数据!A:J,10,0)</f>
        <v>15</v>
      </c>
      <c r="N33" s="231" t="s">
        <v>1778</v>
      </c>
      <c r="O33" s="231">
        <f>VLOOKUP(B:B,重量与单价数据!A:K,11,0)</f>
        <v>10</v>
      </c>
      <c r="P33" s="233" t="s">
        <v>1779</v>
      </c>
      <c r="Q33" s="101">
        <f>E33*K33*M33*O33/1000000</f>
        <v>1.83E-2</v>
      </c>
      <c r="R33" s="102">
        <f>VLOOKUP(B:B,重量与单价数据!A:C,3,0)/1000</f>
        <v>9.9000000000000005E-2</v>
      </c>
      <c r="S33" s="103"/>
      <c r="T33" s="104"/>
      <c r="U33" s="105"/>
      <c r="V33" s="105"/>
    </row>
    <row r="34" spans="1:22" ht="30" customHeight="1">
      <c r="A34" s="106"/>
      <c r="B34" s="107"/>
      <c r="C34" s="108"/>
      <c r="D34" s="109"/>
      <c r="E34" s="235" t="s">
        <v>1893</v>
      </c>
      <c r="F34" s="236"/>
      <c r="G34" s="230" t="s">
        <v>1899</v>
      </c>
      <c r="H34" s="237"/>
      <c r="I34" s="230" t="s">
        <v>1900</v>
      </c>
      <c r="J34" s="237"/>
      <c r="K34" s="230"/>
      <c r="L34" s="232"/>
      <c r="M34" s="232"/>
      <c r="N34" s="232"/>
      <c r="O34" s="232"/>
      <c r="P34" s="234"/>
      <c r="Q34" s="101"/>
      <c r="R34" s="102"/>
      <c r="S34" s="103"/>
      <c r="T34" s="104"/>
      <c r="U34" s="110"/>
      <c r="V34" s="110"/>
    </row>
    <row r="35" spans="1:22" ht="30" customHeight="1">
      <c r="A35" s="91" t="s">
        <v>1916</v>
      </c>
      <c r="B35" s="92" t="str">
        <f>INVOICE!B31</f>
        <v>GSAL355IS-40-T</v>
      </c>
      <c r="C35" s="93"/>
      <c r="D35" s="94"/>
      <c r="E35" s="95">
        <v>1</v>
      </c>
      <c r="F35" s="96" t="s">
        <v>1799</v>
      </c>
      <c r="G35" s="97">
        <v>1.8959999999999999</v>
      </c>
      <c r="H35" s="98" t="s">
        <v>1800</v>
      </c>
      <c r="I35" s="99">
        <v>1.2959999999999998</v>
      </c>
      <c r="J35" s="100" t="s">
        <v>1800</v>
      </c>
      <c r="K35" s="229">
        <f>VLOOKUP(B:B,重量与单价数据!A:I,9,0)</f>
        <v>122</v>
      </c>
      <c r="L35" s="231" t="s">
        <v>1778</v>
      </c>
      <c r="M35" s="231">
        <f>VLOOKUP(B:B,重量与单价数据!A:J,10,0)</f>
        <v>15</v>
      </c>
      <c r="N35" s="231" t="s">
        <v>1778</v>
      </c>
      <c r="O35" s="231">
        <f>VLOOKUP(B:B,重量与单价数据!A:K,11,0)</f>
        <v>10</v>
      </c>
      <c r="P35" s="233" t="s">
        <v>1779</v>
      </c>
      <c r="Q35" s="101">
        <f>E35*K35*M35*O35/1000000</f>
        <v>1.83E-2</v>
      </c>
      <c r="R35" s="102">
        <f>VLOOKUP(B:B,重量与单价数据!A:C,3,0)/1000</f>
        <v>7.1999999999999995E-2</v>
      </c>
      <c r="S35" s="103">
        <f>VLOOKUP(B:B,重量与单价数据!A:E,5,0)</f>
        <v>0.6</v>
      </c>
      <c r="T35" s="104">
        <f>VLOOKUP(B:B,重量与单价数据!A:D,4,0)</f>
        <v>50</v>
      </c>
      <c r="U35" s="105"/>
      <c r="V35" s="105"/>
    </row>
    <row r="36" spans="1:22" ht="30" customHeight="1">
      <c r="A36" s="106"/>
      <c r="B36" s="107"/>
      <c r="C36" s="108"/>
      <c r="D36" s="109"/>
      <c r="E36" s="235" t="s">
        <v>1804</v>
      </c>
      <c r="F36" s="236"/>
      <c r="G36" s="230" t="s">
        <v>1805</v>
      </c>
      <c r="H36" s="237"/>
      <c r="I36" s="230" t="s">
        <v>1806</v>
      </c>
      <c r="J36" s="237"/>
      <c r="K36" s="230"/>
      <c r="L36" s="232"/>
      <c r="M36" s="232"/>
      <c r="N36" s="232"/>
      <c r="O36" s="232"/>
      <c r="P36" s="234"/>
      <c r="Q36" s="101"/>
      <c r="R36" s="102"/>
      <c r="S36" s="103"/>
      <c r="T36" s="104"/>
      <c r="U36" s="110"/>
      <c r="V36" s="110"/>
    </row>
    <row r="37" spans="1:22" ht="30" customHeight="1">
      <c r="A37" s="91" t="s">
        <v>1905</v>
      </c>
      <c r="B37" s="92" t="str">
        <f>INVOICE!B33</f>
        <v>CCM-V8-TT-4556</v>
      </c>
      <c r="C37" s="93"/>
      <c r="D37" s="94"/>
      <c r="E37" s="95">
        <v>1</v>
      </c>
      <c r="F37" s="96" t="s">
        <v>1799</v>
      </c>
      <c r="G37" s="97">
        <v>10.98</v>
      </c>
      <c r="H37" s="98" t="s">
        <v>1800</v>
      </c>
      <c r="I37" s="99">
        <v>9.5</v>
      </c>
      <c r="J37" s="100" t="s">
        <v>1800</v>
      </c>
      <c r="K37" s="229">
        <f>VLOOKUP(B:B,重量与单价数据!A:I,9,0)</f>
        <v>145</v>
      </c>
      <c r="L37" s="231" t="s">
        <v>1778</v>
      </c>
      <c r="M37" s="231">
        <f>VLOOKUP(B:B,重量与单价数据!A:J,10,0)</f>
        <v>29</v>
      </c>
      <c r="N37" s="231" t="s">
        <v>1778</v>
      </c>
      <c r="O37" s="231">
        <f>VLOOKUP(B:B,重量与单价数据!A:K,11,0)</f>
        <v>16</v>
      </c>
      <c r="P37" s="233" t="s">
        <v>1779</v>
      </c>
      <c r="Q37" s="101">
        <f>E37*K37*M37*O37/1000000</f>
        <v>6.7280000000000006E-2</v>
      </c>
      <c r="R37" s="102">
        <f>VLOOKUP(B:B,重量与单价数据!A:C,3,0)/1000</f>
        <v>0.38</v>
      </c>
      <c r="S37" s="103">
        <f>VLOOKUP(B:B,重量与单价数据!A:E,5,0)</f>
        <v>1.48</v>
      </c>
      <c r="T37" s="104">
        <f>VLOOKUP(B:B,重量与单价数据!A:D,4,0)</f>
        <v>50</v>
      </c>
      <c r="U37" s="105"/>
      <c r="V37" s="105"/>
    </row>
    <row r="38" spans="1:22" ht="30" customHeight="1">
      <c r="A38" s="106"/>
      <c r="B38" s="107"/>
      <c r="C38" s="108"/>
      <c r="D38" s="109"/>
      <c r="E38" s="235" t="s">
        <v>1807</v>
      </c>
      <c r="F38" s="236"/>
      <c r="G38" s="230" t="s">
        <v>1808</v>
      </c>
      <c r="H38" s="237"/>
      <c r="I38" s="230" t="s">
        <v>1809</v>
      </c>
      <c r="J38" s="237"/>
      <c r="K38" s="230"/>
      <c r="L38" s="232"/>
      <c r="M38" s="232"/>
      <c r="N38" s="232"/>
      <c r="O38" s="232"/>
      <c r="P38" s="234"/>
      <c r="Q38" s="101"/>
      <c r="R38" s="102"/>
      <c r="S38" s="103"/>
      <c r="T38" s="104"/>
      <c r="U38" s="110"/>
      <c r="V38" s="110"/>
    </row>
    <row r="39" spans="1:22" ht="30" customHeight="1">
      <c r="A39" s="91" t="s">
        <v>1906</v>
      </c>
      <c r="B39" s="92" t="str">
        <f>INVOICE!B35</f>
        <v>SHR-RM19-P225-G01L-57</v>
      </c>
      <c r="C39" s="93"/>
      <c r="D39" s="94"/>
      <c r="E39" s="95">
        <v>2</v>
      </c>
      <c r="F39" s="96" t="s">
        <v>1799</v>
      </c>
      <c r="G39" s="97">
        <v>22.2</v>
      </c>
      <c r="H39" s="98" t="s">
        <v>1800</v>
      </c>
      <c r="I39" s="99">
        <v>17.759999999999998</v>
      </c>
      <c r="J39" s="100" t="s">
        <v>1800</v>
      </c>
      <c r="K39" s="229">
        <f>VLOOKUP(B:B,重量与单价数据!A:I,9,0)</f>
        <v>179</v>
      </c>
      <c r="L39" s="231" t="s">
        <v>1778</v>
      </c>
      <c r="M39" s="231">
        <f>VLOOKUP(B:B,重量与单价数据!A:J,10,0)</f>
        <v>42</v>
      </c>
      <c r="N39" s="231" t="s">
        <v>1778</v>
      </c>
      <c r="O39" s="231">
        <f>VLOOKUP(B:B,重量与单价数据!A:K,11,0)</f>
        <v>15</v>
      </c>
      <c r="P39" s="233" t="s">
        <v>1779</v>
      </c>
      <c r="Q39" s="101">
        <f>E39*K39*M39*O39/1000000</f>
        <v>0.22553999999999999</v>
      </c>
      <c r="R39" s="102">
        <f>VLOOKUP(B:B,重量与单价数据!A:C,3,0)/1000</f>
        <v>0.74</v>
      </c>
      <c r="S39" s="103">
        <f>VLOOKUP(B:B,重量与单价数据!A:E,5,0)</f>
        <v>2.2200000000000002</v>
      </c>
      <c r="T39" s="104">
        <f>VLOOKUP(B:B,重量与单价数据!A:D,4,0)</f>
        <v>12</v>
      </c>
      <c r="U39" s="105"/>
      <c r="V39" s="105"/>
    </row>
    <row r="40" spans="1:22" ht="30" customHeight="1">
      <c r="A40" s="106"/>
      <c r="B40" s="107"/>
      <c r="C40" s="108"/>
      <c r="D40" s="109"/>
      <c r="E40" s="235" t="s">
        <v>1810</v>
      </c>
      <c r="F40" s="236"/>
      <c r="G40" s="230" t="s">
        <v>1811</v>
      </c>
      <c r="H40" s="237"/>
      <c r="I40" s="230" t="s">
        <v>1812</v>
      </c>
      <c r="J40" s="237"/>
      <c r="K40" s="230"/>
      <c r="L40" s="232"/>
      <c r="M40" s="232"/>
      <c r="N40" s="232"/>
      <c r="O40" s="232"/>
      <c r="P40" s="234"/>
      <c r="Q40" s="101"/>
      <c r="R40" s="102"/>
      <c r="S40" s="103"/>
      <c r="T40" s="104"/>
      <c r="U40" s="110"/>
      <c r="V40" s="110"/>
    </row>
    <row r="41" spans="1:22" ht="30" customHeight="1">
      <c r="A41" s="91" t="s">
        <v>1907</v>
      </c>
      <c r="B41" s="92" t="str">
        <f>B39</f>
        <v>SHR-RM19-P225-G01L-57</v>
      </c>
      <c r="C41" s="93"/>
      <c r="D41" s="94"/>
      <c r="E41" s="95">
        <v>1</v>
      </c>
      <c r="F41" s="96" t="s">
        <v>1799</v>
      </c>
      <c r="G41" s="97">
        <v>2.96</v>
      </c>
      <c r="H41" s="98" t="s">
        <v>1800</v>
      </c>
      <c r="I41" s="99">
        <v>0.74</v>
      </c>
      <c r="J41" s="100" t="s">
        <v>1800</v>
      </c>
      <c r="K41" s="229">
        <f>VLOOKUP(B:B,重量与单价数据!A:I,9,0)</f>
        <v>179</v>
      </c>
      <c r="L41" s="231" t="s">
        <v>1778</v>
      </c>
      <c r="M41" s="231">
        <f>VLOOKUP(B:B,重量与单价数据!A:J,10,0)</f>
        <v>42</v>
      </c>
      <c r="N41" s="231" t="s">
        <v>1778</v>
      </c>
      <c r="O41" s="231">
        <f>VLOOKUP(B:B,重量与单价数据!A:K,11,0)</f>
        <v>15</v>
      </c>
      <c r="P41" s="233" t="s">
        <v>1779</v>
      </c>
      <c r="Q41" s="101">
        <f>E41*K41*M41*O41/1000000</f>
        <v>0.11277</v>
      </c>
      <c r="R41" s="102">
        <f>VLOOKUP(B:B,重量与单价数据!A:C,3,0)/1000</f>
        <v>0.74</v>
      </c>
      <c r="S41" s="103"/>
      <c r="T41" s="104"/>
      <c r="U41" s="105"/>
      <c r="V41" s="105"/>
    </row>
    <row r="42" spans="1:22" ht="30" customHeight="1">
      <c r="A42" s="106"/>
      <c r="B42" s="107"/>
      <c r="C42" s="108"/>
      <c r="D42" s="109"/>
      <c r="E42" s="235" t="s">
        <v>1813</v>
      </c>
      <c r="F42" s="236"/>
      <c r="G42" s="230" t="s">
        <v>1814</v>
      </c>
      <c r="H42" s="237"/>
      <c r="I42" s="230" t="s">
        <v>1815</v>
      </c>
      <c r="J42" s="237"/>
      <c r="K42" s="230"/>
      <c r="L42" s="232"/>
      <c r="M42" s="232"/>
      <c r="N42" s="232"/>
      <c r="O42" s="232"/>
      <c r="P42" s="234"/>
      <c r="Q42" s="101"/>
      <c r="R42" s="102"/>
      <c r="S42" s="103"/>
      <c r="T42" s="104"/>
      <c r="U42" s="110"/>
      <c r="V42" s="110"/>
    </row>
    <row r="43" spans="1:22" ht="30" customHeight="1">
      <c r="A43" s="91" t="s">
        <v>1917</v>
      </c>
      <c r="B43" s="92" t="str">
        <f>INVOICE!B37</f>
        <v>SHR-RM19-P225-G01L-57</v>
      </c>
      <c r="C43" s="93"/>
      <c r="D43" s="94"/>
      <c r="E43" s="95">
        <v>2</v>
      </c>
      <c r="F43" s="96" t="s">
        <v>1799</v>
      </c>
      <c r="G43" s="97">
        <v>22.2</v>
      </c>
      <c r="H43" s="98" t="s">
        <v>1800</v>
      </c>
      <c r="I43" s="99">
        <v>17.759999999999998</v>
      </c>
      <c r="J43" s="100" t="s">
        <v>1800</v>
      </c>
      <c r="K43" s="229">
        <f>VLOOKUP(B:B,重量与单价数据!A:I,9,0)</f>
        <v>179</v>
      </c>
      <c r="L43" s="231" t="s">
        <v>1778</v>
      </c>
      <c r="M43" s="231">
        <f>VLOOKUP(B:B,重量与单价数据!A:J,10,0)</f>
        <v>42</v>
      </c>
      <c r="N43" s="231" t="s">
        <v>1778</v>
      </c>
      <c r="O43" s="231">
        <f>VLOOKUP(B:B,重量与单价数据!A:K,11,0)</f>
        <v>15</v>
      </c>
      <c r="P43" s="233" t="s">
        <v>1779</v>
      </c>
      <c r="Q43" s="101">
        <f>E43*K43*M43*O43/1000000</f>
        <v>0.22553999999999999</v>
      </c>
      <c r="R43" s="102">
        <f>VLOOKUP(B:B,重量与单价数据!A:C,3,0)/1000</f>
        <v>0.74</v>
      </c>
      <c r="S43" s="103">
        <f>VLOOKUP(B:B,重量与单价数据!A:E,5,0)</f>
        <v>2.2200000000000002</v>
      </c>
      <c r="T43" s="104">
        <f>VLOOKUP(B:B,重量与单价数据!A:D,4,0)</f>
        <v>12</v>
      </c>
      <c r="U43" s="105"/>
      <c r="V43" s="105"/>
    </row>
    <row r="44" spans="1:22" ht="30" customHeight="1">
      <c r="A44" s="106"/>
      <c r="B44" s="107"/>
      <c r="C44" s="108"/>
      <c r="D44" s="109"/>
      <c r="E44" s="235" t="s">
        <v>1810</v>
      </c>
      <c r="F44" s="236"/>
      <c r="G44" s="230" t="s">
        <v>1811</v>
      </c>
      <c r="H44" s="237"/>
      <c r="I44" s="230" t="s">
        <v>1812</v>
      </c>
      <c r="J44" s="237"/>
      <c r="K44" s="230"/>
      <c r="L44" s="232"/>
      <c r="M44" s="232"/>
      <c r="N44" s="232"/>
      <c r="O44" s="232"/>
      <c r="P44" s="234"/>
      <c r="Q44" s="101"/>
      <c r="R44" s="102"/>
      <c r="S44" s="103"/>
      <c r="T44" s="104"/>
      <c r="U44" s="110"/>
      <c r="V44" s="110"/>
    </row>
    <row r="45" spans="1:22" ht="30" customHeight="1">
      <c r="A45" s="91" t="s">
        <v>1918</v>
      </c>
      <c r="B45" s="92" t="str">
        <f>B43</f>
        <v>SHR-RM19-P225-G01L-57</v>
      </c>
      <c r="C45" s="93"/>
      <c r="D45" s="94"/>
      <c r="E45" s="95">
        <v>1</v>
      </c>
      <c r="F45" s="96" t="s">
        <v>1799</v>
      </c>
      <c r="G45" s="97">
        <v>2.96</v>
      </c>
      <c r="H45" s="98" t="s">
        <v>1800</v>
      </c>
      <c r="I45" s="99">
        <v>0.74</v>
      </c>
      <c r="J45" s="100" t="s">
        <v>1800</v>
      </c>
      <c r="K45" s="229">
        <f>VLOOKUP(B:B,重量与单价数据!A:I,9,0)</f>
        <v>179</v>
      </c>
      <c r="L45" s="231" t="s">
        <v>1778</v>
      </c>
      <c r="M45" s="231">
        <f>VLOOKUP(B:B,重量与单价数据!A:J,10,0)</f>
        <v>42</v>
      </c>
      <c r="N45" s="231" t="s">
        <v>1778</v>
      </c>
      <c r="O45" s="231">
        <f>VLOOKUP(B:B,重量与单价数据!A:K,11,0)</f>
        <v>15</v>
      </c>
      <c r="P45" s="233" t="s">
        <v>1779</v>
      </c>
      <c r="Q45" s="101">
        <f>E45*K45*M45*O45/1000000</f>
        <v>0.11277</v>
      </c>
      <c r="R45" s="102">
        <f>VLOOKUP(B:B,重量与单价数据!A:C,3,0)/1000</f>
        <v>0.74</v>
      </c>
      <c r="S45" s="103"/>
      <c r="T45" s="104"/>
      <c r="U45" s="105"/>
      <c r="V45" s="105"/>
    </row>
    <row r="46" spans="1:22" ht="30" customHeight="1">
      <c r="A46" s="106"/>
      <c r="B46" s="107"/>
      <c r="C46" s="108"/>
      <c r="D46" s="109"/>
      <c r="E46" s="235" t="s">
        <v>1813</v>
      </c>
      <c r="F46" s="236"/>
      <c r="G46" s="230" t="s">
        <v>1814</v>
      </c>
      <c r="H46" s="237"/>
      <c r="I46" s="230" t="s">
        <v>1815</v>
      </c>
      <c r="J46" s="237"/>
      <c r="K46" s="230"/>
      <c r="L46" s="232"/>
      <c r="M46" s="232"/>
      <c r="N46" s="232"/>
      <c r="O46" s="232"/>
      <c r="P46" s="234"/>
      <c r="Q46" s="101"/>
      <c r="R46" s="102"/>
      <c r="S46" s="103"/>
      <c r="T46" s="104"/>
      <c r="U46" s="110"/>
      <c r="V46" s="110"/>
    </row>
    <row r="47" spans="1:22" ht="30" customHeight="1">
      <c r="A47" s="91" t="s">
        <v>1921</v>
      </c>
      <c r="B47" s="92" t="str">
        <f>INVOICE!B39</f>
        <v>GSAL355IS-40-T</v>
      </c>
      <c r="C47" s="93"/>
      <c r="D47" s="94"/>
      <c r="E47" s="95">
        <v>1</v>
      </c>
      <c r="F47" s="96" t="s">
        <v>1799</v>
      </c>
      <c r="G47" s="97">
        <v>1.8959999999999999</v>
      </c>
      <c r="H47" s="98" t="s">
        <v>1800</v>
      </c>
      <c r="I47" s="99">
        <v>1.2959999999999998</v>
      </c>
      <c r="J47" s="100" t="s">
        <v>1800</v>
      </c>
      <c r="K47" s="229">
        <f>VLOOKUP(B:B,重量与单价数据!A:I,9,0)</f>
        <v>122</v>
      </c>
      <c r="L47" s="231" t="s">
        <v>1778</v>
      </c>
      <c r="M47" s="231">
        <f>VLOOKUP(B:B,重量与单价数据!A:J,10,0)</f>
        <v>15</v>
      </c>
      <c r="N47" s="231" t="s">
        <v>1778</v>
      </c>
      <c r="O47" s="231">
        <f>VLOOKUP(B:B,重量与单价数据!A:K,11,0)</f>
        <v>10</v>
      </c>
      <c r="P47" s="233" t="s">
        <v>1779</v>
      </c>
      <c r="Q47" s="101">
        <f>E47*K47*M47*O47/1000000</f>
        <v>1.83E-2</v>
      </c>
      <c r="R47" s="102">
        <f>VLOOKUP(B:B,重量与单价数据!A:C,3,0)/1000</f>
        <v>7.1999999999999995E-2</v>
      </c>
      <c r="S47" s="103">
        <f>VLOOKUP(B:B,重量与单价数据!A:E,5,0)</f>
        <v>0.6</v>
      </c>
      <c r="T47" s="104">
        <f>VLOOKUP(B:B,重量与单价数据!A:D,4,0)</f>
        <v>50</v>
      </c>
      <c r="U47" s="105"/>
      <c r="V47" s="105"/>
    </row>
    <row r="48" spans="1:22" ht="30" customHeight="1">
      <c r="A48" s="106"/>
      <c r="B48" s="107"/>
      <c r="C48" s="108"/>
      <c r="D48" s="109"/>
      <c r="E48" s="235" t="s">
        <v>1804</v>
      </c>
      <c r="F48" s="236"/>
      <c r="G48" s="230" t="s">
        <v>1805</v>
      </c>
      <c r="H48" s="237"/>
      <c r="I48" s="230" t="s">
        <v>1806</v>
      </c>
      <c r="J48" s="237"/>
      <c r="K48" s="230"/>
      <c r="L48" s="232"/>
      <c r="M48" s="232"/>
      <c r="N48" s="232"/>
      <c r="O48" s="232"/>
      <c r="P48" s="234"/>
      <c r="Q48" s="101"/>
      <c r="R48" s="102"/>
      <c r="S48" s="103"/>
      <c r="T48" s="104"/>
      <c r="U48" s="110"/>
      <c r="V48" s="110"/>
    </row>
    <row r="49" spans="1:22" ht="30" customHeight="1">
      <c r="A49" s="91" t="s">
        <v>1922</v>
      </c>
      <c r="B49" s="92" t="str">
        <f>INVOICE!B41</f>
        <v>TAQEX-1125-ST-CB-70044</v>
      </c>
      <c r="C49" s="93"/>
      <c r="D49" s="94"/>
      <c r="E49" s="95">
        <v>50</v>
      </c>
      <c r="F49" s="96" t="s">
        <v>1799</v>
      </c>
      <c r="G49" s="97">
        <v>46.5</v>
      </c>
      <c r="H49" s="98" t="s">
        <v>1800</v>
      </c>
      <c r="I49" s="99">
        <v>21.5</v>
      </c>
      <c r="J49" s="100" t="s">
        <v>1800</v>
      </c>
      <c r="K49" s="229">
        <f>VLOOKUP(B:B,重量与单价数据!A:I,9,0)</f>
        <v>89</v>
      </c>
      <c r="L49" s="231" t="s">
        <v>1778</v>
      </c>
      <c r="M49" s="231">
        <f>VLOOKUP(B:B,重量与单价数据!A:J,10,0)</f>
        <v>14</v>
      </c>
      <c r="N49" s="231" t="s">
        <v>1778</v>
      </c>
      <c r="O49" s="231">
        <f>VLOOKUP(B:B,重量与单价数据!A:K,11,0)</f>
        <v>9</v>
      </c>
      <c r="P49" s="233" t="s">
        <v>1779</v>
      </c>
      <c r="Q49" s="101">
        <f>E49*K49*M49*O49/1000000</f>
        <v>0.56069999999999998</v>
      </c>
      <c r="R49" s="102">
        <f>VLOOKUP(B:B,重量与单价数据!A:C,3,0)/1000</f>
        <v>0.43</v>
      </c>
      <c r="S49" s="103">
        <f>VLOOKUP(B:B,重量与单价数据!A:E,5,0)</f>
        <v>0.5</v>
      </c>
      <c r="T49" s="104">
        <f>VLOOKUP(B:B,重量与单价数据!A:D,4,0)</f>
        <v>1</v>
      </c>
      <c r="U49" s="105"/>
      <c r="V49" s="105"/>
    </row>
    <row r="50" spans="1:22" ht="30" customHeight="1">
      <c r="A50" s="106"/>
      <c r="B50" s="107"/>
      <c r="C50" s="108"/>
      <c r="D50" s="109"/>
      <c r="E50" s="235" t="s">
        <v>1894</v>
      </c>
      <c r="F50" s="236"/>
      <c r="G50" s="230" t="s">
        <v>1895</v>
      </c>
      <c r="H50" s="237"/>
      <c r="I50" s="230" t="s">
        <v>1896</v>
      </c>
      <c r="J50" s="237"/>
      <c r="K50" s="230"/>
      <c r="L50" s="232"/>
      <c r="M50" s="232"/>
      <c r="N50" s="232"/>
      <c r="O50" s="232"/>
      <c r="P50" s="234"/>
      <c r="Q50" s="101"/>
      <c r="R50" s="102"/>
      <c r="S50" s="103"/>
      <c r="T50" s="104"/>
      <c r="U50" s="110"/>
      <c r="V50" s="110"/>
    </row>
    <row r="51" spans="1:22" ht="30" customHeight="1">
      <c r="A51" s="91" t="s">
        <v>1923</v>
      </c>
      <c r="B51" s="92" t="str">
        <f>INVOICE!B43</f>
        <v>ULAUNCH145TS-46</v>
      </c>
      <c r="C51" s="93"/>
      <c r="D51" s="94"/>
      <c r="E51" s="95">
        <v>4</v>
      </c>
      <c r="F51" s="96" t="s">
        <v>1799</v>
      </c>
      <c r="G51" s="97">
        <v>22.2</v>
      </c>
      <c r="H51" s="98" t="s">
        <v>1800</v>
      </c>
      <c r="I51" s="99">
        <v>19.8</v>
      </c>
      <c r="J51" s="100" t="s">
        <v>1800</v>
      </c>
      <c r="K51" s="229">
        <f>VLOOKUP(B:B,重量与单价数据!A:I,9,0)</f>
        <v>122</v>
      </c>
      <c r="L51" s="231" t="s">
        <v>1778</v>
      </c>
      <c r="M51" s="231">
        <f>VLOOKUP(B:B,重量与单价数据!A:J,10,0)</f>
        <v>15</v>
      </c>
      <c r="N51" s="231" t="s">
        <v>1778</v>
      </c>
      <c r="O51" s="231">
        <f>VLOOKUP(B:B,重量与单价数据!A:K,11,0)</f>
        <v>10</v>
      </c>
      <c r="P51" s="233" t="s">
        <v>1779</v>
      </c>
      <c r="Q51" s="101">
        <f>E51*K51*M51*O51/1000000</f>
        <v>7.3200000000000001E-2</v>
      </c>
      <c r="R51" s="102">
        <f>VLOOKUP(B:B,重量与单价数据!A:C,3,0)/1000</f>
        <v>9.9000000000000005E-2</v>
      </c>
      <c r="S51" s="103">
        <f>VLOOKUP(B:B,重量与单价数据!A:E,5,0)</f>
        <v>0.6</v>
      </c>
      <c r="T51" s="104">
        <f>VLOOKUP(B:B,重量与单价数据!A:D,4,0)</f>
        <v>50</v>
      </c>
      <c r="U51" s="105"/>
      <c r="V51" s="105"/>
    </row>
    <row r="52" spans="1:22" ht="30" customHeight="1">
      <c r="A52" s="106"/>
      <c r="B52" s="107"/>
      <c r="C52" s="108"/>
      <c r="D52" s="109"/>
      <c r="E52" s="235" t="s">
        <v>1892</v>
      </c>
      <c r="F52" s="236"/>
      <c r="G52" s="230" t="s">
        <v>1897</v>
      </c>
      <c r="H52" s="237"/>
      <c r="I52" s="230" t="s">
        <v>1898</v>
      </c>
      <c r="J52" s="237"/>
      <c r="K52" s="230"/>
      <c r="L52" s="232"/>
      <c r="M52" s="232"/>
      <c r="N52" s="232"/>
      <c r="O52" s="232"/>
      <c r="P52" s="234"/>
      <c r="Q52" s="101"/>
      <c r="R52" s="102"/>
      <c r="S52" s="103"/>
      <c r="T52" s="104"/>
      <c r="U52" s="110"/>
      <c r="V52" s="110"/>
    </row>
    <row r="53" spans="1:22" ht="30" customHeight="1">
      <c r="A53" s="91" t="s">
        <v>1924</v>
      </c>
      <c r="B53" s="92" t="str">
        <f>B51</f>
        <v>ULAUNCH145TS-46</v>
      </c>
      <c r="C53" s="93"/>
      <c r="D53" s="94"/>
      <c r="E53" s="95">
        <v>1</v>
      </c>
      <c r="F53" s="96" t="s">
        <v>1799</v>
      </c>
      <c r="G53" s="97">
        <v>3.9660000000000002</v>
      </c>
      <c r="H53" s="98" t="s">
        <v>1800</v>
      </c>
      <c r="I53" s="99">
        <v>3.3660000000000001</v>
      </c>
      <c r="J53" s="100" t="s">
        <v>1800</v>
      </c>
      <c r="K53" s="229">
        <f>VLOOKUP(B:B,重量与单价数据!A:I,9,0)</f>
        <v>122</v>
      </c>
      <c r="L53" s="231" t="s">
        <v>1778</v>
      </c>
      <c r="M53" s="231">
        <f>VLOOKUP(B:B,重量与单价数据!A:J,10,0)</f>
        <v>15</v>
      </c>
      <c r="N53" s="231" t="s">
        <v>1778</v>
      </c>
      <c r="O53" s="231">
        <f>VLOOKUP(B:B,重量与单价数据!A:K,11,0)</f>
        <v>10</v>
      </c>
      <c r="P53" s="233" t="s">
        <v>1779</v>
      </c>
      <c r="Q53" s="101">
        <f>E53*K53*M53*O53/1000000</f>
        <v>1.83E-2</v>
      </c>
      <c r="R53" s="102">
        <f>VLOOKUP(B:B,重量与单价数据!A:C,3,0)/1000</f>
        <v>9.9000000000000005E-2</v>
      </c>
      <c r="S53" s="103"/>
      <c r="T53" s="104"/>
      <c r="U53" s="105"/>
      <c r="V53" s="105"/>
    </row>
    <row r="54" spans="1:22" ht="30" customHeight="1">
      <c r="A54" s="106"/>
      <c r="B54" s="107"/>
      <c r="C54" s="108"/>
      <c r="D54" s="109"/>
      <c r="E54" s="235" t="s">
        <v>1893</v>
      </c>
      <c r="F54" s="236"/>
      <c r="G54" s="230" t="s">
        <v>1899</v>
      </c>
      <c r="H54" s="237"/>
      <c r="I54" s="230" t="s">
        <v>1900</v>
      </c>
      <c r="J54" s="237"/>
      <c r="K54" s="230"/>
      <c r="L54" s="232"/>
      <c r="M54" s="232"/>
      <c r="N54" s="232"/>
      <c r="O54" s="232"/>
      <c r="P54" s="234"/>
      <c r="Q54" s="101"/>
      <c r="R54" s="102"/>
      <c r="S54" s="103"/>
      <c r="T54" s="104"/>
      <c r="U54" s="110"/>
      <c r="V54" s="110"/>
    </row>
    <row r="55" spans="1:22" ht="30" customHeight="1">
      <c r="A55" s="91" t="s">
        <v>1925</v>
      </c>
      <c r="B55" s="92" t="str">
        <f>INVOICE!B45</f>
        <v>GSAL355IS-40-T</v>
      </c>
      <c r="C55" s="93"/>
      <c r="D55" s="94"/>
      <c r="E55" s="95">
        <v>1</v>
      </c>
      <c r="F55" s="96" t="s">
        <v>1799</v>
      </c>
      <c r="G55" s="97">
        <v>1.8959999999999999</v>
      </c>
      <c r="H55" s="98" t="s">
        <v>1800</v>
      </c>
      <c r="I55" s="99">
        <v>1.2959999999999998</v>
      </c>
      <c r="J55" s="100" t="s">
        <v>1800</v>
      </c>
      <c r="K55" s="229">
        <f>VLOOKUP(B:B,重量与单价数据!A:I,9,0)</f>
        <v>122</v>
      </c>
      <c r="L55" s="231" t="s">
        <v>1778</v>
      </c>
      <c r="M55" s="231">
        <f>VLOOKUP(B:B,重量与单价数据!A:J,10,0)</f>
        <v>15</v>
      </c>
      <c r="N55" s="231" t="s">
        <v>1778</v>
      </c>
      <c r="O55" s="231">
        <f>VLOOKUP(B:B,重量与单价数据!A:K,11,0)</f>
        <v>10</v>
      </c>
      <c r="P55" s="233" t="s">
        <v>1779</v>
      </c>
      <c r="Q55" s="101">
        <f>E55*K55*M55*O55/1000000</f>
        <v>1.83E-2</v>
      </c>
      <c r="R55" s="102">
        <f>VLOOKUP(B:B,重量与单价数据!A:C,3,0)/1000</f>
        <v>7.1999999999999995E-2</v>
      </c>
      <c r="S55" s="103">
        <f>VLOOKUP(B:B,重量与单价数据!A:E,5,0)</f>
        <v>0.6</v>
      </c>
      <c r="T55" s="104">
        <f>VLOOKUP(B:B,重量与单价数据!A:D,4,0)</f>
        <v>50</v>
      </c>
      <c r="U55" s="105"/>
      <c r="V55" s="105"/>
    </row>
    <row r="56" spans="1:22" ht="30" customHeight="1">
      <c r="A56" s="106"/>
      <c r="B56" s="107"/>
      <c r="C56" s="108"/>
      <c r="D56" s="109"/>
      <c r="E56" s="235" t="s">
        <v>1804</v>
      </c>
      <c r="F56" s="236"/>
      <c r="G56" s="230" t="s">
        <v>1805</v>
      </c>
      <c r="H56" s="237"/>
      <c r="I56" s="230" t="s">
        <v>1806</v>
      </c>
      <c r="J56" s="237"/>
      <c r="K56" s="230"/>
      <c r="L56" s="232"/>
      <c r="M56" s="232"/>
      <c r="N56" s="232"/>
      <c r="O56" s="232"/>
      <c r="P56" s="234"/>
      <c r="Q56" s="101"/>
      <c r="R56" s="102"/>
      <c r="S56" s="103"/>
      <c r="T56" s="104"/>
      <c r="U56" s="110"/>
      <c r="V56" s="110"/>
    </row>
    <row r="57" spans="1:22" ht="30" customHeight="1">
      <c r="A57" s="91" t="s">
        <v>1926</v>
      </c>
      <c r="B57" s="92" t="str">
        <f>INVOICE!B47</f>
        <v>CCM-V8-TT-4556</v>
      </c>
      <c r="C57" s="93"/>
      <c r="D57" s="94"/>
      <c r="E57" s="95">
        <v>1</v>
      </c>
      <c r="F57" s="96" t="s">
        <v>1799</v>
      </c>
      <c r="G57" s="97">
        <v>10.98</v>
      </c>
      <c r="H57" s="98" t="s">
        <v>1800</v>
      </c>
      <c r="I57" s="99">
        <v>9.5</v>
      </c>
      <c r="J57" s="100" t="s">
        <v>1800</v>
      </c>
      <c r="K57" s="229">
        <f>VLOOKUP(B:B,重量与单价数据!A:I,9,0)</f>
        <v>145</v>
      </c>
      <c r="L57" s="231" t="s">
        <v>1778</v>
      </c>
      <c r="M57" s="231">
        <f>VLOOKUP(B:B,重量与单价数据!A:J,10,0)</f>
        <v>29</v>
      </c>
      <c r="N57" s="231" t="s">
        <v>1778</v>
      </c>
      <c r="O57" s="231">
        <f>VLOOKUP(B:B,重量与单价数据!A:K,11,0)</f>
        <v>16</v>
      </c>
      <c r="P57" s="233" t="s">
        <v>1779</v>
      </c>
      <c r="Q57" s="101">
        <f>E57*K57*M57*O57/1000000</f>
        <v>6.7280000000000006E-2</v>
      </c>
      <c r="R57" s="102">
        <f>VLOOKUP(B:B,重量与单价数据!A:C,3,0)/1000</f>
        <v>0.38</v>
      </c>
      <c r="S57" s="103">
        <f>VLOOKUP(B:B,重量与单价数据!A:E,5,0)</f>
        <v>1.48</v>
      </c>
      <c r="T57" s="104">
        <f>VLOOKUP(B:B,重量与单价数据!A:D,4,0)</f>
        <v>50</v>
      </c>
      <c r="U57" s="105"/>
      <c r="V57" s="105"/>
    </row>
    <row r="58" spans="1:22" ht="30" customHeight="1">
      <c r="A58" s="106"/>
      <c r="B58" s="107"/>
      <c r="C58" s="108"/>
      <c r="D58" s="109"/>
      <c r="E58" s="235" t="s">
        <v>1807</v>
      </c>
      <c r="F58" s="236"/>
      <c r="G58" s="230" t="s">
        <v>1808</v>
      </c>
      <c r="H58" s="237"/>
      <c r="I58" s="230" t="s">
        <v>1809</v>
      </c>
      <c r="J58" s="237"/>
      <c r="K58" s="230"/>
      <c r="L58" s="232"/>
      <c r="M58" s="232"/>
      <c r="N58" s="232"/>
      <c r="O58" s="232"/>
      <c r="P58" s="234"/>
      <c r="Q58" s="101"/>
      <c r="R58" s="102"/>
      <c r="S58" s="103"/>
      <c r="T58" s="104"/>
      <c r="U58" s="110"/>
      <c r="V58" s="110"/>
    </row>
    <row r="59" spans="1:22" ht="30" customHeight="1">
      <c r="A59" s="91" t="s">
        <v>1927</v>
      </c>
      <c r="B59" s="92" t="str">
        <f>INVOICE!B49</f>
        <v>SHR-RM19-P225-G01L-57</v>
      </c>
      <c r="C59" s="93"/>
      <c r="D59" s="94"/>
      <c r="E59" s="95">
        <v>2</v>
      </c>
      <c r="F59" s="96" t="s">
        <v>1799</v>
      </c>
      <c r="G59" s="97">
        <v>22.2</v>
      </c>
      <c r="H59" s="98" t="s">
        <v>1800</v>
      </c>
      <c r="I59" s="99">
        <v>17.759999999999998</v>
      </c>
      <c r="J59" s="100" t="s">
        <v>1800</v>
      </c>
      <c r="K59" s="229">
        <f>VLOOKUP(B:B,重量与单价数据!A:I,9,0)</f>
        <v>179</v>
      </c>
      <c r="L59" s="231" t="s">
        <v>1778</v>
      </c>
      <c r="M59" s="231">
        <f>VLOOKUP(B:B,重量与单价数据!A:J,10,0)</f>
        <v>42</v>
      </c>
      <c r="N59" s="231" t="s">
        <v>1778</v>
      </c>
      <c r="O59" s="231">
        <f>VLOOKUP(B:B,重量与单价数据!A:K,11,0)</f>
        <v>15</v>
      </c>
      <c r="P59" s="233" t="s">
        <v>1779</v>
      </c>
      <c r="Q59" s="101">
        <f>E59*K59*M59*O59/1000000</f>
        <v>0.22553999999999999</v>
      </c>
      <c r="R59" s="102">
        <f>VLOOKUP(B:B,重量与单价数据!A:C,3,0)/1000</f>
        <v>0.74</v>
      </c>
      <c r="S59" s="103">
        <f>VLOOKUP(B:B,重量与单价数据!A:E,5,0)</f>
        <v>2.2200000000000002</v>
      </c>
      <c r="T59" s="104">
        <f>VLOOKUP(B:B,重量与单价数据!A:D,4,0)</f>
        <v>12</v>
      </c>
      <c r="U59" s="105"/>
      <c r="V59" s="105"/>
    </row>
    <row r="60" spans="1:22" ht="30" customHeight="1">
      <c r="A60" s="106"/>
      <c r="B60" s="107"/>
      <c r="C60" s="108"/>
      <c r="D60" s="109"/>
      <c r="E60" s="235" t="s">
        <v>1810</v>
      </c>
      <c r="F60" s="236"/>
      <c r="G60" s="230" t="s">
        <v>1811</v>
      </c>
      <c r="H60" s="237"/>
      <c r="I60" s="230" t="s">
        <v>1812</v>
      </c>
      <c r="J60" s="237"/>
      <c r="K60" s="230"/>
      <c r="L60" s="232"/>
      <c r="M60" s="232"/>
      <c r="N60" s="232"/>
      <c r="O60" s="232"/>
      <c r="P60" s="234"/>
      <c r="Q60" s="101"/>
      <c r="R60" s="102"/>
      <c r="S60" s="103"/>
      <c r="T60" s="104"/>
      <c r="U60" s="110"/>
      <c r="V60" s="110"/>
    </row>
    <row r="61" spans="1:22" ht="30" customHeight="1">
      <c r="A61" s="91" t="s">
        <v>1928</v>
      </c>
      <c r="B61" s="92" t="str">
        <f>B59</f>
        <v>SHR-RM19-P225-G01L-57</v>
      </c>
      <c r="C61" s="93"/>
      <c r="D61" s="94"/>
      <c r="E61" s="95">
        <v>1</v>
      </c>
      <c r="F61" s="96" t="s">
        <v>1799</v>
      </c>
      <c r="G61" s="97">
        <v>2.96</v>
      </c>
      <c r="H61" s="98" t="s">
        <v>1800</v>
      </c>
      <c r="I61" s="99">
        <v>0.74</v>
      </c>
      <c r="J61" s="100" t="s">
        <v>1800</v>
      </c>
      <c r="K61" s="229">
        <f>VLOOKUP(B:B,重量与单价数据!A:I,9,0)</f>
        <v>179</v>
      </c>
      <c r="L61" s="231" t="s">
        <v>1778</v>
      </c>
      <c r="M61" s="231">
        <f>VLOOKUP(B:B,重量与单价数据!A:J,10,0)</f>
        <v>42</v>
      </c>
      <c r="N61" s="231" t="s">
        <v>1778</v>
      </c>
      <c r="O61" s="231">
        <f>VLOOKUP(B:B,重量与单价数据!A:K,11,0)</f>
        <v>15</v>
      </c>
      <c r="P61" s="233" t="s">
        <v>1779</v>
      </c>
      <c r="Q61" s="101">
        <f>E61*K61*M61*O61/1000000</f>
        <v>0.11277</v>
      </c>
      <c r="R61" s="102">
        <f>VLOOKUP(B:B,重量与单价数据!A:C,3,0)/1000</f>
        <v>0.74</v>
      </c>
      <c r="S61" s="103"/>
      <c r="T61" s="104"/>
      <c r="U61" s="105"/>
      <c r="V61" s="105"/>
    </row>
    <row r="62" spans="1:22" ht="30" customHeight="1">
      <c r="A62" s="106"/>
      <c r="B62" s="107"/>
      <c r="C62" s="108"/>
      <c r="D62" s="109"/>
      <c r="E62" s="235" t="s">
        <v>1813</v>
      </c>
      <c r="F62" s="236"/>
      <c r="G62" s="230" t="s">
        <v>1814</v>
      </c>
      <c r="H62" s="237"/>
      <c r="I62" s="230" t="s">
        <v>1815</v>
      </c>
      <c r="J62" s="237"/>
      <c r="K62" s="230"/>
      <c r="L62" s="232"/>
      <c r="M62" s="232"/>
      <c r="N62" s="232"/>
      <c r="O62" s="232"/>
      <c r="P62" s="234"/>
      <c r="Q62" s="101"/>
      <c r="R62" s="102"/>
      <c r="S62" s="103"/>
      <c r="T62" s="104"/>
      <c r="U62" s="110"/>
      <c r="V62" s="110"/>
    </row>
    <row r="63" spans="1:22" ht="30" customHeight="1">
      <c r="A63" s="91" t="s">
        <v>1929</v>
      </c>
      <c r="B63" s="92" t="str">
        <f>INVOICE!B51</f>
        <v>SHR-RM19-P225-G01L-57</v>
      </c>
      <c r="C63" s="93"/>
      <c r="D63" s="94"/>
      <c r="E63" s="95">
        <v>2</v>
      </c>
      <c r="F63" s="96" t="s">
        <v>1799</v>
      </c>
      <c r="G63" s="97">
        <v>22.2</v>
      </c>
      <c r="H63" s="98" t="s">
        <v>1800</v>
      </c>
      <c r="I63" s="99">
        <v>17.759999999999998</v>
      </c>
      <c r="J63" s="100" t="s">
        <v>1800</v>
      </c>
      <c r="K63" s="229">
        <f>VLOOKUP(B:B,重量与单价数据!A:I,9,0)</f>
        <v>179</v>
      </c>
      <c r="L63" s="231" t="s">
        <v>1778</v>
      </c>
      <c r="M63" s="231">
        <f>VLOOKUP(B:B,重量与单价数据!A:J,10,0)</f>
        <v>42</v>
      </c>
      <c r="N63" s="231" t="s">
        <v>1778</v>
      </c>
      <c r="O63" s="231">
        <f>VLOOKUP(B:B,重量与单价数据!A:K,11,0)</f>
        <v>15</v>
      </c>
      <c r="P63" s="233" t="s">
        <v>1779</v>
      </c>
      <c r="Q63" s="101">
        <f>E63*K63*M63*O63/1000000</f>
        <v>0.22553999999999999</v>
      </c>
      <c r="R63" s="102">
        <f>VLOOKUP(B:B,重量与单价数据!A:C,3,0)/1000</f>
        <v>0.74</v>
      </c>
      <c r="S63" s="103">
        <f>VLOOKUP(B:B,重量与单价数据!A:E,5,0)</f>
        <v>2.2200000000000002</v>
      </c>
      <c r="T63" s="104">
        <f>VLOOKUP(B:B,重量与单价数据!A:D,4,0)</f>
        <v>12</v>
      </c>
      <c r="U63" s="105"/>
      <c r="V63" s="105"/>
    </row>
    <row r="64" spans="1:22" ht="30" customHeight="1">
      <c r="A64" s="106"/>
      <c r="B64" s="107"/>
      <c r="C64" s="108"/>
      <c r="D64" s="109"/>
      <c r="E64" s="235" t="s">
        <v>1810</v>
      </c>
      <c r="F64" s="236"/>
      <c r="G64" s="230" t="s">
        <v>1811</v>
      </c>
      <c r="H64" s="237"/>
      <c r="I64" s="230" t="s">
        <v>1812</v>
      </c>
      <c r="J64" s="237"/>
      <c r="K64" s="230"/>
      <c r="L64" s="232"/>
      <c r="M64" s="232"/>
      <c r="N64" s="232"/>
      <c r="O64" s="232"/>
      <c r="P64" s="234"/>
      <c r="Q64" s="101"/>
      <c r="R64" s="102"/>
      <c r="S64" s="103"/>
      <c r="T64" s="104"/>
      <c r="U64" s="110"/>
      <c r="V64" s="110"/>
    </row>
    <row r="65" spans="1:22" ht="30" customHeight="1">
      <c r="A65" s="91" t="s">
        <v>1930</v>
      </c>
      <c r="B65" s="92" t="str">
        <f>B63</f>
        <v>SHR-RM19-P225-G01L-57</v>
      </c>
      <c r="C65" s="93"/>
      <c r="D65" s="94"/>
      <c r="E65" s="95">
        <v>1</v>
      </c>
      <c r="F65" s="96" t="s">
        <v>1799</v>
      </c>
      <c r="G65" s="97">
        <v>2.96</v>
      </c>
      <c r="H65" s="98" t="s">
        <v>1800</v>
      </c>
      <c r="I65" s="99">
        <v>0.74</v>
      </c>
      <c r="J65" s="100" t="s">
        <v>1800</v>
      </c>
      <c r="K65" s="229">
        <f>VLOOKUP(B:B,重量与单价数据!A:I,9,0)</f>
        <v>179</v>
      </c>
      <c r="L65" s="231" t="s">
        <v>1778</v>
      </c>
      <c r="M65" s="231">
        <f>VLOOKUP(B:B,重量与单价数据!A:J,10,0)</f>
        <v>42</v>
      </c>
      <c r="N65" s="231" t="s">
        <v>1778</v>
      </c>
      <c r="O65" s="231">
        <f>VLOOKUP(B:B,重量与单价数据!A:K,11,0)</f>
        <v>15</v>
      </c>
      <c r="P65" s="233" t="s">
        <v>1779</v>
      </c>
      <c r="Q65" s="101">
        <f>E65*K65*M65*O65/1000000</f>
        <v>0.11277</v>
      </c>
      <c r="R65" s="102">
        <f>VLOOKUP(B:B,重量与单价数据!A:C,3,0)/1000</f>
        <v>0.74</v>
      </c>
      <c r="S65" s="103"/>
      <c r="T65" s="104"/>
      <c r="U65" s="105"/>
      <c r="V65" s="105"/>
    </row>
    <row r="66" spans="1:22" ht="30" customHeight="1">
      <c r="A66" s="106"/>
      <c r="B66" s="107"/>
      <c r="C66" s="108"/>
      <c r="D66" s="109"/>
      <c r="E66" s="235" t="s">
        <v>1813</v>
      </c>
      <c r="F66" s="236"/>
      <c r="G66" s="230" t="s">
        <v>1814</v>
      </c>
      <c r="H66" s="237"/>
      <c r="I66" s="230" t="s">
        <v>1815</v>
      </c>
      <c r="J66" s="237"/>
      <c r="K66" s="230"/>
      <c r="L66" s="232"/>
      <c r="M66" s="232"/>
      <c r="N66" s="232"/>
      <c r="O66" s="232"/>
      <c r="P66" s="234"/>
      <c r="Q66" s="101"/>
      <c r="R66" s="102"/>
      <c r="S66" s="103"/>
      <c r="T66" s="104"/>
      <c r="U66" s="110"/>
      <c r="V66" s="110"/>
    </row>
    <row r="67" spans="1:22" ht="30" customHeight="1">
      <c r="A67" s="91"/>
      <c r="B67" s="92"/>
      <c r="C67" s="93"/>
      <c r="D67" s="94"/>
      <c r="E67" s="95"/>
      <c r="F67" s="96"/>
      <c r="G67" s="97"/>
      <c r="H67" s="98"/>
      <c r="I67" s="99"/>
      <c r="J67" s="100"/>
      <c r="K67" s="229"/>
      <c r="L67" s="231"/>
      <c r="M67" s="231"/>
      <c r="N67" s="231"/>
      <c r="O67" s="231"/>
      <c r="P67" s="233"/>
      <c r="Q67" s="101"/>
      <c r="R67" s="102"/>
      <c r="S67" s="103"/>
      <c r="T67" s="104"/>
      <c r="U67" s="105"/>
      <c r="V67" s="105"/>
    </row>
    <row r="68" spans="1:22" ht="30" customHeight="1" thickBot="1">
      <c r="A68" s="106"/>
      <c r="B68" s="107"/>
      <c r="C68" s="108"/>
      <c r="D68" s="109"/>
      <c r="E68" s="235"/>
      <c r="F68" s="236"/>
      <c r="G68" s="230"/>
      <c r="H68" s="237"/>
      <c r="I68" s="230"/>
      <c r="J68" s="237"/>
      <c r="K68" s="230"/>
      <c r="L68" s="232"/>
      <c r="M68" s="232"/>
      <c r="N68" s="232"/>
      <c r="O68" s="232"/>
      <c r="P68" s="234"/>
      <c r="Q68" s="101"/>
      <c r="R68" s="102"/>
      <c r="S68" s="103"/>
      <c r="T68" s="104"/>
      <c r="U68" s="110"/>
      <c r="V68" s="110"/>
    </row>
    <row r="69" spans="1:22" ht="25.05" customHeight="1" thickBot="1">
      <c r="A69" s="111"/>
      <c r="B69" s="112" t="s">
        <v>1816</v>
      </c>
      <c r="C69" s="113">
        <v>175</v>
      </c>
      <c r="D69" s="114" t="s">
        <v>1817</v>
      </c>
      <c r="E69" s="115">
        <v>1355</v>
      </c>
      <c r="F69" s="116" t="s">
        <v>1818</v>
      </c>
      <c r="G69" s="117">
        <f>SUM(G$1:G68)</f>
        <v>440.21199999999988</v>
      </c>
      <c r="H69" s="118" t="s">
        <v>1819</v>
      </c>
      <c r="I69" s="117">
        <f>SUM(I$1:I68)</f>
        <v>322.33199999999999</v>
      </c>
      <c r="J69" s="118" t="s">
        <v>1819</v>
      </c>
      <c r="K69" s="119"/>
      <c r="L69" s="119"/>
      <c r="M69" s="119"/>
      <c r="N69" s="119"/>
      <c r="O69" s="119"/>
      <c r="P69" s="120"/>
      <c r="Q69" s="121" t="str">
        <f>IF(TYPE(VLOOKUP(B:B,#REF!,8,0))=16,"",VLOOKUP(B:B,#REF!,8,0))</f>
        <v/>
      </c>
      <c r="R69" s="122"/>
      <c r="S69" s="123"/>
      <c r="T69" s="124"/>
      <c r="U69" s="111"/>
      <c r="V69" s="111"/>
    </row>
    <row r="70" spans="1:22" ht="25.05" customHeight="1">
      <c r="A70" s="125" t="s">
        <v>1820</v>
      </c>
      <c r="B70" s="126"/>
      <c r="C70" s="127"/>
      <c r="D70" s="128"/>
      <c r="E70" s="127"/>
      <c r="F70" s="126"/>
      <c r="G70" s="129"/>
      <c r="H70" s="126"/>
      <c r="I70" s="130"/>
      <c r="J70" s="126"/>
      <c r="K70" s="126"/>
      <c r="L70" s="126"/>
      <c r="M70" s="126"/>
      <c r="N70" s="126"/>
      <c r="O70" s="126"/>
      <c r="P70" s="126"/>
      <c r="Q70" s="101" t="str">
        <f>IF(TYPE(VLOOKUP(B:B,#REF!,8,0))=16,"",VLOOKUP(B:B,#REF!,8,0))</f>
        <v/>
      </c>
      <c r="R70" s="126"/>
      <c r="S70" s="130"/>
      <c r="T70" s="44"/>
      <c r="U70" s="125"/>
      <c r="V70" s="125"/>
    </row>
    <row r="71" spans="1:22" ht="25.05" customHeight="1">
      <c r="A71" s="131" t="s">
        <v>1821</v>
      </c>
      <c r="B71" s="126"/>
      <c r="C71" s="132"/>
      <c r="D71" s="133" t="s">
        <v>1822</v>
      </c>
      <c r="E71" s="127"/>
      <c r="F71" s="126"/>
      <c r="G71" s="134"/>
      <c r="H71" s="135"/>
      <c r="I71" s="136"/>
      <c r="J71" s="135"/>
      <c r="K71" s="135"/>
      <c r="L71" s="135"/>
      <c r="M71" s="135"/>
      <c r="N71" s="135"/>
      <c r="O71" s="135"/>
      <c r="P71" s="126"/>
      <c r="Q71" s="101" t="str">
        <f>IF(TYPE(VLOOKUP(B:B,#REF!,8,0))=16,"",VLOOKUP(B:B,#REF!,8,0))</f>
        <v/>
      </c>
      <c r="R71" s="126"/>
      <c r="S71" s="130"/>
      <c r="T71" s="44"/>
      <c r="U71" s="131"/>
      <c r="V71" s="131"/>
    </row>
    <row r="72" spans="1:22" ht="25.95" customHeight="1">
      <c r="A72" s="137" t="s">
        <v>1823</v>
      </c>
      <c r="B72" s="138"/>
      <c r="C72" s="139"/>
      <c r="D72" s="140"/>
      <c r="E72" s="127"/>
      <c r="F72" s="138"/>
      <c r="G72" s="141"/>
      <c r="H72" s="138"/>
      <c r="I72" s="141"/>
      <c r="J72" s="138"/>
      <c r="K72" s="138"/>
      <c r="L72" s="138"/>
      <c r="M72" s="138"/>
      <c r="N72" s="138"/>
      <c r="O72" s="138"/>
      <c r="P72" s="138"/>
      <c r="Q72" s="101" t="str">
        <f>IF(TYPE(VLOOKUP(B:B,#REF!,8,0))=16,"",VLOOKUP(B:B,#REF!,8,0))</f>
        <v/>
      </c>
      <c r="R72" s="138"/>
      <c r="S72" s="141"/>
      <c r="T72" s="142"/>
      <c r="U72" s="137"/>
      <c r="V72" s="137"/>
    </row>
    <row r="73" spans="1:22" ht="25.95" customHeight="1">
      <c r="A73" s="143" t="s">
        <v>1824</v>
      </c>
      <c r="B73" s="138"/>
      <c r="C73" s="139"/>
      <c r="D73" s="140"/>
      <c r="E73" s="127"/>
      <c r="F73" s="138"/>
      <c r="G73" s="141"/>
      <c r="H73" s="138"/>
      <c r="I73" s="141"/>
      <c r="J73" s="138"/>
      <c r="K73" s="138"/>
      <c r="L73" s="138"/>
      <c r="M73" s="138"/>
      <c r="N73" s="138"/>
      <c r="O73" s="138"/>
      <c r="P73" s="138"/>
      <c r="Q73" s="101"/>
      <c r="R73" s="138"/>
      <c r="S73" s="141"/>
      <c r="T73" s="142"/>
      <c r="U73" s="143"/>
      <c r="V73" s="143"/>
    </row>
    <row r="74" spans="1:22" ht="25.95" customHeight="1">
      <c r="A74" s="143" t="s">
        <v>1825</v>
      </c>
      <c r="B74" s="138"/>
      <c r="C74" s="139"/>
      <c r="D74" s="140"/>
      <c r="E74" s="127"/>
      <c r="F74" s="138"/>
      <c r="G74" s="141"/>
      <c r="H74" s="138"/>
      <c r="I74" s="141"/>
      <c r="J74" s="138"/>
      <c r="K74" s="138"/>
      <c r="L74" s="138"/>
      <c r="M74" s="138"/>
      <c r="N74" s="138"/>
      <c r="O74" s="138"/>
      <c r="P74" s="138"/>
      <c r="Q74" s="101"/>
      <c r="R74" s="138"/>
      <c r="S74" s="141"/>
      <c r="T74" s="142"/>
      <c r="U74" s="143"/>
      <c r="V74" s="143"/>
    </row>
    <row r="75" spans="1:22" ht="25.95" customHeight="1">
      <c r="A75" s="137" t="s">
        <v>1826</v>
      </c>
      <c r="B75" s="138"/>
      <c r="C75" s="139"/>
      <c r="D75" s="140"/>
      <c r="E75" s="127"/>
      <c r="F75" s="138"/>
      <c r="G75" s="141"/>
      <c r="H75" s="138"/>
      <c r="I75" s="141"/>
      <c r="J75" s="138"/>
      <c r="K75" s="138"/>
      <c r="L75" s="138"/>
      <c r="M75" s="138"/>
      <c r="N75" s="138"/>
      <c r="O75" s="138"/>
      <c r="P75" s="138"/>
      <c r="Q75" s="101"/>
      <c r="R75" s="138"/>
      <c r="S75" s="141"/>
      <c r="T75" s="142"/>
      <c r="U75" s="137"/>
      <c r="V75" s="137"/>
    </row>
    <row r="76" spans="1:22" ht="25.95" customHeight="1">
      <c r="A76" s="143" t="s">
        <v>1827</v>
      </c>
      <c r="B76" s="144"/>
      <c r="C76" s="139"/>
      <c r="D76" s="140"/>
      <c r="E76" s="127"/>
      <c r="F76" s="138"/>
      <c r="G76" s="141"/>
      <c r="H76" s="138"/>
      <c r="I76" s="141"/>
      <c r="J76" s="138"/>
      <c r="K76" s="138"/>
      <c r="L76" s="138"/>
      <c r="M76" s="138"/>
      <c r="N76" s="138"/>
      <c r="O76" s="138"/>
      <c r="P76" s="138"/>
      <c r="Q76" s="101"/>
      <c r="R76" s="138"/>
      <c r="S76" s="141"/>
      <c r="T76" s="142"/>
      <c r="U76" s="143"/>
      <c r="V76" s="143"/>
    </row>
    <row r="77" spans="1:22" ht="25.95" customHeight="1">
      <c r="A77" s="143" t="s">
        <v>1828</v>
      </c>
      <c r="B77" s="144"/>
      <c r="C77" s="139"/>
      <c r="D77" s="140"/>
      <c r="E77" s="127"/>
      <c r="F77" s="138"/>
      <c r="G77" s="141"/>
      <c r="H77" s="138"/>
      <c r="I77" s="141"/>
      <c r="J77" s="138"/>
      <c r="K77" s="138"/>
      <c r="L77" s="138"/>
      <c r="M77" s="138"/>
      <c r="N77" s="138"/>
      <c r="O77" s="138"/>
      <c r="P77" s="138"/>
      <c r="Q77" s="101"/>
      <c r="R77" s="138"/>
      <c r="S77" s="141"/>
      <c r="T77" s="142"/>
      <c r="U77" s="143"/>
      <c r="V77" s="143"/>
    </row>
    <row r="78" spans="1:22" ht="25.95" customHeight="1">
      <c r="A78" s="143" t="s">
        <v>1829</v>
      </c>
      <c r="B78" s="144"/>
      <c r="C78" s="145" t="e">
        <f>VLOOKUP($C$73,'[1]物料编码对照表&amp;客户要求'!E$1:F$65536,2,0)</f>
        <v>#N/A</v>
      </c>
      <c r="D78" s="140"/>
      <c r="E78" s="127"/>
      <c r="F78" s="138"/>
      <c r="G78" s="141"/>
      <c r="H78" s="138"/>
      <c r="I78" s="141"/>
      <c r="J78" s="138"/>
      <c r="K78" s="138"/>
      <c r="L78" s="138"/>
      <c r="M78" s="138"/>
      <c r="N78" s="138"/>
      <c r="O78" s="138"/>
      <c r="P78" s="138"/>
      <c r="Q78" s="101"/>
      <c r="R78" s="138"/>
      <c r="S78" s="141"/>
      <c r="T78" s="142"/>
      <c r="U78" s="143"/>
      <c r="V78" s="143"/>
    </row>
    <row r="79" spans="1:22" ht="25.95" customHeight="1">
      <c r="A79" s="146"/>
      <c r="B79" s="146"/>
      <c r="C79" s="126"/>
      <c r="D79" s="126"/>
      <c r="E79" s="126"/>
      <c r="F79" s="135"/>
      <c r="G79" s="147" t="s">
        <v>1830</v>
      </c>
      <c r="H79" s="148"/>
      <c r="I79" s="149"/>
      <c r="J79" s="148"/>
      <c r="K79" s="150"/>
      <c r="L79" s="150"/>
      <c r="M79" s="150"/>
      <c r="N79" s="150"/>
      <c r="O79" s="150"/>
      <c r="P79" s="101"/>
      <c r="Q79" s="101" t="str">
        <f>IF(TYPE(VLOOKUP(B:B,#REF!,8,0))=16,"",VLOOKUP(B:B,#REF!,8,0))</f>
        <v/>
      </c>
      <c r="R79" s="126"/>
      <c r="S79" s="130"/>
      <c r="T79" s="44"/>
      <c r="U79" s="146"/>
      <c r="V79" s="146"/>
    </row>
    <row r="80" spans="1:22" ht="16.05" customHeight="1"/>
    <row r="81" ht="16.05" customHeight="1"/>
    <row r="82" ht="16.05" customHeight="1"/>
    <row r="83" ht="16.05" customHeight="1"/>
    <row r="84" ht="16.05" customHeight="1"/>
    <row r="85" ht="16.05" customHeight="1"/>
    <row r="86" ht="16.05" customHeight="1"/>
    <row r="87" ht="16.05" customHeight="1"/>
    <row r="88" ht="16.05" customHeight="1"/>
    <row r="89" ht="16.05" customHeight="1"/>
    <row r="90" ht="16.05" customHeight="1"/>
    <row r="91" ht="16.05" customHeight="1"/>
    <row r="92" ht="16.05" customHeight="1"/>
    <row r="93" ht="16.05" customHeight="1"/>
    <row r="94" ht="16.05" customHeight="1"/>
    <row r="95" ht="16.05" customHeight="1"/>
    <row r="96" ht="16.05" customHeight="1"/>
    <row r="97" ht="16.05" customHeight="1"/>
    <row r="98" ht="16.05" customHeight="1"/>
    <row r="99" ht="16.05" customHeight="1"/>
    <row r="100" ht="16.05" customHeight="1"/>
    <row r="101" ht="16.05" customHeight="1"/>
    <row r="102" ht="16.05" customHeight="1"/>
    <row r="103" ht="16.05" customHeight="1"/>
    <row r="104" ht="16.05" customHeight="1"/>
    <row r="105" ht="16.05" customHeight="1"/>
    <row r="106" ht="16.05" customHeight="1"/>
    <row r="107" ht="16.05" customHeight="1"/>
    <row r="108" ht="16.05" customHeight="1"/>
    <row r="109" ht="16.05" customHeight="1"/>
    <row r="110" ht="16.05" customHeight="1"/>
    <row r="111" ht="16.05" customHeight="1"/>
    <row r="112" ht="16.05" customHeight="1"/>
    <row r="113" ht="16.05" customHeight="1"/>
    <row r="114" ht="16.05" customHeight="1"/>
    <row r="115" ht="16.05" customHeight="1"/>
    <row r="116" ht="16.05" customHeight="1"/>
    <row r="117" ht="16.05" customHeight="1"/>
    <row r="118" ht="16.05" customHeight="1"/>
    <row r="119" ht="16.05" customHeight="1"/>
    <row r="120" ht="16.05" customHeight="1"/>
    <row r="121" ht="16.05" customHeight="1"/>
    <row r="122" ht="16.05" customHeight="1"/>
    <row r="123" ht="16.05" customHeight="1"/>
    <row r="124" ht="16.05" customHeight="1"/>
    <row r="125" ht="16.05" customHeight="1"/>
    <row r="126" ht="16.05" customHeight="1"/>
    <row r="127" ht="16.05" customHeight="1"/>
    <row r="128" ht="16.05" customHeight="1"/>
    <row r="129" ht="16.05" customHeight="1"/>
    <row r="130" ht="16.05" customHeight="1"/>
    <row r="131" ht="16.05" customHeight="1"/>
    <row r="132" ht="16.05" customHeight="1"/>
    <row r="133" ht="16.05" customHeight="1"/>
    <row r="134" ht="16.05" customHeight="1"/>
    <row r="135" ht="16.05" customHeight="1"/>
    <row r="136" ht="16.05" customHeight="1"/>
    <row r="137" ht="16.05" customHeight="1"/>
    <row r="138" ht="16.05" customHeight="1"/>
    <row r="139" ht="16.05" customHeight="1"/>
    <row r="140" ht="16.05" customHeight="1"/>
    <row r="141" ht="16.05" customHeight="1"/>
    <row r="142" ht="16.05" customHeight="1"/>
  </sheetData>
  <mergeCells count="258">
    <mergeCell ref="K17:K18"/>
    <mergeCell ref="L17:L18"/>
    <mergeCell ref="M17:M18"/>
    <mergeCell ref="N17:N18"/>
    <mergeCell ref="O17:O18"/>
    <mergeCell ref="P17:P18"/>
    <mergeCell ref="E18:F18"/>
    <mergeCell ref="G18:H18"/>
    <mergeCell ref="I18:J18"/>
    <mergeCell ref="K19:K20"/>
    <mergeCell ref="L19:L20"/>
    <mergeCell ref="M19:M20"/>
    <mergeCell ref="N19:N20"/>
    <mergeCell ref="O19:O20"/>
    <mergeCell ref="P19:P20"/>
    <mergeCell ref="E20:F20"/>
    <mergeCell ref="G20:H20"/>
    <mergeCell ref="I20:J20"/>
    <mergeCell ref="K21:K22"/>
    <mergeCell ref="L21:L22"/>
    <mergeCell ref="M21:M22"/>
    <mergeCell ref="N21:N22"/>
    <mergeCell ref="O21:O22"/>
    <mergeCell ref="P21:P22"/>
    <mergeCell ref="E22:F22"/>
    <mergeCell ref="G22:H22"/>
    <mergeCell ref="I22:J22"/>
    <mergeCell ref="K23:K24"/>
    <mergeCell ref="L23:L24"/>
    <mergeCell ref="M23:M24"/>
    <mergeCell ref="N23:N24"/>
    <mergeCell ref="O23:O24"/>
    <mergeCell ref="P23:P24"/>
    <mergeCell ref="E24:F24"/>
    <mergeCell ref="G24:H24"/>
    <mergeCell ref="I24:J24"/>
    <mergeCell ref="K25:K26"/>
    <mergeCell ref="L25:L26"/>
    <mergeCell ref="M25:M26"/>
    <mergeCell ref="N25:N26"/>
    <mergeCell ref="O25:O26"/>
    <mergeCell ref="P25:P26"/>
    <mergeCell ref="E26:F26"/>
    <mergeCell ref="G26:H26"/>
    <mergeCell ref="I26:J26"/>
    <mergeCell ref="K27:K28"/>
    <mergeCell ref="L27:L28"/>
    <mergeCell ref="M27:M28"/>
    <mergeCell ref="N27:N28"/>
    <mergeCell ref="O27:O28"/>
    <mergeCell ref="P27:P28"/>
    <mergeCell ref="E28:F28"/>
    <mergeCell ref="G28:H28"/>
    <mergeCell ref="I28:J28"/>
    <mergeCell ref="K29:K30"/>
    <mergeCell ref="L29:L30"/>
    <mergeCell ref="M29:M30"/>
    <mergeCell ref="N29:N30"/>
    <mergeCell ref="O29:O30"/>
    <mergeCell ref="P29:P30"/>
    <mergeCell ref="E30:F30"/>
    <mergeCell ref="G30:H30"/>
    <mergeCell ref="I30:J30"/>
    <mergeCell ref="K31:K32"/>
    <mergeCell ref="L31:L32"/>
    <mergeCell ref="M31:M32"/>
    <mergeCell ref="N31:N32"/>
    <mergeCell ref="O31:O32"/>
    <mergeCell ref="P31:P32"/>
    <mergeCell ref="E32:F32"/>
    <mergeCell ref="G32:H32"/>
    <mergeCell ref="I32:J32"/>
    <mergeCell ref="K33:K34"/>
    <mergeCell ref="L33:L34"/>
    <mergeCell ref="M33:M34"/>
    <mergeCell ref="N33:N34"/>
    <mergeCell ref="O33:O34"/>
    <mergeCell ref="P33:P34"/>
    <mergeCell ref="E34:F34"/>
    <mergeCell ref="G34:H34"/>
    <mergeCell ref="I34:J34"/>
    <mergeCell ref="K35:K36"/>
    <mergeCell ref="L35:L36"/>
    <mergeCell ref="M35:M36"/>
    <mergeCell ref="N35:N36"/>
    <mergeCell ref="O35:O36"/>
    <mergeCell ref="P35:P36"/>
    <mergeCell ref="E36:F36"/>
    <mergeCell ref="G36:H36"/>
    <mergeCell ref="I36:J36"/>
    <mergeCell ref="K37:K38"/>
    <mergeCell ref="L37:L38"/>
    <mergeCell ref="M37:M38"/>
    <mergeCell ref="N37:N38"/>
    <mergeCell ref="O37:O38"/>
    <mergeCell ref="P37:P38"/>
    <mergeCell ref="E38:F38"/>
    <mergeCell ref="G38:H38"/>
    <mergeCell ref="I38:J38"/>
    <mergeCell ref="K39:K40"/>
    <mergeCell ref="L39:L40"/>
    <mergeCell ref="M39:M40"/>
    <mergeCell ref="N39:N40"/>
    <mergeCell ref="O39:O40"/>
    <mergeCell ref="P39:P40"/>
    <mergeCell ref="E40:F40"/>
    <mergeCell ref="G40:H40"/>
    <mergeCell ref="I40:J40"/>
    <mergeCell ref="K41:K42"/>
    <mergeCell ref="L41:L42"/>
    <mergeCell ref="M41:M42"/>
    <mergeCell ref="N41:N42"/>
    <mergeCell ref="O41:O42"/>
    <mergeCell ref="P41:P42"/>
    <mergeCell ref="E42:F42"/>
    <mergeCell ref="G42:H42"/>
    <mergeCell ref="I42:J42"/>
    <mergeCell ref="K43:K44"/>
    <mergeCell ref="L43:L44"/>
    <mergeCell ref="M43:M44"/>
    <mergeCell ref="N43:N44"/>
    <mergeCell ref="O43:O44"/>
    <mergeCell ref="P43:P44"/>
    <mergeCell ref="E44:F44"/>
    <mergeCell ref="G44:H44"/>
    <mergeCell ref="I44:J44"/>
    <mergeCell ref="K45:K46"/>
    <mergeCell ref="L45:L46"/>
    <mergeCell ref="M45:M46"/>
    <mergeCell ref="N45:N46"/>
    <mergeCell ref="O45:O46"/>
    <mergeCell ref="P45:P46"/>
    <mergeCell ref="E46:F46"/>
    <mergeCell ref="G46:H46"/>
    <mergeCell ref="I46:J46"/>
    <mergeCell ref="K47:K48"/>
    <mergeCell ref="L47:L48"/>
    <mergeCell ref="M47:M48"/>
    <mergeCell ref="N47:N48"/>
    <mergeCell ref="O47:O48"/>
    <mergeCell ref="P47:P48"/>
    <mergeCell ref="E48:F48"/>
    <mergeCell ref="G48:H48"/>
    <mergeCell ref="I48:J48"/>
    <mergeCell ref="K49:K50"/>
    <mergeCell ref="L49:L50"/>
    <mergeCell ref="M49:M50"/>
    <mergeCell ref="N49:N50"/>
    <mergeCell ref="O49:O50"/>
    <mergeCell ref="P49:P50"/>
    <mergeCell ref="E50:F50"/>
    <mergeCell ref="G50:H50"/>
    <mergeCell ref="I50:J50"/>
    <mergeCell ref="K51:K52"/>
    <mergeCell ref="L51:L52"/>
    <mergeCell ref="M51:M52"/>
    <mergeCell ref="N51:N52"/>
    <mergeCell ref="O51:O52"/>
    <mergeCell ref="P51:P52"/>
    <mergeCell ref="E52:F52"/>
    <mergeCell ref="G52:H52"/>
    <mergeCell ref="I52:J52"/>
    <mergeCell ref="K53:K54"/>
    <mergeCell ref="L53:L54"/>
    <mergeCell ref="M53:M54"/>
    <mergeCell ref="N53:N54"/>
    <mergeCell ref="O53:O54"/>
    <mergeCell ref="P53:P54"/>
    <mergeCell ref="E54:F54"/>
    <mergeCell ref="G54:H54"/>
    <mergeCell ref="I54:J54"/>
    <mergeCell ref="K55:K56"/>
    <mergeCell ref="L55:L56"/>
    <mergeCell ref="M55:M56"/>
    <mergeCell ref="N55:N56"/>
    <mergeCell ref="O55:O56"/>
    <mergeCell ref="P55:P56"/>
    <mergeCell ref="E56:F56"/>
    <mergeCell ref="G56:H56"/>
    <mergeCell ref="I56:J56"/>
    <mergeCell ref="K57:K58"/>
    <mergeCell ref="L57:L58"/>
    <mergeCell ref="M57:M58"/>
    <mergeCell ref="N57:N58"/>
    <mergeCell ref="O57:O58"/>
    <mergeCell ref="P57:P58"/>
    <mergeCell ref="E58:F58"/>
    <mergeCell ref="G58:H58"/>
    <mergeCell ref="I58:J58"/>
    <mergeCell ref="K59:K60"/>
    <mergeCell ref="L59:L60"/>
    <mergeCell ref="M59:M60"/>
    <mergeCell ref="N59:N60"/>
    <mergeCell ref="O59:O60"/>
    <mergeCell ref="P59:P60"/>
    <mergeCell ref="E60:F60"/>
    <mergeCell ref="G60:H60"/>
    <mergeCell ref="I60:J60"/>
    <mergeCell ref="K61:K62"/>
    <mergeCell ref="L61:L62"/>
    <mergeCell ref="M61:M62"/>
    <mergeCell ref="N61:N62"/>
    <mergeCell ref="O61:O62"/>
    <mergeCell ref="P61:P62"/>
    <mergeCell ref="E62:F62"/>
    <mergeCell ref="G62:H62"/>
    <mergeCell ref="I62:J62"/>
    <mergeCell ref="K63:K64"/>
    <mergeCell ref="L63:L64"/>
    <mergeCell ref="M63:M64"/>
    <mergeCell ref="N63:N64"/>
    <mergeCell ref="O63:O64"/>
    <mergeCell ref="P63:P64"/>
    <mergeCell ref="E64:F64"/>
    <mergeCell ref="G64:H64"/>
    <mergeCell ref="I64:J64"/>
    <mergeCell ref="K65:K66"/>
    <mergeCell ref="L65:L66"/>
    <mergeCell ref="M65:M66"/>
    <mergeCell ref="N65:N66"/>
    <mergeCell ref="O65:O66"/>
    <mergeCell ref="P65:P66"/>
    <mergeCell ref="E66:F66"/>
    <mergeCell ref="G66:H66"/>
    <mergeCell ref="I66:J66"/>
    <mergeCell ref="K67:K68"/>
    <mergeCell ref="L67:L68"/>
    <mergeCell ref="M67:M68"/>
    <mergeCell ref="N67:N68"/>
    <mergeCell ref="O67:O68"/>
    <mergeCell ref="P67:P68"/>
    <mergeCell ref="E68:F68"/>
    <mergeCell ref="G68:H68"/>
    <mergeCell ref="I68:J68"/>
    <mergeCell ref="A1:P1"/>
    <mergeCell ref="A2:P2"/>
    <mergeCell ref="A3:P3"/>
    <mergeCell ref="A4:P4"/>
    <mergeCell ref="C6:K6"/>
    <mergeCell ref="C7:K7"/>
    <mergeCell ref="A14:A15"/>
    <mergeCell ref="B14:D15"/>
    <mergeCell ref="E14:F15"/>
    <mergeCell ref="G14:H14"/>
    <mergeCell ref="I14:J14"/>
    <mergeCell ref="K14:P14"/>
    <mergeCell ref="U7:V7"/>
    <mergeCell ref="J8:M8"/>
    <mergeCell ref="A9:F9"/>
    <mergeCell ref="J9:O9"/>
    <mergeCell ref="A10:G10"/>
    <mergeCell ref="B12:D12"/>
    <mergeCell ref="F12:G12"/>
    <mergeCell ref="U14:U15"/>
    <mergeCell ref="V14:V15"/>
    <mergeCell ref="G15:H15"/>
    <mergeCell ref="I15:J15"/>
    <mergeCell ref="K15:P15"/>
  </mergeCells>
  <phoneticPr fontId="1" type="noConversion"/>
  <conditionalFormatting sqref="U16:U79">
    <cfRule type="cellIs" dxfId="53" priority="333" stopIfTrue="1" operator="lessThan">
      <formula>"y:y"</formula>
    </cfRule>
  </conditionalFormatting>
  <conditionalFormatting sqref="B67 B65 B63">
    <cfRule type="cellIs" dxfId="52" priority="332" stopIfTrue="1" operator="equal">
      <formula>"新油墨"</formula>
    </cfRule>
  </conditionalFormatting>
  <conditionalFormatting sqref="U67">
    <cfRule type="cellIs" dxfId="51" priority="51" stopIfTrue="1" operator="lessThan">
      <formula>Z67</formula>
    </cfRule>
  </conditionalFormatting>
  <conditionalFormatting sqref="U65">
    <cfRule type="cellIs" dxfId="50" priority="49" stopIfTrue="1" operator="lessThan">
      <formula>Z65</formula>
    </cfRule>
  </conditionalFormatting>
  <conditionalFormatting sqref="U63">
    <cfRule type="cellIs" dxfId="49" priority="47" stopIfTrue="1" operator="lessThan">
      <formula>Z63</formula>
    </cfRule>
  </conditionalFormatting>
  <conditionalFormatting sqref="B61">
    <cfRule type="cellIs" dxfId="48" priority="46" stopIfTrue="1" operator="equal">
      <formula>"新油墨"</formula>
    </cfRule>
  </conditionalFormatting>
  <conditionalFormatting sqref="U61">
    <cfRule type="cellIs" dxfId="47" priority="45" stopIfTrue="1" operator="lessThan">
      <formula>Z61</formula>
    </cfRule>
  </conditionalFormatting>
  <conditionalFormatting sqref="B59">
    <cfRule type="cellIs" dxfId="46" priority="44" stopIfTrue="1" operator="equal">
      <formula>"新油墨"</formula>
    </cfRule>
  </conditionalFormatting>
  <conditionalFormatting sqref="U59">
    <cfRule type="cellIs" dxfId="45" priority="43" stopIfTrue="1" operator="lessThan">
      <formula>Z59</formula>
    </cfRule>
  </conditionalFormatting>
  <conditionalFormatting sqref="B57">
    <cfRule type="cellIs" dxfId="44" priority="42" stopIfTrue="1" operator="equal">
      <formula>"新油墨"</formula>
    </cfRule>
  </conditionalFormatting>
  <conditionalFormatting sqref="U57">
    <cfRule type="cellIs" dxfId="43" priority="41" stopIfTrue="1" operator="lessThan">
      <formula>Z57</formula>
    </cfRule>
  </conditionalFormatting>
  <conditionalFormatting sqref="B55">
    <cfRule type="cellIs" dxfId="42" priority="40" stopIfTrue="1" operator="equal">
      <formula>"新油墨"</formula>
    </cfRule>
  </conditionalFormatting>
  <conditionalFormatting sqref="U55">
    <cfRule type="cellIs" dxfId="41" priority="39" stopIfTrue="1" operator="lessThan">
      <formula>Z55</formula>
    </cfRule>
  </conditionalFormatting>
  <conditionalFormatting sqref="B53">
    <cfRule type="cellIs" dxfId="40" priority="38" stopIfTrue="1" operator="equal">
      <formula>"新油墨"</formula>
    </cfRule>
  </conditionalFormatting>
  <conditionalFormatting sqref="U53">
    <cfRule type="cellIs" dxfId="39" priority="37" stopIfTrue="1" operator="lessThan">
      <formula>Z53</formula>
    </cfRule>
  </conditionalFormatting>
  <conditionalFormatting sqref="B51">
    <cfRule type="cellIs" dxfId="38" priority="36" stopIfTrue="1" operator="equal">
      <formula>"新油墨"</formula>
    </cfRule>
  </conditionalFormatting>
  <conditionalFormatting sqref="U51">
    <cfRule type="cellIs" dxfId="37" priority="35" stopIfTrue="1" operator="lessThan">
      <formula>Z51</formula>
    </cfRule>
  </conditionalFormatting>
  <conditionalFormatting sqref="B49">
    <cfRule type="cellIs" dxfId="36" priority="34" stopIfTrue="1" operator="equal">
      <formula>"新油墨"</formula>
    </cfRule>
  </conditionalFormatting>
  <conditionalFormatting sqref="U49">
    <cfRule type="cellIs" dxfId="35" priority="33" stopIfTrue="1" operator="lessThan">
      <formula>Z49</formula>
    </cfRule>
  </conditionalFormatting>
  <conditionalFormatting sqref="B47">
    <cfRule type="cellIs" dxfId="34" priority="32" stopIfTrue="1" operator="equal">
      <formula>"新油墨"</formula>
    </cfRule>
  </conditionalFormatting>
  <conditionalFormatting sqref="U47">
    <cfRule type="cellIs" dxfId="33" priority="31" stopIfTrue="1" operator="lessThan">
      <formula>Z47</formula>
    </cfRule>
  </conditionalFormatting>
  <conditionalFormatting sqref="B45">
    <cfRule type="cellIs" dxfId="32" priority="30" stopIfTrue="1" operator="equal">
      <formula>"新油墨"</formula>
    </cfRule>
  </conditionalFormatting>
  <conditionalFormatting sqref="U45">
    <cfRule type="cellIs" dxfId="31" priority="29" stopIfTrue="1" operator="lessThan">
      <formula>Z45</formula>
    </cfRule>
  </conditionalFormatting>
  <conditionalFormatting sqref="B43">
    <cfRule type="cellIs" dxfId="30" priority="28" stopIfTrue="1" operator="equal">
      <formula>"新油墨"</formula>
    </cfRule>
  </conditionalFormatting>
  <conditionalFormatting sqref="U43">
    <cfRule type="cellIs" dxfId="29" priority="27" stopIfTrue="1" operator="lessThan">
      <formula>Z43</formula>
    </cfRule>
  </conditionalFormatting>
  <conditionalFormatting sqref="B41">
    <cfRule type="cellIs" dxfId="28" priority="26" stopIfTrue="1" operator="equal">
      <formula>"新油墨"</formula>
    </cfRule>
  </conditionalFormatting>
  <conditionalFormatting sqref="U41">
    <cfRule type="cellIs" dxfId="27" priority="25" stopIfTrue="1" operator="lessThan">
      <formula>Z41</formula>
    </cfRule>
  </conditionalFormatting>
  <conditionalFormatting sqref="B39">
    <cfRule type="cellIs" dxfId="26" priority="24" stopIfTrue="1" operator="equal">
      <formula>"新油墨"</formula>
    </cfRule>
  </conditionalFormatting>
  <conditionalFormatting sqref="U39">
    <cfRule type="cellIs" dxfId="25" priority="23" stopIfTrue="1" operator="lessThan">
      <formula>Z39</formula>
    </cfRule>
  </conditionalFormatting>
  <conditionalFormatting sqref="B37">
    <cfRule type="cellIs" dxfId="24" priority="22" stopIfTrue="1" operator="equal">
      <formula>"新油墨"</formula>
    </cfRule>
  </conditionalFormatting>
  <conditionalFormatting sqref="U37">
    <cfRule type="cellIs" dxfId="23" priority="21" stopIfTrue="1" operator="lessThan">
      <formula>Z37</formula>
    </cfRule>
  </conditionalFormatting>
  <conditionalFormatting sqref="B35">
    <cfRule type="cellIs" dxfId="22" priority="20" stopIfTrue="1" operator="equal">
      <formula>"新油墨"</formula>
    </cfRule>
  </conditionalFormatting>
  <conditionalFormatting sqref="U35">
    <cfRule type="cellIs" dxfId="21" priority="19" stopIfTrue="1" operator="lessThan">
      <formula>Z35</formula>
    </cfRule>
  </conditionalFormatting>
  <conditionalFormatting sqref="B33">
    <cfRule type="cellIs" dxfId="20" priority="18" stopIfTrue="1" operator="equal">
      <formula>"新油墨"</formula>
    </cfRule>
  </conditionalFormatting>
  <conditionalFormatting sqref="U33">
    <cfRule type="cellIs" dxfId="19" priority="17" stopIfTrue="1" operator="lessThan">
      <formula>Z33</formula>
    </cfRule>
  </conditionalFormatting>
  <conditionalFormatting sqref="B31">
    <cfRule type="cellIs" dxfId="18" priority="16" stopIfTrue="1" operator="equal">
      <formula>"新油墨"</formula>
    </cfRule>
  </conditionalFormatting>
  <conditionalFormatting sqref="U31">
    <cfRule type="cellIs" dxfId="17" priority="15" stopIfTrue="1" operator="lessThan">
      <formula>Z31</formula>
    </cfRule>
  </conditionalFormatting>
  <conditionalFormatting sqref="B29">
    <cfRule type="cellIs" dxfId="16" priority="14" stopIfTrue="1" operator="equal">
      <formula>"新油墨"</formula>
    </cfRule>
  </conditionalFormatting>
  <conditionalFormatting sqref="U29">
    <cfRule type="cellIs" dxfId="15" priority="13" stopIfTrue="1" operator="lessThan">
      <formula>Z29</formula>
    </cfRule>
  </conditionalFormatting>
  <conditionalFormatting sqref="B27">
    <cfRule type="cellIs" dxfId="14" priority="12" stopIfTrue="1" operator="equal">
      <formula>"新油墨"</formula>
    </cfRule>
  </conditionalFormatting>
  <conditionalFormatting sqref="U27">
    <cfRule type="cellIs" dxfId="13" priority="11" stopIfTrue="1" operator="lessThan">
      <formula>Z27</formula>
    </cfRule>
  </conditionalFormatting>
  <conditionalFormatting sqref="B25">
    <cfRule type="cellIs" dxfId="12" priority="10" stopIfTrue="1" operator="equal">
      <formula>"新油墨"</formula>
    </cfRule>
  </conditionalFormatting>
  <conditionalFormatting sqref="U25">
    <cfRule type="cellIs" dxfId="11" priority="9" stopIfTrue="1" operator="lessThan">
      <formula>Z25</formula>
    </cfRule>
  </conditionalFormatting>
  <conditionalFormatting sqref="B23">
    <cfRule type="cellIs" dxfId="10" priority="8" stopIfTrue="1" operator="equal">
      <formula>"新油墨"</formula>
    </cfRule>
  </conditionalFormatting>
  <conditionalFormatting sqref="U23">
    <cfRule type="cellIs" dxfId="9" priority="7" stopIfTrue="1" operator="lessThan">
      <formula>Z23</formula>
    </cfRule>
  </conditionalFormatting>
  <conditionalFormatting sqref="B21">
    <cfRule type="cellIs" dxfId="8" priority="6" stopIfTrue="1" operator="equal">
      <formula>"新油墨"</formula>
    </cfRule>
  </conditionalFormatting>
  <conditionalFormatting sqref="U21">
    <cfRule type="cellIs" dxfId="7" priority="5" stopIfTrue="1" operator="lessThan">
      <formula>Z21</formula>
    </cfRule>
  </conditionalFormatting>
  <conditionalFormatting sqref="B19">
    <cfRule type="cellIs" dxfId="6" priority="4" stopIfTrue="1" operator="equal">
      <formula>"新油墨"</formula>
    </cfRule>
  </conditionalFormatting>
  <conditionalFormatting sqref="U19">
    <cfRule type="cellIs" dxfId="5" priority="3" stopIfTrue="1" operator="lessThan">
      <formula>Z19</formula>
    </cfRule>
  </conditionalFormatting>
  <conditionalFormatting sqref="B17">
    <cfRule type="cellIs" dxfId="4" priority="2" stopIfTrue="1" operator="equal">
      <formula>"新油墨"</formula>
    </cfRule>
  </conditionalFormatting>
  <conditionalFormatting sqref="U17">
    <cfRule type="cellIs" dxfId="3" priority="1" stopIfTrue="1" operator="lessThan">
      <formula>Z17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1492"/>
  <sheetViews>
    <sheetView topLeftCell="A371" workbookViewId="0">
      <selection activeCell="A386" sqref="A386:A387"/>
    </sheetView>
  </sheetViews>
  <sheetFormatPr defaultRowHeight="14.4"/>
  <cols>
    <col min="1" max="1" width="28.77734375" customWidth="1"/>
    <col min="2" max="2" width="2.77734375" customWidth="1"/>
    <col min="3" max="3" width="5.77734375" customWidth="1"/>
    <col min="4" max="4" width="6.77734375" customWidth="1"/>
    <col min="5" max="5" width="11.77734375" customWidth="1"/>
    <col min="6" max="6" width="7.77734375" customWidth="1"/>
    <col min="7" max="7" width="6.77734375" customWidth="1"/>
    <col min="8" max="8" width="9.77734375" customWidth="1"/>
    <col min="9" max="11" width="5.77734375" customWidth="1"/>
    <col min="12" max="12" width="8.77734375" customWidth="1"/>
    <col min="13" max="13" width="4.77734375" customWidth="1"/>
    <col min="14" max="14" width="2.77734375" customWidth="1"/>
    <col min="15" max="15" width="4.77734375" customWidth="1"/>
    <col min="16" max="16" width="39.77734375" customWidth="1"/>
    <col min="17" max="17" width="17.77734375" customWidth="1"/>
    <col min="18" max="21" width="16.77734375" customWidth="1"/>
    <col min="22" max="27" width="8.77734375" customWidth="1"/>
    <col min="28" max="28" width="15.77734375" customWidth="1"/>
    <col min="29" max="29" width="18.77734375" customWidth="1"/>
    <col min="30" max="30" width="8.77734375" customWidth="1"/>
  </cols>
  <sheetData>
    <row r="1" spans="1:15" ht="13.9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6" t="s">
        <v>13</v>
      </c>
      <c r="O1" s="6" t="s">
        <v>14</v>
      </c>
    </row>
    <row r="2" spans="1:15" ht="13.95" customHeight="1">
      <c r="A2" s="7" t="s">
        <v>15</v>
      </c>
      <c r="B2" s="8">
        <v>9</v>
      </c>
      <c r="C2" s="8">
        <v>74</v>
      </c>
      <c r="D2" s="8">
        <v>50</v>
      </c>
      <c r="E2" s="8">
        <v>0.6</v>
      </c>
      <c r="F2" s="9">
        <v>1</v>
      </c>
      <c r="G2" s="8" t="s">
        <v>16</v>
      </c>
      <c r="H2" s="10" t="s">
        <v>17</v>
      </c>
      <c r="I2" s="10">
        <v>122</v>
      </c>
      <c r="J2" s="10">
        <v>15</v>
      </c>
      <c r="K2" s="10">
        <v>10</v>
      </c>
      <c r="L2" s="11" t="e">
        <v>#N/A</v>
      </c>
      <c r="M2" s="12">
        <v>12</v>
      </c>
      <c r="N2" s="13" t="s">
        <v>18</v>
      </c>
      <c r="O2" s="13"/>
    </row>
    <row r="3" spans="1:15" ht="13.95" customHeight="1">
      <c r="A3" s="7" t="s">
        <v>19</v>
      </c>
      <c r="B3" s="8">
        <v>9</v>
      </c>
      <c r="C3" s="8">
        <v>74</v>
      </c>
      <c r="D3" s="8">
        <v>50</v>
      </c>
      <c r="E3" s="8">
        <v>0.6</v>
      </c>
      <c r="F3" s="9">
        <v>2</v>
      </c>
      <c r="G3" s="8" t="s">
        <v>16</v>
      </c>
      <c r="H3" s="10" t="s">
        <v>17</v>
      </c>
      <c r="I3" s="10">
        <v>122</v>
      </c>
      <c r="J3" s="10">
        <v>15</v>
      </c>
      <c r="K3" s="10">
        <v>10</v>
      </c>
      <c r="L3" s="11" t="e">
        <v>#N/A</v>
      </c>
      <c r="M3" s="12">
        <v>24</v>
      </c>
      <c r="N3" s="13" t="s">
        <v>18</v>
      </c>
      <c r="O3" s="13"/>
    </row>
    <row r="4" spans="1:15" ht="13.95" customHeight="1">
      <c r="A4" s="7" t="s">
        <v>20</v>
      </c>
      <c r="B4" s="8">
        <v>9</v>
      </c>
      <c r="C4" s="8">
        <v>74</v>
      </c>
      <c r="D4" s="8">
        <v>50</v>
      </c>
      <c r="E4" s="8">
        <v>0.6</v>
      </c>
      <c r="F4" s="9">
        <v>3</v>
      </c>
      <c r="G4" s="8" t="s">
        <v>16</v>
      </c>
      <c r="H4" s="10" t="s">
        <v>17</v>
      </c>
      <c r="I4" s="10">
        <v>122</v>
      </c>
      <c r="J4" s="10">
        <v>15</v>
      </c>
      <c r="K4" s="10">
        <v>10</v>
      </c>
      <c r="L4" s="11" t="e">
        <v>#N/A</v>
      </c>
      <c r="M4" s="12">
        <v>3</v>
      </c>
      <c r="N4" s="13" t="s">
        <v>18</v>
      </c>
      <c r="O4" s="13"/>
    </row>
    <row r="5" spans="1:15" ht="13.95" customHeight="1">
      <c r="A5" s="7" t="s">
        <v>21</v>
      </c>
      <c r="B5" s="8">
        <v>9</v>
      </c>
      <c r="C5" s="8">
        <v>65</v>
      </c>
      <c r="D5" s="8">
        <v>50</v>
      </c>
      <c r="E5" s="8">
        <v>0.6</v>
      </c>
      <c r="F5" s="9">
        <v>4</v>
      </c>
      <c r="G5" s="8" t="s">
        <v>16</v>
      </c>
      <c r="H5" s="10" t="s">
        <v>17</v>
      </c>
      <c r="I5" s="10">
        <v>122</v>
      </c>
      <c r="J5" s="10">
        <v>15</v>
      </c>
      <c r="K5" s="10">
        <v>10</v>
      </c>
      <c r="L5" s="11" t="s">
        <v>22</v>
      </c>
      <c r="M5" s="12">
        <v>0</v>
      </c>
      <c r="N5" s="13"/>
      <c r="O5" s="13"/>
    </row>
    <row r="6" spans="1:15" ht="13.95" customHeight="1">
      <c r="A6" s="7" t="s">
        <v>23</v>
      </c>
      <c r="B6" s="8">
        <v>9</v>
      </c>
      <c r="C6" s="8">
        <v>70</v>
      </c>
      <c r="D6" s="8">
        <v>50</v>
      </c>
      <c r="E6" s="8">
        <v>0.6</v>
      </c>
      <c r="F6" s="9">
        <v>5</v>
      </c>
      <c r="G6" s="8" t="s">
        <v>16</v>
      </c>
      <c r="H6" s="10" t="s">
        <v>17</v>
      </c>
      <c r="I6" s="10">
        <v>122</v>
      </c>
      <c r="J6" s="10">
        <v>15</v>
      </c>
      <c r="K6" s="10">
        <v>10</v>
      </c>
      <c r="L6" s="11" t="s">
        <v>24</v>
      </c>
      <c r="M6" s="12">
        <v>0</v>
      </c>
      <c r="N6" s="13"/>
      <c r="O6" s="13"/>
    </row>
    <row r="7" spans="1:15" ht="13.95" customHeight="1">
      <c r="A7" s="7" t="s">
        <v>25</v>
      </c>
      <c r="B7" s="8">
        <v>9</v>
      </c>
      <c r="C7" s="8">
        <v>71</v>
      </c>
      <c r="D7" s="8">
        <v>50</v>
      </c>
      <c r="E7" s="8">
        <v>0.6</v>
      </c>
      <c r="F7" s="9">
        <v>6</v>
      </c>
      <c r="G7" s="8" t="s">
        <v>16</v>
      </c>
      <c r="H7" s="10" t="s">
        <v>17</v>
      </c>
      <c r="I7" s="10">
        <v>122</v>
      </c>
      <c r="J7" s="10">
        <v>15</v>
      </c>
      <c r="K7" s="10">
        <v>10</v>
      </c>
      <c r="L7" s="11" t="s">
        <v>26</v>
      </c>
      <c r="M7" s="12">
        <v>0</v>
      </c>
      <c r="N7" s="13"/>
      <c r="O7" s="13"/>
    </row>
    <row r="8" spans="1:15" ht="13.95" customHeight="1">
      <c r="A8" s="7" t="s">
        <v>27</v>
      </c>
      <c r="B8" s="8">
        <v>9</v>
      </c>
      <c r="C8" s="8">
        <v>73</v>
      </c>
      <c r="D8" s="8">
        <v>50</v>
      </c>
      <c r="E8" s="8">
        <v>0.6</v>
      </c>
      <c r="F8" s="9">
        <v>7</v>
      </c>
      <c r="G8" s="8" t="s">
        <v>16</v>
      </c>
      <c r="H8" s="10" t="s">
        <v>17</v>
      </c>
      <c r="I8" s="10">
        <v>122</v>
      </c>
      <c r="J8" s="10">
        <v>15</v>
      </c>
      <c r="K8" s="10">
        <v>10</v>
      </c>
      <c r="L8" s="11" t="s">
        <v>28</v>
      </c>
      <c r="M8" s="12">
        <v>0</v>
      </c>
      <c r="N8" s="13"/>
      <c r="O8" s="13"/>
    </row>
    <row r="9" spans="1:15" ht="13.95" customHeight="1">
      <c r="A9" s="7" t="s">
        <v>29</v>
      </c>
      <c r="B9" s="8">
        <v>9</v>
      </c>
      <c r="C9" s="8">
        <v>75</v>
      </c>
      <c r="D9" s="8">
        <v>50</v>
      </c>
      <c r="E9" s="8">
        <v>0.6</v>
      </c>
      <c r="F9" s="9">
        <v>8</v>
      </c>
      <c r="G9" s="8" t="s">
        <v>16</v>
      </c>
      <c r="H9" s="10" t="s">
        <v>17</v>
      </c>
      <c r="I9" s="10">
        <v>122</v>
      </c>
      <c r="J9" s="10">
        <v>15</v>
      </c>
      <c r="K9" s="10">
        <v>10</v>
      </c>
      <c r="L9" s="11" t="s">
        <v>30</v>
      </c>
      <c r="M9" s="12">
        <v>0</v>
      </c>
      <c r="N9" s="13"/>
      <c r="O9" s="13"/>
    </row>
    <row r="10" spans="1:15" ht="13.95" customHeight="1">
      <c r="A10" s="7" t="s">
        <v>31</v>
      </c>
      <c r="B10" s="8">
        <v>9</v>
      </c>
      <c r="C10" s="8">
        <v>71</v>
      </c>
      <c r="D10" s="8">
        <v>50</v>
      </c>
      <c r="E10" s="8">
        <v>0.6</v>
      </c>
      <c r="F10" s="9">
        <v>9</v>
      </c>
      <c r="G10" s="8" t="s">
        <v>16</v>
      </c>
      <c r="H10" s="10" t="s">
        <v>17</v>
      </c>
      <c r="I10" s="10">
        <v>122</v>
      </c>
      <c r="J10" s="10">
        <v>15</v>
      </c>
      <c r="K10" s="10">
        <v>10</v>
      </c>
      <c r="L10" s="11" t="s">
        <v>26</v>
      </c>
      <c r="M10" s="12">
        <v>0</v>
      </c>
      <c r="N10" s="13"/>
      <c r="O10" s="13"/>
    </row>
    <row r="11" spans="1:15" ht="13.95" customHeight="1">
      <c r="A11" s="7" t="s">
        <v>32</v>
      </c>
      <c r="B11" s="8">
        <v>9</v>
      </c>
      <c r="C11" s="8">
        <v>73</v>
      </c>
      <c r="D11" s="8">
        <v>50</v>
      </c>
      <c r="E11" s="8">
        <v>0.6</v>
      </c>
      <c r="F11" s="9">
        <v>10</v>
      </c>
      <c r="G11" s="8" t="s">
        <v>16</v>
      </c>
      <c r="H11" s="10" t="s">
        <v>17</v>
      </c>
      <c r="I11" s="10">
        <v>122</v>
      </c>
      <c r="J11" s="10">
        <v>15</v>
      </c>
      <c r="K11" s="10">
        <v>10</v>
      </c>
      <c r="L11" s="11" t="s">
        <v>28</v>
      </c>
      <c r="M11" s="12">
        <v>0</v>
      </c>
      <c r="N11" s="13"/>
      <c r="O11" s="13"/>
    </row>
    <row r="12" spans="1:15" ht="13.05" customHeight="1">
      <c r="A12" s="7" t="s">
        <v>33</v>
      </c>
      <c r="B12" s="8">
        <v>9</v>
      </c>
      <c r="C12" s="8">
        <v>75</v>
      </c>
      <c r="D12" s="8">
        <v>50</v>
      </c>
      <c r="E12" s="8">
        <v>0.6</v>
      </c>
      <c r="F12" s="9">
        <v>11</v>
      </c>
      <c r="G12" s="8" t="s">
        <v>16</v>
      </c>
      <c r="H12" s="10" t="s">
        <v>17</v>
      </c>
      <c r="I12" s="10">
        <v>122</v>
      </c>
      <c r="J12" s="10">
        <v>15</v>
      </c>
      <c r="K12" s="10">
        <v>10</v>
      </c>
      <c r="L12" s="11" t="s">
        <v>30</v>
      </c>
      <c r="M12" s="12">
        <v>0</v>
      </c>
      <c r="N12" s="13"/>
      <c r="O12" s="13"/>
    </row>
    <row r="13" spans="1:15" ht="13.95" customHeight="1">
      <c r="A13" s="7" t="s">
        <v>34</v>
      </c>
      <c r="B13" s="8">
        <v>9</v>
      </c>
      <c r="C13" s="8">
        <v>71</v>
      </c>
      <c r="D13" s="8">
        <v>50</v>
      </c>
      <c r="E13" s="8">
        <v>0.6</v>
      </c>
      <c r="F13" s="9">
        <v>12</v>
      </c>
      <c r="G13" s="8" t="s">
        <v>16</v>
      </c>
      <c r="H13" s="10" t="s">
        <v>17</v>
      </c>
      <c r="I13" s="10">
        <v>122</v>
      </c>
      <c r="J13" s="10">
        <v>15</v>
      </c>
      <c r="K13" s="10">
        <v>10</v>
      </c>
      <c r="L13" s="11" t="s">
        <v>26</v>
      </c>
      <c r="M13" s="12">
        <v>0</v>
      </c>
      <c r="N13" s="13"/>
      <c r="O13" s="13"/>
    </row>
    <row r="14" spans="1:15" ht="13.95" customHeight="1">
      <c r="A14" s="7" t="s">
        <v>35</v>
      </c>
      <c r="B14" s="8">
        <v>9</v>
      </c>
      <c r="C14" s="8">
        <v>73</v>
      </c>
      <c r="D14" s="8">
        <v>50</v>
      </c>
      <c r="E14" s="8">
        <v>0.6</v>
      </c>
      <c r="F14" s="9">
        <v>13</v>
      </c>
      <c r="G14" s="8" t="s">
        <v>16</v>
      </c>
      <c r="H14" s="10" t="s">
        <v>17</v>
      </c>
      <c r="I14" s="10">
        <v>122</v>
      </c>
      <c r="J14" s="10">
        <v>15</v>
      </c>
      <c r="K14" s="10">
        <v>10</v>
      </c>
      <c r="L14" s="11" t="s">
        <v>28</v>
      </c>
      <c r="M14" s="12">
        <v>0</v>
      </c>
      <c r="N14" s="13"/>
      <c r="O14" s="13"/>
    </row>
    <row r="15" spans="1:15" ht="13.95" customHeight="1">
      <c r="A15" s="7" t="s">
        <v>36</v>
      </c>
      <c r="B15" s="8">
        <v>9</v>
      </c>
      <c r="C15" s="8">
        <v>75</v>
      </c>
      <c r="D15" s="8">
        <v>50</v>
      </c>
      <c r="E15" s="8">
        <v>0.6</v>
      </c>
      <c r="F15" s="9">
        <v>14</v>
      </c>
      <c r="G15" s="8" t="s">
        <v>16</v>
      </c>
      <c r="H15" s="10" t="s">
        <v>17</v>
      </c>
      <c r="I15" s="10">
        <v>122</v>
      </c>
      <c r="J15" s="10">
        <v>15</v>
      </c>
      <c r="K15" s="10">
        <v>10</v>
      </c>
      <c r="L15" s="11" t="s">
        <v>30</v>
      </c>
      <c r="M15" s="12">
        <v>0</v>
      </c>
      <c r="N15" s="13"/>
      <c r="O15" s="13"/>
    </row>
    <row r="16" spans="1:15" ht="13.05" customHeight="1">
      <c r="A16" s="7" t="s">
        <v>37</v>
      </c>
      <c r="B16" s="8">
        <v>9</v>
      </c>
      <c r="C16" s="8">
        <v>71</v>
      </c>
      <c r="D16" s="8">
        <v>50</v>
      </c>
      <c r="E16" s="8">
        <v>0.6</v>
      </c>
      <c r="F16" s="9">
        <v>15</v>
      </c>
      <c r="G16" s="8" t="s">
        <v>16</v>
      </c>
      <c r="H16" s="10" t="s">
        <v>17</v>
      </c>
      <c r="I16" s="10">
        <v>122</v>
      </c>
      <c r="J16" s="10">
        <v>15</v>
      </c>
      <c r="K16" s="10">
        <v>10</v>
      </c>
      <c r="L16" s="11" t="s">
        <v>26</v>
      </c>
      <c r="M16" s="12">
        <v>0</v>
      </c>
      <c r="N16" s="13"/>
      <c r="O16" s="13"/>
    </row>
    <row r="17" spans="1:15" ht="13.95" customHeight="1">
      <c r="A17" s="7" t="s">
        <v>38</v>
      </c>
      <c r="B17" s="8">
        <v>9</v>
      </c>
      <c r="C17" s="8">
        <v>73</v>
      </c>
      <c r="D17" s="8">
        <v>50</v>
      </c>
      <c r="E17" s="8">
        <v>0.6</v>
      </c>
      <c r="F17" s="9">
        <v>16</v>
      </c>
      <c r="G17" s="8" t="s">
        <v>16</v>
      </c>
      <c r="H17" s="10" t="s">
        <v>17</v>
      </c>
      <c r="I17" s="10">
        <v>122</v>
      </c>
      <c r="J17" s="10">
        <v>15</v>
      </c>
      <c r="K17" s="10">
        <v>10</v>
      </c>
      <c r="L17" s="11" t="s">
        <v>28</v>
      </c>
      <c r="M17" s="12">
        <v>0</v>
      </c>
      <c r="N17" s="13"/>
      <c r="O17" s="13"/>
    </row>
    <row r="18" spans="1:15" ht="13.95" customHeight="1">
      <c r="A18" s="7" t="s">
        <v>39</v>
      </c>
      <c r="B18" s="8">
        <v>9</v>
      </c>
      <c r="C18" s="8">
        <v>75</v>
      </c>
      <c r="D18" s="8">
        <v>50</v>
      </c>
      <c r="E18" s="8">
        <v>0.6</v>
      </c>
      <c r="F18" s="9">
        <v>17</v>
      </c>
      <c r="G18" s="8" t="s">
        <v>16</v>
      </c>
      <c r="H18" s="10" t="s">
        <v>17</v>
      </c>
      <c r="I18" s="10">
        <v>122</v>
      </c>
      <c r="J18" s="10">
        <v>15</v>
      </c>
      <c r="K18" s="10">
        <v>10</v>
      </c>
      <c r="L18" s="11" t="s">
        <v>30</v>
      </c>
      <c r="M18" s="12">
        <v>0</v>
      </c>
      <c r="N18" s="13"/>
      <c r="O18" s="13"/>
    </row>
    <row r="19" spans="1:15" ht="13.95" customHeight="1">
      <c r="A19" s="7" t="s">
        <v>40</v>
      </c>
      <c r="B19" s="8">
        <v>9</v>
      </c>
      <c r="C19" s="8">
        <v>71</v>
      </c>
      <c r="D19" s="8">
        <v>50</v>
      </c>
      <c r="E19" s="8">
        <v>0.6</v>
      </c>
      <c r="F19" s="9">
        <v>18</v>
      </c>
      <c r="G19" s="8" t="s">
        <v>16</v>
      </c>
      <c r="H19" s="10" t="s">
        <v>17</v>
      </c>
      <c r="I19" s="10">
        <v>122</v>
      </c>
      <c r="J19" s="10">
        <v>15</v>
      </c>
      <c r="K19" s="10">
        <v>10</v>
      </c>
      <c r="L19" s="11" t="s">
        <v>26</v>
      </c>
      <c r="M19" s="12">
        <v>0</v>
      </c>
      <c r="N19" s="13"/>
      <c r="O19" s="13"/>
    </row>
    <row r="20" spans="1:15" ht="13.95" customHeight="1">
      <c r="A20" s="7" t="s">
        <v>41</v>
      </c>
      <c r="B20" s="8">
        <v>9</v>
      </c>
      <c r="C20" s="8">
        <v>73</v>
      </c>
      <c r="D20" s="8">
        <v>50</v>
      </c>
      <c r="E20" s="8">
        <v>0.6</v>
      </c>
      <c r="F20" s="9">
        <v>19</v>
      </c>
      <c r="G20" s="8" t="s">
        <v>16</v>
      </c>
      <c r="H20" s="10" t="s">
        <v>17</v>
      </c>
      <c r="I20" s="10">
        <v>122</v>
      </c>
      <c r="J20" s="10">
        <v>15</v>
      </c>
      <c r="K20" s="10">
        <v>10</v>
      </c>
      <c r="L20" s="11" t="s">
        <v>28</v>
      </c>
      <c r="M20" s="12">
        <v>0</v>
      </c>
      <c r="N20" s="13"/>
      <c r="O20" s="13"/>
    </row>
    <row r="21" spans="1:15" ht="13.95" customHeight="1">
      <c r="A21" s="7" t="s">
        <v>42</v>
      </c>
      <c r="B21" s="8">
        <v>9</v>
      </c>
      <c r="C21" s="8">
        <v>75</v>
      </c>
      <c r="D21" s="8">
        <v>50</v>
      </c>
      <c r="E21" s="8">
        <v>0.6</v>
      </c>
      <c r="F21" s="9">
        <v>20</v>
      </c>
      <c r="G21" s="8" t="s">
        <v>16</v>
      </c>
      <c r="H21" s="10" t="s">
        <v>17</v>
      </c>
      <c r="I21" s="10">
        <v>122</v>
      </c>
      <c r="J21" s="10">
        <v>15</v>
      </c>
      <c r="K21" s="10">
        <v>10</v>
      </c>
      <c r="L21" s="11" t="s">
        <v>30</v>
      </c>
      <c r="M21" s="12">
        <v>0</v>
      </c>
      <c r="N21" s="13"/>
      <c r="O21" s="13"/>
    </row>
    <row r="22" spans="1:15" ht="13.95" customHeight="1">
      <c r="A22" s="7" t="s">
        <v>43</v>
      </c>
      <c r="B22" s="8">
        <v>9</v>
      </c>
      <c r="C22" s="8">
        <v>71</v>
      </c>
      <c r="D22" s="8">
        <v>50</v>
      </c>
      <c r="E22" s="8">
        <v>0.6</v>
      </c>
      <c r="F22" s="9">
        <v>21</v>
      </c>
      <c r="G22" s="8" t="s">
        <v>16</v>
      </c>
      <c r="H22" s="10" t="s">
        <v>17</v>
      </c>
      <c r="I22" s="10">
        <v>122</v>
      </c>
      <c r="J22" s="10">
        <v>15</v>
      </c>
      <c r="K22" s="10">
        <v>10</v>
      </c>
      <c r="L22" s="11" t="s">
        <v>26</v>
      </c>
      <c r="M22" s="12">
        <v>0</v>
      </c>
      <c r="N22" s="13"/>
      <c r="O22" s="13"/>
    </row>
    <row r="23" spans="1:15" ht="13.95" customHeight="1">
      <c r="A23" s="7" t="s">
        <v>44</v>
      </c>
      <c r="B23" s="8">
        <v>9</v>
      </c>
      <c r="C23" s="8">
        <v>73</v>
      </c>
      <c r="D23" s="8">
        <v>50</v>
      </c>
      <c r="E23" s="8">
        <v>0.6</v>
      </c>
      <c r="F23" s="9">
        <v>22</v>
      </c>
      <c r="G23" s="8" t="s">
        <v>16</v>
      </c>
      <c r="H23" s="10" t="s">
        <v>17</v>
      </c>
      <c r="I23" s="10">
        <v>122</v>
      </c>
      <c r="J23" s="10">
        <v>15</v>
      </c>
      <c r="K23" s="10">
        <v>10</v>
      </c>
      <c r="L23" s="11" t="s">
        <v>28</v>
      </c>
      <c r="M23" s="12">
        <v>0</v>
      </c>
      <c r="N23" s="13"/>
      <c r="O23" s="13"/>
    </row>
    <row r="24" spans="1:15" ht="13.95" customHeight="1">
      <c r="A24" s="7" t="s">
        <v>45</v>
      </c>
      <c r="B24" s="8">
        <v>9</v>
      </c>
      <c r="C24" s="8">
        <v>75</v>
      </c>
      <c r="D24" s="8">
        <v>50</v>
      </c>
      <c r="E24" s="8">
        <v>0.6</v>
      </c>
      <c r="F24" s="9">
        <v>23</v>
      </c>
      <c r="G24" s="8" t="s">
        <v>16</v>
      </c>
      <c r="H24" s="10" t="s">
        <v>17</v>
      </c>
      <c r="I24" s="10">
        <v>122</v>
      </c>
      <c r="J24" s="10">
        <v>15</v>
      </c>
      <c r="K24" s="10">
        <v>10</v>
      </c>
      <c r="L24" s="11" t="s">
        <v>30</v>
      </c>
      <c r="M24" s="12">
        <v>0</v>
      </c>
      <c r="N24" s="13"/>
      <c r="O24" s="13"/>
    </row>
    <row r="25" spans="1:15" ht="13.95" customHeight="1">
      <c r="A25" s="7" t="s">
        <v>46</v>
      </c>
      <c r="B25" s="8">
        <v>9</v>
      </c>
      <c r="C25" s="8">
        <v>71</v>
      </c>
      <c r="D25" s="8">
        <v>50</v>
      </c>
      <c r="E25" s="8">
        <v>0.6</v>
      </c>
      <c r="F25" s="9">
        <v>24</v>
      </c>
      <c r="G25" s="8" t="s">
        <v>16</v>
      </c>
      <c r="H25" s="10" t="s">
        <v>17</v>
      </c>
      <c r="I25" s="10">
        <v>122</v>
      </c>
      <c r="J25" s="10">
        <v>15</v>
      </c>
      <c r="K25" s="10">
        <v>10</v>
      </c>
      <c r="L25" s="11" t="s">
        <v>26</v>
      </c>
      <c r="M25" s="12">
        <v>0</v>
      </c>
      <c r="N25" s="13"/>
      <c r="O25" s="13"/>
    </row>
    <row r="26" spans="1:15" ht="13.95" customHeight="1">
      <c r="A26" s="7" t="s">
        <v>47</v>
      </c>
      <c r="B26" s="8">
        <v>9</v>
      </c>
      <c r="C26" s="8">
        <v>73</v>
      </c>
      <c r="D26" s="8">
        <v>50</v>
      </c>
      <c r="E26" s="8">
        <v>0.6</v>
      </c>
      <c r="F26" s="9">
        <v>25</v>
      </c>
      <c r="G26" s="8" t="s">
        <v>16</v>
      </c>
      <c r="H26" s="10" t="s">
        <v>17</v>
      </c>
      <c r="I26" s="10">
        <v>122</v>
      </c>
      <c r="J26" s="10">
        <v>15</v>
      </c>
      <c r="K26" s="10">
        <v>10</v>
      </c>
      <c r="L26" s="11" t="s">
        <v>28</v>
      </c>
      <c r="M26" s="12">
        <v>0</v>
      </c>
      <c r="N26" s="13"/>
      <c r="O26" s="13"/>
    </row>
    <row r="27" spans="1:15" ht="13.05" customHeight="1">
      <c r="A27" s="7" t="s">
        <v>48</v>
      </c>
      <c r="B27" s="8">
        <v>9</v>
      </c>
      <c r="C27" s="8">
        <v>75</v>
      </c>
      <c r="D27" s="8">
        <v>50</v>
      </c>
      <c r="E27" s="8">
        <v>0.6</v>
      </c>
      <c r="F27" s="9">
        <v>26</v>
      </c>
      <c r="G27" s="8" t="s">
        <v>16</v>
      </c>
      <c r="H27" s="10" t="s">
        <v>17</v>
      </c>
      <c r="I27" s="10">
        <v>122</v>
      </c>
      <c r="J27" s="10">
        <v>15</v>
      </c>
      <c r="K27" s="10">
        <v>10</v>
      </c>
      <c r="L27" s="11" t="s">
        <v>30</v>
      </c>
      <c r="M27" s="12">
        <v>0</v>
      </c>
      <c r="N27" s="13"/>
      <c r="O27" s="13"/>
    </row>
    <row r="28" spans="1:15" ht="13.05" customHeight="1">
      <c r="A28" s="7" t="s">
        <v>49</v>
      </c>
      <c r="B28" s="8">
        <v>9</v>
      </c>
      <c r="C28" s="8">
        <v>71</v>
      </c>
      <c r="D28" s="8">
        <v>50</v>
      </c>
      <c r="E28" s="8">
        <v>0.6</v>
      </c>
      <c r="F28" s="9">
        <v>27</v>
      </c>
      <c r="G28" s="8" t="s">
        <v>16</v>
      </c>
      <c r="H28" s="10" t="s">
        <v>17</v>
      </c>
      <c r="I28" s="10">
        <v>122</v>
      </c>
      <c r="J28" s="10">
        <v>15</v>
      </c>
      <c r="K28" s="10">
        <v>10</v>
      </c>
      <c r="L28" s="11" t="s">
        <v>26</v>
      </c>
      <c r="M28" s="12">
        <v>0</v>
      </c>
      <c r="N28" s="13"/>
      <c r="O28" s="13"/>
    </row>
    <row r="29" spans="1:15" ht="13.05" customHeight="1">
      <c r="A29" s="7" t="s">
        <v>50</v>
      </c>
      <c r="B29" s="8">
        <v>9</v>
      </c>
      <c r="C29" s="8">
        <v>73</v>
      </c>
      <c r="D29" s="8">
        <v>50</v>
      </c>
      <c r="E29" s="8">
        <v>0.6</v>
      </c>
      <c r="F29" s="9">
        <v>28</v>
      </c>
      <c r="G29" s="8" t="s">
        <v>16</v>
      </c>
      <c r="H29" s="10" t="s">
        <v>17</v>
      </c>
      <c r="I29" s="10">
        <v>122</v>
      </c>
      <c r="J29" s="10">
        <v>15</v>
      </c>
      <c r="K29" s="10">
        <v>10</v>
      </c>
      <c r="L29" s="11" t="s">
        <v>28</v>
      </c>
      <c r="M29" s="12">
        <v>0</v>
      </c>
      <c r="N29" s="13"/>
      <c r="O29" s="13"/>
    </row>
    <row r="30" spans="1:15" ht="13.95" customHeight="1">
      <c r="A30" s="7" t="s">
        <v>51</v>
      </c>
      <c r="B30" s="8">
        <v>9</v>
      </c>
      <c r="C30" s="8">
        <v>75</v>
      </c>
      <c r="D30" s="8">
        <v>50</v>
      </c>
      <c r="E30" s="8">
        <v>0.6</v>
      </c>
      <c r="F30" s="9">
        <v>29</v>
      </c>
      <c r="G30" s="8" t="s">
        <v>16</v>
      </c>
      <c r="H30" s="10" t="s">
        <v>17</v>
      </c>
      <c r="I30" s="10">
        <v>122</v>
      </c>
      <c r="J30" s="10">
        <v>15</v>
      </c>
      <c r="K30" s="10">
        <v>10</v>
      </c>
      <c r="L30" s="11" t="s">
        <v>30</v>
      </c>
      <c r="M30" s="12">
        <v>0</v>
      </c>
      <c r="N30" s="13"/>
      <c r="O30" s="13"/>
    </row>
    <row r="31" spans="1:15" ht="13.05" customHeight="1">
      <c r="A31" s="7" t="s">
        <v>52</v>
      </c>
      <c r="B31" s="8">
        <v>9</v>
      </c>
      <c r="C31" s="8">
        <v>71</v>
      </c>
      <c r="D31" s="8">
        <v>50</v>
      </c>
      <c r="E31" s="8">
        <v>0.6</v>
      </c>
      <c r="F31" s="9">
        <v>30</v>
      </c>
      <c r="G31" s="8" t="s">
        <v>16</v>
      </c>
      <c r="H31" s="10" t="s">
        <v>17</v>
      </c>
      <c r="I31" s="10">
        <v>122</v>
      </c>
      <c r="J31" s="10">
        <v>15</v>
      </c>
      <c r="K31" s="10">
        <v>10</v>
      </c>
      <c r="L31" s="11" t="s">
        <v>26</v>
      </c>
      <c r="M31" s="12">
        <v>0</v>
      </c>
      <c r="N31" s="13"/>
      <c r="O31" s="13"/>
    </row>
    <row r="32" spans="1:15" ht="13.05" customHeight="1">
      <c r="A32" s="7" t="s">
        <v>53</v>
      </c>
      <c r="B32" s="8">
        <v>9</v>
      </c>
      <c r="C32" s="8">
        <v>73</v>
      </c>
      <c r="D32" s="8">
        <v>50</v>
      </c>
      <c r="E32" s="8">
        <v>0.6</v>
      </c>
      <c r="F32" s="9">
        <v>31</v>
      </c>
      <c r="G32" s="8" t="s">
        <v>16</v>
      </c>
      <c r="H32" s="10" t="s">
        <v>17</v>
      </c>
      <c r="I32" s="10">
        <v>122</v>
      </c>
      <c r="J32" s="10">
        <v>15</v>
      </c>
      <c r="K32" s="10">
        <v>10</v>
      </c>
      <c r="L32" s="11" t="s">
        <v>28</v>
      </c>
      <c r="M32" s="12">
        <v>0</v>
      </c>
      <c r="N32" s="13"/>
      <c r="O32" s="13"/>
    </row>
    <row r="33" spans="1:15" ht="13.05" customHeight="1">
      <c r="A33" s="7" t="s">
        <v>54</v>
      </c>
      <c r="B33" s="8">
        <v>9</v>
      </c>
      <c r="C33" s="8">
        <v>75</v>
      </c>
      <c r="D33" s="8">
        <v>50</v>
      </c>
      <c r="E33" s="8">
        <v>0.6</v>
      </c>
      <c r="F33" s="9">
        <v>32</v>
      </c>
      <c r="G33" s="8" t="s">
        <v>16</v>
      </c>
      <c r="H33" s="10" t="s">
        <v>17</v>
      </c>
      <c r="I33" s="10">
        <v>122</v>
      </c>
      <c r="J33" s="10">
        <v>15</v>
      </c>
      <c r="K33" s="10">
        <v>10</v>
      </c>
      <c r="L33" s="11" t="s">
        <v>30</v>
      </c>
      <c r="M33" s="12">
        <v>0</v>
      </c>
      <c r="N33" s="13"/>
      <c r="O33" s="13"/>
    </row>
    <row r="34" spans="1:15" ht="13.05" customHeight="1">
      <c r="A34" s="7" t="s">
        <v>55</v>
      </c>
      <c r="B34" s="8">
        <v>9</v>
      </c>
      <c r="C34" s="8">
        <v>77</v>
      </c>
      <c r="D34" s="8">
        <v>50</v>
      </c>
      <c r="E34" s="8">
        <v>0.6</v>
      </c>
      <c r="F34" s="9">
        <v>33</v>
      </c>
      <c r="G34" s="8" t="s">
        <v>16</v>
      </c>
      <c r="H34" s="10" t="s">
        <v>17</v>
      </c>
      <c r="I34" s="10">
        <v>122</v>
      </c>
      <c r="J34" s="10">
        <v>15</v>
      </c>
      <c r="K34" s="10">
        <v>10</v>
      </c>
      <c r="L34" s="11" t="s">
        <v>56</v>
      </c>
      <c r="M34" s="12">
        <v>67</v>
      </c>
      <c r="N34" s="13"/>
      <c r="O34" s="13"/>
    </row>
    <row r="35" spans="1:15" ht="13.05" customHeight="1">
      <c r="A35" s="7" t="s">
        <v>57</v>
      </c>
      <c r="B35" s="8">
        <v>9</v>
      </c>
      <c r="C35" s="8">
        <v>83</v>
      </c>
      <c r="D35" s="8">
        <v>50</v>
      </c>
      <c r="E35" s="8">
        <v>0.6</v>
      </c>
      <c r="F35" s="9">
        <v>34</v>
      </c>
      <c r="G35" s="8" t="s">
        <v>16</v>
      </c>
      <c r="H35" s="10" t="s">
        <v>17</v>
      </c>
      <c r="I35" s="10">
        <v>122</v>
      </c>
      <c r="J35" s="10">
        <v>15</v>
      </c>
      <c r="K35" s="10">
        <v>10</v>
      </c>
      <c r="L35" s="11" t="s">
        <v>58</v>
      </c>
      <c r="M35" s="12">
        <v>185</v>
      </c>
      <c r="N35" s="13"/>
      <c r="O35" s="13"/>
    </row>
    <row r="36" spans="1:15" ht="13.05" customHeight="1">
      <c r="A36" s="14" t="s">
        <v>59</v>
      </c>
      <c r="B36" s="8">
        <v>9</v>
      </c>
      <c r="C36" s="15">
        <v>84</v>
      </c>
      <c r="D36" s="15">
        <v>50</v>
      </c>
      <c r="E36" s="15">
        <v>0.6</v>
      </c>
      <c r="F36" s="9">
        <v>35</v>
      </c>
      <c r="G36" s="15" t="s">
        <v>16</v>
      </c>
      <c r="H36" s="16" t="s">
        <v>17</v>
      </c>
      <c r="I36" s="16">
        <v>122</v>
      </c>
      <c r="J36" s="16">
        <v>15</v>
      </c>
      <c r="K36" s="16">
        <v>10</v>
      </c>
      <c r="L36" s="17" t="s">
        <v>60</v>
      </c>
      <c r="M36" s="12">
        <v>56</v>
      </c>
      <c r="N36" s="18"/>
      <c r="O36" s="18"/>
    </row>
    <row r="37" spans="1:15" ht="13.05" customHeight="1">
      <c r="A37" s="14" t="s">
        <v>61</v>
      </c>
      <c r="B37" s="8">
        <v>9</v>
      </c>
      <c r="C37" s="15">
        <v>85</v>
      </c>
      <c r="D37" s="15">
        <v>50</v>
      </c>
      <c r="E37" s="15">
        <v>0.6</v>
      </c>
      <c r="F37" s="9">
        <v>36</v>
      </c>
      <c r="G37" s="15" t="s">
        <v>16</v>
      </c>
      <c r="H37" s="16" t="s">
        <v>17</v>
      </c>
      <c r="I37" s="16">
        <v>122</v>
      </c>
      <c r="J37" s="16">
        <v>15</v>
      </c>
      <c r="K37" s="16">
        <v>10</v>
      </c>
      <c r="L37" s="17" t="s">
        <v>62</v>
      </c>
      <c r="M37" s="12">
        <v>337</v>
      </c>
      <c r="N37" s="18"/>
      <c r="O37" s="18"/>
    </row>
    <row r="38" spans="1:15" ht="13.05" customHeight="1">
      <c r="A38" s="14" t="s">
        <v>63</v>
      </c>
      <c r="B38" s="8">
        <v>9</v>
      </c>
      <c r="C38" s="15">
        <v>64</v>
      </c>
      <c r="D38" s="15">
        <v>50</v>
      </c>
      <c r="E38" s="15">
        <v>0.6</v>
      </c>
      <c r="F38" s="9">
        <v>37</v>
      </c>
      <c r="G38" s="15" t="s">
        <v>16</v>
      </c>
      <c r="H38" s="16" t="s">
        <v>17</v>
      </c>
      <c r="I38" s="16">
        <v>122</v>
      </c>
      <c r="J38" s="16">
        <v>15</v>
      </c>
      <c r="K38" s="16">
        <v>10</v>
      </c>
      <c r="L38" s="17" t="s">
        <v>64</v>
      </c>
      <c r="M38" s="12">
        <v>0</v>
      </c>
      <c r="N38" s="18"/>
      <c r="O38" s="18"/>
    </row>
    <row r="39" spans="1:15" ht="13.05" customHeight="1">
      <c r="A39" s="14" t="s">
        <v>65</v>
      </c>
      <c r="B39" s="8">
        <v>9</v>
      </c>
      <c r="C39" s="15">
        <v>78</v>
      </c>
      <c r="D39" s="15">
        <v>50</v>
      </c>
      <c r="E39" s="15">
        <v>0.6</v>
      </c>
      <c r="F39" s="9">
        <v>38</v>
      </c>
      <c r="G39" s="15" t="s">
        <v>16</v>
      </c>
      <c r="H39" s="16" t="s">
        <v>17</v>
      </c>
      <c r="I39" s="16">
        <v>122</v>
      </c>
      <c r="J39" s="16">
        <v>15</v>
      </c>
      <c r="K39" s="16">
        <v>10</v>
      </c>
      <c r="L39" s="17" t="s">
        <v>66</v>
      </c>
      <c r="M39" s="12">
        <v>0</v>
      </c>
      <c r="N39" s="18"/>
      <c r="O39" s="18"/>
    </row>
    <row r="40" spans="1:15" ht="13.05" customHeight="1">
      <c r="A40" s="14" t="s">
        <v>67</v>
      </c>
      <c r="B40" s="8">
        <v>9</v>
      </c>
      <c r="C40" s="15">
        <v>78</v>
      </c>
      <c r="D40" s="15">
        <v>50</v>
      </c>
      <c r="E40" s="15">
        <v>0.6</v>
      </c>
      <c r="F40" s="9">
        <v>39</v>
      </c>
      <c r="G40" s="15" t="s">
        <v>16</v>
      </c>
      <c r="H40" s="16" t="s">
        <v>17</v>
      </c>
      <c r="I40" s="16">
        <v>122</v>
      </c>
      <c r="J40" s="16">
        <v>15</v>
      </c>
      <c r="K40" s="16">
        <v>10</v>
      </c>
      <c r="L40" s="17" t="s">
        <v>66</v>
      </c>
      <c r="M40" s="12">
        <v>0</v>
      </c>
      <c r="N40" s="18"/>
      <c r="O40" s="18"/>
    </row>
    <row r="41" spans="1:15" ht="13.05" customHeight="1">
      <c r="A41" s="14" t="s">
        <v>68</v>
      </c>
      <c r="B41" s="8">
        <v>9</v>
      </c>
      <c r="C41" s="15">
        <v>82</v>
      </c>
      <c r="D41" s="15">
        <v>50</v>
      </c>
      <c r="E41" s="15">
        <v>0.6</v>
      </c>
      <c r="F41" s="9">
        <v>40</v>
      </c>
      <c r="G41" s="15" t="s">
        <v>16</v>
      </c>
      <c r="H41" s="16" t="s">
        <v>17</v>
      </c>
      <c r="I41" s="16">
        <v>122</v>
      </c>
      <c r="J41" s="16">
        <v>15</v>
      </c>
      <c r="K41" s="16">
        <v>10</v>
      </c>
      <c r="L41" s="17" t="s">
        <v>69</v>
      </c>
      <c r="M41" s="12">
        <v>50</v>
      </c>
      <c r="N41" s="18"/>
      <c r="O41" s="18"/>
    </row>
    <row r="42" spans="1:15" ht="13.05" customHeight="1">
      <c r="A42" s="19" t="s">
        <v>70</v>
      </c>
      <c r="B42" s="20">
        <v>9</v>
      </c>
      <c r="C42" s="15">
        <v>70</v>
      </c>
      <c r="D42" s="21">
        <v>50</v>
      </c>
      <c r="E42" s="21">
        <v>0.6</v>
      </c>
      <c r="F42" s="9">
        <v>41</v>
      </c>
      <c r="G42" s="15" t="s">
        <v>16</v>
      </c>
      <c r="H42" s="16" t="s">
        <v>17</v>
      </c>
      <c r="I42" s="16">
        <v>122</v>
      </c>
      <c r="J42" s="16">
        <v>15</v>
      </c>
      <c r="K42" s="16">
        <v>10</v>
      </c>
      <c r="L42" s="17" t="e">
        <v>#N/A</v>
      </c>
      <c r="M42" s="12">
        <v>24</v>
      </c>
      <c r="N42" s="18" t="s">
        <v>18</v>
      </c>
      <c r="O42" s="18" t="s">
        <v>18</v>
      </c>
    </row>
    <row r="43" spans="1:15" ht="13.05" customHeight="1">
      <c r="A43" s="14" t="s">
        <v>71</v>
      </c>
      <c r="B43" s="8">
        <v>9</v>
      </c>
      <c r="C43" s="15">
        <v>364</v>
      </c>
      <c r="D43" s="15">
        <v>50</v>
      </c>
      <c r="E43" s="15">
        <v>1.6</v>
      </c>
      <c r="F43" s="9">
        <v>42</v>
      </c>
      <c r="G43" s="15" t="s">
        <v>72</v>
      </c>
      <c r="H43" s="16" t="s">
        <v>73</v>
      </c>
      <c r="I43" s="16">
        <v>183</v>
      </c>
      <c r="J43" s="16">
        <v>29</v>
      </c>
      <c r="K43" s="16">
        <v>16</v>
      </c>
      <c r="L43" s="17" t="s">
        <v>74</v>
      </c>
      <c r="M43" s="12">
        <v>98</v>
      </c>
      <c r="N43" s="18"/>
      <c r="O43" s="18"/>
    </row>
    <row r="44" spans="1:15" ht="13.05" customHeight="1">
      <c r="A44" s="14" t="s">
        <v>75</v>
      </c>
      <c r="B44" s="8">
        <v>9</v>
      </c>
      <c r="C44" s="15">
        <v>375</v>
      </c>
      <c r="D44" s="15">
        <v>50</v>
      </c>
      <c r="E44" s="15">
        <v>1.6</v>
      </c>
      <c r="F44" s="9">
        <v>43</v>
      </c>
      <c r="G44" s="15" t="s">
        <v>72</v>
      </c>
      <c r="H44" s="16" t="s">
        <v>73</v>
      </c>
      <c r="I44" s="16">
        <v>183</v>
      </c>
      <c r="J44" s="16">
        <v>29</v>
      </c>
      <c r="K44" s="16">
        <v>16</v>
      </c>
      <c r="L44" s="17" t="s">
        <v>76</v>
      </c>
      <c r="M44" s="12">
        <v>18</v>
      </c>
      <c r="N44" s="18"/>
      <c r="O44" s="18"/>
    </row>
    <row r="45" spans="1:15" ht="13.05" customHeight="1">
      <c r="A45" s="14" t="s">
        <v>77</v>
      </c>
      <c r="B45" s="8">
        <v>9</v>
      </c>
      <c r="C45" s="15">
        <v>384</v>
      </c>
      <c r="D45" s="15">
        <v>50</v>
      </c>
      <c r="E45" s="15">
        <v>1.6</v>
      </c>
      <c r="F45" s="9">
        <v>44</v>
      </c>
      <c r="G45" s="15" t="s">
        <v>72</v>
      </c>
      <c r="H45" s="16" t="s">
        <v>73</v>
      </c>
      <c r="I45" s="16">
        <v>183</v>
      </c>
      <c r="J45" s="16">
        <v>29</v>
      </c>
      <c r="K45" s="16">
        <v>16</v>
      </c>
      <c r="L45" s="17" t="s">
        <v>78</v>
      </c>
      <c r="M45" s="12">
        <v>235</v>
      </c>
      <c r="N45" s="18"/>
      <c r="O45" s="18"/>
    </row>
    <row r="46" spans="1:15" ht="13.05" customHeight="1">
      <c r="A46" s="19" t="s">
        <v>79</v>
      </c>
      <c r="B46" s="20">
        <v>9</v>
      </c>
      <c r="C46" s="15">
        <v>75</v>
      </c>
      <c r="D46" s="21">
        <v>60</v>
      </c>
      <c r="E46" s="21">
        <v>0.2</v>
      </c>
      <c r="F46" s="9">
        <v>45</v>
      </c>
      <c r="G46" s="15" t="s">
        <v>80</v>
      </c>
      <c r="H46" s="16" t="s">
        <v>81</v>
      </c>
      <c r="I46" s="16">
        <v>45</v>
      </c>
      <c r="J46" s="16">
        <v>26</v>
      </c>
      <c r="K46" s="16">
        <v>8</v>
      </c>
      <c r="L46" s="17" t="e">
        <v>#N/A</v>
      </c>
      <c r="M46" s="12">
        <v>405</v>
      </c>
      <c r="N46" s="18" t="s">
        <v>18</v>
      </c>
      <c r="O46" s="18"/>
    </row>
    <row r="47" spans="1:15" ht="13.05" customHeight="1">
      <c r="A47" s="14" t="s">
        <v>82</v>
      </c>
      <c r="B47" s="8">
        <v>9</v>
      </c>
      <c r="C47" s="15">
        <v>329</v>
      </c>
      <c r="D47" s="15">
        <v>50</v>
      </c>
      <c r="E47" s="15">
        <v>1.48</v>
      </c>
      <c r="F47" s="9">
        <v>46</v>
      </c>
      <c r="G47" s="15" t="s">
        <v>72</v>
      </c>
      <c r="H47" s="16" t="s">
        <v>83</v>
      </c>
      <c r="I47" s="16">
        <v>145</v>
      </c>
      <c r="J47" s="16">
        <v>29</v>
      </c>
      <c r="K47" s="16">
        <v>16</v>
      </c>
      <c r="L47" s="17" t="s">
        <v>84</v>
      </c>
      <c r="M47" s="12">
        <v>0</v>
      </c>
      <c r="N47" s="18"/>
      <c r="O47" s="18"/>
    </row>
    <row r="48" spans="1:15" ht="13.05" customHeight="1">
      <c r="A48" s="14" t="s">
        <v>85</v>
      </c>
      <c r="B48" s="8">
        <v>9</v>
      </c>
      <c r="C48" s="15">
        <v>339</v>
      </c>
      <c r="D48" s="15">
        <v>50</v>
      </c>
      <c r="E48" s="15">
        <v>1.48</v>
      </c>
      <c r="F48" s="9">
        <v>47</v>
      </c>
      <c r="G48" s="15" t="s">
        <v>72</v>
      </c>
      <c r="H48" s="16" t="s">
        <v>83</v>
      </c>
      <c r="I48" s="16">
        <v>145</v>
      </c>
      <c r="J48" s="16">
        <v>29</v>
      </c>
      <c r="K48" s="16">
        <v>16</v>
      </c>
      <c r="L48" s="17" t="s">
        <v>86</v>
      </c>
      <c r="M48" s="12">
        <v>0</v>
      </c>
      <c r="N48" s="18"/>
      <c r="O48" s="18"/>
    </row>
    <row r="49" spans="1:15" ht="13.05" customHeight="1">
      <c r="A49" s="14" t="s">
        <v>87</v>
      </c>
      <c r="B49" s="8">
        <v>9</v>
      </c>
      <c r="C49" s="15">
        <v>364</v>
      </c>
      <c r="D49" s="15">
        <v>50</v>
      </c>
      <c r="E49" s="15">
        <v>1.48</v>
      </c>
      <c r="F49" s="9">
        <v>48</v>
      </c>
      <c r="G49" s="15" t="s">
        <v>72</v>
      </c>
      <c r="H49" s="16" t="s">
        <v>83</v>
      </c>
      <c r="I49" s="16">
        <v>145</v>
      </c>
      <c r="J49" s="16">
        <v>29</v>
      </c>
      <c r="K49" s="16">
        <v>16</v>
      </c>
      <c r="L49" s="17" t="s">
        <v>88</v>
      </c>
      <c r="M49" s="12">
        <v>25</v>
      </c>
      <c r="N49" s="18"/>
      <c r="O49" s="18"/>
    </row>
    <row r="50" spans="1:15" ht="13.05" customHeight="1">
      <c r="A50" s="14" t="s">
        <v>89</v>
      </c>
      <c r="B50" s="8">
        <v>9</v>
      </c>
      <c r="C50" s="15">
        <v>73</v>
      </c>
      <c r="D50" s="15">
        <v>50</v>
      </c>
      <c r="E50" s="15">
        <v>0.6</v>
      </c>
      <c r="F50" s="9">
        <v>49</v>
      </c>
      <c r="G50" s="15" t="s">
        <v>16</v>
      </c>
      <c r="H50" s="16" t="s">
        <v>17</v>
      </c>
      <c r="I50" s="16">
        <v>122</v>
      </c>
      <c r="J50" s="16">
        <v>15</v>
      </c>
      <c r="K50" s="16">
        <v>10</v>
      </c>
      <c r="L50" s="17" t="s">
        <v>90</v>
      </c>
      <c r="M50" s="12">
        <v>0</v>
      </c>
      <c r="N50" s="18"/>
      <c r="O50" s="18"/>
    </row>
    <row r="51" spans="1:15" ht="13.05" customHeight="1">
      <c r="A51" s="14" t="s">
        <v>91</v>
      </c>
      <c r="B51" s="8">
        <v>9</v>
      </c>
      <c r="C51" s="15">
        <v>75</v>
      </c>
      <c r="D51" s="15">
        <v>50</v>
      </c>
      <c r="E51" s="15">
        <v>0.6</v>
      </c>
      <c r="F51" s="9">
        <v>50</v>
      </c>
      <c r="G51" s="15" t="s">
        <v>16</v>
      </c>
      <c r="H51" s="16" t="s">
        <v>17</v>
      </c>
      <c r="I51" s="16">
        <v>122</v>
      </c>
      <c r="J51" s="16">
        <v>15</v>
      </c>
      <c r="K51" s="16">
        <v>10</v>
      </c>
      <c r="L51" s="17" t="s">
        <v>92</v>
      </c>
      <c r="M51" s="12">
        <v>0</v>
      </c>
      <c r="N51" s="18"/>
      <c r="O51" s="18"/>
    </row>
    <row r="52" spans="1:15" ht="13.05" customHeight="1">
      <c r="A52" s="14" t="s">
        <v>93</v>
      </c>
      <c r="B52" s="8">
        <v>9</v>
      </c>
      <c r="C52" s="15">
        <v>77</v>
      </c>
      <c r="D52" s="15">
        <v>50</v>
      </c>
      <c r="E52" s="15">
        <v>0.6</v>
      </c>
      <c r="F52" s="9">
        <v>51</v>
      </c>
      <c r="G52" s="15" t="s">
        <v>16</v>
      </c>
      <c r="H52" s="16" t="s">
        <v>17</v>
      </c>
      <c r="I52" s="16">
        <v>122</v>
      </c>
      <c r="J52" s="16">
        <v>15</v>
      </c>
      <c r="K52" s="16">
        <v>10</v>
      </c>
      <c r="L52" s="17" t="s">
        <v>56</v>
      </c>
      <c r="M52" s="12">
        <v>0</v>
      </c>
      <c r="N52" s="18"/>
      <c r="O52" s="18"/>
    </row>
    <row r="53" spans="1:15" ht="13.05" customHeight="1">
      <c r="A53" s="14" t="s">
        <v>94</v>
      </c>
      <c r="B53" s="8">
        <v>9</v>
      </c>
      <c r="C53" s="15">
        <v>65</v>
      </c>
      <c r="D53" s="15">
        <v>50</v>
      </c>
      <c r="E53" s="15">
        <v>0.6</v>
      </c>
      <c r="F53" s="9">
        <v>52</v>
      </c>
      <c r="G53" s="15" t="s">
        <v>16</v>
      </c>
      <c r="H53" s="16" t="s">
        <v>17</v>
      </c>
      <c r="I53" s="16">
        <v>122</v>
      </c>
      <c r="J53" s="16">
        <v>15</v>
      </c>
      <c r="K53" s="16">
        <v>10</v>
      </c>
      <c r="L53" s="17" t="s">
        <v>22</v>
      </c>
      <c r="M53" s="12">
        <v>10</v>
      </c>
      <c r="N53" s="18"/>
      <c r="O53" s="18"/>
    </row>
    <row r="54" spans="1:15" ht="13.05" customHeight="1">
      <c r="A54" s="14" t="s">
        <v>95</v>
      </c>
      <c r="B54" s="8">
        <v>9</v>
      </c>
      <c r="C54" s="15">
        <v>67</v>
      </c>
      <c r="D54" s="15">
        <v>50</v>
      </c>
      <c r="E54" s="15">
        <v>0.6</v>
      </c>
      <c r="F54" s="9">
        <v>53</v>
      </c>
      <c r="G54" s="15" t="s">
        <v>16</v>
      </c>
      <c r="H54" s="16" t="s">
        <v>17</v>
      </c>
      <c r="I54" s="16">
        <v>122</v>
      </c>
      <c r="J54" s="16">
        <v>15</v>
      </c>
      <c r="K54" s="16">
        <v>10</v>
      </c>
      <c r="L54" s="17" t="s">
        <v>96</v>
      </c>
      <c r="M54" s="12">
        <v>9</v>
      </c>
      <c r="N54" s="18"/>
      <c r="O54" s="18"/>
    </row>
    <row r="55" spans="1:15" ht="13.05" customHeight="1">
      <c r="A55" s="14" t="s">
        <v>97</v>
      </c>
      <c r="B55" s="8">
        <v>9</v>
      </c>
      <c r="C55" s="15">
        <v>108</v>
      </c>
      <c r="D55" s="15">
        <v>50</v>
      </c>
      <c r="E55" s="15">
        <v>0.6</v>
      </c>
      <c r="F55" s="9">
        <v>54</v>
      </c>
      <c r="G55" s="15" t="s">
        <v>16</v>
      </c>
      <c r="H55" s="16" t="s">
        <v>17</v>
      </c>
      <c r="I55" s="16">
        <v>122</v>
      </c>
      <c r="J55" s="16">
        <v>15</v>
      </c>
      <c r="K55" s="16">
        <v>10</v>
      </c>
      <c r="L55" s="17" t="s">
        <v>98</v>
      </c>
      <c r="M55" s="12">
        <v>0</v>
      </c>
      <c r="N55" s="18"/>
      <c r="O55" s="18"/>
    </row>
    <row r="56" spans="1:15" ht="13.05" customHeight="1">
      <c r="A56" s="14" t="s">
        <v>99</v>
      </c>
      <c r="B56" s="8">
        <v>9</v>
      </c>
      <c r="C56" s="15">
        <v>85</v>
      </c>
      <c r="D56" s="15">
        <v>50</v>
      </c>
      <c r="E56" s="15">
        <v>0.6</v>
      </c>
      <c r="F56" s="9">
        <v>55</v>
      </c>
      <c r="G56" s="15" t="s">
        <v>16</v>
      </c>
      <c r="H56" s="16" t="s">
        <v>17</v>
      </c>
      <c r="I56" s="16">
        <v>122</v>
      </c>
      <c r="J56" s="16">
        <v>15</v>
      </c>
      <c r="K56" s="16">
        <v>10</v>
      </c>
      <c r="L56" s="17" t="s">
        <v>100</v>
      </c>
      <c r="M56" s="12">
        <v>85</v>
      </c>
      <c r="N56" s="18"/>
      <c r="O56" s="18"/>
    </row>
    <row r="57" spans="1:15" ht="13.05" customHeight="1">
      <c r="A57" s="14" t="s">
        <v>101</v>
      </c>
      <c r="B57" s="8">
        <v>9</v>
      </c>
      <c r="C57" s="15">
        <v>84</v>
      </c>
      <c r="D57" s="15">
        <v>50</v>
      </c>
      <c r="E57" s="15">
        <v>0.6</v>
      </c>
      <c r="F57" s="9">
        <v>56</v>
      </c>
      <c r="G57" s="15" t="s">
        <v>16</v>
      </c>
      <c r="H57" s="16" t="s">
        <v>17</v>
      </c>
      <c r="I57" s="16">
        <v>122</v>
      </c>
      <c r="J57" s="16">
        <v>15</v>
      </c>
      <c r="K57" s="16">
        <v>10</v>
      </c>
      <c r="L57" s="17" t="s">
        <v>102</v>
      </c>
      <c r="M57" s="12">
        <v>1</v>
      </c>
      <c r="N57" s="18"/>
      <c r="O57" s="18"/>
    </row>
    <row r="58" spans="1:15" ht="13.05" customHeight="1">
      <c r="A58" s="14" t="s">
        <v>103</v>
      </c>
      <c r="B58" s="8">
        <v>9</v>
      </c>
      <c r="C58" s="15">
        <v>77</v>
      </c>
      <c r="D58" s="15">
        <v>50</v>
      </c>
      <c r="E58" s="15">
        <v>0.64</v>
      </c>
      <c r="F58" s="9">
        <v>57</v>
      </c>
      <c r="G58" s="15" t="s">
        <v>16</v>
      </c>
      <c r="H58" s="16" t="s">
        <v>104</v>
      </c>
      <c r="I58" s="16">
        <v>130</v>
      </c>
      <c r="J58" s="16">
        <v>15</v>
      </c>
      <c r="K58" s="16">
        <v>10</v>
      </c>
      <c r="L58" s="17" t="s">
        <v>56</v>
      </c>
      <c r="M58" s="12">
        <v>798</v>
      </c>
      <c r="N58" s="18"/>
      <c r="O58" s="18"/>
    </row>
    <row r="59" spans="1:15" ht="13.05" customHeight="1">
      <c r="A59" s="14" t="s">
        <v>105</v>
      </c>
      <c r="B59" s="8">
        <v>9</v>
      </c>
      <c r="C59" s="15">
        <v>64</v>
      </c>
      <c r="D59" s="15">
        <v>50</v>
      </c>
      <c r="E59" s="15">
        <v>0.6</v>
      </c>
      <c r="F59" s="9">
        <v>58</v>
      </c>
      <c r="G59" s="15" t="s">
        <v>16</v>
      </c>
      <c r="H59" s="16" t="s">
        <v>17</v>
      </c>
      <c r="I59" s="16">
        <v>122</v>
      </c>
      <c r="J59" s="16">
        <v>15</v>
      </c>
      <c r="K59" s="16">
        <v>10</v>
      </c>
      <c r="L59" s="17" t="s">
        <v>64</v>
      </c>
      <c r="M59" s="12">
        <v>10</v>
      </c>
      <c r="N59" s="18"/>
      <c r="O59" s="18"/>
    </row>
    <row r="60" spans="1:15" ht="13.05" customHeight="1">
      <c r="A60" s="14" t="s">
        <v>106</v>
      </c>
      <c r="B60" s="8">
        <v>9</v>
      </c>
      <c r="C60" s="15">
        <v>72</v>
      </c>
      <c r="D60" s="15">
        <v>50</v>
      </c>
      <c r="E60" s="15">
        <v>0.6</v>
      </c>
      <c r="F60" s="9">
        <v>59</v>
      </c>
      <c r="G60" s="15" t="s">
        <v>16</v>
      </c>
      <c r="H60" s="16" t="s">
        <v>17</v>
      </c>
      <c r="I60" s="16">
        <v>122</v>
      </c>
      <c r="J60" s="16">
        <v>15</v>
      </c>
      <c r="K60" s="16">
        <v>10</v>
      </c>
      <c r="L60" s="17" t="s">
        <v>107</v>
      </c>
      <c r="M60" s="12">
        <v>0</v>
      </c>
      <c r="N60" s="18"/>
      <c r="O60" s="18"/>
    </row>
    <row r="61" spans="1:15" ht="13.05" customHeight="1">
      <c r="A61" s="14" t="s">
        <v>108</v>
      </c>
      <c r="B61" s="8">
        <v>9</v>
      </c>
      <c r="C61" s="15">
        <v>46</v>
      </c>
      <c r="D61" s="15">
        <v>50</v>
      </c>
      <c r="E61" s="15">
        <v>0.6</v>
      </c>
      <c r="F61" s="9">
        <v>60</v>
      </c>
      <c r="G61" s="15" t="s">
        <v>16</v>
      </c>
      <c r="H61" s="16" t="s">
        <v>17</v>
      </c>
      <c r="I61" s="16">
        <v>122</v>
      </c>
      <c r="J61" s="16">
        <v>15</v>
      </c>
      <c r="K61" s="16">
        <v>10</v>
      </c>
      <c r="L61" s="17" t="s">
        <v>109</v>
      </c>
      <c r="M61" s="12">
        <v>0</v>
      </c>
      <c r="N61" s="18"/>
      <c r="O61" s="18"/>
    </row>
    <row r="62" spans="1:15" ht="13.95" customHeight="1">
      <c r="A62" s="22" t="s">
        <v>110</v>
      </c>
      <c r="B62" s="8">
        <v>9</v>
      </c>
      <c r="C62" s="8">
        <v>59</v>
      </c>
      <c r="D62" s="8">
        <v>50</v>
      </c>
      <c r="E62" s="8">
        <v>0.6</v>
      </c>
      <c r="F62" s="9">
        <v>61</v>
      </c>
      <c r="G62" s="8" t="s">
        <v>16</v>
      </c>
      <c r="H62" s="10" t="s">
        <v>17</v>
      </c>
      <c r="I62" s="10">
        <v>122</v>
      </c>
      <c r="J62" s="10">
        <v>15</v>
      </c>
      <c r="K62" s="10">
        <v>10</v>
      </c>
      <c r="L62" s="11" t="s">
        <v>111</v>
      </c>
      <c r="M62" s="12">
        <v>0</v>
      </c>
      <c r="N62" s="13"/>
      <c r="O62" s="13"/>
    </row>
    <row r="63" spans="1:15" ht="13.95" customHeight="1">
      <c r="A63" s="22" t="s">
        <v>112</v>
      </c>
      <c r="B63" s="8">
        <v>9</v>
      </c>
      <c r="C63" s="8">
        <v>60</v>
      </c>
      <c r="D63" s="8">
        <v>50</v>
      </c>
      <c r="E63" s="8">
        <v>0.6</v>
      </c>
      <c r="F63" s="9">
        <v>62</v>
      </c>
      <c r="G63" s="8" t="s">
        <v>16</v>
      </c>
      <c r="H63" s="10" t="s">
        <v>17</v>
      </c>
      <c r="I63" s="10">
        <v>122</v>
      </c>
      <c r="J63" s="10">
        <v>15</v>
      </c>
      <c r="K63" s="10">
        <v>10</v>
      </c>
      <c r="L63" s="11" t="s">
        <v>113</v>
      </c>
      <c r="M63" s="12">
        <v>0</v>
      </c>
      <c r="N63" s="13"/>
      <c r="O63" s="13"/>
    </row>
    <row r="64" spans="1:15" ht="13.95" customHeight="1">
      <c r="A64" s="22" t="s">
        <v>114</v>
      </c>
      <c r="B64" s="8">
        <v>9</v>
      </c>
      <c r="C64" s="8">
        <v>61</v>
      </c>
      <c r="D64" s="8">
        <v>50</v>
      </c>
      <c r="E64" s="8">
        <v>0.6</v>
      </c>
      <c r="F64" s="9">
        <v>63</v>
      </c>
      <c r="G64" s="8" t="s">
        <v>16</v>
      </c>
      <c r="H64" s="10" t="s">
        <v>17</v>
      </c>
      <c r="I64" s="10">
        <v>122</v>
      </c>
      <c r="J64" s="10">
        <v>15</v>
      </c>
      <c r="K64" s="10">
        <v>10</v>
      </c>
      <c r="L64" s="11" t="s">
        <v>115</v>
      </c>
      <c r="M64" s="12">
        <v>0</v>
      </c>
      <c r="N64" s="13"/>
      <c r="O64" s="13"/>
    </row>
    <row r="65" spans="1:15" ht="13.95" customHeight="1">
      <c r="A65" s="22" t="s">
        <v>116</v>
      </c>
      <c r="B65" s="8">
        <v>9</v>
      </c>
      <c r="C65" s="8">
        <v>67</v>
      </c>
      <c r="D65" s="8">
        <v>50</v>
      </c>
      <c r="E65" s="8">
        <v>0.6</v>
      </c>
      <c r="F65" s="9">
        <v>64</v>
      </c>
      <c r="G65" s="8" t="s">
        <v>16</v>
      </c>
      <c r="H65" s="10" t="s">
        <v>17</v>
      </c>
      <c r="I65" s="10">
        <v>122</v>
      </c>
      <c r="J65" s="10">
        <v>15</v>
      </c>
      <c r="K65" s="10">
        <v>10</v>
      </c>
      <c r="L65" s="11" t="s">
        <v>96</v>
      </c>
      <c r="M65" s="12">
        <v>371</v>
      </c>
      <c r="N65" s="13"/>
      <c r="O65" s="13"/>
    </row>
    <row r="66" spans="1:15" ht="13.95" customHeight="1">
      <c r="A66" s="22" t="s">
        <v>117</v>
      </c>
      <c r="B66" s="8">
        <v>9</v>
      </c>
      <c r="C66" s="8">
        <v>68</v>
      </c>
      <c r="D66" s="8">
        <v>50</v>
      </c>
      <c r="E66" s="8">
        <v>0.6</v>
      </c>
      <c r="F66" s="9">
        <v>65</v>
      </c>
      <c r="G66" s="8" t="s">
        <v>16</v>
      </c>
      <c r="H66" s="10" t="s">
        <v>17</v>
      </c>
      <c r="I66" s="10">
        <v>122</v>
      </c>
      <c r="J66" s="10">
        <v>15</v>
      </c>
      <c r="K66" s="10">
        <v>10</v>
      </c>
      <c r="L66" s="11" t="s">
        <v>118</v>
      </c>
      <c r="M66" s="12">
        <v>292</v>
      </c>
      <c r="N66" s="13"/>
      <c r="O66" s="13"/>
    </row>
    <row r="67" spans="1:15" ht="13.95" customHeight="1">
      <c r="A67" s="22" t="s">
        <v>119</v>
      </c>
      <c r="B67" s="8">
        <v>9</v>
      </c>
      <c r="C67" s="8">
        <v>67</v>
      </c>
      <c r="D67" s="8">
        <v>50</v>
      </c>
      <c r="E67" s="8">
        <v>0.6</v>
      </c>
      <c r="F67" s="9">
        <v>66</v>
      </c>
      <c r="G67" s="8" t="s">
        <v>16</v>
      </c>
      <c r="H67" s="10" t="s">
        <v>17</v>
      </c>
      <c r="I67" s="10">
        <v>122</v>
      </c>
      <c r="J67" s="10">
        <v>15</v>
      </c>
      <c r="K67" s="10">
        <v>10</v>
      </c>
      <c r="L67" s="11" t="s">
        <v>96</v>
      </c>
      <c r="M67" s="12">
        <v>1</v>
      </c>
      <c r="N67" s="13"/>
      <c r="O67" s="13"/>
    </row>
    <row r="68" spans="1:15" ht="13.95" customHeight="1">
      <c r="A68" s="22" t="s">
        <v>120</v>
      </c>
      <c r="B68" s="8">
        <v>9</v>
      </c>
      <c r="C68" s="8">
        <v>70</v>
      </c>
      <c r="D68" s="8">
        <v>50</v>
      </c>
      <c r="E68" s="8">
        <v>0.6</v>
      </c>
      <c r="F68" s="9">
        <v>67</v>
      </c>
      <c r="G68" s="8" t="s">
        <v>16</v>
      </c>
      <c r="H68" s="10" t="s">
        <v>17</v>
      </c>
      <c r="I68" s="10">
        <v>122</v>
      </c>
      <c r="J68" s="10">
        <v>15</v>
      </c>
      <c r="K68" s="10">
        <v>10</v>
      </c>
      <c r="L68" s="11" t="s">
        <v>121</v>
      </c>
      <c r="M68" s="12">
        <v>124</v>
      </c>
      <c r="N68" s="13"/>
      <c r="O68" s="13"/>
    </row>
    <row r="69" spans="1:15" ht="13.95" customHeight="1">
      <c r="A69" s="22" t="s">
        <v>122</v>
      </c>
      <c r="B69" s="8">
        <v>9</v>
      </c>
      <c r="C69" s="8">
        <v>69</v>
      </c>
      <c r="D69" s="8">
        <v>50</v>
      </c>
      <c r="E69" s="8">
        <v>0.6</v>
      </c>
      <c r="F69" s="9">
        <v>68</v>
      </c>
      <c r="G69" s="8" t="s">
        <v>16</v>
      </c>
      <c r="H69" s="10" t="s">
        <v>17</v>
      </c>
      <c r="I69" s="10">
        <v>122</v>
      </c>
      <c r="J69" s="10">
        <v>15</v>
      </c>
      <c r="K69" s="10">
        <v>10</v>
      </c>
      <c r="L69" s="11" t="s">
        <v>123</v>
      </c>
      <c r="M69" s="12">
        <v>92</v>
      </c>
      <c r="N69" s="13"/>
      <c r="O69" s="13"/>
    </row>
    <row r="70" spans="1:15" ht="13.95" customHeight="1">
      <c r="A70" s="22" t="s">
        <v>124</v>
      </c>
      <c r="B70" s="8">
        <v>9</v>
      </c>
      <c r="C70" s="8">
        <v>69</v>
      </c>
      <c r="D70" s="8">
        <v>50</v>
      </c>
      <c r="E70" s="8">
        <v>0.6</v>
      </c>
      <c r="F70" s="9">
        <v>69</v>
      </c>
      <c r="G70" s="8" t="s">
        <v>16</v>
      </c>
      <c r="H70" s="10" t="s">
        <v>17</v>
      </c>
      <c r="I70" s="10">
        <v>122</v>
      </c>
      <c r="J70" s="10">
        <v>15</v>
      </c>
      <c r="K70" s="10">
        <v>10</v>
      </c>
      <c r="L70" s="11" t="s">
        <v>123</v>
      </c>
      <c r="M70" s="12">
        <v>13</v>
      </c>
      <c r="N70" s="13"/>
      <c r="O70" s="13"/>
    </row>
    <row r="71" spans="1:15" ht="13.95" customHeight="1">
      <c r="A71" s="22" t="s">
        <v>125</v>
      </c>
      <c r="B71" s="8">
        <v>9</v>
      </c>
      <c r="C71" s="8">
        <v>69</v>
      </c>
      <c r="D71" s="8">
        <v>50</v>
      </c>
      <c r="E71" s="8">
        <v>0.6</v>
      </c>
      <c r="F71" s="9">
        <v>70</v>
      </c>
      <c r="G71" s="8" t="s">
        <v>16</v>
      </c>
      <c r="H71" s="10" t="s">
        <v>17</v>
      </c>
      <c r="I71" s="10">
        <v>122</v>
      </c>
      <c r="J71" s="10">
        <v>15</v>
      </c>
      <c r="K71" s="10">
        <v>10</v>
      </c>
      <c r="L71" s="11" t="s">
        <v>123</v>
      </c>
      <c r="M71" s="12">
        <v>128</v>
      </c>
      <c r="N71" s="13"/>
      <c r="O71" s="13"/>
    </row>
    <row r="72" spans="1:15" ht="13.95" customHeight="1">
      <c r="A72" s="22" t="s">
        <v>126</v>
      </c>
      <c r="B72" s="8">
        <v>9</v>
      </c>
      <c r="C72" s="8">
        <v>69</v>
      </c>
      <c r="D72" s="8">
        <v>50</v>
      </c>
      <c r="E72" s="8">
        <v>0.6</v>
      </c>
      <c r="F72" s="9">
        <v>71</v>
      </c>
      <c r="G72" s="8" t="s">
        <v>16</v>
      </c>
      <c r="H72" s="10" t="s">
        <v>17</v>
      </c>
      <c r="I72" s="10">
        <v>122</v>
      </c>
      <c r="J72" s="10">
        <v>15</v>
      </c>
      <c r="K72" s="10">
        <v>10</v>
      </c>
      <c r="L72" s="11" t="s">
        <v>123</v>
      </c>
      <c r="M72" s="12">
        <v>15</v>
      </c>
      <c r="N72" s="13"/>
      <c r="O72" s="13"/>
    </row>
    <row r="73" spans="1:15" ht="13.95" customHeight="1">
      <c r="A73" s="22" t="s">
        <v>127</v>
      </c>
      <c r="B73" s="8">
        <v>9</v>
      </c>
      <c r="C73" s="8">
        <v>69</v>
      </c>
      <c r="D73" s="8">
        <v>50</v>
      </c>
      <c r="E73" s="8">
        <v>0.6</v>
      </c>
      <c r="F73" s="9">
        <v>72</v>
      </c>
      <c r="G73" s="8" t="s">
        <v>16</v>
      </c>
      <c r="H73" s="10" t="s">
        <v>17</v>
      </c>
      <c r="I73" s="10">
        <v>122</v>
      </c>
      <c r="J73" s="10">
        <v>15</v>
      </c>
      <c r="K73" s="10">
        <v>10</v>
      </c>
      <c r="L73" s="11" t="s">
        <v>123</v>
      </c>
      <c r="M73" s="12">
        <v>121</v>
      </c>
      <c r="N73" s="13"/>
      <c r="O73" s="13"/>
    </row>
    <row r="74" spans="1:15" ht="13.95" customHeight="1">
      <c r="A74" s="22" t="s">
        <v>128</v>
      </c>
      <c r="B74" s="8">
        <v>9</v>
      </c>
      <c r="C74" s="8">
        <v>78</v>
      </c>
      <c r="D74" s="8">
        <v>50</v>
      </c>
      <c r="E74" s="8">
        <v>0.6</v>
      </c>
      <c r="F74" s="9">
        <v>73</v>
      </c>
      <c r="G74" s="8" t="s">
        <v>16</v>
      </c>
      <c r="H74" s="10" t="s">
        <v>17</v>
      </c>
      <c r="I74" s="10">
        <v>122</v>
      </c>
      <c r="J74" s="10">
        <v>15</v>
      </c>
      <c r="K74" s="10">
        <v>10</v>
      </c>
      <c r="L74" s="11" t="s">
        <v>129</v>
      </c>
      <c r="M74" s="12">
        <v>15</v>
      </c>
      <c r="N74" s="13"/>
      <c r="O74" s="13"/>
    </row>
    <row r="75" spans="1:15" ht="13.95" customHeight="1">
      <c r="A75" s="22" t="s">
        <v>130</v>
      </c>
      <c r="B75" s="8">
        <v>9</v>
      </c>
      <c r="C75" s="8">
        <v>76</v>
      </c>
      <c r="D75" s="8">
        <v>50</v>
      </c>
      <c r="E75" s="8">
        <v>0.6</v>
      </c>
      <c r="F75" s="9">
        <v>74</v>
      </c>
      <c r="G75" s="8" t="s">
        <v>16</v>
      </c>
      <c r="H75" s="10" t="s">
        <v>17</v>
      </c>
      <c r="I75" s="10">
        <v>122</v>
      </c>
      <c r="J75" s="10">
        <v>15</v>
      </c>
      <c r="K75" s="10">
        <v>10</v>
      </c>
      <c r="L75" s="11" t="s">
        <v>131</v>
      </c>
      <c r="M75" s="12">
        <v>360</v>
      </c>
      <c r="N75" s="13"/>
      <c r="O75" s="13"/>
    </row>
    <row r="76" spans="1:15" ht="13.95" customHeight="1">
      <c r="A76" s="22" t="s">
        <v>132</v>
      </c>
      <c r="B76" s="8">
        <v>9</v>
      </c>
      <c r="C76" s="8">
        <v>78</v>
      </c>
      <c r="D76" s="8">
        <v>50</v>
      </c>
      <c r="E76" s="8">
        <v>0.6</v>
      </c>
      <c r="F76" s="9">
        <v>75</v>
      </c>
      <c r="G76" s="8" t="s">
        <v>16</v>
      </c>
      <c r="H76" s="10" t="s">
        <v>17</v>
      </c>
      <c r="I76" s="10">
        <v>122</v>
      </c>
      <c r="J76" s="10">
        <v>15</v>
      </c>
      <c r="K76" s="10">
        <v>10</v>
      </c>
      <c r="L76" s="11" t="s">
        <v>129</v>
      </c>
      <c r="M76" s="12">
        <v>249</v>
      </c>
      <c r="N76" s="13"/>
      <c r="O76" s="13"/>
    </row>
    <row r="77" spans="1:15" ht="13.95" customHeight="1">
      <c r="A77" s="22" t="s">
        <v>133</v>
      </c>
      <c r="B77" s="8">
        <v>9</v>
      </c>
      <c r="C77" s="8">
        <v>80</v>
      </c>
      <c r="D77" s="8">
        <v>50</v>
      </c>
      <c r="E77" s="8">
        <v>0.6</v>
      </c>
      <c r="F77" s="9">
        <v>76</v>
      </c>
      <c r="G77" s="8" t="s">
        <v>16</v>
      </c>
      <c r="H77" s="10" t="s">
        <v>17</v>
      </c>
      <c r="I77" s="10">
        <v>122</v>
      </c>
      <c r="J77" s="10">
        <v>15</v>
      </c>
      <c r="K77" s="10">
        <v>10</v>
      </c>
      <c r="L77" s="11" t="s">
        <v>134</v>
      </c>
      <c r="M77" s="12">
        <v>36</v>
      </c>
      <c r="N77" s="13"/>
      <c r="O77" s="13"/>
    </row>
    <row r="78" spans="1:15" ht="13.95" customHeight="1">
      <c r="A78" s="22" t="s">
        <v>135</v>
      </c>
      <c r="B78" s="8">
        <v>9</v>
      </c>
      <c r="C78" s="8">
        <v>81</v>
      </c>
      <c r="D78" s="8">
        <v>50</v>
      </c>
      <c r="E78" s="8">
        <v>0.6</v>
      </c>
      <c r="F78" s="9">
        <v>77</v>
      </c>
      <c r="G78" s="8" t="s">
        <v>16</v>
      </c>
      <c r="H78" s="10" t="s">
        <v>17</v>
      </c>
      <c r="I78" s="10">
        <v>122</v>
      </c>
      <c r="J78" s="10">
        <v>15</v>
      </c>
      <c r="K78" s="10">
        <v>10</v>
      </c>
      <c r="L78" s="11" t="s">
        <v>136</v>
      </c>
      <c r="M78" s="12">
        <v>17</v>
      </c>
      <c r="N78" s="13"/>
      <c r="O78" s="13"/>
    </row>
    <row r="79" spans="1:15" ht="13.05" customHeight="1">
      <c r="A79" s="22" t="s">
        <v>137</v>
      </c>
      <c r="B79" s="8">
        <v>9</v>
      </c>
      <c r="C79" s="8">
        <v>80</v>
      </c>
      <c r="D79" s="8">
        <v>50</v>
      </c>
      <c r="E79" s="8">
        <v>0.6</v>
      </c>
      <c r="F79" s="9">
        <v>78</v>
      </c>
      <c r="G79" s="8" t="s">
        <v>16</v>
      </c>
      <c r="H79" s="10" t="s">
        <v>17</v>
      </c>
      <c r="I79" s="10">
        <v>122</v>
      </c>
      <c r="J79" s="10">
        <v>15</v>
      </c>
      <c r="K79" s="10">
        <v>10</v>
      </c>
      <c r="L79" s="11" t="s">
        <v>134</v>
      </c>
      <c r="M79" s="12">
        <v>10</v>
      </c>
      <c r="N79" s="13"/>
      <c r="O79" s="13"/>
    </row>
    <row r="80" spans="1:15" ht="13.95" customHeight="1">
      <c r="A80" s="22" t="s">
        <v>138</v>
      </c>
      <c r="B80" s="8">
        <v>9</v>
      </c>
      <c r="C80" s="8">
        <v>82</v>
      </c>
      <c r="D80" s="8">
        <v>50</v>
      </c>
      <c r="E80" s="8">
        <v>0.6</v>
      </c>
      <c r="F80" s="9">
        <v>79</v>
      </c>
      <c r="G80" s="8" t="s">
        <v>16</v>
      </c>
      <c r="H80" s="10" t="s">
        <v>17</v>
      </c>
      <c r="I80" s="10">
        <v>122</v>
      </c>
      <c r="J80" s="10">
        <v>15</v>
      </c>
      <c r="K80" s="10">
        <v>10</v>
      </c>
      <c r="L80" s="11" t="s">
        <v>139</v>
      </c>
      <c r="M80" s="12">
        <v>0</v>
      </c>
      <c r="N80" s="13"/>
      <c r="O80" s="13"/>
    </row>
    <row r="81" spans="1:15" ht="13.95" customHeight="1">
      <c r="A81" s="22" t="s">
        <v>140</v>
      </c>
      <c r="B81" s="8">
        <v>9</v>
      </c>
      <c r="C81" s="8">
        <v>96</v>
      </c>
      <c r="D81" s="8">
        <v>50</v>
      </c>
      <c r="E81" s="8">
        <v>0.6</v>
      </c>
      <c r="F81" s="9">
        <v>80</v>
      </c>
      <c r="G81" s="8" t="s">
        <v>16</v>
      </c>
      <c r="H81" s="10" t="s">
        <v>17</v>
      </c>
      <c r="I81" s="10">
        <v>122</v>
      </c>
      <c r="J81" s="10">
        <v>15</v>
      </c>
      <c r="K81" s="10">
        <v>10</v>
      </c>
      <c r="L81" s="11" t="s">
        <v>141</v>
      </c>
      <c r="M81" s="12">
        <v>19</v>
      </c>
      <c r="N81" s="13"/>
      <c r="O81" s="13"/>
    </row>
    <row r="82" spans="1:15" ht="13.95" customHeight="1">
      <c r="A82" s="22" t="s">
        <v>142</v>
      </c>
      <c r="B82" s="8">
        <v>9</v>
      </c>
      <c r="C82" s="8">
        <v>96</v>
      </c>
      <c r="D82" s="8">
        <v>50</v>
      </c>
      <c r="E82" s="8">
        <v>0.6</v>
      </c>
      <c r="F82" s="9">
        <v>81</v>
      </c>
      <c r="G82" s="8" t="s">
        <v>16</v>
      </c>
      <c r="H82" s="10" t="s">
        <v>17</v>
      </c>
      <c r="I82" s="10">
        <v>122</v>
      </c>
      <c r="J82" s="10">
        <v>15</v>
      </c>
      <c r="K82" s="10">
        <v>10</v>
      </c>
      <c r="L82" s="11" t="s">
        <v>141</v>
      </c>
      <c r="M82" s="12">
        <v>0</v>
      </c>
      <c r="N82" s="13"/>
      <c r="O82" s="13"/>
    </row>
    <row r="83" spans="1:15" ht="13.95" customHeight="1">
      <c r="A83" s="22" t="s">
        <v>143</v>
      </c>
      <c r="B83" s="8">
        <v>9</v>
      </c>
      <c r="C83" s="8">
        <v>77</v>
      </c>
      <c r="D83" s="8">
        <v>50</v>
      </c>
      <c r="E83" s="8">
        <v>0.64</v>
      </c>
      <c r="F83" s="9">
        <v>82</v>
      </c>
      <c r="G83" s="8" t="s">
        <v>16</v>
      </c>
      <c r="H83" s="10" t="s">
        <v>104</v>
      </c>
      <c r="I83" s="10">
        <v>130</v>
      </c>
      <c r="J83" s="10">
        <v>15</v>
      </c>
      <c r="K83" s="10">
        <v>10</v>
      </c>
      <c r="L83" s="11" t="s">
        <v>56</v>
      </c>
      <c r="M83" s="12">
        <v>0</v>
      </c>
      <c r="N83" s="13"/>
      <c r="O83" s="13"/>
    </row>
    <row r="84" spans="1:15" ht="13.95" customHeight="1">
      <c r="A84" s="22" t="s">
        <v>144</v>
      </c>
      <c r="B84" s="8">
        <v>9</v>
      </c>
      <c r="C84" s="8">
        <v>78</v>
      </c>
      <c r="D84" s="8">
        <v>50</v>
      </c>
      <c r="E84" s="8">
        <v>0.64</v>
      </c>
      <c r="F84" s="9">
        <v>83</v>
      </c>
      <c r="G84" s="8" t="s">
        <v>16</v>
      </c>
      <c r="H84" s="10" t="s">
        <v>104</v>
      </c>
      <c r="I84" s="10">
        <v>130</v>
      </c>
      <c r="J84" s="10">
        <v>15</v>
      </c>
      <c r="K84" s="10">
        <v>10</v>
      </c>
      <c r="L84" s="11" t="s">
        <v>129</v>
      </c>
      <c r="M84" s="12">
        <v>0</v>
      </c>
      <c r="N84" s="13"/>
      <c r="O84" s="13"/>
    </row>
    <row r="85" spans="1:15" ht="13.05" customHeight="1">
      <c r="A85" s="22" t="s">
        <v>145</v>
      </c>
      <c r="B85" s="8">
        <v>9</v>
      </c>
      <c r="C85" s="8">
        <v>79</v>
      </c>
      <c r="D85" s="8">
        <v>50</v>
      </c>
      <c r="E85" s="8">
        <v>0.64</v>
      </c>
      <c r="F85" s="9">
        <v>84</v>
      </c>
      <c r="G85" s="8" t="s">
        <v>16</v>
      </c>
      <c r="H85" s="10" t="s">
        <v>104</v>
      </c>
      <c r="I85" s="10">
        <v>130</v>
      </c>
      <c r="J85" s="10">
        <v>15</v>
      </c>
      <c r="K85" s="10">
        <v>10</v>
      </c>
      <c r="L85" s="11" t="s">
        <v>146</v>
      </c>
      <c r="M85" s="12">
        <v>17</v>
      </c>
      <c r="N85" s="13"/>
      <c r="O85" s="13"/>
    </row>
    <row r="86" spans="1:15" ht="13.95" customHeight="1">
      <c r="A86" s="22" t="s">
        <v>147</v>
      </c>
      <c r="B86" s="8">
        <v>9</v>
      </c>
      <c r="C86" s="8">
        <v>69</v>
      </c>
      <c r="D86" s="8">
        <v>50</v>
      </c>
      <c r="E86" s="8">
        <v>0.6</v>
      </c>
      <c r="F86" s="9">
        <v>85</v>
      </c>
      <c r="G86" s="8" t="s">
        <v>16</v>
      </c>
      <c r="H86" s="10" t="s">
        <v>17</v>
      </c>
      <c r="I86" s="10">
        <v>122</v>
      </c>
      <c r="J86" s="10">
        <v>15</v>
      </c>
      <c r="K86" s="10">
        <v>10</v>
      </c>
      <c r="L86" s="11" t="s">
        <v>123</v>
      </c>
      <c r="M86" s="12">
        <v>89</v>
      </c>
      <c r="N86" s="13"/>
      <c r="O86" s="13"/>
    </row>
    <row r="87" spans="1:15" ht="13.95" customHeight="1">
      <c r="A87" s="22" t="s">
        <v>148</v>
      </c>
      <c r="B87" s="8">
        <v>9</v>
      </c>
      <c r="C87" s="8">
        <v>68</v>
      </c>
      <c r="D87" s="8">
        <v>50</v>
      </c>
      <c r="E87" s="8">
        <v>0.6</v>
      </c>
      <c r="F87" s="9">
        <v>86</v>
      </c>
      <c r="G87" s="8" t="s">
        <v>16</v>
      </c>
      <c r="H87" s="10" t="s">
        <v>17</v>
      </c>
      <c r="I87" s="10">
        <v>122</v>
      </c>
      <c r="J87" s="10">
        <v>15</v>
      </c>
      <c r="K87" s="10">
        <v>10</v>
      </c>
      <c r="L87" s="11" t="s">
        <v>118</v>
      </c>
      <c r="M87" s="12">
        <v>3</v>
      </c>
      <c r="N87" s="13"/>
      <c r="O87" s="13"/>
    </row>
    <row r="88" spans="1:15" ht="13.95" customHeight="1">
      <c r="A88" s="22" t="s">
        <v>149</v>
      </c>
      <c r="B88" s="8">
        <v>9</v>
      </c>
      <c r="C88" s="8">
        <v>68</v>
      </c>
      <c r="D88" s="8">
        <v>50</v>
      </c>
      <c r="E88" s="8">
        <v>0.6</v>
      </c>
      <c r="F88" s="9">
        <v>87</v>
      </c>
      <c r="G88" s="8" t="s">
        <v>16</v>
      </c>
      <c r="H88" s="10" t="s">
        <v>17</v>
      </c>
      <c r="I88" s="10">
        <v>122</v>
      </c>
      <c r="J88" s="10">
        <v>15</v>
      </c>
      <c r="K88" s="10">
        <v>10</v>
      </c>
      <c r="L88" s="11" t="s">
        <v>118</v>
      </c>
      <c r="M88" s="12">
        <v>7</v>
      </c>
      <c r="N88" s="13"/>
      <c r="O88" s="13"/>
    </row>
    <row r="89" spans="1:15" ht="13.95" customHeight="1">
      <c r="A89" s="22" t="s">
        <v>150</v>
      </c>
      <c r="B89" s="8">
        <v>9</v>
      </c>
      <c r="C89" s="8">
        <v>98</v>
      </c>
      <c r="D89" s="8">
        <v>50</v>
      </c>
      <c r="E89" s="8">
        <v>0.6</v>
      </c>
      <c r="F89" s="9">
        <v>88</v>
      </c>
      <c r="G89" s="8" t="s">
        <v>16</v>
      </c>
      <c r="H89" s="10" t="s">
        <v>17</v>
      </c>
      <c r="I89" s="10">
        <v>122</v>
      </c>
      <c r="J89" s="10">
        <v>15</v>
      </c>
      <c r="K89" s="10">
        <v>10</v>
      </c>
      <c r="L89" s="11" t="s">
        <v>151</v>
      </c>
      <c r="M89" s="12">
        <v>14</v>
      </c>
      <c r="N89" s="13"/>
      <c r="O89" s="13"/>
    </row>
    <row r="90" spans="1:15" ht="13.95" customHeight="1">
      <c r="A90" s="22" t="s">
        <v>152</v>
      </c>
      <c r="B90" s="8">
        <v>9</v>
      </c>
      <c r="C90" s="8">
        <v>64</v>
      </c>
      <c r="D90" s="8">
        <v>50</v>
      </c>
      <c r="E90" s="8">
        <v>0.6</v>
      </c>
      <c r="F90" s="9">
        <v>89</v>
      </c>
      <c r="G90" s="8" t="s">
        <v>16</v>
      </c>
      <c r="H90" s="10" t="s">
        <v>17</v>
      </c>
      <c r="I90" s="10">
        <v>122</v>
      </c>
      <c r="J90" s="10">
        <v>15</v>
      </c>
      <c r="K90" s="10">
        <v>10</v>
      </c>
      <c r="L90" s="11" t="s">
        <v>64</v>
      </c>
      <c r="M90" s="12">
        <v>0</v>
      </c>
      <c r="N90" s="13"/>
      <c r="O90" s="13"/>
    </row>
    <row r="91" spans="1:15" ht="13.95" customHeight="1">
      <c r="A91" s="22" t="s">
        <v>153</v>
      </c>
      <c r="B91" s="8">
        <v>9</v>
      </c>
      <c r="C91" s="8">
        <v>72</v>
      </c>
      <c r="D91" s="8">
        <v>50</v>
      </c>
      <c r="E91" s="8">
        <v>0.6</v>
      </c>
      <c r="F91" s="9">
        <v>90</v>
      </c>
      <c r="G91" s="8" t="s">
        <v>16</v>
      </c>
      <c r="H91" s="10" t="s">
        <v>17</v>
      </c>
      <c r="I91" s="10">
        <v>122</v>
      </c>
      <c r="J91" s="10">
        <v>15</v>
      </c>
      <c r="K91" s="10">
        <v>10</v>
      </c>
      <c r="L91" s="11" t="s">
        <v>107</v>
      </c>
      <c r="M91" s="12">
        <v>0</v>
      </c>
      <c r="N91" s="13"/>
      <c r="O91" s="13"/>
    </row>
    <row r="92" spans="1:15" ht="13.95" customHeight="1">
      <c r="A92" s="22" t="s">
        <v>154</v>
      </c>
      <c r="B92" s="8">
        <v>9</v>
      </c>
      <c r="C92" s="8">
        <v>74</v>
      </c>
      <c r="D92" s="8">
        <v>50</v>
      </c>
      <c r="E92" s="8">
        <v>0.6</v>
      </c>
      <c r="F92" s="9">
        <v>91</v>
      </c>
      <c r="G92" s="8" t="s">
        <v>16</v>
      </c>
      <c r="H92" s="10" t="s">
        <v>17</v>
      </c>
      <c r="I92" s="10">
        <v>122</v>
      </c>
      <c r="J92" s="10">
        <v>15</v>
      </c>
      <c r="K92" s="10">
        <v>10</v>
      </c>
      <c r="L92" s="11" t="s">
        <v>155</v>
      </c>
      <c r="M92" s="12">
        <v>23</v>
      </c>
      <c r="N92" s="13"/>
      <c r="O92" s="13"/>
    </row>
    <row r="93" spans="1:15" ht="13.95" customHeight="1">
      <c r="A93" s="22" t="s">
        <v>156</v>
      </c>
      <c r="B93" s="8">
        <v>9</v>
      </c>
      <c r="C93" s="8">
        <v>82</v>
      </c>
      <c r="D93" s="8">
        <v>50</v>
      </c>
      <c r="E93" s="8">
        <v>0.6</v>
      </c>
      <c r="F93" s="9">
        <v>92</v>
      </c>
      <c r="G93" s="8" t="s">
        <v>16</v>
      </c>
      <c r="H93" s="10" t="s">
        <v>17</v>
      </c>
      <c r="I93" s="10">
        <v>122</v>
      </c>
      <c r="J93" s="10">
        <v>15</v>
      </c>
      <c r="K93" s="10">
        <v>10</v>
      </c>
      <c r="L93" s="11" t="s">
        <v>139</v>
      </c>
      <c r="M93" s="12">
        <v>0</v>
      </c>
      <c r="N93" s="13"/>
      <c r="O93" s="13"/>
    </row>
    <row r="94" spans="1:15" ht="13.05" customHeight="1">
      <c r="A94" s="22" t="s">
        <v>157</v>
      </c>
      <c r="B94" s="8">
        <v>9</v>
      </c>
      <c r="C94" s="8">
        <v>82</v>
      </c>
      <c r="D94" s="8">
        <v>50</v>
      </c>
      <c r="E94" s="8">
        <v>0.6</v>
      </c>
      <c r="F94" s="9">
        <v>93</v>
      </c>
      <c r="G94" s="8" t="s">
        <v>16</v>
      </c>
      <c r="H94" s="10" t="s">
        <v>17</v>
      </c>
      <c r="I94" s="10">
        <v>122</v>
      </c>
      <c r="J94" s="10">
        <v>15</v>
      </c>
      <c r="K94" s="10">
        <v>10</v>
      </c>
      <c r="L94" s="11" t="s">
        <v>139</v>
      </c>
      <c r="M94" s="12">
        <v>0</v>
      </c>
      <c r="N94" s="13"/>
      <c r="O94" s="13"/>
    </row>
    <row r="95" spans="1:15" ht="13.05" customHeight="1">
      <c r="A95" s="22" t="s">
        <v>158</v>
      </c>
      <c r="B95" s="8">
        <v>9</v>
      </c>
      <c r="C95" s="8">
        <v>80</v>
      </c>
      <c r="D95" s="8">
        <v>50</v>
      </c>
      <c r="E95" s="8">
        <v>0.6</v>
      </c>
      <c r="F95" s="9">
        <v>94</v>
      </c>
      <c r="G95" s="8" t="s">
        <v>16</v>
      </c>
      <c r="H95" s="10" t="s">
        <v>17</v>
      </c>
      <c r="I95" s="10">
        <v>122</v>
      </c>
      <c r="J95" s="10">
        <v>15</v>
      </c>
      <c r="K95" s="10">
        <v>10</v>
      </c>
      <c r="L95" s="11" t="s">
        <v>134</v>
      </c>
      <c r="M95" s="12">
        <v>0</v>
      </c>
      <c r="N95" s="13"/>
      <c r="O95" s="13"/>
    </row>
    <row r="96" spans="1:15" ht="13.05" customHeight="1">
      <c r="A96" s="22" t="s">
        <v>159</v>
      </c>
      <c r="B96" s="8">
        <v>9</v>
      </c>
      <c r="C96" s="8">
        <v>78</v>
      </c>
      <c r="D96" s="8">
        <v>50</v>
      </c>
      <c r="E96" s="8">
        <v>0.6</v>
      </c>
      <c r="F96" s="9">
        <v>95</v>
      </c>
      <c r="G96" s="8" t="s">
        <v>16</v>
      </c>
      <c r="H96" s="10" t="s">
        <v>17</v>
      </c>
      <c r="I96" s="10">
        <v>122</v>
      </c>
      <c r="J96" s="10">
        <v>15</v>
      </c>
      <c r="K96" s="10">
        <v>10</v>
      </c>
      <c r="L96" s="11" t="s">
        <v>129</v>
      </c>
      <c r="M96" s="12">
        <v>0</v>
      </c>
      <c r="N96" s="13"/>
      <c r="O96" s="13"/>
    </row>
    <row r="97" spans="1:15" ht="13.05" customHeight="1">
      <c r="A97" s="22" t="s">
        <v>160</v>
      </c>
      <c r="B97" s="8">
        <v>9</v>
      </c>
      <c r="C97" s="8">
        <v>78</v>
      </c>
      <c r="D97" s="8">
        <v>50</v>
      </c>
      <c r="E97" s="8">
        <v>0.6</v>
      </c>
      <c r="F97" s="9">
        <v>96</v>
      </c>
      <c r="G97" s="8" t="s">
        <v>16</v>
      </c>
      <c r="H97" s="10" t="s">
        <v>17</v>
      </c>
      <c r="I97" s="10">
        <v>122</v>
      </c>
      <c r="J97" s="10">
        <v>15</v>
      </c>
      <c r="K97" s="10">
        <v>10</v>
      </c>
      <c r="L97" s="11" t="s">
        <v>129</v>
      </c>
      <c r="M97" s="12">
        <v>0</v>
      </c>
      <c r="N97" s="13"/>
      <c r="O97" s="13"/>
    </row>
    <row r="98" spans="1:15" ht="13.05" customHeight="1">
      <c r="A98" s="22" t="s">
        <v>161</v>
      </c>
      <c r="B98" s="8">
        <v>9</v>
      </c>
      <c r="C98" s="8">
        <v>81</v>
      </c>
      <c r="D98" s="8">
        <v>50</v>
      </c>
      <c r="E98" s="8">
        <v>0.6</v>
      </c>
      <c r="F98" s="9">
        <v>97</v>
      </c>
      <c r="G98" s="8" t="s">
        <v>16</v>
      </c>
      <c r="H98" s="10" t="s">
        <v>17</v>
      </c>
      <c r="I98" s="10">
        <v>122</v>
      </c>
      <c r="J98" s="10">
        <v>15</v>
      </c>
      <c r="K98" s="10">
        <v>10</v>
      </c>
      <c r="L98" s="11" t="s">
        <v>136</v>
      </c>
      <c r="M98" s="12">
        <v>0</v>
      </c>
      <c r="N98" s="13"/>
      <c r="O98" s="13"/>
    </row>
    <row r="99" spans="1:15" ht="13.05" customHeight="1">
      <c r="A99" s="22" t="s">
        <v>162</v>
      </c>
      <c r="B99" s="8">
        <v>9</v>
      </c>
      <c r="C99" s="8">
        <v>81</v>
      </c>
      <c r="D99" s="8">
        <v>50</v>
      </c>
      <c r="E99" s="8">
        <v>0.6</v>
      </c>
      <c r="F99" s="9">
        <v>98</v>
      </c>
      <c r="G99" s="8" t="s">
        <v>16</v>
      </c>
      <c r="H99" s="10" t="s">
        <v>17</v>
      </c>
      <c r="I99" s="10">
        <v>122</v>
      </c>
      <c r="J99" s="10">
        <v>15</v>
      </c>
      <c r="K99" s="10">
        <v>10</v>
      </c>
      <c r="L99" s="11" t="s">
        <v>136</v>
      </c>
      <c r="M99" s="12">
        <v>0</v>
      </c>
      <c r="N99" s="13"/>
      <c r="O99" s="13"/>
    </row>
    <row r="100" spans="1:15" ht="13.05" customHeight="1">
      <c r="A100" s="22" t="s">
        <v>163</v>
      </c>
      <c r="B100" s="8">
        <v>9</v>
      </c>
      <c r="C100" s="8">
        <v>81</v>
      </c>
      <c r="D100" s="8">
        <v>50</v>
      </c>
      <c r="E100" s="8">
        <v>0.6</v>
      </c>
      <c r="F100" s="9">
        <v>99</v>
      </c>
      <c r="G100" s="8" t="s">
        <v>16</v>
      </c>
      <c r="H100" s="10" t="s">
        <v>17</v>
      </c>
      <c r="I100" s="10">
        <v>122</v>
      </c>
      <c r="J100" s="10">
        <v>15</v>
      </c>
      <c r="K100" s="10">
        <v>10</v>
      </c>
      <c r="L100" s="11" t="s">
        <v>136</v>
      </c>
      <c r="M100" s="12">
        <v>0</v>
      </c>
      <c r="N100" s="13"/>
      <c r="O100" s="13"/>
    </row>
    <row r="101" spans="1:15" ht="13.05" customHeight="1">
      <c r="A101" s="22" t="s">
        <v>164</v>
      </c>
      <c r="B101" s="8">
        <v>9</v>
      </c>
      <c r="C101" s="8">
        <v>82</v>
      </c>
      <c r="D101" s="8">
        <v>50</v>
      </c>
      <c r="E101" s="8">
        <v>0.6</v>
      </c>
      <c r="F101" s="9">
        <v>100</v>
      </c>
      <c r="G101" s="8" t="s">
        <v>16</v>
      </c>
      <c r="H101" s="10" t="s">
        <v>17</v>
      </c>
      <c r="I101" s="10">
        <v>122</v>
      </c>
      <c r="J101" s="10">
        <v>15</v>
      </c>
      <c r="K101" s="10">
        <v>10</v>
      </c>
      <c r="L101" s="11" t="s">
        <v>139</v>
      </c>
      <c r="M101" s="12">
        <v>0</v>
      </c>
      <c r="N101" s="13"/>
      <c r="O101" s="13"/>
    </row>
    <row r="102" spans="1:15" ht="13.05" customHeight="1">
      <c r="A102" s="22" t="s">
        <v>165</v>
      </c>
      <c r="B102" s="8">
        <v>9</v>
      </c>
      <c r="C102" s="8">
        <v>79</v>
      </c>
      <c r="D102" s="8">
        <v>50</v>
      </c>
      <c r="E102" s="8">
        <v>0.6</v>
      </c>
      <c r="F102" s="9">
        <v>101</v>
      </c>
      <c r="G102" s="8" t="s">
        <v>16</v>
      </c>
      <c r="H102" s="10" t="s">
        <v>17</v>
      </c>
      <c r="I102" s="10">
        <v>122</v>
      </c>
      <c r="J102" s="10">
        <v>15</v>
      </c>
      <c r="K102" s="10">
        <v>10</v>
      </c>
      <c r="L102" s="11" t="s">
        <v>146</v>
      </c>
      <c r="M102" s="12">
        <v>0</v>
      </c>
      <c r="N102" s="13"/>
      <c r="O102" s="13"/>
    </row>
    <row r="103" spans="1:15" ht="13.05" customHeight="1">
      <c r="A103" s="22" t="s">
        <v>166</v>
      </c>
      <c r="B103" s="8">
        <v>9</v>
      </c>
      <c r="C103" s="8">
        <v>83</v>
      </c>
      <c r="D103" s="8">
        <v>50</v>
      </c>
      <c r="E103" s="8">
        <v>0.6</v>
      </c>
      <c r="F103" s="9">
        <v>102</v>
      </c>
      <c r="G103" s="8" t="s">
        <v>16</v>
      </c>
      <c r="H103" s="10" t="s">
        <v>17</v>
      </c>
      <c r="I103" s="10">
        <v>122</v>
      </c>
      <c r="J103" s="10">
        <v>15</v>
      </c>
      <c r="K103" s="10">
        <v>10</v>
      </c>
      <c r="L103" s="11" t="s">
        <v>58</v>
      </c>
      <c r="M103" s="12">
        <v>0</v>
      </c>
      <c r="N103" s="13"/>
      <c r="O103" s="13"/>
    </row>
    <row r="104" spans="1:15" ht="13.05" customHeight="1">
      <c r="A104" s="22" t="s">
        <v>167</v>
      </c>
      <c r="B104" s="8">
        <v>9</v>
      </c>
      <c r="C104" s="8">
        <v>84</v>
      </c>
      <c r="D104" s="8">
        <v>50</v>
      </c>
      <c r="E104" s="8">
        <v>0.6</v>
      </c>
      <c r="F104" s="9">
        <v>103</v>
      </c>
      <c r="G104" s="8" t="s">
        <v>16</v>
      </c>
      <c r="H104" s="10" t="s">
        <v>17</v>
      </c>
      <c r="I104" s="10">
        <v>122</v>
      </c>
      <c r="J104" s="10">
        <v>15</v>
      </c>
      <c r="K104" s="10">
        <v>10</v>
      </c>
      <c r="L104" s="11" t="s">
        <v>60</v>
      </c>
      <c r="M104" s="12">
        <v>0</v>
      </c>
      <c r="N104" s="13"/>
      <c r="O104" s="13"/>
    </row>
    <row r="105" spans="1:15" ht="13.05" customHeight="1">
      <c r="A105" s="22" t="s">
        <v>168</v>
      </c>
      <c r="B105" s="8">
        <v>9</v>
      </c>
      <c r="C105" s="8">
        <v>68</v>
      </c>
      <c r="D105" s="8">
        <v>50</v>
      </c>
      <c r="E105" s="8">
        <v>0.6</v>
      </c>
      <c r="F105" s="9">
        <v>104</v>
      </c>
      <c r="G105" s="8" t="s">
        <v>16</v>
      </c>
      <c r="H105" s="10" t="s">
        <v>17</v>
      </c>
      <c r="I105" s="10">
        <v>122</v>
      </c>
      <c r="J105" s="10">
        <v>15</v>
      </c>
      <c r="K105" s="10">
        <v>10</v>
      </c>
      <c r="L105" s="11" t="s">
        <v>118</v>
      </c>
      <c r="M105" s="12">
        <v>381</v>
      </c>
      <c r="N105" s="13"/>
      <c r="O105" s="13"/>
    </row>
    <row r="106" spans="1:15" ht="13.05" customHeight="1">
      <c r="A106" s="22" t="s">
        <v>169</v>
      </c>
      <c r="B106" s="8">
        <v>9</v>
      </c>
      <c r="C106" s="8">
        <v>64</v>
      </c>
      <c r="D106" s="8">
        <v>50</v>
      </c>
      <c r="E106" s="8">
        <v>0.6</v>
      </c>
      <c r="F106" s="9">
        <v>105</v>
      </c>
      <c r="G106" s="8" t="s">
        <v>16</v>
      </c>
      <c r="H106" s="10" t="s">
        <v>17</v>
      </c>
      <c r="I106" s="10">
        <v>122</v>
      </c>
      <c r="J106" s="10">
        <v>15</v>
      </c>
      <c r="K106" s="10">
        <v>10</v>
      </c>
      <c r="L106" s="11" t="s">
        <v>64</v>
      </c>
      <c r="M106" s="12">
        <v>43</v>
      </c>
      <c r="N106" s="13"/>
      <c r="O106" s="13"/>
    </row>
    <row r="107" spans="1:15" ht="13.05" customHeight="1">
      <c r="A107" s="22" t="s">
        <v>170</v>
      </c>
      <c r="B107" s="8">
        <v>9</v>
      </c>
      <c r="C107" s="8">
        <v>72</v>
      </c>
      <c r="D107" s="8">
        <v>50</v>
      </c>
      <c r="E107" s="8">
        <v>0.6</v>
      </c>
      <c r="F107" s="9">
        <v>106</v>
      </c>
      <c r="G107" s="8" t="s">
        <v>16</v>
      </c>
      <c r="H107" s="10" t="s">
        <v>17</v>
      </c>
      <c r="I107" s="10">
        <v>122</v>
      </c>
      <c r="J107" s="10">
        <v>15</v>
      </c>
      <c r="K107" s="10">
        <v>10</v>
      </c>
      <c r="L107" s="11" t="s">
        <v>107</v>
      </c>
      <c r="M107" s="12">
        <v>0</v>
      </c>
      <c r="N107" s="13"/>
      <c r="O107" s="13"/>
    </row>
    <row r="108" spans="1:15" ht="13.05" customHeight="1">
      <c r="A108" s="22" t="s">
        <v>171</v>
      </c>
      <c r="B108" s="8">
        <v>9</v>
      </c>
      <c r="C108" s="8">
        <v>74</v>
      </c>
      <c r="D108" s="8">
        <v>50</v>
      </c>
      <c r="E108" s="8">
        <v>0.6</v>
      </c>
      <c r="F108" s="9">
        <v>107</v>
      </c>
      <c r="G108" s="8" t="s">
        <v>16</v>
      </c>
      <c r="H108" s="10" t="s">
        <v>17</v>
      </c>
      <c r="I108" s="10">
        <v>122</v>
      </c>
      <c r="J108" s="10">
        <v>15</v>
      </c>
      <c r="K108" s="10">
        <v>10</v>
      </c>
      <c r="L108" s="11" t="s">
        <v>155</v>
      </c>
      <c r="M108" s="12">
        <v>0</v>
      </c>
      <c r="N108" s="13"/>
      <c r="O108" s="13"/>
    </row>
    <row r="109" spans="1:15" ht="13.05" customHeight="1">
      <c r="A109" s="22" t="s">
        <v>172</v>
      </c>
      <c r="B109" s="8">
        <v>9</v>
      </c>
      <c r="C109" s="8">
        <v>66</v>
      </c>
      <c r="D109" s="8">
        <v>50</v>
      </c>
      <c r="E109" s="8">
        <v>0.6</v>
      </c>
      <c r="F109" s="9">
        <v>108</v>
      </c>
      <c r="G109" s="8" t="s">
        <v>16</v>
      </c>
      <c r="H109" s="10" t="s">
        <v>17</v>
      </c>
      <c r="I109" s="10">
        <v>122</v>
      </c>
      <c r="J109" s="10">
        <v>15</v>
      </c>
      <c r="K109" s="10">
        <v>10</v>
      </c>
      <c r="L109" s="11" t="s">
        <v>173</v>
      </c>
      <c r="M109" s="12">
        <v>6</v>
      </c>
      <c r="N109" s="13"/>
      <c r="O109" s="13"/>
    </row>
    <row r="110" spans="1:15" ht="13.05" customHeight="1">
      <c r="A110" s="22" t="s">
        <v>174</v>
      </c>
      <c r="B110" s="8">
        <v>9</v>
      </c>
      <c r="C110" s="8">
        <v>65</v>
      </c>
      <c r="D110" s="8">
        <v>50</v>
      </c>
      <c r="E110" s="8">
        <v>0.6</v>
      </c>
      <c r="F110" s="9">
        <v>109</v>
      </c>
      <c r="G110" s="8" t="s">
        <v>16</v>
      </c>
      <c r="H110" s="10" t="s">
        <v>17</v>
      </c>
      <c r="I110" s="10">
        <v>122</v>
      </c>
      <c r="J110" s="10">
        <v>15</v>
      </c>
      <c r="K110" s="10">
        <v>10</v>
      </c>
      <c r="L110" s="11" t="s">
        <v>22</v>
      </c>
      <c r="M110" s="12">
        <v>5</v>
      </c>
      <c r="N110" s="13"/>
      <c r="O110" s="13"/>
    </row>
    <row r="111" spans="1:15" ht="13.05" customHeight="1">
      <c r="A111" s="22" t="s">
        <v>175</v>
      </c>
      <c r="B111" s="8">
        <v>9</v>
      </c>
      <c r="C111" s="8">
        <v>69</v>
      </c>
      <c r="D111" s="8">
        <v>50</v>
      </c>
      <c r="E111" s="8">
        <v>0.6</v>
      </c>
      <c r="F111" s="9">
        <v>110</v>
      </c>
      <c r="G111" s="8" t="s">
        <v>16</v>
      </c>
      <c r="H111" s="10" t="s">
        <v>17</v>
      </c>
      <c r="I111" s="10">
        <v>122</v>
      </c>
      <c r="J111" s="10">
        <v>15</v>
      </c>
      <c r="K111" s="10">
        <v>10</v>
      </c>
      <c r="L111" s="11" t="s">
        <v>123</v>
      </c>
      <c r="M111" s="12">
        <v>80</v>
      </c>
      <c r="N111" s="13"/>
      <c r="O111" s="13"/>
    </row>
    <row r="112" spans="1:15" ht="13.05" customHeight="1">
      <c r="A112" s="22" t="s">
        <v>176</v>
      </c>
      <c r="B112" s="8">
        <v>9</v>
      </c>
      <c r="C112" s="8">
        <v>72</v>
      </c>
      <c r="D112" s="8">
        <v>50</v>
      </c>
      <c r="E112" s="8">
        <v>0.6</v>
      </c>
      <c r="F112" s="9">
        <v>111</v>
      </c>
      <c r="G112" s="8" t="s">
        <v>16</v>
      </c>
      <c r="H112" s="10" t="s">
        <v>17</v>
      </c>
      <c r="I112" s="10">
        <v>122</v>
      </c>
      <c r="J112" s="10">
        <v>15</v>
      </c>
      <c r="K112" s="10">
        <v>10</v>
      </c>
      <c r="L112" s="11" t="s">
        <v>107</v>
      </c>
      <c r="M112" s="12">
        <v>289</v>
      </c>
      <c r="N112" s="13"/>
      <c r="O112" s="13"/>
    </row>
    <row r="113" spans="1:15" ht="13.05" customHeight="1">
      <c r="A113" s="22" t="s">
        <v>177</v>
      </c>
      <c r="B113" s="8">
        <v>9</v>
      </c>
      <c r="C113" s="8">
        <v>74</v>
      </c>
      <c r="D113" s="8">
        <v>50</v>
      </c>
      <c r="E113" s="8">
        <v>0.6</v>
      </c>
      <c r="F113" s="9">
        <v>112</v>
      </c>
      <c r="G113" s="8" t="s">
        <v>16</v>
      </c>
      <c r="H113" s="10" t="s">
        <v>17</v>
      </c>
      <c r="I113" s="10">
        <v>122</v>
      </c>
      <c r="J113" s="10">
        <v>15</v>
      </c>
      <c r="K113" s="10">
        <v>10</v>
      </c>
      <c r="L113" s="11" t="s">
        <v>155</v>
      </c>
      <c r="M113" s="12">
        <v>0</v>
      </c>
      <c r="N113" s="13"/>
      <c r="O113" s="13"/>
    </row>
    <row r="114" spans="1:15" ht="13.05" customHeight="1">
      <c r="A114" s="22" t="s">
        <v>178</v>
      </c>
      <c r="B114" s="8">
        <v>9</v>
      </c>
      <c r="C114" s="8">
        <v>65</v>
      </c>
      <c r="D114" s="8">
        <v>50</v>
      </c>
      <c r="E114" s="8">
        <v>0.6</v>
      </c>
      <c r="F114" s="9">
        <v>113</v>
      </c>
      <c r="G114" s="8" t="s">
        <v>16</v>
      </c>
      <c r="H114" s="10" t="s">
        <v>17</v>
      </c>
      <c r="I114" s="10">
        <v>122</v>
      </c>
      <c r="J114" s="10">
        <v>15</v>
      </c>
      <c r="K114" s="10">
        <v>10</v>
      </c>
      <c r="L114" s="11" t="s">
        <v>22</v>
      </c>
      <c r="M114" s="12">
        <v>22</v>
      </c>
      <c r="N114" s="13"/>
      <c r="O114" s="13"/>
    </row>
    <row r="115" spans="1:15" ht="13.05" customHeight="1">
      <c r="A115" s="22" t="s">
        <v>179</v>
      </c>
      <c r="B115" s="8">
        <v>9</v>
      </c>
      <c r="C115" s="8">
        <v>65</v>
      </c>
      <c r="D115" s="8">
        <v>50</v>
      </c>
      <c r="E115" s="8">
        <v>0.6</v>
      </c>
      <c r="F115" s="9">
        <v>114</v>
      </c>
      <c r="G115" s="8" t="s">
        <v>16</v>
      </c>
      <c r="H115" s="10" t="s">
        <v>17</v>
      </c>
      <c r="I115" s="10">
        <v>122</v>
      </c>
      <c r="J115" s="10">
        <v>15</v>
      </c>
      <c r="K115" s="10">
        <v>10</v>
      </c>
      <c r="L115" s="11" t="s">
        <v>22</v>
      </c>
      <c r="M115" s="12">
        <v>28</v>
      </c>
      <c r="N115" s="13"/>
      <c r="O115" s="13"/>
    </row>
    <row r="116" spans="1:15" ht="13.05" customHeight="1">
      <c r="A116" s="22" t="s">
        <v>180</v>
      </c>
      <c r="B116" s="8">
        <v>9</v>
      </c>
      <c r="C116" s="8">
        <v>67</v>
      </c>
      <c r="D116" s="8">
        <v>50</v>
      </c>
      <c r="E116" s="8">
        <v>0.6</v>
      </c>
      <c r="F116" s="9">
        <v>115</v>
      </c>
      <c r="G116" s="8" t="s">
        <v>16</v>
      </c>
      <c r="H116" s="10" t="s">
        <v>17</v>
      </c>
      <c r="I116" s="10">
        <v>122</v>
      </c>
      <c r="J116" s="10">
        <v>15</v>
      </c>
      <c r="K116" s="10">
        <v>10</v>
      </c>
      <c r="L116" s="11" t="s">
        <v>96</v>
      </c>
      <c r="M116" s="12">
        <v>0</v>
      </c>
      <c r="N116" s="13"/>
      <c r="O116" s="13"/>
    </row>
    <row r="117" spans="1:15" ht="13.05" customHeight="1">
      <c r="A117" s="22" t="s">
        <v>181</v>
      </c>
      <c r="B117" s="8">
        <v>9</v>
      </c>
      <c r="C117" s="8">
        <v>70</v>
      </c>
      <c r="D117" s="8">
        <v>50</v>
      </c>
      <c r="E117" s="8">
        <v>0.6</v>
      </c>
      <c r="F117" s="9">
        <v>116</v>
      </c>
      <c r="G117" s="8" t="s">
        <v>16</v>
      </c>
      <c r="H117" s="10" t="s">
        <v>17</v>
      </c>
      <c r="I117" s="10">
        <v>122</v>
      </c>
      <c r="J117" s="10">
        <v>15</v>
      </c>
      <c r="K117" s="10">
        <v>10</v>
      </c>
      <c r="L117" s="11" t="s">
        <v>121</v>
      </c>
      <c r="M117" s="12">
        <v>0</v>
      </c>
      <c r="N117" s="13"/>
      <c r="O117" s="13"/>
    </row>
    <row r="118" spans="1:15" ht="13.05" customHeight="1">
      <c r="A118" s="23" t="s">
        <v>182</v>
      </c>
      <c r="B118" s="20">
        <v>9</v>
      </c>
      <c r="C118" s="8">
        <v>80</v>
      </c>
      <c r="D118" s="20">
        <v>50</v>
      </c>
      <c r="E118" s="20">
        <v>0.6</v>
      </c>
      <c r="F118" s="9">
        <v>117</v>
      </c>
      <c r="G118" s="8" t="s">
        <v>16</v>
      </c>
      <c r="H118" s="10" t="s">
        <v>17</v>
      </c>
      <c r="I118" s="10">
        <v>122</v>
      </c>
      <c r="J118" s="10">
        <v>15</v>
      </c>
      <c r="K118" s="10">
        <v>10</v>
      </c>
      <c r="L118" s="11" t="e">
        <v>#N/A</v>
      </c>
      <c r="M118" s="12">
        <v>11</v>
      </c>
      <c r="N118" s="13" t="s">
        <v>18</v>
      </c>
      <c r="O118" s="13" t="s">
        <v>183</v>
      </c>
    </row>
    <row r="119" spans="1:15" ht="13.05" customHeight="1">
      <c r="A119" s="23" t="s">
        <v>184</v>
      </c>
      <c r="B119" s="20">
        <v>9</v>
      </c>
      <c r="C119" s="8">
        <v>80</v>
      </c>
      <c r="D119" s="20">
        <v>50</v>
      </c>
      <c r="E119" s="20">
        <v>0.6</v>
      </c>
      <c r="F119" s="9">
        <v>118</v>
      </c>
      <c r="G119" s="8" t="s">
        <v>16</v>
      </c>
      <c r="H119" s="10" t="s">
        <v>17</v>
      </c>
      <c r="I119" s="10">
        <v>122</v>
      </c>
      <c r="J119" s="10">
        <v>15</v>
      </c>
      <c r="K119" s="10">
        <v>10</v>
      </c>
      <c r="L119" s="11" t="e">
        <v>#N/A</v>
      </c>
      <c r="M119" s="12">
        <v>22</v>
      </c>
      <c r="N119" s="13" t="s">
        <v>18</v>
      </c>
      <c r="O119" s="13" t="s">
        <v>183</v>
      </c>
    </row>
    <row r="120" spans="1:15" ht="13.05" customHeight="1">
      <c r="A120" s="23" t="s">
        <v>185</v>
      </c>
      <c r="B120" s="20">
        <v>9</v>
      </c>
      <c r="C120" s="8">
        <v>80</v>
      </c>
      <c r="D120" s="20">
        <v>50</v>
      </c>
      <c r="E120" s="20">
        <v>0.6</v>
      </c>
      <c r="F120" s="9">
        <v>119</v>
      </c>
      <c r="G120" s="8" t="s">
        <v>16</v>
      </c>
      <c r="H120" s="10" t="s">
        <v>17</v>
      </c>
      <c r="I120" s="10">
        <v>122</v>
      </c>
      <c r="J120" s="10">
        <v>15</v>
      </c>
      <c r="K120" s="10">
        <v>10</v>
      </c>
      <c r="L120" s="11" t="e">
        <v>#N/A</v>
      </c>
      <c r="M120" s="12">
        <v>21</v>
      </c>
      <c r="N120" s="13" t="s">
        <v>18</v>
      </c>
      <c r="O120" s="13" t="s">
        <v>183</v>
      </c>
    </row>
    <row r="121" spans="1:15">
      <c r="A121" s="22" t="s">
        <v>186</v>
      </c>
      <c r="B121" s="8">
        <v>9</v>
      </c>
      <c r="C121" s="8">
        <v>46</v>
      </c>
      <c r="D121" s="8">
        <v>50</v>
      </c>
      <c r="E121" s="8">
        <v>0.6</v>
      </c>
      <c r="F121" s="9">
        <v>120</v>
      </c>
      <c r="G121" s="8" t="s">
        <v>16</v>
      </c>
      <c r="H121" s="10" t="s">
        <v>17</v>
      </c>
      <c r="I121" s="10">
        <v>122</v>
      </c>
      <c r="J121" s="10">
        <v>15</v>
      </c>
      <c r="K121" s="10">
        <v>10</v>
      </c>
      <c r="L121" s="11" t="s">
        <v>109</v>
      </c>
      <c r="M121" s="12">
        <v>10</v>
      </c>
      <c r="N121" s="13"/>
      <c r="O121" s="13"/>
    </row>
    <row r="122" spans="1:15">
      <c r="A122" s="22" t="s">
        <v>187</v>
      </c>
      <c r="B122" s="8">
        <v>9</v>
      </c>
      <c r="C122" s="8">
        <v>47</v>
      </c>
      <c r="D122" s="8">
        <v>50</v>
      </c>
      <c r="E122" s="8">
        <v>0.6</v>
      </c>
      <c r="F122" s="9">
        <v>121</v>
      </c>
      <c r="G122" s="8" t="s">
        <v>16</v>
      </c>
      <c r="H122" s="10" t="s">
        <v>17</v>
      </c>
      <c r="I122" s="10">
        <v>122</v>
      </c>
      <c r="J122" s="10">
        <v>15</v>
      </c>
      <c r="K122" s="10">
        <v>10</v>
      </c>
      <c r="L122" s="11" t="s">
        <v>188</v>
      </c>
      <c r="M122" s="12">
        <v>0</v>
      </c>
      <c r="N122" s="13"/>
      <c r="O122" s="13"/>
    </row>
    <row r="123" spans="1:15">
      <c r="A123" s="22" t="s">
        <v>189</v>
      </c>
      <c r="B123" s="8">
        <v>9</v>
      </c>
      <c r="C123" s="8">
        <v>46</v>
      </c>
      <c r="D123" s="8">
        <v>50</v>
      </c>
      <c r="E123" s="8">
        <v>0.6</v>
      </c>
      <c r="F123" s="9">
        <v>122</v>
      </c>
      <c r="G123" s="8" t="s">
        <v>16</v>
      </c>
      <c r="H123" s="10" t="s">
        <v>17</v>
      </c>
      <c r="I123" s="10">
        <v>122</v>
      </c>
      <c r="J123" s="10">
        <v>15</v>
      </c>
      <c r="K123" s="10">
        <v>10</v>
      </c>
      <c r="L123" s="11" t="s">
        <v>109</v>
      </c>
      <c r="M123" s="12">
        <v>314</v>
      </c>
      <c r="N123" s="13"/>
      <c r="O123" s="13"/>
    </row>
    <row r="124" spans="1:15">
      <c r="A124" s="22" t="s">
        <v>190</v>
      </c>
      <c r="B124" s="8">
        <v>9</v>
      </c>
      <c r="C124" s="8">
        <v>51</v>
      </c>
      <c r="D124" s="8">
        <v>50</v>
      </c>
      <c r="E124" s="8">
        <v>0.6</v>
      </c>
      <c r="F124" s="9">
        <v>123</v>
      </c>
      <c r="G124" s="8" t="s">
        <v>16</v>
      </c>
      <c r="H124" s="10" t="s">
        <v>17</v>
      </c>
      <c r="I124" s="10">
        <v>122</v>
      </c>
      <c r="J124" s="10">
        <v>15</v>
      </c>
      <c r="K124" s="10">
        <v>10</v>
      </c>
      <c r="L124" s="11" t="s">
        <v>191</v>
      </c>
      <c r="M124" s="12">
        <v>0</v>
      </c>
      <c r="N124" s="13"/>
      <c r="O124" s="13"/>
    </row>
    <row r="125" spans="1:15">
      <c r="A125" s="22" t="s">
        <v>192</v>
      </c>
      <c r="B125" s="8">
        <v>9</v>
      </c>
      <c r="C125" s="8">
        <v>48</v>
      </c>
      <c r="D125" s="8">
        <v>50</v>
      </c>
      <c r="E125" s="8">
        <v>0.6</v>
      </c>
      <c r="F125" s="9">
        <v>124</v>
      </c>
      <c r="G125" s="8" t="s">
        <v>16</v>
      </c>
      <c r="H125" s="10" t="s">
        <v>17</v>
      </c>
      <c r="I125" s="10">
        <v>122</v>
      </c>
      <c r="J125" s="10">
        <v>15</v>
      </c>
      <c r="K125" s="10">
        <v>10</v>
      </c>
      <c r="L125" s="11" t="s">
        <v>193</v>
      </c>
      <c r="M125" s="12">
        <v>11</v>
      </c>
      <c r="N125" s="13"/>
      <c r="O125" s="13"/>
    </row>
    <row r="126" spans="1:15">
      <c r="A126" s="22" t="s">
        <v>194</v>
      </c>
      <c r="B126" s="8">
        <v>9</v>
      </c>
      <c r="C126" s="8">
        <v>47</v>
      </c>
      <c r="D126" s="8">
        <v>50</v>
      </c>
      <c r="E126" s="8">
        <v>0.6</v>
      </c>
      <c r="F126" s="9">
        <v>125</v>
      </c>
      <c r="G126" s="8" t="s">
        <v>16</v>
      </c>
      <c r="H126" s="10" t="s">
        <v>17</v>
      </c>
      <c r="I126" s="10">
        <v>122</v>
      </c>
      <c r="J126" s="10">
        <v>15</v>
      </c>
      <c r="K126" s="10">
        <v>10</v>
      </c>
      <c r="L126" s="11" t="s">
        <v>188</v>
      </c>
      <c r="M126" s="12">
        <v>54</v>
      </c>
      <c r="N126" s="13"/>
      <c r="O126" s="13"/>
    </row>
    <row r="127" spans="1:15">
      <c r="A127" s="22" t="s">
        <v>195</v>
      </c>
      <c r="B127" s="8">
        <v>9</v>
      </c>
      <c r="C127" s="8">
        <v>47</v>
      </c>
      <c r="D127" s="8">
        <v>50</v>
      </c>
      <c r="E127" s="8">
        <v>0.6</v>
      </c>
      <c r="F127" s="9">
        <v>126</v>
      </c>
      <c r="G127" s="8" t="s">
        <v>16</v>
      </c>
      <c r="H127" s="10" t="s">
        <v>17</v>
      </c>
      <c r="I127" s="10">
        <v>122</v>
      </c>
      <c r="J127" s="10">
        <v>15</v>
      </c>
      <c r="K127" s="10">
        <v>10</v>
      </c>
      <c r="L127" s="11" t="s">
        <v>188</v>
      </c>
      <c r="M127" s="12">
        <v>24</v>
      </c>
      <c r="N127" s="13"/>
      <c r="O127" s="13"/>
    </row>
    <row r="128" spans="1:15">
      <c r="A128" s="22" t="s">
        <v>196</v>
      </c>
      <c r="B128" s="8">
        <v>9</v>
      </c>
      <c r="C128" s="8">
        <v>51</v>
      </c>
      <c r="D128" s="8">
        <v>50</v>
      </c>
      <c r="E128" s="8">
        <v>0.6</v>
      </c>
      <c r="F128" s="9">
        <v>127</v>
      </c>
      <c r="G128" s="8" t="s">
        <v>16</v>
      </c>
      <c r="H128" s="10" t="s">
        <v>17</v>
      </c>
      <c r="I128" s="10">
        <v>122</v>
      </c>
      <c r="J128" s="10">
        <v>15</v>
      </c>
      <c r="K128" s="10">
        <v>10</v>
      </c>
      <c r="L128" s="11" t="s">
        <v>191</v>
      </c>
      <c r="M128" s="12">
        <v>9</v>
      </c>
      <c r="N128" s="13"/>
      <c r="O128" s="13"/>
    </row>
    <row r="129" spans="1:15">
      <c r="A129" s="22" t="s">
        <v>197</v>
      </c>
      <c r="B129" s="8">
        <v>9</v>
      </c>
      <c r="C129" s="8">
        <v>59</v>
      </c>
      <c r="D129" s="8">
        <v>50</v>
      </c>
      <c r="E129" s="8">
        <v>0.6</v>
      </c>
      <c r="F129" s="9">
        <v>128</v>
      </c>
      <c r="G129" s="8" t="s">
        <v>16</v>
      </c>
      <c r="H129" s="10" t="s">
        <v>17</v>
      </c>
      <c r="I129" s="10">
        <v>122</v>
      </c>
      <c r="J129" s="10">
        <v>15</v>
      </c>
      <c r="K129" s="10">
        <v>10</v>
      </c>
      <c r="L129" s="11" t="s">
        <v>111</v>
      </c>
      <c r="M129" s="12">
        <v>221</v>
      </c>
      <c r="N129" s="13"/>
      <c r="O129" s="13"/>
    </row>
    <row r="130" spans="1:15">
      <c r="A130" s="22" t="s">
        <v>198</v>
      </c>
      <c r="B130" s="8">
        <v>9</v>
      </c>
      <c r="C130" s="8">
        <v>60</v>
      </c>
      <c r="D130" s="8">
        <v>50</v>
      </c>
      <c r="E130" s="8">
        <v>0.6</v>
      </c>
      <c r="F130" s="9">
        <v>129</v>
      </c>
      <c r="G130" s="8" t="s">
        <v>16</v>
      </c>
      <c r="H130" s="10" t="s">
        <v>17</v>
      </c>
      <c r="I130" s="10">
        <v>122</v>
      </c>
      <c r="J130" s="10">
        <v>15</v>
      </c>
      <c r="K130" s="10">
        <v>10</v>
      </c>
      <c r="L130" s="11" t="s">
        <v>113</v>
      </c>
      <c r="M130" s="12">
        <v>8</v>
      </c>
      <c r="N130" s="13"/>
      <c r="O130" s="13"/>
    </row>
    <row r="131" spans="1:15">
      <c r="A131" s="22" t="s">
        <v>199</v>
      </c>
      <c r="B131" s="8">
        <v>9</v>
      </c>
      <c r="C131" s="8">
        <v>61</v>
      </c>
      <c r="D131" s="8">
        <v>50</v>
      </c>
      <c r="E131" s="8">
        <v>0.6</v>
      </c>
      <c r="F131" s="9">
        <v>130</v>
      </c>
      <c r="G131" s="8" t="s">
        <v>16</v>
      </c>
      <c r="H131" s="10" t="s">
        <v>17</v>
      </c>
      <c r="I131" s="10">
        <v>122</v>
      </c>
      <c r="J131" s="10">
        <v>15</v>
      </c>
      <c r="K131" s="10">
        <v>10</v>
      </c>
      <c r="L131" s="11" t="s">
        <v>115</v>
      </c>
      <c r="M131" s="12">
        <v>30</v>
      </c>
      <c r="N131" s="13"/>
      <c r="O131" s="13"/>
    </row>
    <row r="132" spans="1:15">
      <c r="A132" s="22" t="s">
        <v>200</v>
      </c>
      <c r="B132" s="8">
        <v>9</v>
      </c>
      <c r="C132" s="8">
        <v>60</v>
      </c>
      <c r="D132" s="8">
        <v>50</v>
      </c>
      <c r="E132" s="8">
        <v>0.6</v>
      </c>
      <c r="F132" s="9">
        <v>131</v>
      </c>
      <c r="G132" s="8" t="s">
        <v>16</v>
      </c>
      <c r="H132" s="10" t="s">
        <v>17</v>
      </c>
      <c r="I132" s="10">
        <v>122</v>
      </c>
      <c r="J132" s="10">
        <v>15</v>
      </c>
      <c r="K132" s="10">
        <v>10</v>
      </c>
      <c r="L132" s="11" t="s">
        <v>113</v>
      </c>
      <c r="M132" s="12">
        <v>90</v>
      </c>
      <c r="N132" s="13"/>
      <c r="O132" s="13"/>
    </row>
    <row r="133" spans="1:15">
      <c r="A133" s="22" t="s">
        <v>201</v>
      </c>
      <c r="B133" s="8">
        <v>9</v>
      </c>
      <c r="C133" s="8">
        <v>62</v>
      </c>
      <c r="D133" s="8">
        <v>50</v>
      </c>
      <c r="E133" s="8">
        <v>0.6</v>
      </c>
      <c r="F133" s="9">
        <v>132</v>
      </c>
      <c r="G133" s="8" t="s">
        <v>16</v>
      </c>
      <c r="H133" s="10" t="s">
        <v>17</v>
      </c>
      <c r="I133" s="10">
        <v>122</v>
      </c>
      <c r="J133" s="10">
        <v>15</v>
      </c>
      <c r="K133" s="10">
        <v>10</v>
      </c>
      <c r="L133" s="11" t="s">
        <v>202</v>
      </c>
      <c r="M133" s="12">
        <v>9</v>
      </c>
      <c r="N133" s="13"/>
      <c r="O133" s="13"/>
    </row>
    <row r="134" spans="1:15">
      <c r="A134" s="22" t="s">
        <v>203</v>
      </c>
      <c r="B134" s="8">
        <v>9</v>
      </c>
      <c r="C134" s="8">
        <v>62</v>
      </c>
      <c r="D134" s="8">
        <v>50</v>
      </c>
      <c r="E134" s="8">
        <v>0.6</v>
      </c>
      <c r="F134" s="9">
        <v>133</v>
      </c>
      <c r="G134" s="8" t="s">
        <v>16</v>
      </c>
      <c r="H134" s="10" t="s">
        <v>17</v>
      </c>
      <c r="I134" s="10">
        <v>122</v>
      </c>
      <c r="J134" s="10">
        <v>15</v>
      </c>
      <c r="K134" s="10">
        <v>10</v>
      </c>
      <c r="L134" s="11" t="s">
        <v>202</v>
      </c>
      <c r="M134" s="12">
        <v>13</v>
      </c>
      <c r="N134" s="13"/>
      <c r="O134" s="13"/>
    </row>
    <row r="135" spans="1:15">
      <c r="A135" s="22" t="s">
        <v>204</v>
      </c>
      <c r="B135" s="8">
        <v>9</v>
      </c>
      <c r="C135" s="8">
        <v>59</v>
      </c>
      <c r="D135" s="8">
        <v>50</v>
      </c>
      <c r="E135" s="8">
        <v>0.6</v>
      </c>
      <c r="F135" s="9">
        <v>134</v>
      </c>
      <c r="G135" s="8" t="s">
        <v>16</v>
      </c>
      <c r="H135" s="10" t="s">
        <v>17</v>
      </c>
      <c r="I135" s="10">
        <v>122</v>
      </c>
      <c r="J135" s="10">
        <v>15</v>
      </c>
      <c r="K135" s="10">
        <v>10</v>
      </c>
      <c r="L135" s="11" t="s">
        <v>111</v>
      </c>
      <c r="M135" s="12">
        <v>0</v>
      </c>
      <c r="N135" s="13"/>
      <c r="O135" s="13"/>
    </row>
    <row r="136" spans="1:15">
      <c r="A136" s="22" t="s">
        <v>205</v>
      </c>
      <c r="B136" s="8">
        <v>9</v>
      </c>
      <c r="C136" s="8">
        <v>69</v>
      </c>
      <c r="D136" s="8">
        <v>50</v>
      </c>
      <c r="E136" s="8">
        <v>0.6</v>
      </c>
      <c r="F136" s="9">
        <v>135</v>
      </c>
      <c r="G136" s="8" t="s">
        <v>16</v>
      </c>
      <c r="H136" s="10" t="s">
        <v>17</v>
      </c>
      <c r="I136" s="10">
        <v>122</v>
      </c>
      <c r="J136" s="10">
        <v>15</v>
      </c>
      <c r="K136" s="10">
        <v>10</v>
      </c>
      <c r="L136" s="11" t="s">
        <v>123</v>
      </c>
      <c r="M136" s="12">
        <v>544</v>
      </c>
      <c r="N136" s="13"/>
      <c r="O136" s="13"/>
    </row>
    <row r="137" spans="1:15">
      <c r="A137" s="22" t="s">
        <v>206</v>
      </c>
      <c r="B137" s="8">
        <v>9</v>
      </c>
      <c r="C137" s="8">
        <v>67</v>
      </c>
      <c r="D137" s="8">
        <v>50</v>
      </c>
      <c r="E137" s="8">
        <v>0.6</v>
      </c>
      <c r="F137" s="9">
        <v>136</v>
      </c>
      <c r="G137" s="8" t="s">
        <v>16</v>
      </c>
      <c r="H137" s="10" t="s">
        <v>17</v>
      </c>
      <c r="I137" s="10">
        <v>122</v>
      </c>
      <c r="J137" s="10">
        <v>15</v>
      </c>
      <c r="K137" s="10">
        <v>10</v>
      </c>
      <c r="L137" s="11" t="s">
        <v>96</v>
      </c>
      <c r="M137" s="12">
        <v>16</v>
      </c>
      <c r="N137" s="13"/>
      <c r="O137" s="13"/>
    </row>
    <row r="138" spans="1:15">
      <c r="A138" s="22" t="s">
        <v>207</v>
      </c>
      <c r="B138" s="8">
        <v>9</v>
      </c>
      <c r="C138" s="8">
        <v>68</v>
      </c>
      <c r="D138" s="8">
        <v>50</v>
      </c>
      <c r="E138" s="8">
        <v>0.6</v>
      </c>
      <c r="F138" s="9">
        <v>137</v>
      </c>
      <c r="G138" s="8" t="s">
        <v>16</v>
      </c>
      <c r="H138" s="10" t="s">
        <v>17</v>
      </c>
      <c r="I138" s="10">
        <v>122</v>
      </c>
      <c r="J138" s="10">
        <v>15</v>
      </c>
      <c r="K138" s="10">
        <v>10</v>
      </c>
      <c r="L138" s="11" t="s">
        <v>118</v>
      </c>
      <c r="M138" s="12">
        <v>1559</v>
      </c>
      <c r="N138" s="13"/>
      <c r="O138" s="13"/>
    </row>
    <row r="139" spans="1:15">
      <c r="A139" s="22" t="s">
        <v>208</v>
      </c>
      <c r="B139" s="8">
        <v>9</v>
      </c>
      <c r="C139" s="8">
        <v>70</v>
      </c>
      <c r="D139" s="8">
        <v>50</v>
      </c>
      <c r="E139" s="8">
        <v>0.6</v>
      </c>
      <c r="F139" s="9">
        <v>138</v>
      </c>
      <c r="G139" s="8" t="s">
        <v>16</v>
      </c>
      <c r="H139" s="10" t="s">
        <v>17</v>
      </c>
      <c r="I139" s="10">
        <v>122</v>
      </c>
      <c r="J139" s="10">
        <v>15</v>
      </c>
      <c r="K139" s="10">
        <v>10</v>
      </c>
      <c r="L139" s="11" t="s">
        <v>121</v>
      </c>
      <c r="M139" s="12">
        <v>602</v>
      </c>
      <c r="N139" s="13"/>
      <c r="O139" s="13"/>
    </row>
    <row r="140" spans="1:15">
      <c r="A140" s="22" t="s">
        <v>209</v>
      </c>
      <c r="B140" s="8">
        <v>9</v>
      </c>
      <c r="C140" s="8">
        <v>70</v>
      </c>
      <c r="D140" s="8">
        <v>50</v>
      </c>
      <c r="E140" s="8">
        <v>0.6</v>
      </c>
      <c r="F140" s="9">
        <v>139</v>
      </c>
      <c r="G140" s="8" t="s">
        <v>16</v>
      </c>
      <c r="H140" s="10" t="s">
        <v>17</v>
      </c>
      <c r="I140" s="10">
        <v>122</v>
      </c>
      <c r="J140" s="10">
        <v>15</v>
      </c>
      <c r="K140" s="10">
        <v>10</v>
      </c>
      <c r="L140" s="11" t="s">
        <v>121</v>
      </c>
      <c r="M140" s="12">
        <v>881</v>
      </c>
      <c r="N140" s="13"/>
      <c r="O140" s="13"/>
    </row>
    <row r="141" spans="1:15">
      <c r="A141" s="22" t="s">
        <v>210</v>
      </c>
      <c r="B141" s="8">
        <v>9</v>
      </c>
      <c r="C141" s="8">
        <v>70</v>
      </c>
      <c r="D141" s="8">
        <v>50</v>
      </c>
      <c r="E141" s="8">
        <v>0.6</v>
      </c>
      <c r="F141" s="9">
        <v>140</v>
      </c>
      <c r="G141" s="8" t="s">
        <v>16</v>
      </c>
      <c r="H141" s="10" t="s">
        <v>17</v>
      </c>
      <c r="I141" s="10">
        <v>122</v>
      </c>
      <c r="J141" s="10">
        <v>15</v>
      </c>
      <c r="K141" s="10">
        <v>10</v>
      </c>
      <c r="L141" s="11" t="s">
        <v>121</v>
      </c>
      <c r="M141" s="12">
        <v>440</v>
      </c>
      <c r="N141" s="13"/>
      <c r="O141" s="13"/>
    </row>
    <row r="142" spans="1:15">
      <c r="A142" s="22" t="s">
        <v>211</v>
      </c>
      <c r="B142" s="8">
        <v>9</v>
      </c>
      <c r="C142" s="8">
        <v>77</v>
      </c>
      <c r="D142" s="8">
        <v>50</v>
      </c>
      <c r="E142" s="8">
        <v>0.6</v>
      </c>
      <c r="F142" s="9">
        <v>141</v>
      </c>
      <c r="G142" s="8" t="s">
        <v>16</v>
      </c>
      <c r="H142" s="10" t="s">
        <v>17</v>
      </c>
      <c r="I142" s="10">
        <v>122</v>
      </c>
      <c r="J142" s="10">
        <v>15</v>
      </c>
      <c r="K142" s="10">
        <v>10</v>
      </c>
      <c r="L142" s="11" t="s">
        <v>56</v>
      </c>
      <c r="M142" s="12">
        <v>52</v>
      </c>
      <c r="N142" s="13"/>
      <c r="O142" s="13"/>
    </row>
    <row r="143" spans="1:15">
      <c r="A143" s="22" t="s">
        <v>212</v>
      </c>
      <c r="B143" s="8">
        <v>9</v>
      </c>
      <c r="C143" s="8">
        <v>77</v>
      </c>
      <c r="D143" s="8">
        <v>50</v>
      </c>
      <c r="E143" s="8">
        <v>0.6</v>
      </c>
      <c r="F143" s="9">
        <v>142</v>
      </c>
      <c r="G143" s="8" t="s">
        <v>16</v>
      </c>
      <c r="H143" s="10" t="s">
        <v>17</v>
      </c>
      <c r="I143" s="10">
        <v>122</v>
      </c>
      <c r="J143" s="10">
        <v>15</v>
      </c>
      <c r="K143" s="10">
        <v>10</v>
      </c>
      <c r="L143" s="11" t="s">
        <v>56</v>
      </c>
      <c r="M143" s="12">
        <v>51</v>
      </c>
      <c r="N143" s="13"/>
      <c r="O143" s="13"/>
    </row>
    <row r="144" spans="1:15">
      <c r="A144" s="22" t="s">
        <v>213</v>
      </c>
      <c r="B144" s="8">
        <v>9</v>
      </c>
      <c r="C144" s="8">
        <v>78</v>
      </c>
      <c r="D144" s="8">
        <v>50</v>
      </c>
      <c r="E144" s="8">
        <v>0.6</v>
      </c>
      <c r="F144" s="9">
        <v>143</v>
      </c>
      <c r="G144" s="8" t="s">
        <v>16</v>
      </c>
      <c r="H144" s="10" t="s">
        <v>17</v>
      </c>
      <c r="I144" s="10">
        <v>122</v>
      </c>
      <c r="J144" s="10">
        <v>15</v>
      </c>
      <c r="K144" s="10">
        <v>10</v>
      </c>
      <c r="L144" s="11" t="s">
        <v>129</v>
      </c>
      <c r="M144" s="12">
        <v>0</v>
      </c>
      <c r="N144" s="13"/>
      <c r="O144" s="13"/>
    </row>
    <row r="145" spans="1:15">
      <c r="A145" s="22" t="s">
        <v>214</v>
      </c>
      <c r="B145" s="8">
        <v>9</v>
      </c>
      <c r="C145" s="8">
        <v>78</v>
      </c>
      <c r="D145" s="8">
        <v>50</v>
      </c>
      <c r="E145" s="8">
        <v>0.6</v>
      </c>
      <c r="F145" s="9">
        <v>144</v>
      </c>
      <c r="G145" s="8" t="s">
        <v>16</v>
      </c>
      <c r="H145" s="10" t="s">
        <v>17</v>
      </c>
      <c r="I145" s="10">
        <v>122</v>
      </c>
      <c r="J145" s="10">
        <v>15</v>
      </c>
      <c r="K145" s="10">
        <v>10</v>
      </c>
      <c r="L145" s="11" t="s">
        <v>129</v>
      </c>
      <c r="M145" s="12">
        <v>414</v>
      </c>
      <c r="N145" s="13"/>
      <c r="O145" s="13"/>
    </row>
    <row r="146" spans="1:15">
      <c r="A146" s="22" t="s">
        <v>215</v>
      </c>
      <c r="B146" s="8">
        <v>9</v>
      </c>
      <c r="C146" s="8">
        <v>79</v>
      </c>
      <c r="D146" s="8">
        <v>50</v>
      </c>
      <c r="E146" s="8">
        <v>0.6</v>
      </c>
      <c r="F146" s="9">
        <v>145</v>
      </c>
      <c r="G146" s="8" t="s">
        <v>16</v>
      </c>
      <c r="H146" s="10" t="s">
        <v>17</v>
      </c>
      <c r="I146" s="10">
        <v>122</v>
      </c>
      <c r="J146" s="10">
        <v>15</v>
      </c>
      <c r="K146" s="10">
        <v>10</v>
      </c>
      <c r="L146" s="11" t="s">
        <v>146</v>
      </c>
      <c r="M146" s="12">
        <v>635</v>
      </c>
      <c r="N146" s="13"/>
      <c r="O146" s="13"/>
    </row>
    <row r="147" spans="1:15">
      <c r="A147" s="22" t="s">
        <v>216</v>
      </c>
      <c r="B147" s="8">
        <v>9</v>
      </c>
      <c r="C147" s="8">
        <v>78</v>
      </c>
      <c r="D147" s="8">
        <v>50</v>
      </c>
      <c r="E147" s="8">
        <v>0.6</v>
      </c>
      <c r="F147" s="9">
        <v>146</v>
      </c>
      <c r="G147" s="8" t="s">
        <v>16</v>
      </c>
      <c r="H147" s="10" t="s">
        <v>17</v>
      </c>
      <c r="I147" s="10">
        <v>122</v>
      </c>
      <c r="J147" s="10">
        <v>15</v>
      </c>
      <c r="K147" s="10">
        <v>10</v>
      </c>
      <c r="L147" s="11" t="s">
        <v>129</v>
      </c>
      <c r="M147" s="12">
        <v>565</v>
      </c>
      <c r="N147" s="13"/>
      <c r="O147" s="13"/>
    </row>
    <row r="148" spans="1:15">
      <c r="A148" s="22" t="s">
        <v>217</v>
      </c>
      <c r="B148" s="8">
        <v>9</v>
      </c>
      <c r="C148" s="8">
        <v>79</v>
      </c>
      <c r="D148" s="8">
        <v>50</v>
      </c>
      <c r="E148" s="8">
        <v>0.6</v>
      </c>
      <c r="F148" s="9">
        <v>147</v>
      </c>
      <c r="G148" s="8" t="s">
        <v>16</v>
      </c>
      <c r="H148" s="10" t="s">
        <v>17</v>
      </c>
      <c r="I148" s="10">
        <v>122</v>
      </c>
      <c r="J148" s="10">
        <v>15</v>
      </c>
      <c r="K148" s="10">
        <v>10</v>
      </c>
      <c r="L148" s="11" t="s">
        <v>146</v>
      </c>
      <c r="M148" s="12">
        <v>62</v>
      </c>
      <c r="N148" s="13"/>
      <c r="O148" s="13"/>
    </row>
    <row r="149" spans="1:15">
      <c r="A149" s="22" t="s">
        <v>218</v>
      </c>
      <c r="B149" s="8">
        <v>9</v>
      </c>
      <c r="C149" s="8">
        <v>84</v>
      </c>
      <c r="D149" s="8">
        <v>50</v>
      </c>
      <c r="E149" s="8">
        <v>0.6</v>
      </c>
      <c r="F149" s="9">
        <v>148</v>
      </c>
      <c r="G149" s="8" t="s">
        <v>16</v>
      </c>
      <c r="H149" s="10" t="s">
        <v>17</v>
      </c>
      <c r="I149" s="10">
        <v>122</v>
      </c>
      <c r="J149" s="10">
        <v>15</v>
      </c>
      <c r="K149" s="10">
        <v>10</v>
      </c>
      <c r="L149" s="11" t="s">
        <v>60</v>
      </c>
      <c r="M149" s="12">
        <v>7</v>
      </c>
      <c r="N149" s="13"/>
      <c r="O149" s="13"/>
    </row>
    <row r="150" spans="1:15">
      <c r="A150" s="22" t="s">
        <v>219</v>
      </c>
      <c r="B150" s="8">
        <v>9</v>
      </c>
      <c r="C150" s="8">
        <v>86</v>
      </c>
      <c r="D150" s="8">
        <v>50</v>
      </c>
      <c r="E150" s="8">
        <v>0.6</v>
      </c>
      <c r="F150" s="9">
        <v>149</v>
      </c>
      <c r="G150" s="8" t="s">
        <v>16</v>
      </c>
      <c r="H150" s="10" t="s">
        <v>17</v>
      </c>
      <c r="I150" s="10">
        <v>122</v>
      </c>
      <c r="J150" s="10">
        <v>15</v>
      </c>
      <c r="K150" s="10">
        <v>10</v>
      </c>
      <c r="L150" s="11" t="s">
        <v>220</v>
      </c>
      <c r="M150" s="12">
        <v>0</v>
      </c>
      <c r="N150" s="13"/>
      <c r="O150" s="13"/>
    </row>
    <row r="151" spans="1:15">
      <c r="A151" s="22" t="s">
        <v>221</v>
      </c>
      <c r="B151" s="8">
        <v>9</v>
      </c>
      <c r="C151" s="8">
        <v>85</v>
      </c>
      <c r="D151" s="8">
        <v>50</v>
      </c>
      <c r="E151" s="8">
        <v>0.6</v>
      </c>
      <c r="F151" s="9">
        <v>150</v>
      </c>
      <c r="G151" s="8" t="s">
        <v>16</v>
      </c>
      <c r="H151" s="10" t="s">
        <v>17</v>
      </c>
      <c r="I151" s="10">
        <v>122</v>
      </c>
      <c r="J151" s="10">
        <v>15</v>
      </c>
      <c r="K151" s="10">
        <v>10</v>
      </c>
      <c r="L151" s="11" t="s">
        <v>62</v>
      </c>
      <c r="M151" s="12">
        <v>33</v>
      </c>
      <c r="N151" s="13"/>
      <c r="O151" s="13"/>
    </row>
    <row r="152" spans="1:15">
      <c r="A152" s="22" t="s">
        <v>222</v>
      </c>
      <c r="B152" s="8">
        <v>9</v>
      </c>
      <c r="C152" s="8">
        <v>78</v>
      </c>
      <c r="D152" s="8">
        <v>50</v>
      </c>
      <c r="E152" s="8">
        <v>0.6</v>
      </c>
      <c r="F152" s="9">
        <v>151</v>
      </c>
      <c r="G152" s="8" t="s">
        <v>16</v>
      </c>
      <c r="H152" s="10" t="s">
        <v>17</v>
      </c>
      <c r="I152" s="10">
        <v>122</v>
      </c>
      <c r="J152" s="10">
        <v>15</v>
      </c>
      <c r="K152" s="10">
        <v>10</v>
      </c>
      <c r="L152" s="11" t="s">
        <v>129</v>
      </c>
      <c r="M152" s="12">
        <v>16</v>
      </c>
      <c r="N152" s="13"/>
      <c r="O152" s="13"/>
    </row>
    <row r="153" spans="1:15">
      <c r="A153" s="22" t="s">
        <v>223</v>
      </c>
      <c r="B153" s="8">
        <v>9</v>
      </c>
      <c r="C153" s="8">
        <v>84</v>
      </c>
      <c r="D153" s="8">
        <v>50</v>
      </c>
      <c r="E153" s="8">
        <v>0.6</v>
      </c>
      <c r="F153" s="9">
        <v>152</v>
      </c>
      <c r="G153" s="8" t="s">
        <v>16</v>
      </c>
      <c r="H153" s="10" t="s">
        <v>17</v>
      </c>
      <c r="I153" s="10">
        <v>122</v>
      </c>
      <c r="J153" s="10">
        <v>15</v>
      </c>
      <c r="K153" s="10">
        <v>10</v>
      </c>
      <c r="L153" s="11" t="s">
        <v>60</v>
      </c>
      <c r="M153" s="12">
        <v>43</v>
      </c>
      <c r="N153" s="13"/>
      <c r="O153" s="13"/>
    </row>
    <row r="154" spans="1:15">
      <c r="A154" s="22" t="s">
        <v>224</v>
      </c>
      <c r="B154" s="8">
        <v>9</v>
      </c>
      <c r="C154" s="8">
        <v>85</v>
      </c>
      <c r="D154" s="8">
        <v>50</v>
      </c>
      <c r="E154" s="8">
        <v>0.6</v>
      </c>
      <c r="F154" s="9">
        <v>153</v>
      </c>
      <c r="G154" s="8" t="s">
        <v>16</v>
      </c>
      <c r="H154" s="10" t="s">
        <v>17</v>
      </c>
      <c r="I154" s="10">
        <v>122</v>
      </c>
      <c r="J154" s="10">
        <v>15</v>
      </c>
      <c r="K154" s="10">
        <v>10</v>
      </c>
      <c r="L154" s="11" t="s">
        <v>62</v>
      </c>
      <c r="M154" s="12">
        <v>98</v>
      </c>
      <c r="N154" s="13"/>
      <c r="O154" s="13"/>
    </row>
    <row r="155" spans="1:15">
      <c r="A155" s="22" t="s">
        <v>225</v>
      </c>
      <c r="B155" s="8">
        <v>9</v>
      </c>
      <c r="C155" s="8">
        <v>85</v>
      </c>
      <c r="D155" s="8">
        <v>50</v>
      </c>
      <c r="E155" s="8">
        <v>0.6</v>
      </c>
      <c r="F155" s="9">
        <v>154</v>
      </c>
      <c r="G155" s="8" t="s">
        <v>16</v>
      </c>
      <c r="H155" s="10" t="s">
        <v>17</v>
      </c>
      <c r="I155" s="10">
        <v>122</v>
      </c>
      <c r="J155" s="10">
        <v>15</v>
      </c>
      <c r="K155" s="10">
        <v>10</v>
      </c>
      <c r="L155" s="11" t="s">
        <v>62</v>
      </c>
      <c r="M155" s="12">
        <v>340</v>
      </c>
      <c r="N155" s="13"/>
      <c r="O155" s="13"/>
    </row>
    <row r="156" spans="1:15">
      <c r="A156" s="22" t="s">
        <v>226</v>
      </c>
      <c r="B156" s="8">
        <v>9</v>
      </c>
      <c r="C156" s="8">
        <v>84</v>
      </c>
      <c r="D156" s="8">
        <v>50</v>
      </c>
      <c r="E156" s="8">
        <v>0.6</v>
      </c>
      <c r="F156" s="9">
        <v>155</v>
      </c>
      <c r="G156" s="8" t="s">
        <v>16</v>
      </c>
      <c r="H156" s="10" t="s">
        <v>17</v>
      </c>
      <c r="I156" s="10">
        <v>122</v>
      </c>
      <c r="J156" s="10">
        <v>15</v>
      </c>
      <c r="K156" s="10">
        <v>10</v>
      </c>
      <c r="L156" s="11" t="s">
        <v>60</v>
      </c>
      <c r="M156" s="12">
        <v>0</v>
      </c>
      <c r="N156" s="13"/>
      <c r="O156" s="13"/>
    </row>
    <row r="157" spans="1:15">
      <c r="A157" s="22" t="s">
        <v>227</v>
      </c>
      <c r="B157" s="8">
        <v>9</v>
      </c>
      <c r="C157" s="8">
        <v>81</v>
      </c>
      <c r="D157" s="8">
        <v>50</v>
      </c>
      <c r="E157" s="8">
        <v>0.6</v>
      </c>
      <c r="F157" s="9">
        <v>156</v>
      </c>
      <c r="G157" s="8" t="s">
        <v>16</v>
      </c>
      <c r="H157" s="10" t="s">
        <v>17</v>
      </c>
      <c r="I157" s="10">
        <v>122</v>
      </c>
      <c r="J157" s="10">
        <v>15</v>
      </c>
      <c r="K157" s="10">
        <v>10</v>
      </c>
      <c r="L157" s="11" t="s">
        <v>136</v>
      </c>
      <c r="M157" s="12">
        <v>0</v>
      </c>
      <c r="N157" s="13"/>
      <c r="O157" s="13"/>
    </row>
    <row r="158" spans="1:15">
      <c r="A158" s="22" t="s">
        <v>228</v>
      </c>
      <c r="B158" s="8">
        <v>9</v>
      </c>
      <c r="C158" s="8">
        <v>86</v>
      </c>
      <c r="D158" s="8">
        <v>50</v>
      </c>
      <c r="E158" s="8">
        <v>0.6</v>
      </c>
      <c r="F158" s="9">
        <v>157</v>
      </c>
      <c r="G158" s="8" t="s">
        <v>16</v>
      </c>
      <c r="H158" s="10" t="s">
        <v>17</v>
      </c>
      <c r="I158" s="10">
        <v>122</v>
      </c>
      <c r="J158" s="10">
        <v>15</v>
      </c>
      <c r="K158" s="10">
        <v>10</v>
      </c>
      <c r="L158" s="11" t="s">
        <v>220</v>
      </c>
      <c r="M158" s="12">
        <v>369</v>
      </c>
      <c r="N158" s="13"/>
      <c r="O158" s="13"/>
    </row>
    <row r="159" spans="1:15">
      <c r="A159" s="22" t="s">
        <v>229</v>
      </c>
      <c r="B159" s="8">
        <v>9</v>
      </c>
      <c r="C159" s="8">
        <v>66</v>
      </c>
      <c r="D159" s="8">
        <v>50</v>
      </c>
      <c r="E159" s="8">
        <v>0.6</v>
      </c>
      <c r="F159" s="9">
        <v>158</v>
      </c>
      <c r="G159" s="8" t="s">
        <v>16</v>
      </c>
      <c r="H159" s="10" t="s">
        <v>17</v>
      </c>
      <c r="I159" s="10">
        <v>122</v>
      </c>
      <c r="J159" s="10">
        <v>15</v>
      </c>
      <c r="K159" s="10">
        <v>10</v>
      </c>
      <c r="L159" s="11" t="s">
        <v>173</v>
      </c>
      <c r="M159" s="12">
        <v>0</v>
      </c>
      <c r="N159" s="13"/>
      <c r="O159" s="13"/>
    </row>
    <row r="160" spans="1:15">
      <c r="A160" s="22" t="s">
        <v>230</v>
      </c>
      <c r="B160" s="8">
        <v>9</v>
      </c>
      <c r="C160" s="8">
        <v>68</v>
      </c>
      <c r="D160" s="8">
        <v>50</v>
      </c>
      <c r="E160" s="8">
        <v>0.6</v>
      </c>
      <c r="F160" s="9">
        <v>159</v>
      </c>
      <c r="G160" s="8" t="s">
        <v>16</v>
      </c>
      <c r="H160" s="10" t="s">
        <v>17</v>
      </c>
      <c r="I160" s="10">
        <v>122</v>
      </c>
      <c r="J160" s="10">
        <v>15</v>
      </c>
      <c r="K160" s="10">
        <v>10</v>
      </c>
      <c r="L160" s="11" t="s">
        <v>118</v>
      </c>
      <c r="M160" s="12">
        <v>5</v>
      </c>
      <c r="N160" s="13"/>
      <c r="O160" s="13"/>
    </row>
    <row r="161" spans="1:15">
      <c r="A161" s="22" t="s">
        <v>231</v>
      </c>
      <c r="B161" s="8">
        <v>9</v>
      </c>
      <c r="C161" s="8">
        <v>72</v>
      </c>
      <c r="D161" s="8">
        <v>50</v>
      </c>
      <c r="E161" s="8">
        <v>0.6</v>
      </c>
      <c r="F161" s="9">
        <v>160</v>
      </c>
      <c r="G161" s="8" t="s">
        <v>16</v>
      </c>
      <c r="H161" s="10" t="s">
        <v>17</v>
      </c>
      <c r="I161" s="10">
        <v>122</v>
      </c>
      <c r="J161" s="10">
        <v>15</v>
      </c>
      <c r="K161" s="10">
        <v>10</v>
      </c>
      <c r="L161" s="11" t="s">
        <v>107</v>
      </c>
      <c r="M161" s="12">
        <v>0</v>
      </c>
      <c r="N161" s="13"/>
      <c r="O161" s="13"/>
    </row>
    <row r="162" spans="1:15">
      <c r="A162" s="22" t="s">
        <v>232</v>
      </c>
      <c r="B162" s="8">
        <v>9</v>
      </c>
      <c r="C162" s="8">
        <v>76</v>
      </c>
      <c r="D162" s="8">
        <v>50</v>
      </c>
      <c r="E162" s="8">
        <v>0.6</v>
      </c>
      <c r="F162" s="9">
        <v>161</v>
      </c>
      <c r="G162" s="8" t="s">
        <v>16</v>
      </c>
      <c r="H162" s="10" t="s">
        <v>17</v>
      </c>
      <c r="I162" s="10">
        <v>122</v>
      </c>
      <c r="J162" s="10">
        <v>15</v>
      </c>
      <c r="K162" s="10">
        <v>10</v>
      </c>
      <c r="L162" s="11" t="s">
        <v>131</v>
      </c>
      <c r="M162" s="12">
        <v>568</v>
      </c>
      <c r="N162" s="13"/>
      <c r="O162" s="13"/>
    </row>
    <row r="163" spans="1:15">
      <c r="A163" s="22" t="s">
        <v>233</v>
      </c>
      <c r="B163" s="8">
        <v>9</v>
      </c>
      <c r="C163" s="8">
        <v>79</v>
      </c>
      <c r="D163" s="8">
        <v>50</v>
      </c>
      <c r="E163" s="8">
        <v>0.6</v>
      </c>
      <c r="F163" s="9">
        <v>162</v>
      </c>
      <c r="G163" s="8" t="s">
        <v>16</v>
      </c>
      <c r="H163" s="10" t="s">
        <v>17</v>
      </c>
      <c r="I163" s="10">
        <v>122</v>
      </c>
      <c r="J163" s="10">
        <v>15</v>
      </c>
      <c r="K163" s="10">
        <v>10</v>
      </c>
      <c r="L163" s="11" t="s">
        <v>146</v>
      </c>
      <c r="M163" s="12">
        <v>529</v>
      </c>
      <c r="N163" s="13"/>
      <c r="O163" s="13"/>
    </row>
    <row r="164" spans="1:15">
      <c r="A164" s="22" t="s">
        <v>234</v>
      </c>
      <c r="B164" s="8">
        <v>9</v>
      </c>
      <c r="C164" s="8">
        <v>71</v>
      </c>
      <c r="D164" s="8">
        <v>50</v>
      </c>
      <c r="E164" s="8">
        <v>0.64</v>
      </c>
      <c r="F164" s="9">
        <v>163</v>
      </c>
      <c r="G164" s="8" t="s">
        <v>16</v>
      </c>
      <c r="H164" s="10" t="s">
        <v>104</v>
      </c>
      <c r="I164" s="10">
        <v>130</v>
      </c>
      <c r="J164" s="10">
        <v>15</v>
      </c>
      <c r="K164" s="10">
        <v>10</v>
      </c>
      <c r="L164" s="11" t="s">
        <v>235</v>
      </c>
      <c r="M164" s="12">
        <v>159</v>
      </c>
      <c r="N164" s="13"/>
      <c r="O164" s="13"/>
    </row>
    <row r="165" spans="1:15">
      <c r="A165" s="22" t="s">
        <v>236</v>
      </c>
      <c r="B165" s="8">
        <v>9</v>
      </c>
      <c r="C165" s="8">
        <v>77</v>
      </c>
      <c r="D165" s="8">
        <v>50</v>
      </c>
      <c r="E165" s="8">
        <v>0.64</v>
      </c>
      <c r="F165" s="9">
        <v>164</v>
      </c>
      <c r="G165" s="8" t="s">
        <v>16</v>
      </c>
      <c r="H165" s="10" t="s">
        <v>104</v>
      </c>
      <c r="I165" s="10">
        <v>130</v>
      </c>
      <c r="J165" s="10">
        <v>15</v>
      </c>
      <c r="K165" s="10">
        <v>10</v>
      </c>
      <c r="L165" s="11" t="s">
        <v>56</v>
      </c>
      <c r="M165" s="12">
        <v>389</v>
      </c>
      <c r="N165" s="13"/>
      <c r="O165" s="13"/>
    </row>
    <row r="166" spans="1:15">
      <c r="A166" s="22" t="s">
        <v>237</v>
      </c>
      <c r="B166" s="8">
        <v>9</v>
      </c>
      <c r="C166" s="8">
        <v>65</v>
      </c>
      <c r="D166" s="8">
        <v>50</v>
      </c>
      <c r="E166" s="8">
        <v>0.6</v>
      </c>
      <c r="F166" s="9">
        <v>165</v>
      </c>
      <c r="G166" s="8" t="s">
        <v>16</v>
      </c>
      <c r="H166" s="10" t="s">
        <v>17</v>
      </c>
      <c r="I166" s="10">
        <v>122</v>
      </c>
      <c r="J166" s="10">
        <v>15</v>
      </c>
      <c r="K166" s="10">
        <v>10</v>
      </c>
      <c r="L166" s="11" t="s">
        <v>22</v>
      </c>
      <c r="M166" s="12">
        <v>39</v>
      </c>
      <c r="N166" s="13"/>
      <c r="O166" s="13"/>
    </row>
    <row r="167" spans="1:15">
      <c r="A167" s="22" t="s">
        <v>238</v>
      </c>
      <c r="B167" s="8">
        <v>9</v>
      </c>
      <c r="C167" s="8">
        <v>67</v>
      </c>
      <c r="D167" s="8">
        <v>50</v>
      </c>
      <c r="E167" s="8">
        <v>0.6</v>
      </c>
      <c r="F167" s="9">
        <v>166</v>
      </c>
      <c r="G167" s="8" t="s">
        <v>16</v>
      </c>
      <c r="H167" s="10" t="s">
        <v>17</v>
      </c>
      <c r="I167" s="10">
        <v>122</v>
      </c>
      <c r="J167" s="10">
        <v>15</v>
      </c>
      <c r="K167" s="10">
        <v>10</v>
      </c>
      <c r="L167" s="11" t="s">
        <v>96</v>
      </c>
      <c r="M167" s="12">
        <v>7</v>
      </c>
      <c r="N167" s="13"/>
      <c r="O167" s="13"/>
    </row>
    <row r="168" spans="1:15">
      <c r="A168" s="22" t="s">
        <v>239</v>
      </c>
      <c r="B168" s="8">
        <v>9</v>
      </c>
      <c r="C168" s="8">
        <v>71</v>
      </c>
      <c r="D168" s="8">
        <v>50</v>
      </c>
      <c r="E168" s="8">
        <v>0.6</v>
      </c>
      <c r="F168" s="9">
        <v>167</v>
      </c>
      <c r="G168" s="8" t="s">
        <v>16</v>
      </c>
      <c r="H168" s="10" t="s">
        <v>17</v>
      </c>
      <c r="I168" s="10">
        <v>122</v>
      </c>
      <c r="J168" s="10">
        <v>15</v>
      </c>
      <c r="K168" s="10">
        <v>10</v>
      </c>
      <c r="L168" s="11" t="s">
        <v>235</v>
      </c>
      <c r="M168" s="12">
        <v>0</v>
      </c>
      <c r="N168" s="13"/>
      <c r="O168" s="13"/>
    </row>
    <row r="169" spans="1:15">
      <c r="A169" s="22" t="s">
        <v>240</v>
      </c>
      <c r="B169" s="8">
        <v>9</v>
      </c>
      <c r="C169" s="8">
        <v>65</v>
      </c>
      <c r="D169" s="8">
        <v>50</v>
      </c>
      <c r="E169" s="8">
        <v>0.6</v>
      </c>
      <c r="F169" s="9">
        <v>168</v>
      </c>
      <c r="G169" s="8" t="s">
        <v>16</v>
      </c>
      <c r="H169" s="10" t="s">
        <v>17</v>
      </c>
      <c r="I169" s="10">
        <v>122</v>
      </c>
      <c r="J169" s="10">
        <v>15</v>
      </c>
      <c r="K169" s="10">
        <v>10</v>
      </c>
      <c r="L169" s="11" t="s">
        <v>22</v>
      </c>
      <c r="M169" s="12">
        <v>16</v>
      </c>
      <c r="N169" s="13"/>
      <c r="O169" s="13"/>
    </row>
    <row r="170" spans="1:15">
      <c r="A170" s="22" t="s">
        <v>241</v>
      </c>
      <c r="B170" s="8">
        <v>9</v>
      </c>
      <c r="C170" s="8">
        <v>65</v>
      </c>
      <c r="D170" s="8">
        <v>50</v>
      </c>
      <c r="E170" s="8">
        <v>0.6</v>
      </c>
      <c r="F170" s="9">
        <v>169</v>
      </c>
      <c r="G170" s="8" t="s">
        <v>16</v>
      </c>
      <c r="H170" s="10" t="s">
        <v>17</v>
      </c>
      <c r="I170" s="10">
        <v>122</v>
      </c>
      <c r="J170" s="10">
        <v>15</v>
      </c>
      <c r="K170" s="10">
        <v>10</v>
      </c>
      <c r="L170" s="11" t="s">
        <v>22</v>
      </c>
      <c r="M170" s="12">
        <v>158</v>
      </c>
      <c r="N170" s="13"/>
      <c r="O170" s="13"/>
    </row>
    <row r="171" spans="1:15">
      <c r="A171" s="22" t="s">
        <v>242</v>
      </c>
      <c r="B171" s="8">
        <v>9</v>
      </c>
      <c r="C171" s="8">
        <v>67</v>
      </c>
      <c r="D171" s="8">
        <v>50</v>
      </c>
      <c r="E171" s="8">
        <v>0.6</v>
      </c>
      <c r="F171" s="9">
        <v>170</v>
      </c>
      <c r="G171" s="8" t="s">
        <v>16</v>
      </c>
      <c r="H171" s="10" t="s">
        <v>17</v>
      </c>
      <c r="I171" s="10">
        <v>122</v>
      </c>
      <c r="J171" s="10">
        <v>15</v>
      </c>
      <c r="K171" s="10">
        <v>10</v>
      </c>
      <c r="L171" s="11" t="s">
        <v>96</v>
      </c>
      <c r="M171" s="12">
        <v>0</v>
      </c>
      <c r="N171" s="13"/>
      <c r="O171" s="13"/>
    </row>
    <row r="172" spans="1:15">
      <c r="A172" s="22" t="s">
        <v>243</v>
      </c>
      <c r="B172" s="8">
        <v>9</v>
      </c>
      <c r="C172" s="8">
        <v>67</v>
      </c>
      <c r="D172" s="8">
        <v>50</v>
      </c>
      <c r="E172" s="8">
        <v>0.6</v>
      </c>
      <c r="F172" s="9">
        <v>171</v>
      </c>
      <c r="G172" s="8" t="s">
        <v>16</v>
      </c>
      <c r="H172" s="10" t="s">
        <v>17</v>
      </c>
      <c r="I172" s="10">
        <v>122</v>
      </c>
      <c r="J172" s="10">
        <v>15</v>
      </c>
      <c r="K172" s="10">
        <v>10</v>
      </c>
      <c r="L172" s="11" t="s">
        <v>96</v>
      </c>
      <c r="M172" s="12">
        <v>33</v>
      </c>
      <c r="N172" s="13"/>
      <c r="O172" s="13"/>
    </row>
    <row r="173" spans="1:15">
      <c r="A173" s="22" t="s">
        <v>244</v>
      </c>
      <c r="B173" s="8">
        <v>9</v>
      </c>
      <c r="C173" s="8">
        <v>67</v>
      </c>
      <c r="D173" s="8">
        <v>50</v>
      </c>
      <c r="E173" s="8">
        <v>0.6</v>
      </c>
      <c r="F173" s="9">
        <v>172</v>
      </c>
      <c r="G173" s="8" t="s">
        <v>16</v>
      </c>
      <c r="H173" s="10" t="s">
        <v>17</v>
      </c>
      <c r="I173" s="10">
        <v>122</v>
      </c>
      <c r="J173" s="10">
        <v>15</v>
      </c>
      <c r="K173" s="10">
        <v>10</v>
      </c>
      <c r="L173" s="11" t="s">
        <v>245</v>
      </c>
      <c r="M173" s="12">
        <v>0</v>
      </c>
      <c r="N173" s="13"/>
      <c r="O173" s="13"/>
    </row>
    <row r="174" spans="1:15">
      <c r="A174" s="22" t="s">
        <v>246</v>
      </c>
      <c r="B174" s="8">
        <v>9</v>
      </c>
      <c r="C174" s="8">
        <v>67</v>
      </c>
      <c r="D174" s="8">
        <v>50</v>
      </c>
      <c r="E174" s="8">
        <v>0.6</v>
      </c>
      <c r="F174" s="9">
        <v>173</v>
      </c>
      <c r="G174" s="8" t="s">
        <v>16</v>
      </c>
      <c r="H174" s="10" t="s">
        <v>17</v>
      </c>
      <c r="I174" s="10">
        <v>122</v>
      </c>
      <c r="J174" s="10">
        <v>15</v>
      </c>
      <c r="K174" s="10">
        <v>10</v>
      </c>
      <c r="L174" s="11" t="s">
        <v>245</v>
      </c>
      <c r="M174" s="12">
        <v>0</v>
      </c>
      <c r="N174" s="13"/>
      <c r="O174" s="13"/>
    </row>
    <row r="175" spans="1:15">
      <c r="A175" s="22" t="s">
        <v>247</v>
      </c>
      <c r="B175" s="8">
        <v>9</v>
      </c>
      <c r="C175" s="8">
        <v>68</v>
      </c>
      <c r="D175" s="8">
        <v>50</v>
      </c>
      <c r="E175" s="8">
        <v>0.6</v>
      </c>
      <c r="F175" s="9">
        <v>174</v>
      </c>
      <c r="G175" s="8" t="s">
        <v>16</v>
      </c>
      <c r="H175" s="10" t="s">
        <v>17</v>
      </c>
      <c r="I175" s="10">
        <v>122</v>
      </c>
      <c r="J175" s="10">
        <v>15</v>
      </c>
      <c r="K175" s="10">
        <v>10</v>
      </c>
      <c r="L175" s="11" t="s">
        <v>118</v>
      </c>
      <c r="M175" s="12">
        <v>32</v>
      </c>
      <c r="N175" s="13"/>
      <c r="O175" s="13"/>
    </row>
    <row r="176" spans="1:15">
      <c r="A176" s="22" t="s">
        <v>248</v>
      </c>
      <c r="B176" s="8">
        <v>9</v>
      </c>
      <c r="C176" s="8">
        <v>68</v>
      </c>
      <c r="D176" s="8">
        <v>50</v>
      </c>
      <c r="E176" s="8">
        <v>0.6</v>
      </c>
      <c r="F176" s="9">
        <v>175</v>
      </c>
      <c r="G176" s="8" t="s">
        <v>16</v>
      </c>
      <c r="H176" s="10" t="s">
        <v>17</v>
      </c>
      <c r="I176" s="10">
        <v>122</v>
      </c>
      <c r="J176" s="10">
        <v>15</v>
      </c>
      <c r="K176" s="10">
        <v>10</v>
      </c>
      <c r="L176" s="11" t="s">
        <v>118</v>
      </c>
      <c r="M176" s="12">
        <v>53</v>
      </c>
      <c r="N176" s="13"/>
      <c r="O176" s="13"/>
    </row>
    <row r="177" spans="1:15">
      <c r="A177" s="22" t="s">
        <v>249</v>
      </c>
      <c r="B177" s="8">
        <v>9</v>
      </c>
      <c r="C177" s="8">
        <v>68</v>
      </c>
      <c r="D177" s="8">
        <v>50</v>
      </c>
      <c r="E177" s="8">
        <v>0.6</v>
      </c>
      <c r="F177" s="9">
        <v>176</v>
      </c>
      <c r="G177" s="8" t="s">
        <v>16</v>
      </c>
      <c r="H177" s="10" t="s">
        <v>17</v>
      </c>
      <c r="I177" s="10">
        <v>122</v>
      </c>
      <c r="J177" s="10">
        <v>15</v>
      </c>
      <c r="K177" s="10">
        <v>10</v>
      </c>
      <c r="L177" s="11" t="s">
        <v>118</v>
      </c>
      <c r="M177" s="12">
        <v>15</v>
      </c>
      <c r="N177" s="13"/>
      <c r="O177" s="13"/>
    </row>
    <row r="178" spans="1:15">
      <c r="A178" s="22" t="s">
        <v>250</v>
      </c>
      <c r="B178" s="8">
        <v>9</v>
      </c>
      <c r="C178" s="8">
        <v>68</v>
      </c>
      <c r="D178" s="8">
        <v>50</v>
      </c>
      <c r="E178" s="8">
        <v>0.6</v>
      </c>
      <c r="F178" s="9">
        <v>177</v>
      </c>
      <c r="G178" s="8" t="s">
        <v>16</v>
      </c>
      <c r="H178" s="10" t="s">
        <v>17</v>
      </c>
      <c r="I178" s="10">
        <v>122</v>
      </c>
      <c r="J178" s="10">
        <v>15</v>
      </c>
      <c r="K178" s="10">
        <v>10</v>
      </c>
      <c r="L178" s="11" t="s">
        <v>118</v>
      </c>
      <c r="M178" s="12">
        <v>11</v>
      </c>
      <c r="N178" s="13"/>
      <c r="O178" s="13"/>
    </row>
    <row r="179" spans="1:15">
      <c r="A179" s="22" t="s">
        <v>251</v>
      </c>
      <c r="B179" s="8">
        <v>9</v>
      </c>
      <c r="C179" s="8">
        <v>71</v>
      </c>
      <c r="D179" s="8">
        <v>50</v>
      </c>
      <c r="E179" s="8">
        <v>0.6</v>
      </c>
      <c r="F179" s="9">
        <v>178</v>
      </c>
      <c r="G179" s="8" t="s">
        <v>16</v>
      </c>
      <c r="H179" s="10" t="s">
        <v>17</v>
      </c>
      <c r="I179" s="10">
        <v>122</v>
      </c>
      <c r="J179" s="10">
        <v>15</v>
      </c>
      <c r="K179" s="10">
        <v>10</v>
      </c>
      <c r="L179" s="11" t="s">
        <v>235</v>
      </c>
      <c r="M179" s="12">
        <v>67</v>
      </c>
      <c r="N179" s="13"/>
      <c r="O179" s="13"/>
    </row>
    <row r="180" spans="1:15">
      <c r="A180" s="22" t="s">
        <v>252</v>
      </c>
      <c r="B180" s="8">
        <v>9</v>
      </c>
      <c r="C180" s="8">
        <v>71</v>
      </c>
      <c r="D180" s="8">
        <v>50</v>
      </c>
      <c r="E180" s="8">
        <v>0.6</v>
      </c>
      <c r="F180" s="9">
        <v>179</v>
      </c>
      <c r="G180" s="8" t="s">
        <v>16</v>
      </c>
      <c r="H180" s="10" t="s">
        <v>17</v>
      </c>
      <c r="I180" s="10">
        <v>122</v>
      </c>
      <c r="J180" s="10">
        <v>15</v>
      </c>
      <c r="K180" s="10">
        <v>10</v>
      </c>
      <c r="L180" s="11" t="s">
        <v>235</v>
      </c>
      <c r="M180" s="12">
        <v>20</v>
      </c>
      <c r="N180" s="13"/>
      <c r="O180" s="13"/>
    </row>
    <row r="181" spans="1:15">
      <c r="A181" s="22" t="s">
        <v>253</v>
      </c>
      <c r="B181" s="8">
        <v>9</v>
      </c>
      <c r="C181" s="8">
        <v>61</v>
      </c>
      <c r="D181" s="8">
        <v>50</v>
      </c>
      <c r="E181" s="8">
        <v>0.6</v>
      </c>
      <c r="F181" s="9">
        <v>180</v>
      </c>
      <c r="G181" s="8" t="s">
        <v>16</v>
      </c>
      <c r="H181" s="10" t="s">
        <v>17</v>
      </c>
      <c r="I181" s="10">
        <v>122</v>
      </c>
      <c r="J181" s="10">
        <v>15</v>
      </c>
      <c r="K181" s="10">
        <v>10</v>
      </c>
      <c r="L181" s="11" t="s">
        <v>115</v>
      </c>
      <c r="M181" s="12">
        <v>0</v>
      </c>
      <c r="N181" s="13"/>
      <c r="O181" s="13"/>
    </row>
    <row r="182" spans="1:15">
      <c r="A182" s="22" t="s">
        <v>254</v>
      </c>
      <c r="B182" s="8">
        <v>9</v>
      </c>
      <c r="C182" s="8">
        <v>63</v>
      </c>
      <c r="D182" s="8">
        <v>50</v>
      </c>
      <c r="E182" s="8">
        <v>0.6</v>
      </c>
      <c r="F182" s="9">
        <v>181</v>
      </c>
      <c r="G182" s="8" t="s">
        <v>16</v>
      </c>
      <c r="H182" s="10" t="s">
        <v>17</v>
      </c>
      <c r="I182" s="10">
        <v>122</v>
      </c>
      <c r="J182" s="10">
        <v>15</v>
      </c>
      <c r="K182" s="10">
        <v>10</v>
      </c>
      <c r="L182" s="11" t="s">
        <v>255</v>
      </c>
      <c r="M182" s="12">
        <v>0</v>
      </c>
      <c r="N182" s="13"/>
      <c r="O182" s="13"/>
    </row>
    <row r="183" spans="1:15">
      <c r="A183" s="22" t="s">
        <v>256</v>
      </c>
      <c r="B183" s="8">
        <v>9</v>
      </c>
      <c r="C183" s="8">
        <v>65</v>
      </c>
      <c r="D183" s="8">
        <v>50</v>
      </c>
      <c r="E183" s="8">
        <v>0.6</v>
      </c>
      <c r="F183" s="9">
        <v>182</v>
      </c>
      <c r="G183" s="8" t="s">
        <v>16</v>
      </c>
      <c r="H183" s="10" t="s">
        <v>17</v>
      </c>
      <c r="I183" s="10">
        <v>122</v>
      </c>
      <c r="J183" s="10">
        <v>15</v>
      </c>
      <c r="K183" s="10">
        <v>10</v>
      </c>
      <c r="L183" s="11" t="s">
        <v>22</v>
      </c>
      <c r="M183" s="12">
        <v>42</v>
      </c>
      <c r="N183" s="13"/>
      <c r="O183" s="13"/>
    </row>
    <row r="184" spans="1:15">
      <c r="A184" s="22" t="s">
        <v>257</v>
      </c>
      <c r="B184" s="8">
        <v>9</v>
      </c>
      <c r="C184" s="8">
        <v>73</v>
      </c>
      <c r="D184" s="8">
        <v>50</v>
      </c>
      <c r="E184" s="8">
        <v>0.6</v>
      </c>
      <c r="F184" s="9">
        <v>183</v>
      </c>
      <c r="G184" s="8" t="s">
        <v>16</v>
      </c>
      <c r="H184" s="10" t="s">
        <v>17</v>
      </c>
      <c r="I184" s="10">
        <v>122</v>
      </c>
      <c r="J184" s="10">
        <v>15</v>
      </c>
      <c r="K184" s="10">
        <v>10</v>
      </c>
      <c r="L184" s="11" t="s">
        <v>90</v>
      </c>
      <c r="M184" s="12">
        <v>57</v>
      </c>
      <c r="N184" s="13"/>
      <c r="O184" s="13"/>
    </row>
    <row r="185" spans="1:15">
      <c r="A185" s="22" t="s">
        <v>258</v>
      </c>
      <c r="B185" s="8">
        <v>9</v>
      </c>
      <c r="C185" s="8">
        <v>75</v>
      </c>
      <c r="D185" s="8">
        <v>50</v>
      </c>
      <c r="E185" s="8">
        <v>0.6</v>
      </c>
      <c r="F185" s="9">
        <v>184</v>
      </c>
      <c r="G185" s="8" t="s">
        <v>16</v>
      </c>
      <c r="H185" s="10" t="s">
        <v>17</v>
      </c>
      <c r="I185" s="10">
        <v>122</v>
      </c>
      <c r="J185" s="10">
        <v>15</v>
      </c>
      <c r="K185" s="10">
        <v>10</v>
      </c>
      <c r="L185" s="11" t="s">
        <v>92</v>
      </c>
      <c r="M185" s="12">
        <v>29</v>
      </c>
      <c r="N185" s="13"/>
      <c r="O185" s="13"/>
    </row>
    <row r="186" spans="1:15">
      <c r="A186" s="22" t="s">
        <v>259</v>
      </c>
      <c r="B186" s="8">
        <v>9</v>
      </c>
      <c r="C186" s="8">
        <v>77</v>
      </c>
      <c r="D186" s="8">
        <v>50</v>
      </c>
      <c r="E186" s="8">
        <v>0.6</v>
      </c>
      <c r="F186" s="9">
        <v>185</v>
      </c>
      <c r="G186" s="8" t="s">
        <v>16</v>
      </c>
      <c r="H186" s="10" t="s">
        <v>17</v>
      </c>
      <c r="I186" s="10">
        <v>122</v>
      </c>
      <c r="J186" s="10">
        <v>15</v>
      </c>
      <c r="K186" s="10">
        <v>10</v>
      </c>
      <c r="L186" s="11" t="s">
        <v>56</v>
      </c>
      <c r="M186" s="12">
        <v>47</v>
      </c>
      <c r="N186" s="13"/>
      <c r="O186" s="13"/>
    </row>
    <row r="187" spans="1:15">
      <c r="A187" s="22" t="s">
        <v>260</v>
      </c>
      <c r="B187" s="8">
        <v>9</v>
      </c>
      <c r="C187" s="8">
        <v>73</v>
      </c>
      <c r="D187" s="8">
        <v>50</v>
      </c>
      <c r="E187" s="8">
        <v>0.6</v>
      </c>
      <c r="F187" s="9">
        <v>186</v>
      </c>
      <c r="G187" s="8" t="s">
        <v>16</v>
      </c>
      <c r="H187" s="10" t="s">
        <v>17</v>
      </c>
      <c r="I187" s="10">
        <v>122</v>
      </c>
      <c r="J187" s="10">
        <v>15</v>
      </c>
      <c r="K187" s="10">
        <v>10</v>
      </c>
      <c r="L187" s="11" t="s">
        <v>90</v>
      </c>
      <c r="M187" s="12">
        <v>0</v>
      </c>
      <c r="N187" s="13"/>
      <c r="O187" s="13"/>
    </row>
    <row r="188" spans="1:15">
      <c r="A188" s="22" t="s">
        <v>261</v>
      </c>
      <c r="B188" s="8">
        <v>9</v>
      </c>
      <c r="C188" s="8">
        <v>75</v>
      </c>
      <c r="D188" s="8">
        <v>50</v>
      </c>
      <c r="E188" s="8">
        <v>0.6</v>
      </c>
      <c r="F188" s="9">
        <v>187</v>
      </c>
      <c r="G188" s="8" t="s">
        <v>16</v>
      </c>
      <c r="H188" s="10" t="s">
        <v>17</v>
      </c>
      <c r="I188" s="10">
        <v>122</v>
      </c>
      <c r="J188" s="10">
        <v>15</v>
      </c>
      <c r="K188" s="10">
        <v>10</v>
      </c>
      <c r="L188" s="11" t="s">
        <v>92</v>
      </c>
      <c r="M188" s="12">
        <v>0</v>
      </c>
      <c r="N188" s="13"/>
      <c r="O188" s="13"/>
    </row>
    <row r="189" spans="1:15">
      <c r="A189" s="22" t="s">
        <v>262</v>
      </c>
      <c r="B189" s="8">
        <v>9</v>
      </c>
      <c r="C189" s="8">
        <v>79</v>
      </c>
      <c r="D189" s="8">
        <v>50</v>
      </c>
      <c r="E189" s="8">
        <v>0.6</v>
      </c>
      <c r="F189" s="9">
        <v>188</v>
      </c>
      <c r="G189" s="8" t="s">
        <v>16</v>
      </c>
      <c r="H189" s="10" t="s">
        <v>17</v>
      </c>
      <c r="I189" s="10">
        <v>122</v>
      </c>
      <c r="J189" s="10">
        <v>15</v>
      </c>
      <c r="K189" s="10">
        <v>10</v>
      </c>
      <c r="L189" s="11" t="s">
        <v>146</v>
      </c>
      <c r="M189" s="12">
        <v>0</v>
      </c>
      <c r="N189" s="13"/>
      <c r="O189" s="13"/>
    </row>
    <row r="190" spans="1:15">
      <c r="A190" s="22" t="s">
        <v>263</v>
      </c>
      <c r="B190" s="8">
        <v>9</v>
      </c>
      <c r="C190" s="8">
        <v>80</v>
      </c>
      <c r="D190" s="8">
        <v>50</v>
      </c>
      <c r="E190" s="8">
        <v>0.6</v>
      </c>
      <c r="F190" s="9">
        <v>189</v>
      </c>
      <c r="G190" s="8" t="s">
        <v>16</v>
      </c>
      <c r="H190" s="10" t="s">
        <v>17</v>
      </c>
      <c r="I190" s="10">
        <v>122</v>
      </c>
      <c r="J190" s="10">
        <v>15</v>
      </c>
      <c r="K190" s="10">
        <v>10</v>
      </c>
      <c r="L190" s="11" t="s">
        <v>134</v>
      </c>
      <c r="M190" s="12">
        <v>0</v>
      </c>
      <c r="N190" s="13"/>
      <c r="O190" s="13"/>
    </row>
    <row r="191" spans="1:15">
      <c r="A191" s="22" t="s">
        <v>264</v>
      </c>
      <c r="B191" s="8">
        <v>9</v>
      </c>
      <c r="C191" s="8">
        <v>80</v>
      </c>
      <c r="D191" s="8">
        <v>50</v>
      </c>
      <c r="E191" s="8">
        <v>0.6</v>
      </c>
      <c r="F191" s="9">
        <v>190</v>
      </c>
      <c r="G191" s="8" t="s">
        <v>16</v>
      </c>
      <c r="H191" s="10" t="s">
        <v>17</v>
      </c>
      <c r="I191" s="10">
        <v>122</v>
      </c>
      <c r="J191" s="10">
        <v>15</v>
      </c>
      <c r="K191" s="10">
        <v>10</v>
      </c>
      <c r="L191" s="11" t="s">
        <v>134</v>
      </c>
      <c r="M191" s="12">
        <v>0</v>
      </c>
      <c r="N191" s="13"/>
      <c r="O191" s="13"/>
    </row>
    <row r="192" spans="1:15">
      <c r="A192" s="22" t="s">
        <v>265</v>
      </c>
      <c r="B192" s="8">
        <v>9</v>
      </c>
      <c r="C192" s="8">
        <v>77</v>
      </c>
      <c r="D192" s="8">
        <v>50</v>
      </c>
      <c r="E192" s="8">
        <v>0.64</v>
      </c>
      <c r="F192" s="9">
        <v>191</v>
      </c>
      <c r="G192" s="8" t="s">
        <v>16</v>
      </c>
      <c r="H192" s="10" t="s">
        <v>104</v>
      </c>
      <c r="I192" s="10">
        <v>130</v>
      </c>
      <c r="J192" s="10">
        <v>15</v>
      </c>
      <c r="K192" s="10">
        <v>10</v>
      </c>
      <c r="L192" s="11" t="s">
        <v>56</v>
      </c>
      <c r="M192" s="12">
        <v>27</v>
      </c>
      <c r="N192" s="13"/>
      <c r="O192" s="13"/>
    </row>
    <row r="193" spans="1:15">
      <c r="A193" s="22" t="s">
        <v>266</v>
      </c>
      <c r="B193" s="8">
        <v>9</v>
      </c>
      <c r="C193" s="8">
        <v>71</v>
      </c>
      <c r="D193" s="8">
        <v>50</v>
      </c>
      <c r="E193" s="8">
        <v>0.6</v>
      </c>
      <c r="F193" s="9">
        <v>192</v>
      </c>
      <c r="G193" s="8" t="s">
        <v>16</v>
      </c>
      <c r="H193" s="10" t="s">
        <v>17</v>
      </c>
      <c r="I193" s="10">
        <v>122</v>
      </c>
      <c r="J193" s="10">
        <v>15</v>
      </c>
      <c r="K193" s="10">
        <v>10</v>
      </c>
      <c r="L193" s="11" t="s">
        <v>235</v>
      </c>
      <c r="M193" s="12">
        <v>6</v>
      </c>
      <c r="N193" s="13"/>
      <c r="O193" s="13"/>
    </row>
    <row r="194" spans="1:15">
      <c r="A194" s="22" t="s">
        <v>267</v>
      </c>
      <c r="B194" s="8">
        <v>9</v>
      </c>
      <c r="C194" s="8">
        <v>69</v>
      </c>
      <c r="D194" s="8">
        <v>50</v>
      </c>
      <c r="E194" s="8">
        <v>0.6</v>
      </c>
      <c r="F194" s="9">
        <v>193</v>
      </c>
      <c r="G194" s="8" t="s">
        <v>16</v>
      </c>
      <c r="H194" s="10" t="s">
        <v>17</v>
      </c>
      <c r="I194" s="10">
        <v>122</v>
      </c>
      <c r="J194" s="10">
        <v>15</v>
      </c>
      <c r="K194" s="10">
        <v>10</v>
      </c>
      <c r="L194" s="11" t="s">
        <v>123</v>
      </c>
      <c r="M194" s="12">
        <v>4</v>
      </c>
      <c r="N194" s="13"/>
      <c r="O194" s="13"/>
    </row>
    <row r="195" spans="1:15">
      <c r="A195" s="22" t="s">
        <v>268</v>
      </c>
      <c r="B195" s="8">
        <v>9</v>
      </c>
      <c r="C195" s="8">
        <v>69</v>
      </c>
      <c r="D195" s="8">
        <v>50</v>
      </c>
      <c r="E195" s="8">
        <v>0.6</v>
      </c>
      <c r="F195" s="9">
        <v>194</v>
      </c>
      <c r="G195" s="8" t="s">
        <v>16</v>
      </c>
      <c r="H195" s="10" t="s">
        <v>17</v>
      </c>
      <c r="I195" s="10">
        <v>122</v>
      </c>
      <c r="J195" s="10">
        <v>15</v>
      </c>
      <c r="K195" s="10">
        <v>10</v>
      </c>
      <c r="L195" s="11" t="s">
        <v>123</v>
      </c>
      <c r="M195" s="12">
        <v>34</v>
      </c>
      <c r="N195" s="13"/>
      <c r="O195" s="13"/>
    </row>
    <row r="196" spans="1:15">
      <c r="A196" s="22" t="s">
        <v>269</v>
      </c>
      <c r="B196" s="8">
        <v>9</v>
      </c>
      <c r="C196" s="8">
        <v>71</v>
      </c>
      <c r="D196" s="8">
        <v>50</v>
      </c>
      <c r="E196" s="8">
        <v>0.6</v>
      </c>
      <c r="F196" s="9">
        <v>195</v>
      </c>
      <c r="G196" s="8" t="s">
        <v>16</v>
      </c>
      <c r="H196" s="10" t="s">
        <v>17</v>
      </c>
      <c r="I196" s="10">
        <v>122</v>
      </c>
      <c r="J196" s="10">
        <v>15</v>
      </c>
      <c r="K196" s="10">
        <v>10</v>
      </c>
      <c r="L196" s="11" t="s">
        <v>235</v>
      </c>
      <c r="M196" s="12">
        <v>58</v>
      </c>
      <c r="N196" s="13"/>
      <c r="O196" s="13"/>
    </row>
    <row r="197" spans="1:15">
      <c r="A197" s="22" t="s">
        <v>270</v>
      </c>
      <c r="B197" s="8">
        <v>9</v>
      </c>
      <c r="C197" s="8">
        <v>69</v>
      </c>
      <c r="D197" s="8">
        <v>50</v>
      </c>
      <c r="E197" s="8">
        <v>0.6</v>
      </c>
      <c r="F197" s="9">
        <v>196</v>
      </c>
      <c r="G197" s="8" t="s">
        <v>16</v>
      </c>
      <c r="H197" s="10" t="s">
        <v>17</v>
      </c>
      <c r="I197" s="10">
        <v>122</v>
      </c>
      <c r="J197" s="10">
        <v>15</v>
      </c>
      <c r="K197" s="10">
        <v>10</v>
      </c>
      <c r="L197" s="11" t="s">
        <v>123</v>
      </c>
      <c r="M197" s="12">
        <v>0</v>
      </c>
      <c r="N197" s="13"/>
      <c r="O197" s="13"/>
    </row>
    <row r="198" spans="1:15">
      <c r="A198" s="22" t="s">
        <v>271</v>
      </c>
      <c r="B198" s="8">
        <v>9</v>
      </c>
      <c r="C198" s="8">
        <v>71</v>
      </c>
      <c r="D198" s="8">
        <v>50</v>
      </c>
      <c r="E198" s="8">
        <v>0.6</v>
      </c>
      <c r="F198" s="9">
        <v>197</v>
      </c>
      <c r="G198" s="8" t="s">
        <v>16</v>
      </c>
      <c r="H198" s="10" t="s">
        <v>17</v>
      </c>
      <c r="I198" s="10">
        <v>122</v>
      </c>
      <c r="J198" s="10">
        <v>15</v>
      </c>
      <c r="K198" s="10">
        <v>10</v>
      </c>
      <c r="L198" s="11" t="s">
        <v>235</v>
      </c>
      <c r="M198" s="12">
        <v>627</v>
      </c>
      <c r="N198" s="13"/>
      <c r="O198" s="13"/>
    </row>
    <row r="199" spans="1:15">
      <c r="A199" s="22" t="s">
        <v>272</v>
      </c>
      <c r="B199" s="8">
        <v>9</v>
      </c>
      <c r="C199" s="8">
        <v>74</v>
      </c>
      <c r="D199" s="8">
        <v>50</v>
      </c>
      <c r="E199" s="8">
        <v>0.6</v>
      </c>
      <c r="F199" s="9">
        <v>198</v>
      </c>
      <c r="G199" s="8" t="s">
        <v>16</v>
      </c>
      <c r="H199" s="10" t="s">
        <v>17</v>
      </c>
      <c r="I199" s="10">
        <v>122</v>
      </c>
      <c r="J199" s="10">
        <v>15</v>
      </c>
      <c r="K199" s="10">
        <v>10</v>
      </c>
      <c r="L199" s="11" t="s">
        <v>155</v>
      </c>
      <c r="M199" s="12">
        <v>0</v>
      </c>
      <c r="N199" s="13"/>
      <c r="O199" s="13"/>
    </row>
    <row r="200" spans="1:15">
      <c r="A200" s="22" t="s">
        <v>273</v>
      </c>
      <c r="B200" s="8">
        <v>9</v>
      </c>
      <c r="C200" s="8">
        <v>77</v>
      </c>
      <c r="D200" s="8">
        <v>50</v>
      </c>
      <c r="E200" s="8">
        <v>0.6</v>
      </c>
      <c r="F200" s="9">
        <v>199</v>
      </c>
      <c r="G200" s="8" t="s">
        <v>16</v>
      </c>
      <c r="H200" s="10" t="s">
        <v>17</v>
      </c>
      <c r="I200" s="10">
        <v>122</v>
      </c>
      <c r="J200" s="10">
        <v>15</v>
      </c>
      <c r="K200" s="10">
        <v>10</v>
      </c>
      <c r="L200" s="11" t="s">
        <v>56</v>
      </c>
      <c r="M200" s="12">
        <v>0</v>
      </c>
      <c r="N200" s="13"/>
      <c r="O200" s="13"/>
    </row>
    <row r="201" spans="1:15">
      <c r="A201" s="22" t="s">
        <v>274</v>
      </c>
      <c r="B201" s="8">
        <v>9</v>
      </c>
      <c r="C201" s="8">
        <v>76</v>
      </c>
      <c r="D201" s="8">
        <v>50</v>
      </c>
      <c r="E201" s="8">
        <v>0.6</v>
      </c>
      <c r="F201" s="9">
        <v>200</v>
      </c>
      <c r="G201" s="8" t="s">
        <v>16</v>
      </c>
      <c r="H201" s="10" t="s">
        <v>17</v>
      </c>
      <c r="I201" s="10">
        <v>122</v>
      </c>
      <c r="J201" s="10">
        <v>15</v>
      </c>
      <c r="K201" s="10">
        <v>10</v>
      </c>
      <c r="L201" s="11" t="s">
        <v>131</v>
      </c>
      <c r="M201" s="12">
        <v>37</v>
      </c>
      <c r="N201" s="13"/>
      <c r="O201" s="13"/>
    </row>
    <row r="202" spans="1:15">
      <c r="A202" s="22" t="s">
        <v>275</v>
      </c>
      <c r="B202" s="8">
        <v>9</v>
      </c>
      <c r="C202" s="8">
        <v>77</v>
      </c>
      <c r="D202" s="8">
        <v>50</v>
      </c>
      <c r="E202" s="8">
        <v>0.6</v>
      </c>
      <c r="F202" s="9">
        <v>201</v>
      </c>
      <c r="G202" s="8" t="s">
        <v>16</v>
      </c>
      <c r="H202" s="10" t="s">
        <v>17</v>
      </c>
      <c r="I202" s="10">
        <v>122</v>
      </c>
      <c r="J202" s="10">
        <v>15</v>
      </c>
      <c r="K202" s="10">
        <v>10</v>
      </c>
      <c r="L202" s="11" t="s">
        <v>56</v>
      </c>
      <c r="M202" s="12">
        <v>0</v>
      </c>
      <c r="N202" s="13"/>
      <c r="O202" s="13"/>
    </row>
    <row r="203" spans="1:15">
      <c r="A203" s="22" t="s">
        <v>276</v>
      </c>
      <c r="B203" s="8">
        <v>9</v>
      </c>
      <c r="C203" s="8">
        <v>79</v>
      </c>
      <c r="D203" s="8">
        <v>50</v>
      </c>
      <c r="E203" s="8">
        <v>0.6</v>
      </c>
      <c r="F203" s="9">
        <v>202</v>
      </c>
      <c r="G203" s="8" t="s">
        <v>16</v>
      </c>
      <c r="H203" s="10" t="s">
        <v>17</v>
      </c>
      <c r="I203" s="10">
        <v>122</v>
      </c>
      <c r="J203" s="10">
        <v>15</v>
      </c>
      <c r="K203" s="10">
        <v>10</v>
      </c>
      <c r="L203" s="11" t="s">
        <v>146</v>
      </c>
      <c r="M203" s="12">
        <v>0</v>
      </c>
      <c r="N203" s="13"/>
      <c r="O203" s="13"/>
    </row>
    <row r="204" spans="1:15">
      <c r="A204" s="22" t="s">
        <v>277</v>
      </c>
      <c r="B204" s="8">
        <v>9</v>
      </c>
      <c r="C204" s="8">
        <v>78</v>
      </c>
      <c r="D204" s="8">
        <v>50</v>
      </c>
      <c r="E204" s="8">
        <v>0.6</v>
      </c>
      <c r="F204" s="9">
        <v>203</v>
      </c>
      <c r="G204" s="8" t="s">
        <v>16</v>
      </c>
      <c r="H204" s="10" t="s">
        <v>17</v>
      </c>
      <c r="I204" s="10">
        <v>122</v>
      </c>
      <c r="J204" s="10">
        <v>15</v>
      </c>
      <c r="K204" s="10">
        <v>10</v>
      </c>
      <c r="L204" s="11" t="s">
        <v>129</v>
      </c>
      <c r="M204" s="12">
        <v>22</v>
      </c>
      <c r="N204" s="13"/>
      <c r="O204" s="13"/>
    </row>
    <row r="205" spans="1:15">
      <c r="A205" s="22" t="s">
        <v>278</v>
      </c>
      <c r="B205" s="8">
        <v>9</v>
      </c>
      <c r="C205" s="8">
        <v>65</v>
      </c>
      <c r="D205" s="8">
        <v>50</v>
      </c>
      <c r="E205" s="8">
        <v>0.6</v>
      </c>
      <c r="F205" s="9">
        <v>204</v>
      </c>
      <c r="G205" s="8" t="s">
        <v>16</v>
      </c>
      <c r="H205" s="10" t="s">
        <v>17</v>
      </c>
      <c r="I205" s="10">
        <v>122</v>
      </c>
      <c r="J205" s="10">
        <v>15</v>
      </c>
      <c r="K205" s="10">
        <v>10</v>
      </c>
      <c r="L205" s="11" t="s">
        <v>22</v>
      </c>
      <c r="M205" s="12">
        <v>208</v>
      </c>
      <c r="N205" s="13"/>
      <c r="O205" s="13"/>
    </row>
    <row r="206" spans="1:15">
      <c r="A206" s="22" t="s">
        <v>279</v>
      </c>
      <c r="B206" s="8">
        <v>9</v>
      </c>
      <c r="C206" s="8">
        <v>69</v>
      </c>
      <c r="D206" s="8">
        <v>50</v>
      </c>
      <c r="E206" s="8">
        <v>0.6</v>
      </c>
      <c r="F206" s="9">
        <v>205</v>
      </c>
      <c r="G206" s="8" t="s">
        <v>16</v>
      </c>
      <c r="H206" s="10" t="s">
        <v>17</v>
      </c>
      <c r="I206" s="10">
        <v>122</v>
      </c>
      <c r="J206" s="10">
        <v>15</v>
      </c>
      <c r="K206" s="10">
        <v>10</v>
      </c>
      <c r="L206" s="11" t="s">
        <v>280</v>
      </c>
      <c r="M206" s="12">
        <v>230</v>
      </c>
      <c r="N206" s="13"/>
      <c r="O206" s="13"/>
    </row>
    <row r="207" spans="1:15">
      <c r="A207" s="22" t="s">
        <v>281</v>
      </c>
      <c r="B207" s="8">
        <v>9</v>
      </c>
      <c r="C207" s="8">
        <v>71</v>
      </c>
      <c r="D207" s="8">
        <v>50</v>
      </c>
      <c r="E207" s="8">
        <v>0.6</v>
      </c>
      <c r="F207" s="9">
        <v>206</v>
      </c>
      <c r="G207" s="8" t="s">
        <v>16</v>
      </c>
      <c r="H207" s="10" t="s">
        <v>17</v>
      </c>
      <c r="I207" s="10">
        <v>122</v>
      </c>
      <c r="J207" s="10">
        <v>15</v>
      </c>
      <c r="K207" s="10">
        <v>10</v>
      </c>
      <c r="L207" s="11" t="s">
        <v>235</v>
      </c>
      <c r="M207" s="12">
        <v>1154</v>
      </c>
      <c r="N207" s="13"/>
      <c r="O207" s="13"/>
    </row>
    <row r="208" spans="1:15">
      <c r="A208" s="22" t="s">
        <v>282</v>
      </c>
      <c r="B208" s="8">
        <v>9</v>
      </c>
      <c r="C208" s="8">
        <v>73</v>
      </c>
      <c r="D208" s="8">
        <v>50</v>
      </c>
      <c r="E208" s="8">
        <v>0.6</v>
      </c>
      <c r="F208" s="9">
        <v>207</v>
      </c>
      <c r="G208" s="8" t="s">
        <v>16</v>
      </c>
      <c r="H208" s="10" t="s">
        <v>17</v>
      </c>
      <c r="I208" s="10">
        <v>122</v>
      </c>
      <c r="J208" s="10">
        <v>15</v>
      </c>
      <c r="K208" s="10">
        <v>10</v>
      </c>
      <c r="L208" s="11" t="s">
        <v>90</v>
      </c>
      <c r="M208" s="12">
        <v>65</v>
      </c>
      <c r="N208" s="13"/>
      <c r="O208" s="13"/>
    </row>
    <row r="209" spans="1:15">
      <c r="A209" s="22" t="s">
        <v>283</v>
      </c>
      <c r="B209" s="8">
        <v>9</v>
      </c>
      <c r="C209" s="8">
        <v>84</v>
      </c>
      <c r="D209" s="8">
        <v>50</v>
      </c>
      <c r="E209" s="8">
        <v>0.6</v>
      </c>
      <c r="F209" s="9">
        <v>208</v>
      </c>
      <c r="G209" s="8" t="s">
        <v>16</v>
      </c>
      <c r="H209" s="10" t="s">
        <v>17</v>
      </c>
      <c r="I209" s="10">
        <v>122</v>
      </c>
      <c r="J209" s="10">
        <v>15</v>
      </c>
      <c r="K209" s="10">
        <v>10</v>
      </c>
      <c r="L209" s="11" t="s">
        <v>102</v>
      </c>
      <c r="M209" s="12">
        <v>0</v>
      </c>
      <c r="N209" s="13"/>
      <c r="O209" s="13"/>
    </row>
    <row r="210" spans="1:15">
      <c r="A210" s="22" t="s">
        <v>284</v>
      </c>
      <c r="B210" s="8">
        <v>9</v>
      </c>
      <c r="C210" s="8">
        <v>79</v>
      </c>
      <c r="D210" s="8">
        <v>50</v>
      </c>
      <c r="E210" s="8">
        <v>0.6</v>
      </c>
      <c r="F210" s="9">
        <v>209</v>
      </c>
      <c r="G210" s="8" t="s">
        <v>16</v>
      </c>
      <c r="H210" s="10" t="s">
        <v>17</v>
      </c>
      <c r="I210" s="10">
        <v>122</v>
      </c>
      <c r="J210" s="10">
        <v>15</v>
      </c>
      <c r="K210" s="10">
        <v>10</v>
      </c>
      <c r="L210" s="11" t="s">
        <v>285</v>
      </c>
      <c r="M210" s="12">
        <v>0</v>
      </c>
      <c r="N210" s="13"/>
      <c r="O210" s="13"/>
    </row>
    <row r="211" spans="1:15">
      <c r="A211" s="22" t="s">
        <v>286</v>
      </c>
      <c r="B211" s="8">
        <v>9</v>
      </c>
      <c r="C211" s="8">
        <v>63</v>
      </c>
      <c r="D211" s="8">
        <v>50</v>
      </c>
      <c r="E211" s="8">
        <v>0.6</v>
      </c>
      <c r="F211" s="9">
        <v>210</v>
      </c>
      <c r="G211" s="8" t="s">
        <v>16</v>
      </c>
      <c r="H211" s="10" t="s">
        <v>17</v>
      </c>
      <c r="I211" s="10">
        <v>122</v>
      </c>
      <c r="J211" s="10">
        <v>15</v>
      </c>
      <c r="K211" s="10">
        <v>10</v>
      </c>
      <c r="L211" s="11" t="s">
        <v>287</v>
      </c>
      <c r="M211" s="12">
        <v>18</v>
      </c>
      <c r="N211" s="13"/>
      <c r="O211" s="13"/>
    </row>
    <row r="212" spans="1:15">
      <c r="A212" s="22" t="s">
        <v>288</v>
      </c>
      <c r="B212" s="8">
        <v>9</v>
      </c>
      <c r="C212" s="8">
        <v>67</v>
      </c>
      <c r="D212" s="8">
        <v>50</v>
      </c>
      <c r="E212" s="8">
        <v>0.6</v>
      </c>
      <c r="F212" s="9">
        <v>211</v>
      </c>
      <c r="G212" s="8" t="s">
        <v>16</v>
      </c>
      <c r="H212" s="10" t="s">
        <v>17</v>
      </c>
      <c r="I212" s="10">
        <v>122</v>
      </c>
      <c r="J212" s="10">
        <v>15</v>
      </c>
      <c r="K212" s="10">
        <v>10</v>
      </c>
      <c r="L212" s="11" t="s">
        <v>96</v>
      </c>
      <c r="M212" s="12">
        <v>0</v>
      </c>
      <c r="N212" s="13"/>
      <c r="O212" s="13"/>
    </row>
    <row r="213" spans="1:15">
      <c r="A213" s="22" t="s">
        <v>289</v>
      </c>
      <c r="B213" s="8">
        <v>9</v>
      </c>
      <c r="C213" s="8">
        <v>70</v>
      </c>
      <c r="D213" s="8">
        <v>50</v>
      </c>
      <c r="E213" s="8">
        <v>0.6</v>
      </c>
      <c r="F213" s="9">
        <v>212</v>
      </c>
      <c r="G213" s="8" t="s">
        <v>16</v>
      </c>
      <c r="H213" s="10" t="s">
        <v>17</v>
      </c>
      <c r="I213" s="10">
        <v>122</v>
      </c>
      <c r="J213" s="10">
        <v>15</v>
      </c>
      <c r="K213" s="10">
        <v>10</v>
      </c>
      <c r="L213" s="11" t="s">
        <v>121</v>
      </c>
      <c r="M213" s="12">
        <v>0</v>
      </c>
      <c r="N213" s="13"/>
      <c r="O213" s="13"/>
    </row>
    <row r="214" spans="1:15">
      <c r="A214" s="22" t="s">
        <v>290</v>
      </c>
      <c r="B214" s="8">
        <v>9</v>
      </c>
      <c r="C214" s="8">
        <v>65</v>
      </c>
      <c r="D214" s="8">
        <v>50</v>
      </c>
      <c r="E214" s="8">
        <v>0.6</v>
      </c>
      <c r="F214" s="9">
        <v>213</v>
      </c>
      <c r="G214" s="8" t="s">
        <v>16</v>
      </c>
      <c r="H214" s="10" t="s">
        <v>17</v>
      </c>
      <c r="I214" s="10">
        <v>122</v>
      </c>
      <c r="J214" s="10">
        <v>15</v>
      </c>
      <c r="K214" s="10">
        <v>10</v>
      </c>
      <c r="L214" s="11" t="s">
        <v>22</v>
      </c>
      <c r="M214" s="12">
        <v>154</v>
      </c>
      <c r="N214" s="13"/>
      <c r="O214" s="13"/>
    </row>
    <row r="215" spans="1:15">
      <c r="A215" s="22" t="s">
        <v>291</v>
      </c>
      <c r="B215" s="8">
        <v>9</v>
      </c>
      <c r="C215" s="8">
        <v>65</v>
      </c>
      <c r="D215" s="8">
        <v>50</v>
      </c>
      <c r="E215" s="8">
        <v>0.6</v>
      </c>
      <c r="F215" s="9">
        <v>214</v>
      </c>
      <c r="G215" s="8" t="s">
        <v>16</v>
      </c>
      <c r="H215" s="10" t="s">
        <v>17</v>
      </c>
      <c r="I215" s="10">
        <v>122</v>
      </c>
      <c r="J215" s="10">
        <v>15</v>
      </c>
      <c r="K215" s="10">
        <v>10</v>
      </c>
      <c r="L215" s="11" t="s">
        <v>22</v>
      </c>
      <c r="M215" s="12">
        <v>0</v>
      </c>
      <c r="N215" s="13"/>
      <c r="O215" s="13"/>
    </row>
    <row r="216" spans="1:15">
      <c r="A216" s="22" t="s">
        <v>292</v>
      </c>
      <c r="B216" s="8">
        <v>9</v>
      </c>
      <c r="C216" s="8">
        <v>66</v>
      </c>
      <c r="D216" s="8">
        <v>50</v>
      </c>
      <c r="E216" s="8">
        <v>0.6</v>
      </c>
      <c r="F216" s="9">
        <v>215</v>
      </c>
      <c r="G216" s="8" t="s">
        <v>16</v>
      </c>
      <c r="H216" s="10" t="s">
        <v>17</v>
      </c>
      <c r="I216" s="10">
        <v>122</v>
      </c>
      <c r="J216" s="10">
        <v>15</v>
      </c>
      <c r="K216" s="10">
        <v>10</v>
      </c>
      <c r="L216" s="11" t="s">
        <v>173</v>
      </c>
      <c r="M216" s="12">
        <v>0</v>
      </c>
      <c r="N216" s="13"/>
      <c r="O216" s="13"/>
    </row>
    <row r="217" spans="1:15">
      <c r="A217" s="22" t="s">
        <v>293</v>
      </c>
      <c r="B217" s="8">
        <v>9</v>
      </c>
      <c r="C217" s="8">
        <v>69</v>
      </c>
      <c r="D217" s="8">
        <v>50</v>
      </c>
      <c r="E217" s="8">
        <v>0.6</v>
      </c>
      <c r="F217" s="9">
        <v>216</v>
      </c>
      <c r="G217" s="8" t="s">
        <v>16</v>
      </c>
      <c r="H217" s="10" t="s">
        <v>17</v>
      </c>
      <c r="I217" s="10">
        <v>122</v>
      </c>
      <c r="J217" s="10">
        <v>15</v>
      </c>
      <c r="K217" s="10">
        <v>10</v>
      </c>
      <c r="L217" s="11" t="s">
        <v>123</v>
      </c>
      <c r="M217" s="12">
        <v>673</v>
      </c>
      <c r="N217" s="13"/>
      <c r="O217" s="13"/>
    </row>
    <row r="218" spans="1:15">
      <c r="A218" s="22" t="s">
        <v>294</v>
      </c>
      <c r="B218" s="8">
        <v>9</v>
      </c>
      <c r="C218" s="8">
        <v>69</v>
      </c>
      <c r="D218" s="8">
        <v>50</v>
      </c>
      <c r="E218" s="8">
        <v>0.6</v>
      </c>
      <c r="F218" s="9">
        <v>217</v>
      </c>
      <c r="G218" s="8" t="s">
        <v>16</v>
      </c>
      <c r="H218" s="10" t="s">
        <v>17</v>
      </c>
      <c r="I218" s="10">
        <v>122</v>
      </c>
      <c r="J218" s="10">
        <v>15</v>
      </c>
      <c r="K218" s="10">
        <v>10</v>
      </c>
      <c r="L218" s="11" t="s">
        <v>123</v>
      </c>
      <c r="M218" s="12">
        <v>188</v>
      </c>
      <c r="N218" s="13"/>
      <c r="O218" s="13"/>
    </row>
    <row r="219" spans="1:15">
      <c r="A219" s="22" t="s">
        <v>295</v>
      </c>
      <c r="B219" s="8">
        <v>9</v>
      </c>
      <c r="C219" s="8">
        <v>79</v>
      </c>
      <c r="D219" s="8">
        <v>50</v>
      </c>
      <c r="E219" s="8">
        <v>0.6</v>
      </c>
      <c r="F219" s="9">
        <v>218</v>
      </c>
      <c r="G219" s="8" t="s">
        <v>16</v>
      </c>
      <c r="H219" s="10" t="s">
        <v>17</v>
      </c>
      <c r="I219" s="10">
        <v>122</v>
      </c>
      <c r="J219" s="10">
        <v>15</v>
      </c>
      <c r="K219" s="10">
        <v>10</v>
      </c>
      <c r="L219" s="11" t="s">
        <v>285</v>
      </c>
      <c r="M219" s="12">
        <v>0</v>
      </c>
      <c r="N219" s="13"/>
      <c r="O219" s="13"/>
    </row>
    <row r="220" spans="1:15">
      <c r="A220" s="22" t="s">
        <v>296</v>
      </c>
      <c r="B220" s="8">
        <v>9</v>
      </c>
      <c r="C220" s="8">
        <v>79</v>
      </c>
      <c r="D220" s="8">
        <v>50</v>
      </c>
      <c r="E220" s="8">
        <v>0.6</v>
      </c>
      <c r="F220" s="9">
        <v>219</v>
      </c>
      <c r="G220" s="8" t="s">
        <v>16</v>
      </c>
      <c r="H220" s="10" t="s">
        <v>17</v>
      </c>
      <c r="I220" s="10">
        <v>122</v>
      </c>
      <c r="J220" s="10">
        <v>15</v>
      </c>
      <c r="K220" s="10">
        <v>10</v>
      </c>
      <c r="L220" s="11" t="s">
        <v>285</v>
      </c>
      <c r="M220" s="12">
        <v>0</v>
      </c>
      <c r="N220" s="13"/>
      <c r="O220" s="13"/>
    </row>
    <row r="221" spans="1:15">
      <c r="A221" s="22" t="s">
        <v>297</v>
      </c>
      <c r="B221" s="8">
        <v>9</v>
      </c>
      <c r="C221" s="8">
        <v>79</v>
      </c>
      <c r="D221" s="8">
        <v>50</v>
      </c>
      <c r="E221" s="8">
        <v>0.6</v>
      </c>
      <c r="F221" s="9">
        <v>220</v>
      </c>
      <c r="G221" s="8" t="s">
        <v>16</v>
      </c>
      <c r="H221" s="10" t="s">
        <v>17</v>
      </c>
      <c r="I221" s="10">
        <v>122</v>
      </c>
      <c r="J221" s="10">
        <v>15</v>
      </c>
      <c r="K221" s="10">
        <v>10</v>
      </c>
      <c r="L221" s="11" t="s">
        <v>285</v>
      </c>
      <c r="M221" s="12">
        <v>0</v>
      </c>
      <c r="N221" s="13"/>
      <c r="O221" s="13"/>
    </row>
    <row r="222" spans="1:15">
      <c r="A222" s="22" t="s">
        <v>298</v>
      </c>
      <c r="B222" s="8">
        <v>9</v>
      </c>
      <c r="C222" s="8">
        <v>84</v>
      </c>
      <c r="D222" s="8">
        <v>50</v>
      </c>
      <c r="E222" s="8">
        <v>0.6</v>
      </c>
      <c r="F222" s="9">
        <v>221</v>
      </c>
      <c r="G222" s="8" t="s">
        <v>16</v>
      </c>
      <c r="H222" s="10" t="s">
        <v>17</v>
      </c>
      <c r="I222" s="10">
        <v>122</v>
      </c>
      <c r="J222" s="10">
        <v>15</v>
      </c>
      <c r="K222" s="10">
        <v>10</v>
      </c>
      <c r="L222" s="11" t="s">
        <v>299</v>
      </c>
      <c r="M222" s="12">
        <v>1</v>
      </c>
      <c r="N222" s="13"/>
      <c r="O222" s="13"/>
    </row>
    <row r="223" spans="1:15">
      <c r="A223" s="23" t="s">
        <v>300</v>
      </c>
      <c r="B223" s="20">
        <v>9</v>
      </c>
      <c r="C223" s="8">
        <v>70</v>
      </c>
      <c r="D223" s="20">
        <v>50</v>
      </c>
      <c r="E223" s="20">
        <v>0.6</v>
      </c>
      <c r="F223" s="9">
        <v>222</v>
      </c>
      <c r="G223" s="8" t="s">
        <v>16</v>
      </c>
      <c r="H223" s="10" t="s">
        <v>17</v>
      </c>
      <c r="I223" s="10">
        <v>122</v>
      </c>
      <c r="J223" s="10">
        <v>15</v>
      </c>
      <c r="K223" s="10">
        <v>10</v>
      </c>
      <c r="L223" s="11" t="e">
        <v>#N/A</v>
      </c>
      <c r="M223" s="12">
        <v>11</v>
      </c>
      <c r="N223" s="13" t="s">
        <v>18</v>
      </c>
      <c r="O223" s="13" t="s">
        <v>18</v>
      </c>
    </row>
    <row r="224" spans="1:15">
      <c r="A224" s="22" t="s">
        <v>301</v>
      </c>
      <c r="B224" s="8">
        <v>9</v>
      </c>
      <c r="C224" s="8">
        <v>80</v>
      </c>
      <c r="D224" s="8">
        <v>60</v>
      </c>
      <c r="E224" s="8">
        <v>0.2</v>
      </c>
      <c r="F224" s="9">
        <v>223</v>
      </c>
      <c r="G224" s="8" t="s">
        <v>80</v>
      </c>
      <c r="H224" s="10" t="s">
        <v>81</v>
      </c>
      <c r="I224" s="10">
        <v>45</v>
      </c>
      <c r="J224" s="10">
        <v>26</v>
      </c>
      <c r="K224" s="10">
        <v>8</v>
      </c>
      <c r="L224" s="11" t="e">
        <v>#N/A</v>
      </c>
      <c r="M224" s="12">
        <v>76</v>
      </c>
      <c r="N224" s="13" t="s">
        <v>18</v>
      </c>
      <c r="O224" s="13"/>
    </row>
    <row r="225" spans="1:15">
      <c r="A225" s="22" t="s">
        <v>302</v>
      </c>
      <c r="B225" s="8">
        <v>9</v>
      </c>
      <c r="C225" s="8">
        <v>65</v>
      </c>
      <c r="D225" s="8">
        <v>50</v>
      </c>
      <c r="E225" s="8">
        <v>0.6</v>
      </c>
      <c r="F225" s="9">
        <v>224</v>
      </c>
      <c r="G225" s="8" t="s">
        <v>16</v>
      </c>
      <c r="H225" s="10" t="s">
        <v>17</v>
      </c>
      <c r="I225" s="10">
        <v>122</v>
      </c>
      <c r="J225" s="10">
        <v>15</v>
      </c>
      <c r="K225" s="10">
        <v>10</v>
      </c>
      <c r="L225" s="11" t="s">
        <v>303</v>
      </c>
      <c r="M225" s="12">
        <v>0</v>
      </c>
      <c r="N225" s="13"/>
      <c r="O225" s="13"/>
    </row>
    <row r="226" spans="1:15">
      <c r="A226" s="22" t="s">
        <v>304</v>
      </c>
      <c r="B226" s="8">
        <v>9</v>
      </c>
      <c r="C226" s="8">
        <v>66</v>
      </c>
      <c r="D226" s="8">
        <v>50</v>
      </c>
      <c r="E226" s="8">
        <v>0.6</v>
      </c>
      <c r="F226" s="9">
        <v>225</v>
      </c>
      <c r="G226" s="8" t="s">
        <v>16</v>
      </c>
      <c r="H226" s="10" t="s">
        <v>17</v>
      </c>
      <c r="I226" s="10">
        <v>122</v>
      </c>
      <c r="J226" s="10">
        <v>15</v>
      </c>
      <c r="K226" s="10">
        <v>10</v>
      </c>
      <c r="L226" s="11" t="s">
        <v>173</v>
      </c>
      <c r="M226" s="12">
        <v>0</v>
      </c>
      <c r="N226" s="13"/>
      <c r="O226" s="13"/>
    </row>
    <row r="227" spans="1:15">
      <c r="A227" s="22" t="s">
        <v>305</v>
      </c>
      <c r="B227" s="8">
        <v>9</v>
      </c>
      <c r="C227" s="8">
        <v>62</v>
      </c>
      <c r="D227" s="8">
        <v>50</v>
      </c>
      <c r="E227" s="8">
        <v>0.6</v>
      </c>
      <c r="F227" s="9">
        <v>226</v>
      </c>
      <c r="G227" s="8" t="s">
        <v>16</v>
      </c>
      <c r="H227" s="10" t="s">
        <v>17</v>
      </c>
      <c r="I227" s="10">
        <v>122</v>
      </c>
      <c r="J227" s="10">
        <v>15</v>
      </c>
      <c r="K227" s="10">
        <v>10</v>
      </c>
      <c r="L227" s="11" t="s">
        <v>202</v>
      </c>
      <c r="M227" s="12">
        <v>0</v>
      </c>
      <c r="N227" s="13"/>
      <c r="O227" s="13"/>
    </row>
    <row r="228" spans="1:15">
      <c r="A228" s="22" t="s">
        <v>306</v>
      </c>
      <c r="B228" s="8">
        <v>9</v>
      </c>
      <c r="C228" s="8">
        <v>66</v>
      </c>
      <c r="D228" s="8">
        <v>50</v>
      </c>
      <c r="E228" s="8">
        <v>0.6</v>
      </c>
      <c r="F228" s="9">
        <v>227</v>
      </c>
      <c r="G228" s="8" t="s">
        <v>16</v>
      </c>
      <c r="H228" s="10" t="s">
        <v>17</v>
      </c>
      <c r="I228" s="10">
        <v>122</v>
      </c>
      <c r="J228" s="10">
        <v>15</v>
      </c>
      <c r="K228" s="10">
        <v>10</v>
      </c>
      <c r="L228" s="11" t="s">
        <v>173</v>
      </c>
      <c r="M228" s="12">
        <v>9</v>
      </c>
      <c r="N228" s="13"/>
      <c r="O228" s="13"/>
    </row>
    <row r="229" spans="1:15">
      <c r="A229" s="22" t="s">
        <v>307</v>
      </c>
      <c r="B229" s="8">
        <v>9</v>
      </c>
      <c r="C229" s="8">
        <v>68</v>
      </c>
      <c r="D229" s="8">
        <v>50</v>
      </c>
      <c r="E229" s="8">
        <v>0.6</v>
      </c>
      <c r="F229" s="9">
        <v>228</v>
      </c>
      <c r="G229" s="8" t="s">
        <v>16</v>
      </c>
      <c r="H229" s="10" t="s">
        <v>17</v>
      </c>
      <c r="I229" s="10">
        <v>122</v>
      </c>
      <c r="J229" s="10">
        <v>15</v>
      </c>
      <c r="K229" s="10">
        <v>10</v>
      </c>
      <c r="L229" s="11" t="s">
        <v>118</v>
      </c>
      <c r="M229" s="12">
        <v>0</v>
      </c>
      <c r="N229" s="13"/>
      <c r="O229" s="13"/>
    </row>
    <row r="230" spans="1:15">
      <c r="A230" s="22" t="s">
        <v>308</v>
      </c>
      <c r="B230" s="8">
        <v>9</v>
      </c>
      <c r="C230" s="8">
        <v>87</v>
      </c>
      <c r="D230" s="8">
        <v>50</v>
      </c>
      <c r="E230" s="8">
        <v>0.6</v>
      </c>
      <c r="F230" s="9">
        <v>229</v>
      </c>
      <c r="G230" s="8" t="s">
        <v>16</v>
      </c>
      <c r="H230" s="10" t="s">
        <v>17</v>
      </c>
      <c r="I230" s="10">
        <v>122</v>
      </c>
      <c r="J230" s="10">
        <v>15</v>
      </c>
      <c r="K230" s="10">
        <v>10</v>
      </c>
      <c r="L230" s="11" t="s">
        <v>309</v>
      </c>
      <c r="M230" s="12">
        <v>192</v>
      </c>
      <c r="N230" s="13"/>
      <c r="O230" s="13"/>
    </row>
    <row r="231" spans="1:15">
      <c r="A231" s="22" t="s">
        <v>310</v>
      </c>
      <c r="B231" s="8">
        <v>9</v>
      </c>
      <c r="C231" s="8">
        <v>89</v>
      </c>
      <c r="D231" s="8">
        <v>50</v>
      </c>
      <c r="E231" s="8">
        <v>0.6</v>
      </c>
      <c r="F231" s="9">
        <v>230</v>
      </c>
      <c r="G231" s="8" t="s">
        <v>16</v>
      </c>
      <c r="H231" s="10" t="s">
        <v>17</v>
      </c>
      <c r="I231" s="10">
        <v>122</v>
      </c>
      <c r="J231" s="10">
        <v>15</v>
      </c>
      <c r="K231" s="10">
        <v>10</v>
      </c>
      <c r="L231" s="11" t="s">
        <v>311</v>
      </c>
      <c r="M231" s="12">
        <v>0</v>
      </c>
      <c r="N231" s="13"/>
      <c r="O231" s="13"/>
    </row>
    <row r="232" spans="1:15">
      <c r="A232" s="22" t="s">
        <v>312</v>
      </c>
      <c r="B232" s="8">
        <v>9</v>
      </c>
      <c r="C232" s="8">
        <v>88</v>
      </c>
      <c r="D232" s="8">
        <v>50</v>
      </c>
      <c r="E232" s="8">
        <v>0.6</v>
      </c>
      <c r="F232" s="9">
        <v>231</v>
      </c>
      <c r="G232" s="8" t="s">
        <v>16</v>
      </c>
      <c r="H232" s="10" t="s">
        <v>17</v>
      </c>
      <c r="I232" s="10">
        <v>122</v>
      </c>
      <c r="J232" s="10">
        <v>15</v>
      </c>
      <c r="K232" s="10">
        <v>10</v>
      </c>
      <c r="L232" s="11" t="s">
        <v>313</v>
      </c>
      <c r="M232" s="12">
        <v>0</v>
      </c>
      <c r="N232" s="13"/>
      <c r="O232" s="13"/>
    </row>
    <row r="233" spans="1:15">
      <c r="A233" s="22" t="s">
        <v>314</v>
      </c>
      <c r="B233" s="8">
        <v>9</v>
      </c>
      <c r="C233" s="8">
        <v>64</v>
      </c>
      <c r="D233" s="8">
        <v>50</v>
      </c>
      <c r="E233" s="8">
        <v>0.6</v>
      </c>
      <c r="F233" s="9">
        <v>232</v>
      </c>
      <c r="G233" s="8" t="s">
        <v>16</v>
      </c>
      <c r="H233" s="10" t="s">
        <v>17</v>
      </c>
      <c r="I233" s="10">
        <v>122</v>
      </c>
      <c r="J233" s="10">
        <v>15</v>
      </c>
      <c r="K233" s="10">
        <v>10</v>
      </c>
      <c r="L233" s="11" t="s">
        <v>315</v>
      </c>
      <c r="M233" s="12">
        <v>119</v>
      </c>
      <c r="N233" s="13"/>
      <c r="O233" s="13"/>
    </row>
    <row r="234" spans="1:15">
      <c r="A234" s="22" t="s">
        <v>316</v>
      </c>
      <c r="B234" s="8">
        <v>9</v>
      </c>
      <c r="C234" s="8">
        <v>69</v>
      </c>
      <c r="D234" s="8">
        <v>50</v>
      </c>
      <c r="E234" s="8">
        <v>0.6</v>
      </c>
      <c r="F234" s="9">
        <v>233</v>
      </c>
      <c r="G234" s="8" t="s">
        <v>16</v>
      </c>
      <c r="H234" s="10" t="s">
        <v>17</v>
      </c>
      <c r="I234" s="10">
        <v>122</v>
      </c>
      <c r="J234" s="10">
        <v>15</v>
      </c>
      <c r="K234" s="10">
        <v>10</v>
      </c>
      <c r="L234" s="11" t="s">
        <v>317</v>
      </c>
      <c r="M234" s="12">
        <v>0</v>
      </c>
      <c r="N234" s="13"/>
      <c r="O234" s="13"/>
    </row>
    <row r="235" spans="1:15">
      <c r="A235" s="22" t="s">
        <v>318</v>
      </c>
      <c r="B235" s="8">
        <v>9</v>
      </c>
      <c r="C235" s="8">
        <v>71</v>
      </c>
      <c r="D235" s="8">
        <v>50</v>
      </c>
      <c r="E235" s="8">
        <v>0.6</v>
      </c>
      <c r="F235" s="9">
        <v>234</v>
      </c>
      <c r="G235" s="8" t="s">
        <v>16</v>
      </c>
      <c r="H235" s="10" t="s">
        <v>17</v>
      </c>
      <c r="I235" s="10">
        <v>122</v>
      </c>
      <c r="J235" s="10">
        <v>15</v>
      </c>
      <c r="K235" s="10">
        <v>10</v>
      </c>
      <c r="L235" s="11" t="s">
        <v>319</v>
      </c>
      <c r="M235" s="12">
        <v>127</v>
      </c>
      <c r="N235" s="13"/>
      <c r="O235" s="13"/>
    </row>
    <row r="236" spans="1:15">
      <c r="A236" s="22" t="s">
        <v>320</v>
      </c>
      <c r="B236" s="8">
        <v>9</v>
      </c>
      <c r="C236" s="8">
        <v>68</v>
      </c>
      <c r="D236" s="8">
        <v>50</v>
      </c>
      <c r="E236" s="8">
        <v>0.6</v>
      </c>
      <c r="F236" s="9">
        <v>235</v>
      </c>
      <c r="G236" s="8" t="s">
        <v>16</v>
      </c>
      <c r="H236" s="10" t="s">
        <v>17</v>
      </c>
      <c r="I236" s="10">
        <v>122</v>
      </c>
      <c r="J236" s="10">
        <v>15</v>
      </c>
      <c r="K236" s="10">
        <v>10</v>
      </c>
      <c r="L236" s="11" t="s">
        <v>118</v>
      </c>
      <c r="M236" s="12">
        <v>0</v>
      </c>
      <c r="N236" s="13"/>
      <c r="O236" s="13"/>
    </row>
    <row r="237" spans="1:15">
      <c r="A237" s="22" t="s">
        <v>321</v>
      </c>
      <c r="B237" s="8">
        <v>9</v>
      </c>
      <c r="C237" s="8">
        <v>69</v>
      </c>
      <c r="D237" s="8">
        <v>50</v>
      </c>
      <c r="E237" s="8">
        <v>0.6</v>
      </c>
      <c r="F237" s="9">
        <v>236</v>
      </c>
      <c r="G237" s="8" t="s">
        <v>16</v>
      </c>
      <c r="H237" s="10" t="s">
        <v>17</v>
      </c>
      <c r="I237" s="10">
        <v>122</v>
      </c>
      <c r="J237" s="10">
        <v>15</v>
      </c>
      <c r="K237" s="10">
        <v>10</v>
      </c>
      <c r="L237" s="11" t="s">
        <v>123</v>
      </c>
      <c r="M237" s="12">
        <v>0</v>
      </c>
      <c r="N237" s="13"/>
      <c r="O237" s="13"/>
    </row>
    <row r="238" spans="1:15">
      <c r="A238" s="22" t="s">
        <v>322</v>
      </c>
      <c r="B238" s="8">
        <v>9</v>
      </c>
      <c r="C238" s="8">
        <v>81</v>
      </c>
      <c r="D238" s="8">
        <v>50</v>
      </c>
      <c r="E238" s="8">
        <v>0.6</v>
      </c>
      <c r="F238" s="9">
        <v>237</v>
      </c>
      <c r="G238" s="8" t="s">
        <v>16</v>
      </c>
      <c r="H238" s="10" t="s">
        <v>17</v>
      </c>
      <c r="I238" s="10">
        <v>122</v>
      </c>
      <c r="J238" s="10">
        <v>15</v>
      </c>
      <c r="K238" s="10">
        <v>10</v>
      </c>
      <c r="L238" s="11" t="s">
        <v>323</v>
      </c>
      <c r="M238" s="12">
        <v>154</v>
      </c>
      <c r="N238" s="13"/>
      <c r="O238" s="13"/>
    </row>
    <row r="239" spans="1:15">
      <c r="A239" s="22" t="s">
        <v>324</v>
      </c>
      <c r="B239" s="8">
        <v>9</v>
      </c>
      <c r="C239" s="8">
        <v>83</v>
      </c>
      <c r="D239" s="8">
        <v>50</v>
      </c>
      <c r="E239" s="8">
        <v>0.6</v>
      </c>
      <c r="F239" s="9">
        <v>238</v>
      </c>
      <c r="G239" s="8" t="s">
        <v>16</v>
      </c>
      <c r="H239" s="10" t="s">
        <v>17</v>
      </c>
      <c r="I239" s="10">
        <v>122</v>
      </c>
      <c r="J239" s="10">
        <v>15</v>
      </c>
      <c r="K239" s="10">
        <v>10</v>
      </c>
      <c r="L239" s="11" t="s">
        <v>325</v>
      </c>
      <c r="M239" s="12">
        <v>73</v>
      </c>
      <c r="N239" s="13"/>
      <c r="O239" s="13"/>
    </row>
    <row r="240" spans="1:15">
      <c r="A240" s="22" t="s">
        <v>326</v>
      </c>
      <c r="B240" s="8">
        <v>9</v>
      </c>
      <c r="C240" s="8">
        <v>79</v>
      </c>
      <c r="D240" s="8">
        <v>50</v>
      </c>
      <c r="E240" s="8">
        <v>0.6</v>
      </c>
      <c r="F240" s="9">
        <v>239</v>
      </c>
      <c r="G240" s="8" t="s">
        <v>16</v>
      </c>
      <c r="H240" s="10" t="s">
        <v>17</v>
      </c>
      <c r="I240" s="10">
        <v>122</v>
      </c>
      <c r="J240" s="10">
        <v>15</v>
      </c>
      <c r="K240" s="10">
        <v>10</v>
      </c>
      <c r="L240" s="11" t="s">
        <v>327</v>
      </c>
      <c r="M240" s="12">
        <v>63</v>
      </c>
      <c r="N240" s="13"/>
      <c r="O240" s="13"/>
    </row>
    <row r="241" spans="1:15">
      <c r="A241" s="22" t="s">
        <v>328</v>
      </c>
      <c r="B241" s="8">
        <v>9</v>
      </c>
      <c r="C241" s="8">
        <v>78</v>
      </c>
      <c r="D241" s="8">
        <v>50</v>
      </c>
      <c r="E241" s="8">
        <v>0.6</v>
      </c>
      <c r="F241" s="9">
        <v>240</v>
      </c>
      <c r="G241" s="8" t="s">
        <v>16</v>
      </c>
      <c r="H241" s="10" t="s">
        <v>17</v>
      </c>
      <c r="I241" s="10">
        <v>122</v>
      </c>
      <c r="J241" s="10">
        <v>15</v>
      </c>
      <c r="K241" s="10">
        <v>10</v>
      </c>
      <c r="L241" s="11" t="s">
        <v>129</v>
      </c>
      <c r="M241" s="12">
        <v>121</v>
      </c>
      <c r="N241" s="13"/>
      <c r="O241" s="13"/>
    </row>
    <row r="242" spans="1:15">
      <c r="A242" s="22" t="s">
        <v>329</v>
      </c>
      <c r="B242" s="8">
        <v>9</v>
      </c>
      <c r="C242" s="8">
        <v>81</v>
      </c>
      <c r="D242" s="8">
        <v>50</v>
      </c>
      <c r="E242" s="8">
        <v>0.6</v>
      </c>
      <c r="F242" s="9">
        <v>241</v>
      </c>
      <c r="G242" s="8" t="s">
        <v>16</v>
      </c>
      <c r="H242" s="10" t="s">
        <v>17</v>
      </c>
      <c r="I242" s="10">
        <v>122</v>
      </c>
      <c r="J242" s="10">
        <v>15</v>
      </c>
      <c r="K242" s="10">
        <v>10</v>
      </c>
      <c r="L242" s="11" t="s">
        <v>330</v>
      </c>
      <c r="M242" s="12">
        <v>157</v>
      </c>
      <c r="N242" s="13"/>
      <c r="O242" s="13"/>
    </row>
    <row r="243" spans="1:15">
      <c r="A243" s="22" t="s">
        <v>331</v>
      </c>
      <c r="B243" s="8">
        <v>9</v>
      </c>
      <c r="C243" s="8">
        <v>65</v>
      </c>
      <c r="D243" s="8">
        <v>50</v>
      </c>
      <c r="E243" s="8">
        <v>0.6</v>
      </c>
      <c r="F243" s="9">
        <v>242</v>
      </c>
      <c r="G243" s="8" t="s">
        <v>16</v>
      </c>
      <c r="H243" s="10" t="s">
        <v>17</v>
      </c>
      <c r="I243" s="10">
        <v>122</v>
      </c>
      <c r="J243" s="10">
        <v>15</v>
      </c>
      <c r="K243" s="10">
        <v>10</v>
      </c>
      <c r="L243" s="11" t="s">
        <v>22</v>
      </c>
      <c r="M243" s="12">
        <v>49</v>
      </c>
      <c r="N243" s="13"/>
      <c r="O243" s="13"/>
    </row>
    <row r="244" spans="1:15">
      <c r="A244" s="22" t="s">
        <v>332</v>
      </c>
      <c r="B244" s="8">
        <v>9</v>
      </c>
      <c r="C244" s="8">
        <v>67</v>
      </c>
      <c r="D244" s="8">
        <v>50</v>
      </c>
      <c r="E244" s="8">
        <v>0.6</v>
      </c>
      <c r="F244" s="9">
        <v>243</v>
      </c>
      <c r="G244" s="8" t="s">
        <v>16</v>
      </c>
      <c r="H244" s="10" t="s">
        <v>17</v>
      </c>
      <c r="I244" s="10">
        <v>122</v>
      </c>
      <c r="J244" s="10">
        <v>15</v>
      </c>
      <c r="K244" s="10">
        <v>10</v>
      </c>
      <c r="L244" s="11" t="s">
        <v>96</v>
      </c>
      <c r="M244" s="12">
        <v>0</v>
      </c>
      <c r="N244" s="13"/>
      <c r="O244" s="13"/>
    </row>
    <row r="245" spans="1:15">
      <c r="A245" s="22" t="s">
        <v>333</v>
      </c>
      <c r="B245" s="8">
        <v>9</v>
      </c>
      <c r="C245" s="8">
        <v>70</v>
      </c>
      <c r="D245" s="8">
        <v>50</v>
      </c>
      <c r="E245" s="8">
        <v>0.6</v>
      </c>
      <c r="F245" s="9">
        <v>244</v>
      </c>
      <c r="G245" s="8" t="s">
        <v>16</v>
      </c>
      <c r="H245" s="10" t="s">
        <v>17</v>
      </c>
      <c r="I245" s="10">
        <v>122</v>
      </c>
      <c r="J245" s="10">
        <v>15</v>
      </c>
      <c r="K245" s="10">
        <v>10</v>
      </c>
      <c r="L245" s="11" t="s">
        <v>121</v>
      </c>
      <c r="M245" s="12">
        <v>0</v>
      </c>
      <c r="N245" s="13"/>
      <c r="O245" s="13"/>
    </row>
    <row r="246" spans="1:15">
      <c r="A246" s="22" t="s">
        <v>334</v>
      </c>
      <c r="B246" s="8">
        <v>9</v>
      </c>
      <c r="C246" s="8">
        <v>73</v>
      </c>
      <c r="D246" s="8">
        <v>50</v>
      </c>
      <c r="E246" s="8">
        <v>0.6</v>
      </c>
      <c r="F246" s="9">
        <v>245</v>
      </c>
      <c r="G246" s="8" t="s">
        <v>16</v>
      </c>
      <c r="H246" s="10" t="s">
        <v>17</v>
      </c>
      <c r="I246" s="10">
        <v>122</v>
      </c>
      <c r="J246" s="10">
        <v>15</v>
      </c>
      <c r="K246" s="10">
        <v>10</v>
      </c>
      <c r="L246" s="11" t="s">
        <v>90</v>
      </c>
      <c r="M246" s="12">
        <v>3</v>
      </c>
      <c r="N246" s="13"/>
      <c r="O246" s="13"/>
    </row>
    <row r="247" spans="1:15">
      <c r="A247" s="22" t="s">
        <v>335</v>
      </c>
      <c r="B247" s="8">
        <v>9</v>
      </c>
      <c r="C247" s="8">
        <v>85</v>
      </c>
      <c r="D247" s="8">
        <v>50</v>
      </c>
      <c r="E247" s="8">
        <v>0.6</v>
      </c>
      <c r="F247" s="9">
        <v>246</v>
      </c>
      <c r="G247" s="8" t="s">
        <v>16</v>
      </c>
      <c r="H247" s="10" t="s">
        <v>17</v>
      </c>
      <c r="I247" s="10">
        <v>122</v>
      </c>
      <c r="J247" s="10">
        <v>15</v>
      </c>
      <c r="K247" s="10">
        <v>10</v>
      </c>
      <c r="L247" s="11" t="s">
        <v>100</v>
      </c>
      <c r="M247" s="12">
        <v>72</v>
      </c>
      <c r="N247" s="13"/>
      <c r="O247" s="13"/>
    </row>
    <row r="248" spans="1:15">
      <c r="A248" s="22" t="s">
        <v>336</v>
      </c>
      <c r="B248" s="8">
        <v>9</v>
      </c>
      <c r="C248" s="8">
        <v>84</v>
      </c>
      <c r="D248" s="8">
        <v>50</v>
      </c>
      <c r="E248" s="8">
        <v>0.6</v>
      </c>
      <c r="F248" s="9">
        <v>247</v>
      </c>
      <c r="G248" s="8" t="s">
        <v>16</v>
      </c>
      <c r="H248" s="10" t="s">
        <v>17</v>
      </c>
      <c r="I248" s="10">
        <v>122</v>
      </c>
      <c r="J248" s="10">
        <v>15</v>
      </c>
      <c r="K248" s="10">
        <v>10</v>
      </c>
      <c r="L248" s="11" t="s">
        <v>102</v>
      </c>
      <c r="M248" s="12">
        <v>1</v>
      </c>
      <c r="N248" s="13"/>
      <c r="O248" s="13"/>
    </row>
    <row r="249" spans="1:15">
      <c r="A249" s="22" t="s">
        <v>337</v>
      </c>
      <c r="B249" s="8">
        <v>9</v>
      </c>
      <c r="C249" s="8">
        <v>64</v>
      </c>
      <c r="D249" s="8">
        <v>50</v>
      </c>
      <c r="E249" s="8">
        <v>0.6</v>
      </c>
      <c r="F249" s="9">
        <v>248</v>
      </c>
      <c r="G249" s="8" t="s">
        <v>16</v>
      </c>
      <c r="H249" s="10" t="s">
        <v>17</v>
      </c>
      <c r="I249" s="10">
        <v>122</v>
      </c>
      <c r="J249" s="10">
        <v>15</v>
      </c>
      <c r="K249" s="10">
        <v>10</v>
      </c>
      <c r="L249" s="11" t="s">
        <v>315</v>
      </c>
      <c r="M249" s="12">
        <v>18</v>
      </c>
      <c r="N249" s="13"/>
      <c r="O249" s="13"/>
    </row>
    <row r="250" spans="1:15">
      <c r="A250" s="22" t="s">
        <v>338</v>
      </c>
      <c r="B250" s="8">
        <v>9</v>
      </c>
      <c r="C250" s="8">
        <v>67</v>
      </c>
      <c r="D250" s="8">
        <v>50</v>
      </c>
      <c r="E250" s="8">
        <v>0.6</v>
      </c>
      <c r="F250" s="9">
        <v>249</v>
      </c>
      <c r="G250" s="8" t="s">
        <v>16</v>
      </c>
      <c r="H250" s="10" t="s">
        <v>17</v>
      </c>
      <c r="I250" s="10">
        <v>122</v>
      </c>
      <c r="J250" s="10">
        <v>15</v>
      </c>
      <c r="K250" s="10">
        <v>10</v>
      </c>
      <c r="L250" s="11" t="s">
        <v>96</v>
      </c>
      <c r="M250" s="12">
        <v>0</v>
      </c>
      <c r="N250" s="13"/>
      <c r="O250" s="13"/>
    </row>
    <row r="251" spans="1:15">
      <c r="A251" s="22" t="s">
        <v>339</v>
      </c>
      <c r="B251" s="8">
        <v>9</v>
      </c>
      <c r="C251" s="8">
        <v>79</v>
      </c>
      <c r="D251" s="8">
        <v>50</v>
      </c>
      <c r="E251" s="8">
        <v>0.6</v>
      </c>
      <c r="F251" s="9">
        <v>250</v>
      </c>
      <c r="G251" s="8" t="s">
        <v>16</v>
      </c>
      <c r="H251" s="10" t="s">
        <v>17</v>
      </c>
      <c r="I251" s="10">
        <v>122</v>
      </c>
      <c r="J251" s="10">
        <v>15</v>
      </c>
      <c r="K251" s="10">
        <v>10</v>
      </c>
      <c r="L251" s="11" t="s">
        <v>146</v>
      </c>
      <c r="M251" s="12">
        <v>0</v>
      </c>
      <c r="N251" s="13"/>
      <c r="O251" s="13"/>
    </row>
    <row r="252" spans="1:15">
      <c r="A252" s="22" t="s">
        <v>340</v>
      </c>
      <c r="B252" s="8">
        <v>9</v>
      </c>
      <c r="C252" s="8">
        <v>87</v>
      </c>
      <c r="D252" s="8">
        <v>50</v>
      </c>
      <c r="E252" s="8">
        <v>0.6</v>
      </c>
      <c r="F252" s="9">
        <v>251</v>
      </c>
      <c r="G252" s="8" t="s">
        <v>16</v>
      </c>
      <c r="H252" s="10" t="s">
        <v>17</v>
      </c>
      <c r="I252" s="10">
        <v>122</v>
      </c>
      <c r="J252" s="10">
        <v>15</v>
      </c>
      <c r="K252" s="10">
        <v>10</v>
      </c>
      <c r="L252" s="11" t="s">
        <v>309</v>
      </c>
      <c r="M252" s="12">
        <v>0</v>
      </c>
      <c r="N252" s="13"/>
      <c r="O252" s="13"/>
    </row>
    <row r="253" spans="1:15">
      <c r="A253" s="22" t="s">
        <v>341</v>
      </c>
      <c r="B253" s="8">
        <v>9</v>
      </c>
      <c r="C253" s="8">
        <v>87</v>
      </c>
      <c r="D253" s="8">
        <v>50</v>
      </c>
      <c r="E253" s="8">
        <v>0.6</v>
      </c>
      <c r="F253" s="9">
        <v>252</v>
      </c>
      <c r="G253" s="8" t="s">
        <v>16</v>
      </c>
      <c r="H253" s="10" t="s">
        <v>17</v>
      </c>
      <c r="I253" s="10">
        <v>122</v>
      </c>
      <c r="J253" s="10">
        <v>15</v>
      </c>
      <c r="K253" s="10">
        <v>10</v>
      </c>
      <c r="L253" s="11" t="s">
        <v>309</v>
      </c>
      <c r="M253" s="12">
        <v>0</v>
      </c>
      <c r="N253" s="13"/>
      <c r="O253" s="13"/>
    </row>
    <row r="254" spans="1:15">
      <c r="A254" s="22" t="s">
        <v>342</v>
      </c>
      <c r="B254" s="8">
        <v>9</v>
      </c>
      <c r="C254" s="8">
        <v>87</v>
      </c>
      <c r="D254" s="8">
        <v>50</v>
      </c>
      <c r="E254" s="8">
        <v>0.6</v>
      </c>
      <c r="F254" s="9">
        <v>253</v>
      </c>
      <c r="G254" s="8" t="s">
        <v>16</v>
      </c>
      <c r="H254" s="10" t="s">
        <v>17</v>
      </c>
      <c r="I254" s="10">
        <v>122</v>
      </c>
      <c r="J254" s="10">
        <v>15</v>
      </c>
      <c r="K254" s="10">
        <v>10</v>
      </c>
      <c r="L254" s="11" t="s">
        <v>309</v>
      </c>
      <c r="M254" s="12">
        <v>0</v>
      </c>
      <c r="N254" s="13"/>
      <c r="O254" s="13"/>
    </row>
    <row r="255" spans="1:15">
      <c r="A255" s="22" t="s">
        <v>343</v>
      </c>
      <c r="B255" s="8">
        <v>9</v>
      </c>
      <c r="C255" s="8">
        <v>87</v>
      </c>
      <c r="D255" s="8">
        <v>50</v>
      </c>
      <c r="E255" s="8">
        <v>0.6</v>
      </c>
      <c r="F255" s="9">
        <v>254</v>
      </c>
      <c r="G255" s="8" t="s">
        <v>16</v>
      </c>
      <c r="H255" s="10" t="s">
        <v>17</v>
      </c>
      <c r="I255" s="10">
        <v>122</v>
      </c>
      <c r="J255" s="10">
        <v>15</v>
      </c>
      <c r="K255" s="10">
        <v>10</v>
      </c>
      <c r="L255" s="11" t="s">
        <v>309</v>
      </c>
      <c r="M255" s="12">
        <v>0</v>
      </c>
      <c r="N255" s="13"/>
      <c r="O255" s="13"/>
    </row>
    <row r="256" spans="1:15">
      <c r="A256" s="22" t="s">
        <v>344</v>
      </c>
      <c r="B256" s="8">
        <v>9</v>
      </c>
      <c r="C256" s="8">
        <v>87</v>
      </c>
      <c r="D256" s="8">
        <v>50</v>
      </c>
      <c r="E256" s="8">
        <v>0.6</v>
      </c>
      <c r="F256" s="9">
        <v>255</v>
      </c>
      <c r="G256" s="8" t="s">
        <v>16</v>
      </c>
      <c r="H256" s="10" t="s">
        <v>17</v>
      </c>
      <c r="I256" s="10">
        <v>122</v>
      </c>
      <c r="J256" s="10">
        <v>15</v>
      </c>
      <c r="K256" s="10">
        <v>10</v>
      </c>
      <c r="L256" s="11" t="s">
        <v>309</v>
      </c>
      <c r="M256" s="12">
        <v>0</v>
      </c>
      <c r="N256" s="13"/>
      <c r="O256" s="13"/>
    </row>
    <row r="257" spans="1:15">
      <c r="A257" s="22" t="s">
        <v>345</v>
      </c>
      <c r="B257" s="8">
        <v>9</v>
      </c>
      <c r="C257" s="8">
        <v>87</v>
      </c>
      <c r="D257" s="8">
        <v>50</v>
      </c>
      <c r="E257" s="8">
        <v>0.6</v>
      </c>
      <c r="F257" s="9">
        <v>256</v>
      </c>
      <c r="G257" s="8" t="s">
        <v>16</v>
      </c>
      <c r="H257" s="10" t="s">
        <v>17</v>
      </c>
      <c r="I257" s="10">
        <v>122</v>
      </c>
      <c r="J257" s="10">
        <v>15</v>
      </c>
      <c r="K257" s="10">
        <v>10</v>
      </c>
      <c r="L257" s="11" t="s">
        <v>309</v>
      </c>
      <c r="M257" s="12">
        <v>0</v>
      </c>
      <c r="N257" s="13"/>
      <c r="O257" s="13"/>
    </row>
    <row r="258" spans="1:15">
      <c r="A258" s="22" t="s">
        <v>346</v>
      </c>
      <c r="B258" s="8">
        <v>9</v>
      </c>
      <c r="C258" s="8">
        <v>87</v>
      </c>
      <c r="D258" s="8">
        <v>50</v>
      </c>
      <c r="E258" s="8">
        <v>0.6</v>
      </c>
      <c r="F258" s="9">
        <v>257</v>
      </c>
      <c r="G258" s="8" t="s">
        <v>16</v>
      </c>
      <c r="H258" s="10" t="s">
        <v>17</v>
      </c>
      <c r="I258" s="10">
        <v>122</v>
      </c>
      <c r="J258" s="10">
        <v>15</v>
      </c>
      <c r="K258" s="10">
        <v>10</v>
      </c>
      <c r="L258" s="11" t="s">
        <v>309</v>
      </c>
      <c r="M258" s="12">
        <v>0</v>
      </c>
      <c r="N258" s="13"/>
      <c r="O258" s="13"/>
    </row>
    <row r="259" spans="1:15">
      <c r="A259" s="22" t="s">
        <v>347</v>
      </c>
      <c r="B259" s="8">
        <v>9</v>
      </c>
      <c r="C259" s="8">
        <v>87</v>
      </c>
      <c r="D259" s="8">
        <v>50</v>
      </c>
      <c r="E259" s="8">
        <v>0.6</v>
      </c>
      <c r="F259" s="9">
        <v>258</v>
      </c>
      <c r="G259" s="8" t="s">
        <v>16</v>
      </c>
      <c r="H259" s="10" t="s">
        <v>17</v>
      </c>
      <c r="I259" s="10">
        <v>122</v>
      </c>
      <c r="J259" s="10">
        <v>15</v>
      </c>
      <c r="K259" s="10">
        <v>10</v>
      </c>
      <c r="L259" s="11" t="s">
        <v>309</v>
      </c>
      <c r="M259" s="12">
        <v>0</v>
      </c>
      <c r="N259" s="13"/>
      <c r="O259" s="13"/>
    </row>
    <row r="260" spans="1:15">
      <c r="A260" s="22" t="s">
        <v>348</v>
      </c>
      <c r="B260" s="8">
        <v>9</v>
      </c>
      <c r="C260" s="8">
        <v>88</v>
      </c>
      <c r="D260" s="8">
        <v>50</v>
      </c>
      <c r="E260" s="8">
        <v>0.6</v>
      </c>
      <c r="F260" s="9">
        <v>259</v>
      </c>
      <c r="G260" s="8" t="s">
        <v>16</v>
      </c>
      <c r="H260" s="10" t="s">
        <v>17</v>
      </c>
      <c r="I260" s="10">
        <v>122</v>
      </c>
      <c r="J260" s="10">
        <v>15</v>
      </c>
      <c r="K260" s="10">
        <v>10</v>
      </c>
      <c r="L260" s="11" t="s">
        <v>313</v>
      </c>
      <c r="M260" s="12">
        <v>0</v>
      </c>
      <c r="N260" s="13"/>
      <c r="O260" s="13"/>
    </row>
    <row r="261" spans="1:15">
      <c r="A261" s="22" t="s">
        <v>349</v>
      </c>
      <c r="B261" s="8">
        <v>9</v>
      </c>
      <c r="C261" s="8">
        <v>88</v>
      </c>
      <c r="D261" s="8">
        <v>50</v>
      </c>
      <c r="E261" s="8">
        <v>0.6</v>
      </c>
      <c r="F261" s="9">
        <v>260</v>
      </c>
      <c r="G261" s="8" t="s">
        <v>16</v>
      </c>
      <c r="H261" s="10" t="s">
        <v>17</v>
      </c>
      <c r="I261" s="10">
        <v>122</v>
      </c>
      <c r="J261" s="10">
        <v>15</v>
      </c>
      <c r="K261" s="10">
        <v>10</v>
      </c>
      <c r="L261" s="11" t="s">
        <v>313</v>
      </c>
      <c r="M261" s="12">
        <v>0</v>
      </c>
      <c r="N261" s="13"/>
      <c r="O261" s="13"/>
    </row>
    <row r="262" spans="1:15">
      <c r="A262" s="22" t="s">
        <v>350</v>
      </c>
      <c r="B262" s="8">
        <v>9</v>
      </c>
      <c r="C262" s="8">
        <v>88</v>
      </c>
      <c r="D262" s="8">
        <v>50</v>
      </c>
      <c r="E262" s="8">
        <v>0.6</v>
      </c>
      <c r="F262" s="9">
        <v>261</v>
      </c>
      <c r="G262" s="8" t="s">
        <v>16</v>
      </c>
      <c r="H262" s="10" t="s">
        <v>17</v>
      </c>
      <c r="I262" s="10">
        <v>122</v>
      </c>
      <c r="J262" s="10">
        <v>15</v>
      </c>
      <c r="K262" s="10">
        <v>10</v>
      </c>
      <c r="L262" s="11" t="s">
        <v>313</v>
      </c>
      <c r="M262" s="12">
        <v>0</v>
      </c>
      <c r="N262" s="13"/>
      <c r="O262" s="13"/>
    </row>
    <row r="263" spans="1:15">
      <c r="A263" s="22" t="s">
        <v>351</v>
      </c>
      <c r="B263" s="8">
        <v>9</v>
      </c>
      <c r="C263" s="8">
        <v>88</v>
      </c>
      <c r="D263" s="8">
        <v>50</v>
      </c>
      <c r="E263" s="8">
        <v>0.6</v>
      </c>
      <c r="F263" s="9">
        <v>262</v>
      </c>
      <c r="G263" s="8" t="s">
        <v>16</v>
      </c>
      <c r="H263" s="10" t="s">
        <v>17</v>
      </c>
      <c r="I263" s="10">
        <v>122</v>
      </c>
      <c r="J263" s="10">
        <v>15</v>
      </c>
      <c r="K263" s="10">
        <v>10</v>
      </c>
      <c r="L263" s="11" t="s">
        <v>313</v>
      </c>
      <c r="M263" s="12">
        <v>0</v>
      </c>
      <c r="N263" s="13"/>
      <c r="O263" s="13"/>
    </row>
    <row r="264" spans="1:15">
      <c r="A264" s="22" t="s">
        <v>352</v>
      </c>
      <c r="B264" s="8">
        <v>9</v>
      </c>
      <c r="C264" s="8">
        <v>89</v>
      </c>
      <c r="D264" s="8">
        <v>50</v>
      </c>
      <c r="E264" s="8">
        <v>0.6</v>
      </c>
      <c r="F264" s="9">
        <v>263</v>
      </c>
      <c r="G264" s="8" t="s">
        <v>16</v>
      </c>
      <c r="H264" s="10" t="s">
        <v>17</v>
      </c>
      <c r="I264" s="10">
        <v>122</v>
      </c>
      <c r="J264" s="10">
        <v>15</v>
      </c>
      <c r="K264" s="10">
        <v>10</v>
      </c>
      <c r="L264" s="11" t="s">
        <v>311</v>
      </c>
      <c r="M264" s="12">
        <v>0</v>
      </c>
      <c r="N264" s="13"/>
      <c r="O264" s="13"/>
    </row>
    <row r="265" spans="1:15">
      <c r="A265" s="22" t="s">
        <v>353</v>
      </c>
      <c r="B265" s="8">
        <v>9</v>
      </c>
      <c r="C265" s="8">
        <v>305</v>
      </c>
      <c r="D265" s="8">
        <v>50</v>
      </c>
      <c r="E265" s="8"/>
      <c r="F265" s="9">
        <v>264</v>
      </c>
      <c r="G265" s="8" t="s">
        <v>72</v>
      </c>
      <c r="H265" s="10" t="s">
        <v>354</v>
      </c>
      <c r="I265" s="10" t="s">
        <v>354</v>
      </c>
      <c r="J265" s="10" t="s">
        <v>354</v>
      </c>
      <c r="K265" s="10" t="s">
        <v>354</v>
      </c>
      <c r="L265" s="11" t="s">
        <v>355</v>
      </c>
      <c r="M265" s="12">
        <v>0</v>
      </c>
      <c r="N265" s="13"/>
      <c r="O265" s="13"/>
    </row>
    <row r="266" spans="1:15">
      <c r="A266" s="22" t="s">
        <v>356</v>
      </c>
      <c r="B266" s="8">
        <v>9</v>
      </c>
      <c r="C266" s="8">
        <v>305</v>
      </c>
      <c r="D266" s="8">
        <v>50</v>
      </c>
      <c r="E266" s="8"/>
      <c r="F266" s="9">
        <v>265</v>
      </c>
      <c r="G266" s="8" t="s">
        <v>72</v>
      </c>
      <c r="H266" s="10" t="s">
        <v>354</v>
      </c>
      <c r="I266" s="10" t="s">
        <v>354</v>
      </c>
      <c r="J266" s="10" t="s">
        <v>354</v>
      </c>
      <c r="K266" s="10" t="s">
        <v>354</v>
      </c>
      <c r="L266" s="11" t="s">
        <v>355</v>
      </c>
      <c r="M266" s="12">
        <v>0</v>
      </c>
      <c r="N266" s="13"/>
      <c r="O266" s="13"/>
    </row>
    <row r="267" spans="1:15">
      <c r="A267" s="22" t="s">
        <v>357</v>
      </c>
      <c r="B267" s="8">
        <v>9</v>
      </c>
      <c r="C267" s="8">
        <v>305</v>
      </c>
      <c r="D267" s="8">
        <v>50</v>
      </c>
      <c r="E267" s="8"/>
      <c r="F267" s="9">
        <v>266</v>
      </c>
      <c r="G267" s="8" t="s">
        <v>72</v>
      </c>
      <c r="H267" s="10" t="s">
        <v>354</v>
      </c>
      <c r="I267" s="10" t="s">
        <v>354</v>
      </c>
      <c r="J267" s="10" t="s">
        <v>354</v>
      </c>
      <c r="K267" s="10" t="s">
        <v>354</v>
      </c>
      <c r="L267" s="11" t="s">
        <v>355</v>
      </c>
      <c r="M267" s="12">
        <v>0</v>
      </c>
      <c r="N267" s="13"/>
      <c r="O267" s="13"/>
    </row>
    <row r="268" spans="1:15">
      <c r="A268" s="22" t="s">
        <v>358</v>
      </c>
      <c r="B268" s="8">
        <v>9</v>
      </c>
      <c r="C268" s="8">
        <v>305</v>
      </c>
      <c r="D268" s="8">
        <v>50</v>
      </c>
      <c r="E268" s="8"/>
      <c r="F268" s="9">
        <v>267</v>
      </c>
      <c r="G268" s="8" t="s">
        <v>72</v>
      </c>
      <c r="H268" s="10" t="s">
        <v>354</v>
      </c>
      <c r="I268" s="10" t="s">
        <v>354</v>
      </c>
      <c r="J268" s="10" t="s">
        <v>354</v>
      </c>
      <c r="K268" s="10" t="s">
        <v>354</v>
      </c>
      <c r="L268" s="11" t="s">
        <v>355</v>
      </c>
      <c r="M268" s="12">
        <v>0</v>
      </c>
      <c r="N268" s="13"/>
      <c r="O268" s="13"/>
    </row>
    <row r="269" spans="1:15">
      <c r="A269" s="22" t="s">
        <v>359</v>
      </c>
      <c r="B269" s="8">
        <v>9</v>
      </c>
      <c r="C269" s="8">
        <v>305</v>
      </c>
      <c r="D269" s="8">
        <v>50</v>
      </c>
      <c r="E269" s="8"/>
      <c r="F269" s="9">
        <v>268</v>
      </c>
      <c r="G269" s="8" t="s">
        <v>72</v>
      </c>
      <c r="H269" s="10" t="s">
        <v>354</v>
      </c>
      <c r="I269" s="10" t="s">
        <v>354</v>
      </c>
      <c r="J269" s="10" t="s">
        <v>354</v>
      </c>
      <c r="K269" s="10" t="s">
        <v>354</v>
      </c>
      <c r="L269" s="11" t="s">
        <v>355</v>
      </c>
      <c r="M269" s="12">
        <v>0</v>
      </c>
      <c r="N269" s="13"/>
      <c r="O269" s="13"/>
    </row>
    <row r="270" spans="1:15">
      <c r="A270" s="22" t="s">
        <v>360</v>
      </c>
      <c r="B270" s="8">
        <v>9</v>
      </c>
      <c r="C270" s="8">
        <v>305</v>
      </c>
      <c r="D270" s="8">
        <v>50</v>
      </c>
      <c r="E270" s="8"/>
      <c r="F270" s="9">
        <v>269</v>
      </c>
      <c r="G270" s="8" t="s">
        <v>72</v>
      </c>
      <c r="H270" s="10" t="s">
        <v>354</v>
      </c>
      <c r="I270" s="10" t="s">
        <v>354</v>
      </c>
      <c r="J270" s="10" t="s">
        <v>354</v>
      </c>
      <c r="K270" s="10" t="s">
        <v>354</v>
      </c>
      <c r="L270" s="11" t="s">
        <v>355</v>
      </c>
      <c r="M270" s="12">
        <v>0</v>
      </c>
      <c r="N270" s="13"/>
      <c r="O270" s="13"/>
    </row>
    <row r="271" spans="1:15">
      <c r="A271" s="22" t="s">
        <v>361</v>
      </c>
      <c r="B271" s="8">
        <v>9</v>
      </c>
      <c r="C271" s="8">
        <v>305</v>
      </c>
      <c r="D271" s="8">
        <v>50</v>
      </c>
      <c r="E271" s="8"/>
      <c r="F271" s="9">
        <v>270</v>
      </c>
      <c r="G271" s="8" t="s">
        <v>72</v>
      </c>
      <c r="H271" s="10" t="s">
        <v>354</v>
      </c>
      <c r="I271" s="10" t="s">
        <v>354</v>
      </c>
      <c r="J271" s="10" t="s">
        <v>354</v>
      </c>
      <c r="K271" s="10" t="s">
        <v>354</v>
      </c>
      <c r="L271" s="11" t="s">
        <v>355</v>
      </c>
      <c r="M271" s="12">
        <v>0</v>
      </c>
      <c r="N271" s="13"/>
      <c r="O271" s="13"/>
    </row>
    <row r="272" spans="1:15">
      <c r="A272" s="22" t="s">
        <v>362</v>
      </c>
      <c r="B272" s="8">
        <v>9</v>
      </c>
      <c r="C272" s="8">
        <v>305</v>
      </c>
      <c r="D272" s="8">
        <v>50</v>
      </c>
      <c r="E272" s="8"/>
      <c r="F272" s="9">
        <v>271</v>
      </c>
      <c r="G272" s="8" t="s">
        <v>72</v>
      </c>
      <c r="H272" s="10" t="s">
        <v>354</v>
      </c>
      <c r="I272" s="10" t="s">
        <v>354</v>
      </c>
      <c r="J272" s="10" t="s">
        <v>354</v>
      </c>
      <c r="K272" s="10" t="s">
        <v>354</v>
      </c>
      <c r="L272" s="11" t="s">
        <v>355</v>
      </c>
      <c r="M272" s="12">
        <v>0</v>
      </c>
      <c r="N272" s="13"/>
      <c r="O272" s="13"/>
    </row>
    <row r="273" spans="1:15">
      <c r="A273" s="22" t="s">
        <v>363</v>
      </c>
      <c r="B273" s="8">
        <v>9</v>
      </c>
      <c r="C273" s="8">
        <v>305</v>
      </c>
      <c r="D273" s="8">
        <v>50</v>
      </c>
      <c r="E273" s="8"/>
      <c r="F273" s="9">
        <v>272</v>
      </c>
      <c r="G273" s="8" t="s">
        <v>72</v>
      </c>
      <c r="H273" s="10" t="s">
        <v>354</v>
      </c>
      <c r="I273" s="10" t="s">
        <v>354</v>
      </c>
      <c r="J273" s="10" t="s">
        <v>354</v>
      </c>
      <c r="K273" s="10" t="s">
        <v>354</v>
      </c>
      <c r="L273" s="11" t="s">
        <v>355</v>
      </c>
      <c r="M273" s="12">
        <v>0</v>
      </c>
      <c r="N273" s="13"/>
      <c r="O273" s="13"/>
    </row>
    <row r="274" spans="1:15">
      <c r="A274" s="22" t="s">
        <v>364</v>
      </c>
      <c r="B274" s="8">
        <v>9</v>
      </c>
      <c r="C274" s="8">
        <v>305</v>
      </c>
      <c r="D274" s="8">
        <v>50</v>
      </c>
      <c r="E274" s="8"/>
      <c r="F274" s="9">
        <v>273</v>
      </c>
      <c r="G274" s="8" t="s">
        <v>72</v>
      </c>
      <c r="H274" s="10" t="s">
        <v>354</v>
      </c>
      <c r="I274" s="10" t="s">
        <v>354</v>
      </c>
      <c r="J274" s="10" t="s">
        <v>354</v>
      </c>
      <c r="K274" s="10" t="s">
        <v>354</v>
      </c>
      <c r="L274" s="11" t="s">
        <v>355</v>
      </c>
      <c r="M274" s="12">
        <v>0</v>
      </c>
      <c r="N274" s="13"/>
      <c r="O274" s="13"/>
    </row>
    <row r="275" spans="1:15">
      <c r="A275" s="22" t="s">
        <v>365</v>
      </c>
      <c r="B275" s="8">
        <v>9</v>
      </c>
      <c r="C275" s="8">
        <v>305</v>
      </c>
      <c r="D275" s="8">
        <v>50</v>
      </c>
      <c r="E275" s="8"/>
      <c r="F275" s="9">
        <v>274</v>
      </c>
      <c r="G275" s="8" t="s">
        <v>72</v>
      </c>
      <c r="H275" s="10" t="s">
        <v>354</v>
      </c>
      <c r="I275" s="10" t="s">
        <v>354</v>
      </c>
      <c r="J275" s="10" t="s">
        <v>354</v>
      </c>
      <c r="K275" s="10" t="s">
        <v>354</v>
      </c>
      <c r="L275" s="11" t="s">
        <v>355</v>
      </c>
      <c r="M275" s="12">
        <v>0</v>
      </c>
      <c r="N275" s="13"/>
      <c r="O275" s="13"/>
    </row>
    <row r="276" spans="1:15">
      <c r="A276" s="22" t="s">
        <v>366</v>
      </c>
      <c r="B276" s="8">
        <v>9</v>
      </c>
      <c r="C276" s="8">
        <v>305</v>
      </c>
      <c r="D276" s="8">
        <v>50</v>
      </c>
      <c r="E276" s="8"/>
      <c r="F276" s="9">
        <v>275</v>
      </c>
      <c r="G276" s="8" t="s">
        <v>72</v>
      </c>
      <c r="H276" s="10" t="s">
        <v>354</v>
      </c>
      <c r="I276" s="10" t="s">
        <v>354</v>
      </c>
      <c r="J276" s="10" t="s">
        <v>354</v>
      </c>
      <c r="K276" s="10" t="s">
        <v>354</v>
      </c>
      <c r="L276" s="11" t="s">
        <v>355</v>
      </c>
      <c r="M276" s="12">
        <v>0</v>
      </c>
      <c r="N276" s="13"/>
      <c r="O276" s="13"/>
    </row>
    <row r="277" spans="1:15">
      <c r="A277" s="22" t="s">
        <v>367</v>
      </c>
      <c r="B277" s="8">
        <v>9</v>
      </c>
      <c r="C277" s="8">
        <v>305</v>
      </c>
      <c r="D277" s="8">
        <v>50</v>
      </c>
      <c r="E277" s="8"/>
      <c r="F277" s="9">
        <v>276</v>
      </c>
      <c r="G277" s="8" t="s">
        <v>72</v>
      </c>
      <c r="H277" s="10" t="s">
        <v>354</v>
      </c>
      <c r="I277" s="10" t="s">
        <v>354</v>
      </c>
      <c r="J277" s="10" t="s">
        <v>354</v>
      </c>
      <c r="K277" s="10" t="s">
        <v>354</v>
      </c>
      <c r="L277" s="11" t="s">
        <v>355</v>
      </c>
      <c r="M277" s="12">
        <v>0</v>
      </c>
      <c r="N277" s="13"/>
      <c r="O277" s="13"/>
    </row>
    <row r="278" spans="1:15">
      <c r="A278" s="22" t="s">
        <v>368</v>
      </c>
      <c r="B278" s="8">
        <v>9</v>
      </c>
      <c r="C278" s="8">
        <v>305</v>
      </c>
      <c r="D278" s="8">
        <v>50</v>
      </c>
      <c r="E278" s="8"/>
      <c r="F278" s="9">
        <v>277</v>
      </c>
      <c r="G278" s="8" t="s">
        <v>72</v>
      </c>
      <c r="H278" s="10" t="s">
        <v>354</v>
      </c>
      <c r="I278" s="10" t="s">
        <v>354</v>
      </c>
      <c r="J278" s="10" t="s">
        <v>354</v>
      </c>
      <c r="K278" s="10" t="s">
        <v>354</v>
      </c>
      <c r="L278" s="11" t="s">
        <v>355</v>
      </c>
      <c r="M278" s="12">
        <v>0</v>
      </c>
      <c r="N278" s="13"/>
      <c r="O278" s="13"/>
    </row>
    <row r="279" spans="1:15">
      <c r="A279" s="22" t="s">
        <v>369</v>
      </c>
      <c r="B279" s="8">
        <v>9</v>
      </c>
      <c r="C279" s="8">
        <v>305</v>
      </c>
      <c r="D279" s="8">
        <v>50</v>
      </c>
      <c r="E279" s="8"/>
      <c r="F279" s="9">
        <v>278</v>
      </c>
      <c r="G279" s="8" t="s">
        <v>72</v>
      </c>
      <c r="H279" s="10" t="s">
        <v>354</v>
      </c>
      <c r="I279" s="10" t="s">
        <v>354</v>
      </c>
      <c r="J279" s="10" t="s">
        <v>354</v>
      </c>
      <c r="K279" s="10" t="s">
        <v>354</v>
      </c>
      <c r="L279" s="11" t="s">
        <v>355</v>
      </c>
      <c r="M279" s="12">
        <v>0</v>
      </c>
      <c r="N279" s="13"/>
      <c r="O279" s="13"/>
    </row>
    <row r="280" spans="1:15">
      <c r="A280" s="22" t="s">
        <v>370</v>
      </c>
      <c r="B280" s="8">
        <v>9</v>
      </c>
      <c r="C280" s="8">
        <v>305</v>
      </c>
      <c r="D280" s="8">
        <v>50</v>
      </c>
      <c r="E280" s="8"/>
      <c r="F280" s="9">
        <v>279</v>
      </c>
      <c r="G280" s="8" t="s">
        <v>72</v>
      </c>
      <c r="H280" s="10" t="s">
        <v>354</v>
      </c>
      <c r="I280" s="10" t="s">
        <v>354</v>
      </c>
      <c r="J280" s="10" t="s">
        <v>354</v>
      </c>
      <c r="K280" s="10" t="s">
        <v>354</v>
      </c>
      <c r="L280" s="11" t="s">
        <v>355</v>
      </c>
      <c r="M280" s="12">
        <v>0</v>
      </c>
      <c r="N280" s="13"/>
      <c r="O280" s="13"/>
    </row>
    <row r="281" spans="1:15">
      <c r="A281" s="23" t="s">
        <v>371</v>
      </c>
      <c r="B281" s="20">
        <v>9</v>
      </c>
      <c r="C281" s="24">
        <v>349.99</v>
      </c>
      <c r="D281" s="20">
        <v>50</v>
      </c>
      <c r="E281" s="8">
        <v>1.48</v>
      </c>
      <c r="F281" s="9">
        <v>280</v>
      </c>
      <c r="G281" s="8" t="s">
        <v>372</v>
      </c>
      <c r="H281" s="10" t="s">
        <v>83</v>
      </c>
      <c r="I281" s="10">
        <v>145</v>
      </c>
      <c r="J281" s="10">
        <v>29</v>
      </c>
      <c r="K281" s="10">
        <v>16</v>
      </c>
      <c r="L281" s="11" t="e">
        <v>#N/A</v>
      </c>
      <c r="M281" s="12" t="e">
        <v>#N/A</v>
      </c>
      <c r="N281" s="13" t="s">
        <v>18</v>
      </c>
      <c r="O281" s="13"/>
    </row>
    <row r="282" spans="1:15">
      <c r="A282" s="22" t="s">
        <v>373</v>
      </c>
      <c r="B282" s="8">
        <v>9</v>
      </c>
      <c r="C282" s="8">
        <v>305</v>
      </c>
      <c r="D282" s="8">
        <v>50</v>
      </c>
      <c r="E282" s="8"/>
      <c r="F282" s="9">
        <v>281</v>
      </c>
      <c r="G282" s="8" t="s">
        <v>72</v>
      </c>
      <c r="H282" s="10" t="s">
        <v>354</v>
      </c>
      <c r="I282" s="10" t="s">
        <v>354</v>
      </c>
      <c r="J282" s="10" t="s">
        <v>354</v>
      </c>
      <c r="K282" s="10" t="s">
        <v>354</v>
      </c>
      <c r="L282" s="11" t="s">
        <v>355</v>
      </c>
      <c r="M282" s="12">
        <v>0</v>
      </c>
      <c r="N282" s="13"/>
      <c r="O282" s="13"/>
    </row>
    <row r="283" spans="1:15">
      <c r="A283" s="22" t="s">
        <v>374</v>
      </c>
      <c r="B283" s="8">
        <v>9</v>
      </c>
      <c r="C283" s="8">
        <v>305</v>
      </c>
      <c r="D283" s="8">
        <v>50</v>
      </c>
      <c r="E283" s="8"/>
      <c r="F283" s="9">
        <v>282</v>
      </c>
      <c r="G283" s="8" t="s">
        <v>72</v>
      </c>
      <c r="H283" s="10" t="s">
        <v>354</v>
      </c>
      <c r="I283" s="10" t="s">
        <v>354</v>
      </c>
      <c r="J283" s="10" t="s">
        <v>354</v>
      </c>
      <c r="K283" s="10" t="s">
        <v>354</v>
      </c>
      <c r="L283" s="11" t="s">
        <v>355</v>
      </c>
      <c r="M283" s="12">
        <v>0</v>
      </c>
      <c r="N283" s="13"/>
      <c r="O283" s="13"/>
    </row>
    <row r="284" spans="1:15">
      <c r="A284" s="22" t="s">
        <v>375</v>
      </c>
      <c r="B284" s="8">
        <v>9</v>
      </c>
      <c r="C284" s="8">
        <v>305</v>
      </c>
      <c r="D284" s="8">
        <v>50</v>
      </c>
      <c r="E284" s="8"/>
      <c r="F284" s="9">
        <v>283</v>
      </c>
      <c r="G284" s="8" t="s">
        <v>72</v>
      </c>
      <c r="H284" s="10" t="s">
        <v>354</v>
      </c>
      <c r="I284" s="10" t="s">
        <v>354</v>
      </c>
      <c r="J284" s="10" t="s">
        <v>354</v>
      </c>
      <c r="K284" s="10" t="s">
        <v>354</v>
      </c>
      <c r="L284" s="11" t="s">
        <v>355</v>
      </c>
      <c r="M284" s="12">
        <v>0</v>
      </c>
      <c r="N284" s="13"/>
      <c r="O284" s="13"/>
    </row>
    <row r="285" spans="1:15">
      <c r="A285" s="22" t="s">
        <v>376</v>
      </c>
      <c r="B285" s="8">
        <v>9</v>
      </c>
      <c r="C285" s="8">
        <v>305</v>
      </c>
      <c r="D285" s="8">
        <v>50</v>
      </c>
      <c r="E285" s="8"/>
      <c r="F285" s="9">
        <v>284</v>
      </c>
      <c r="G285" s="8" t="s">
        <v>72</v>
      </c>
      <c r="H285" s="10" t="s">
        <v>354</v>
      </c>
      <c r="I285" s="10" t="s">
        <v>354</v>
      </c>
      <c r="J285" s="10" t="s">
        <v>354</v>
      </c>
      <c r="K285" s="10" t="s">
        <v>354</v>
      </c>
      <c r="L285" s="11" t="s">
        <v>355</v>
      </c>
      <c r="M285" s="12">
        <v>0</v>
      </c>
      <c r="N285" s="13"/>
      <c r="O285" s="13"/>
    </row>
    <row r="286" spans="1:15">
      <c r="A286" s="22" t="s">
        <v>377</v>
      </c>
      <c r="B286" s="8">
        <v>9</v>
      </c>
      <c r="C286" s="8">
        <v>305</v>
      </c>
      <c r="D286" s="8">
        <v>50</v>
      </c>
      <c r="E286" s="8"/>
      <c r="F286" s="9">
        <v>285</v>
      </c>
      <c r="G286" s="8" t="s">
        <v>72</v>
      </c>
      <c r="H286" s="10" t="s">
        <v>354</v>
      </c>
      <c r="I286" s="10" t="s">
        <v>354</v>
      </c>
      <c r="J286" s="10" t="s">
        <v>354</v>
      </c>
      <c r="K286" s="10" t="s">
        <v>354</v>
      </c>
      <c r="L286" s="11" t="s">
        <v>355</v>
      </c>
      <c r="M286" s="12">
        <v>0</v>
      </c>
      <c r="N286" s="13"/>
      <c r="O286" s="13"/>
    </row>
    <row r="287" spans="1:15">
      <c r="A287" s="22" t="s">
        <v>378</v>
      </c>
      <c r="B287" s="8">
        <v>9</v>
      </c>
      <c r="C287" s="8">
        <v>305</v>
      </c>
      <c r="D287" s="8">
        <v>50</v>
      </c>
      <c r="E287" s="8"/>
      <c r="F287" s="9">
        <v>286</v>
      </c>
      <c r="G287" s="8" t="s">
        <v>72</v>
      </c>
      <c r="H287" s="10" t="s">
        <v>354</v>
      </c>
      <c r="I287" s="10" t="s">
        <v>354</v>
      </c>
      <c r="J287" s="10" t="s">
        <v>354</v>
      </c>
      <c r="K287" s="10" t="s">
        <v>354</v>
      </c>
      <c r="L287" s="11" t="s">
        <v>355</v>
      </c>
      <c r="M287" s="12">
        <v>0</v>
      </c>
      <c r="N287" s="13"/>
      <c r="O287" s="13"/>
    </row>
    <row r="288" spans="1:15">
      <c r="A288" s="22" t="s">
        <v>379</v>
      </c>
      <c r="B288" s="8">
        <v>9</v>
      </c>
      <c r="C288" s="8">
        <v>305</v>
      </c>
      <c r="D288" s="8">
        <v>50</v>
      </c>
      <c r="E288" s="8"/>
      <c r="F288" s="9">
        <v>287</v>
      </c>
      <c r="G288" s="8" t="s">
        <v>72</v>
      </c>
      <c r="H288" s="10" t="s">
        <v>354</v>
      </c>
      <c r="I288" s="10" t="s">
        <v>354</v>
      </c>
      <c r="J288" s="10" t="s">
        <v>354</v>
      </c>
      <c r="K288" s="10" t="s">
        <v>354</v>
      </c>
      <c r="L288" s="11" t="s">
        <v>355</v>
      </c>
      <c r="M288" s="12">
        <v>0</v>
      </c>
      <c r="N288" s="13"/>
      <c r="O288" s="13"/>
    </row>
    <row r="289" spans="1:15">
      <c r="A289" s="22" t="s">
        <v>380</v>
      </c>
      <c r="B289" s="8">
        <v>9</v>
      </c>
      <c r="C289" s="8">
        <v>305</v>
      </c>
      <c r="D289" s="8">
        <v>50</v>
      </c>
      <c r="E289" s="8"/>
      <c r="F289" s="9">
        <v>288</v>
      </c>
      <c r="G289" s="8" t="s">
        <v>72</v>
      </c>
      <c r="H289" s="10" t="s">
        <v>354</v>
      </c>
      <c r="I289" s="10" t="s">
        <v>354</v>
      </c>
      <c r="J289" s="10" t="s">
        <v>354</v>
      </c>
      <c r="K289" s="10" t="s">
        <v>354</v>
      </c>
      <c r="L289" s="11" t="s">
        <v>355</v>
      </c>
      <c r="M289" s="12">
        <v>0</v>
      </c>
      <c r="N289" s="13"/>
      <c r="O289" s="13"/>
    </row>
    <row r="290" spans="1:15">
      <c r="A290" s="22" t="s">
        <v>381</v>
      </c>
      <c r="B290" s="8">
        <v>9</v>
      </c>
      <c r="C290" s="8">
        <v>305</v>
      </c>
      <c r="D290" s="8">
        <v>50</v>
      </c>
      <c r="E290" s="8"/>
      <c r="F290" s="9">
        <v>289</v>
      </c>
      <c r="G290" s="8" t="s">
        <v>72</v>
      </c>
      <c r="H290" s="10" t="s">
        <v>354</v>
      </c>
      <c r="I290" s="10" t="s">
        <v>354</v>
      </c>
      <c r="J290" s="10" t="s">
        <v>354</v>
      </c>
      <c r="K290" s="10" t="s">
        <v>354</v>
      </c>
      <c r="L290" s="11" t="s">
        <v>355</v>
      </c>
      <c r="M290" s="12">
        <v>0</v>
      </c>
      <c r="N290" s="13"/>
      <c r="O290" s="13"/>
    </row>
    <row r="291" spans="1:15">
      <c r="A291" s="22" t="s">
        <v>382</v>
      </c>
      <c r="B291" s="8">
        <v>9</v>
      </c>
      <c r="C291" s="8">
        <v>305</v>
      </c>
      <c r="D291" s="8">
        <v>50</v>
      </c>
      <c r="E291" s="8"/>
      <c r="F291" s="9">
        <v>290</v>
      </c>
      <c r="G291" s="8" t="s">
        <v>72</v>
      </c>
      <c r="H291" s="10" t="s">
        <v>354</v>
      </c>
      <c r="I291" s="10" t="s">
        <v>354</v>
      </c>
      <c r="J291" s="10" t="s">
        <v>354</v>
      </c>
      <c r="K291" s="10" t="s">
        <v>354</v>
      </c>
      <c r="L291" s="11" t="s">
        <v>355</v>
      </c>
      <c r="M291" s="12">
        <v>0</v>
      </c>
      <c r="N291" s="13"/>
      <c r="O291" s="13"/>
    </row>
    <row r="292" spans="1:15">
      <c r="A292" s="22" t="s">
        <v>383</v>
      </c>
      <c r="B292" s="8">
        <v>9</v>
      </c>
      <c r="C292" s="8">
        <v>305</v>
      </c>
      <c r="D292" s="8">
        <v>50</v>
      </c>
      <c r="E292" s="8"/>
      <c r="F292" s="9">
        <v>291</v>
      </c>
      <c r="G292" s="8" t="s">
        <v>72</v>
      </c>
      <c r="H292" s="10" t="s">
        <v>354</v>
      </c>
      <c r="I292" s="10" t="s">
        <v>354</v>
      </c>
      <c r="J292" s="10" t="s">
        <v>354</v>
      </c>
      <c r="K292" s="10" t="s">
        <v>354</v>
      </c>
      <c r="L292" s="11" t="s">
        <v>355</v>
      </c>
      <c r="M292" s="12">
        <v>0</v>
      </c>
      <c r="N292" s="13"/>
      <c r="O292" s="13"/>
    </row>
    <row r="293" spans="1:15">
      <c r="A293" s="22" t="s">
        <v>384</v>
      </c>
      <c r="B293" s="8">
        <v>9</v>
      </c>
      <c r="C293" s="8">
        <v>305</v>
      </c>
      <c r="D293" s="8">
        <v>50</v>
      </c>
      <c r="E293" s="8"/>
      <c r="F293" s="9">
        <v>292</v>
      </c>
      <c r="G293" s="8" t="s">
        <v>72</v>
      </c>
      <c r="H293" s="10" t="s">
        <v>354</v>
      </c>
      <c r="I293" s="10" t="s">
        <v>354</v>
      </c>
      <c r="J293" s="10" t="s">
        <v>354</v>
      </c>
      <c r="K293" s="10" t="s">
        <v>354</v>
      </c>
      <c r="L293" s="11" t="s">
        <v>355</v>
      </c>
      <c r="M293" s="12">
        <v>0</v>
      </c>
      <c r="N293" s="13"/>
      <c r="O293" s="13"/>
    </row>
    <row r="294" spans="1:15">
      <c r="A294" s="22" t="s">
        <v>385</v>
      </c>
      <c r="B294" s="8">
        <v>9</v>
      </c>
      <c r="C294" s="8">
        <v>305</v>
      </c>
      <c r="D294" s="8">
        <v>50</v>
      </c>
      <c r="E294" s="8"/>
      <c r="F294" s="9">
        <v>293</v>
      </c>
      <c r="G294" s="8" t="s">
        <v>72</v>
      </c>
      <c r="H294" s="10" t="s">
        <v>354</v>
      </c>
      <c r="I294" s="10" t="s">
        <v>354</v>
      </c>
      <c r="J294" s="10" t="s">
        <v>354</v>
      </c>
      <c r="K294" s="10" t="s">
        <v>354</v>
      </c>
      <c r="L294" s="11" t="s">
        <v>355</v>
      </c>
      <c r="M294" s="12">
        <v>0</v>
      </c>
      <c r="N294" s="13"/>
      <c r="O294" s="13"/>
    </row>
    <row r="295" spans="1:15">
      <c r="A295" s="22" t="s">
        <v>386</v>
      </c>
      <c r="B295" s="8">
        <v>9</v>
      </c>
      <c r="C295" s="8">
        <v>305</v>
      </c>
      <c r="D295" s="8">
        <v>50</v>
      </c>
      <c r="E295" s="8"/>
      <c r="F295" s="9">
        <v>294</v>
      </c>
      <c r="G295" s="8" t="s">
        <v>72</v>
      </c>
      <c r="H295" s="10" t="s">
        <v>354</v>
      </c>
      <c r="I295" s="10" t="s">
        <v>354</v>
      </c>
      <c r="J295" s="10" t="s">
        <v>354</v>
      </c>
      <c r="K295" s="10" t="s">
        <v>354</v>
      </c>
      <c r="L295" s="11" t="s">
        <v>355</v>
      </c>
      <c r="M295" s="12">
        <v>0</v>
      </c>
      <c r="N295" s="13"/>
      <c r="O295" s="13"/>
    </row>
    <row r="296" spans="1:15">
      <c r="A296" s="22" t="s">
        <v>387</v>
      </c>
      <c r="B296" s="8">
        <v>9</v>
      </c>
      <c r="C296" s="8">
        <v>305</v>
      </c>
      <c r="D296" s="8">
        <v>50</v>
      </c>
      <c r="E296" s="8"/>
      <c r="F296" s="9">
        <v>295</v>
      </c>
      <c r="G296" s="8" t="s">
        <v>72</v>
      </c>
      <c r="H296" s="10" t="s">
        <v>354</v>
      </c>
      <c r="I296" s="10" t="s">
        <v>354</v>
      </c>
      <c r="J296" s="10" t="s">
        <v>354</v>
      </c>
      <c r="K296" s="10" t="s">
        <v>354</v>
      </c>
      <c r="L296" s="11" t="s">
        <v>355</v>
      </c>
      <c r="M296" s="12">
        <v>0</v>
      </c>
      <c r="N296" s="13"/>
      <c r="O296" s="13"/>
    </row>
    <row r="297" spans="1:15">
      <c r="A297" s="22" t="s">
        <v>388</v>
      </c>
      <c r="B297" s="8">
        <v>9</v>
      </c>
      <c r="C297" s="8">
        <v>73</v>
      </c>
      <c r="D297" s="8">
        <v>50</v>
      </c>
      <c r="E297" s="8">
        <v>0.6</v>
      </c>
      <c r="F297" s="9">
        <v>296</v>
      </c>
      <c r="G297" s="8" t="s">
        <v>16</v>
      </c>
      <c r="H297" s="10" t="s">
        <v>17</v>
      </c>
      <c r="I297" s="10">
        <v>122</v>
      </c>
      <c r="J297" s="10">
        <v>15</v>
      </c>
      <c r="K297" s="10">
        <v>10</v>
      </c>
      <c r="L297" s="11" t="s">
        <v>389</v>
      </c>
      <c r="M297" s="12">
        <v>114</v>
      </c>
      <c r="N297" s="13"/>
      <c r="O297" s="13"/>
    </row>
    <row r="298" spans="1:15">
      <c r="A298" s="22" t="s">
        <v>390</v>
      </c>
      <c r="B298" s="8">
        <v>9</v>
      </c>
      <c r="C298" s="8">
        <v>83</v>
      </c>
      <c r="D298" s="8">
        <v>50</v>
      </c>
      <c r="E298" s="8">
        <v>0.6</v>
      </c>
      <c r="F298" s="9">
        <v>297</v>
      </c>
      <c r="G298" s="8" t="s">
        <v>16</v>
      </c>
      <c r="H298" s="10" t="s">
        <v>17</v>
      </c>
      <c r="I298" s="10">
        <v>122</v>
      </c>
      <c r="J298" s="10">
        <v>15</v>
      </c>
      <c r="K298" s="10">
        <v>10</v>
      </c>
      <c r="L298" s="11" t="s">
        <v>391</v>
      </c>
      <c r="M298" s="12">
        <v>324</v>
      </c>
      <c r="N298" s="13"/>
      <c r="O298" s="13"/>
    </row>
    <row r="299" spans="1:15">
      <c r="A299" s="22" t="s">
        <v>392</v>
      </c>
      <c r="B299" s="8">
        <v>9</v>
      </c>
      <c r="C299" s="8">
        <v>74</v>
      </c>
      <c r="D299" s="8">
        <v>50</v>
      </c>
      <c r="E299" s="8">
        <v>0.6</v>
      </c>
      <c r="F299" s="9">
        <v>298</v>
      </c>
      <c r="G299" s="8" t="s">
        <v>16</v>
      </c>
      <c r="H299" s="10" t="s">
        <v>17</v>
      </c>
      <c r="I299" s="10">
        <v>122</v>
      </c>
      <c r="J299" s="10">
        <v>15</v>
      </c>
      <c r="K299" s="10">
        <v>10</v>
      </c>
      <c r="L299" s="11" t="s">
        <v>393</v>
      </c>
      <c r="M299" s="12">
        <v>67</v>
      </c>
      <c r="N299" s="13"/>
      <c r="O299" s="13"/>
    </row>
    <row r="300" spans="1:15">
      <c r="A300" s="22" t="s">
        <v>394</v>
      </c>
      <c r="B300" s="8">
        <v>9</v>
      </c>
      <c r="C300" s="8">
        <v>72</v>
      </c>
      <c r="D300" s="8">
        <v>50</v>
      </c>
      <c r="E300" s="8">
        <v>0.6</v>
      </c>
      <c r="F300" s="9">
        <v>299</v>
      </c>
      <c r="G300" s="8" t="s">
        <v>16</v>
      </c>
      <c r="H300" s="10" t="s">
        <v>17</v>
      </c>
      <c r="I300" s="10">
        <v>122</v>
      </c>
      <c r="J300" s="10">
        <v>15</v>
      </c>
      <c r="K300" s="10">
        <v>10</v>
      </c>
      <c r="L300" s="11" t="s">
        <v>107</v>
      </c>
      <c r="M300" s="12">
        <v>157</v>
      </c>
      <c r="N300" s="13"/>
      <c r="O300" s="13"/>
    </row>
    <row r="301" spans="1:15">
      <c r="A301" s="22" t="s">
        <v>395</v>
      </c>
      <c r="B301" s="8">
        <v>9</v>
      </c>
      <c r="C301" s="8">
        <v>90</v>
      </c>
      <c r="D301" s="8">
        <v>50</v>
      </c>
      <c r="E301" s="8">
        <v>0.6</v>
      </c>
      <c r="F301" s="9">
        <v>300</v>
      </c>
      <c r="G301" s="8" t="s">
        <v>16</v>
      </c>
      <c r="H301" s="10" t="s">
        <v>17</v>
      </c>
      <c r="I301" s="10">
        <v>122</v>
      </c>
      <c r="J301" s="10">
        <v>15</v>
      </c>
      <c r="K301" s="10">
        <v>10</v>
      </c>
      <c r="L301" s="11" t="s">
        <v>396</v>
      </c>
      <c r="M301" s="12">
        <v>43</v>
      </c>
      <c r="N301" s="13"/>
      <c r="O301" s="13"/>
    </row>
    <row r="302" spans="1:15">
      <c r="A302" s="22" t="s">
        <v>397</v>
      </c>
      <c r="B302" s="8">
        <v>9</v>
      </c>
      <c r="C302" s="8">
        <v>90</v>
      </c>
      <c r="D302" s="8">
        <v>50</v>
      </c>
      <c r="E302" s="8">
        <v>0.6</v>
      </c>
      <c r="F302" s="9">
        <v>301</v>
      </c>
      <c r="G302" s="8" t="s">
        <v>16</v>
      </c>
      <c r="H302" s="10" t="s">
        <v>17</v>
      </c>
      <c r="I302" s="10">
        <v>122</v>
      </c>
      <c r="J302" s="10">
        <v>15</v>
      </c>
      <c r="K302" s="10">
        <v>10</v>
      </c>
      <c r="L302" s="11" t="s">
        <v>396</v>
      </c>
      <c r="M302" s="12">
        <v>16</v>
      </c>
      <c r="N302" s="13"/>
      <c r="O302" s="13"/>
    </row>
    <row r="303" spans="1:15">
      <c r="A303" s="22" t="s">
        <v>398</v>
      </c>
      <c r="B303" s="8">
        <v>9</v>
      </c>
      <c r="C303" s="8">
        <v>90</v>
      </c>
      <c r="D303" s="8">
        <v>50</v>
      </c>
      <c r="E303" s="8">
        <v>0.6</v>
      </c>
      <c r="F303" s="9">
        <v>302</v>
      </c>
      <c r="G303" s="8" t="s">
        <v>16</v>
      </c>
      <c r="H303" s="10" t="s">
        <v>17</v>
      </c>
      <c r="I303" s="10">
        <v>122</v>
      </c>
      <c r="J303" s="10">
        <v>15</v>
      </c>
      <c r="K303" s="10">
        <v>10</v>
      </c>
      <c r="L303" s="11" t="s">
        <v>396</v>
      </c>
      <c r="M303" s="12">
        <v>12</v>
      </c>
      <c r="N303" s="13"/>
      <c r="O303" s="13"/>
    </row>
    <row r="304" spans="1:15">
      <c r="A304" s="22" t="s">
        <v>399</v>
      </c>
      <c r="B304" s="8">
        <v>9</v>
      </c>
      <c r="C304" s="8">
        <v>326</v>
      </c>
      <c r="D304" s="8">
        <v>50</v>
      </c>
      <c r="E304" s="8">
        <v>1.48</v>
      </c>
      <c r="F304" s="9">
        <v>303</v>
      </c>
      <c r="G304" s="8" t="s">
        <v>72</v>
      </c>
      <c r="H304" s="10" t="s">
        <v>83</v>
      </c>
      <c r="I304" s="10">
        <v>145</v>
      </c>
      <c r="J304" s="10">
        <v>29</v>
      </c>
      <c r="K304" s="10">
        <v>16</v>
      </c>
      <c r="L304" s="11" t="s">
        <v>400</v>
      </c>
      <c r="M304" s="12">
        <v>0</v>
      </c>
      <c r="N304" s="13"/>
      <c r="O304" s="13"/>
    </row>
    <row r="305" spans="1:15">
      <c r="A305" s="22" t="s">
        <v>401</v>
      </c>
      <c r="B305" s="8">
        <v>9</v>
      </c>
      <c r="C305" s="8">
        <v>326</v>
      </c>
      <c r="D305" s="8">
        <v>50</v>
      </c>
      <c r="E305" s="8">
        <v>1.48</v>
      </c>
      <c r="F305" s="9">
        <v>304</v>
      </c>
      <c r="G305" s="8" t="s">
        <v>72</v>
      </c>
      <c r="H305" s="10" t="s">
        <v>83</v>
      </c>
      <c r="I305" s="10">
        <v>145</v>
      </c>
      <c r="J305" s="10">
        <v>29</v>
      </c>
      <c r="K305" s="10">
        <v>16</v>
      </c>
      <c r="L305" s="11" t="s">
        <v>400</v>
      </c>
      <c r="M305" s="12">
        <v>0</v>
      </c>
      <c r="N305" s="13"/>
      <c r="O305" s="13"/>
    </row>
    <row r="306" spans="1:15">
      <c r="A306" s="22" t="s">
        <v>402</v>
      </c>
      <c r="B306" s="8">
        <v>9</v>
      </c>
      <c r="C306" s="8">
        <v>315</v>
      </c>
      <c r="D306" s="8">
        <v>50</v>
      </c>
      <c r="E306" s="8">
        <v>1.48</v>
      </c>
      <c r="F306" s="9">
        <v>305</v>
      </c>
      <c r="G306" s="8" t="s">
        <v>72</v>
      </c>
      <c r="H306" s="10" t="s">
        <v>83</v>
      </c>
      <c r="I306" s="10">
        <v>145</v>
      </c>
      <c r="J306" s="10">
        <v>29</v>
      </c>
      <c r="K306" s="10">
        <v>16</v>
      </c>
      <c r="L306" s="11" t="s">
        <v>403</v>
      </c>
      <c r="M306" s="12">
        <v>369</v>
      </c>
      <c r="N306" s="13"/>
      <c r="O306" s="13"/>
    </row>
    <row r="307" spans="1:15">
      <c r="A307" s="22" t="s">
        <v>404</v>
      </c>
      <c r="B307" s="8">
        <v>9</v>
      </c>
      <c r="C307" s="8">
        <v>332</v>
      </c>
      <c r="D307" s="8">
        <v>50</v>
      </c>
      <c r="E307" s="8">
        <v>1.48</v>
      </c>
      <c r="F307" s="9">
        <v>306</v>
      </c>
      <c r="G307" s="8" t="s">
        <v>72</v>
      </c>
      <c r="H307" s="10" t="s">
        <v>83</v>
      </c>
      <c r="I307" s="10">
        <v>145</v>
      </c>
      <c r="J307" s="10">
        <v>29</v>
      </c>
      <c r="K307" s="10">
        <v>16</v>
      </c>
      <c r="L307" s="11" t="s">
        <v>405</v>
      </c>
      <c r="M307" s="12">
        <v>0</v>
      </c>
      <c r="N307" s="13"/>
      <c r="O307" s="13"/>
    </row>
    <row r="308" spans="1:15">
      <c r="A308" s="22" t="s">
        <v>406</v>
      </c>
      <c r="B308" s="8">
        <v>9</v>
      </c>
      <c r="C308" s="8">
        <v>66</v>
      </c>
      <c r="D308" s="8">
        <v>50</v>
      </c>
      <c r="E308" s="8">
        <v>0.6</v>
      </c>
      <c r="F308" s="9">
        <v>307</v>
      </c>
      <c r="G308" s="8" t="s">
        <v>16</v>
      </c>
      <c r="H308" s="10" t="s">
        <v>17</v>
      </c>
      <c r="I308" s="10">
        <v>122</v>
      </c>
      <c r="J308" s="10">
        <v>15</v>
      </c>
      <c r="K308" s="10">
        <v>10</v>
      </c>
      <c r="L308" s="11" t="s">
        <v>173</v>
      </c>
      <c r="M308" s="12">
        <v>19</v>
      </c>
      <c r="N308" s="13"/>
      <c r="O308" s="13"/>
    </row>
    <row r="309" spans="1:15">
      <c r="A309" s="22" t="s">
        <v>407</v>
      </c>
      <c r="B309" s="8">
        <v>9</v>
      </c>
      <c r="C309" s="8">
        <v>69</v>
      </c>
      <c r="D309" s="8">
        <v>50</v>
      </c>
      <c r="E309" s="8">
        <v>0.6</v>
      </c>
      <c r="F309" s="9">
        <v>308</v>
      </c>
      <c r="G309" s="8" t="s">
        <v>16</v>
      </c>
      <c r="H309" s="10" t="s">
        <v>17</v>
      </c>
      <c r="I309" s="10">
        <v>122</v>
      </c>
      <c r="J309" s="10">
        <v>15</v>
      </c>
      <c r="K309" s="10">
        <v>10</v>
      </c>
      <c r="L309" s="11" t="s">
        <v>123</v>
      </c>
      <c r="M309" s="12">
        <v>6</v>
      </c>
      <c r="N309" s="13"/>
      <c r="O309" s="13"/>
    </row>
    <row r="310" spans="1:15">
      <c r="A310" s="22" t="s">
        <v>408</v>
      </c>
      <c r="B310" s="8">
        <v>9</v>
      </c>
      <c r="C310" s="8">
        <v>67</v>
      </c>
      <c r="D310" s="8">
        <v>50</v>
      </c>
      <c r="E310" s="8">
        <v>0.6</v>
      </c>
      <c r="F310" s="9">
        <v>309</v>
      </c>
      <c r="G310" s="8" t="s">
        <v>16</v>
      </c>
      <c r="H310" s="10" t="s">
        <v>17</v>
      </c>
      <c r="I310" s="10">
        <v>122</v>
      </c>
      <c r="J310" s="10">
        <v>15</v>
      </c>
      <c r="K310" s="10">
        <v>10</v>
      </c>
      <c r="L310" s="11" t="s">
        <v>96</v>
      </c>
      <c r="M310" s="12">
        <v>29</v>
      </c>
      <c r="N310" s="13"/>
      <c r="O310" s="13"/>
    </row>
    <row r="311" spans="1:15">
      <c r="A311" s="23" t="s">
        <v>409</v>
      </c>
      <c r="B311" s="20">
        <v>9</v>
      </c>
      <c r="C311" s="24">
        <v>79.989999999999995</v>
      </c>
      <c r="D311" s="20">
        <v>50</v>
      </c>
      <c r="E311" s="20">
        <v>0.6</v>
      </c>
      <c r="F311" s="9">
        <v>310</v>
      </c>
      <c r="G311" s="8" t="s">
        <v>16</v>
      </c>
      <c r="H311" s="10" t="s">
        <v>17</v>
      </c>
      <c r="I311" s="10">
        <v>122</v>
      </c>
      <c r="J311" s="10">
        <v>15</v>
      </c>
      <c r="K311" s="10">
        <v>10</v>
      </c>
      <c r="L311" s="11" t="e">
        <v>#N/A</v>
      </c>
      <c r="M311" s="12" t="e">
        <v>#N/A</v>
      </c>
      <c r="N311" s="13" t="s">
        <v>18</v>
      </c>
      <c r="O311" s="13"/>
    </row>
    <row r="312" spans="1:15">
      <c r="A312" s="22" t="s">
        <v>410</v>
      </c>
      <c r="B312" s="8">
        <v>9</v>
      </c>
      <c r="C312" s="8">
        <v>85</v>
      </c>
      <c r="D312" s="8">
        <v>50</v>
      </c>
      <c r="E312" s="8">
        <v>0.6</v>
      </c>
      <c r="F312" s="9">
        <v>311</v>
      </c>
      <c r="G312" s="8" t="s">
        <v>16</v>
      </c>
      <c r="H312" s="10" t="s">
        <v>17</v>
      </c>
      <c r="I312" s="10">
        <v>122</v>
      </c>
      <c r="J312" s="10">
        <v>15</v>
      </c>
      <c r="K312" s="10">
        <v>10</v>
      </c>
      <c r="L312" s="11" t="s">
        <v>411</v>
      </c>
      <c r="M312" s="12">
        <v>77</v>
      </c>
      <c r="N312" s="13"/>
      <c r="O312" s="13"/>
    </row>
    <row r="313" spans="1:15">
      <c r="A313" s="22" t="s">
        <v>412</v>
      </c>
      <c r="B313" s="8">
        <v>9</v>
      </c>
      <c r="C313" s="8">
        <v>88</v>
      </c>
      <c r="D313" s="8">
        <v>50</v>
      </c>
      <c r="E313" s="8">
        <v>0.6</v>
      </c>
      <c r="F313" s="9">
        <v>312</v>
      </c>
      <c r="G313" s="8" t="s">
        <v>16</v>
      </c>
      <c r="H313" s="10" t="s">
        <v>17</v>
      </c>
      <c r="I313" s="10">
        <v>122</v>
      </c>
      <c r="J313" s="10">
        <v>15</v>
      </c>
      <c r="K313" s="10">
        <v>10</v>
      </c>
      <c r="L313" s="11" t="s">
        <v>413</v>
      </c>
      <c r="M313" s="12">
        <v>69</v>
      </c>
      <c r="N313" s="13"/>
      <c r="O313" s="13"/>
    </row>
    <row r="314" spans="1:15">
      <c r="A314" s="22" t="s">
        <v>414</v>
      </c>
      <c r="B314" s="8">
        <v>9</v>
      </c>
      <c r="C314" s="8">
        <v>61</v>
      </c>
      <c r="D314" s="8">
        <v>50</v>
      </c>
      <c r="E314" s="8">
        <v>0.6</v>
      </c>
      <c r="F314" s="9">
        <v>313</v>
      </c>
      <c r="G314" s="8" t="s">
        <v>16</v>
      </c>
      <c r="H314" s="10" t="s">
        <v>17</v>
      </c>
      <c r="I314" s="10">
        <v>122</v>
      </c>
      <c r="J314" s="10">
        <v>15</v>
      </c>
      <c r="K314" s="10">
        <v>10</v>
      </c>
      <c r="L314" s="11" t="s">
        <v>115</v>
      </c>
      <c r="M314" s="12">
        <v>3</v>
      </c>
      <c r="N314" s="13"/>
      <c r="O314" s="13"/>
    </row>
    <row r="315" spans="1:15">
      <c r="A315" s="22" t="s">
        <v>415</v>
      </c>
      <c r="B315" s="8">
        <v>9</v>
      </c>
      <c r="C315" s="8">
        <v>64</v>
      </c>
      <c r="D315" s="8">
        <v>50</v>
      </c>
      <c r="E315" s="8">
        <v>0.6</v>
      </c>
      <c r="F315" s="9">
        <v>314</v>
      </c>
      <c r="G315" s="8" t="s">
        <v>16</v>
      </c>
      <c r="H315" s="10" t="s">
        <v>17</v>
      </c>
      <c r="I315" s="10">
        <v>122</v>
      </c>
      <c r="J315" s="10">
        <v>15</v>
      </c>
      <c r="K315" s="10">
        <v>10</v>
      </c>
      <c r="L315" s="11" t="s">
        <v>64</v>
      </c>
      <c r="M315" s="12">
        <v>0</v>
      </c>
      <c r="N315" s="13"/>
      <c r="O315" s="13"/>
    </row>
    <row r="316" spans="1:15">
      <c r="A316" s="22" t="s">
        <v>416</v>
      </c>
      <c r="B316" s="8">
        <v>9</v>
      </c>
      <c r="C316" s="8">
        <v>72</v>
      </c>
      <c r="D316" s="8">
        <v>50</v>
      </c>
      <c r="E316" s="8">
        <v>0.6</v>
      </c>
      <c r="F316" s="9">
        <v>315</v>
      </c>
      <c r="G316" s="8" t="s">
        <v>16</v>
      </c>
      <c r="H316" s="10" t="s">
        <v>17</v>
      </c>
      <c r="I316" s="10">
        <v>122</v>
      </c>
      <c r="J316" s="10">
        <v>15</v>
      </c>
      <c r="K316" s="10">
        <v>10</v>
      </c>
      <c r="L316" s="11" t="s">
        <v>107</v>
      </c>
      <c r="M316" s="12">
        <v>0</v>
      </c>
      <c r="N316" s="13"/>
      <c r="O316" s="13"/>
    </row>
    <row r="317" spans="1:15">
      <c r="A317" s="22" t="s">
        <v>417</v>
      </c>
      <c r="B317" s="8">
        <v>9</v>
      </c>
      <c r="C317" s="8">
        <v>74</v>
      </c>
      <c r="D317" s="8">
        <v>50</v>
      </c>
      <c r="E317" s="8">
        <v>0.6</v>
      </c>
      <c r="F317" s="9">
        <v>316</v>
      </c>
      <c r="G317" s="8" t="s">
        <v>16</v>
      </c>
      <c r="H317" s="10" t="s">
        <v>17</v>
      </c>
      <c r="I317" s="10">
        <v>122</v>
      </c>
      <c r="J317" s="10">
        <v>15</v>
      </c>
      <c r="K317" s="10">
        <v>10</v>
      </c>
      <c r="L317" s="11" t="s">
        <v>155</v>
      </c>
      <c r="M317" s="12">
        <v>0</v>
      </c>
      <c r="N317" s="13"/>
      <c r="O317" s="13"/>
    </row>
    <row r="318" spans="1:15">
      <c r="A318" s="22" t="s">
        <v>418</v>
      </c>
      <c r="B318" s="8">
        <v>9</v>
      </c>
      <c r="C318" s="8">
        <v>71</v>
      </c>
      <c r="D318" s="8">
        <v>25</v>
      </c>
      <c r="E318" s="8">
        <v>0.6</v>
      </c>
      <c r="F318" s="9">
        <v>317</v>
      </c>
      <c r="G318" s="8" t="s">
        <v>16</v>
      </c>
      <c r="H318" s="10" t="s">
        <v>17</v>
      </c>
      <c r="I318" s="10">
        <v>122</v>
      </c>
      <c r="J318" s="10">
        <v>15</v>
      </c>
      <c r="K318" s="10">
        <v>10</v>
      </c>
      <c r="L318" s="11" t="s">
        <v>235</v>
      </c>
      <c r="M318" s="12">
        <v>0</v>
      </c>
      <c r="N318" s="13"/>
      <c r="O318" s="13"/>
    </row>
    <row r="319" spans="1:15">
      <c r="A319" s="22" t="s">
        <v>419</v>
      </c>
      <c r="B319" s="8">
        <v>9</v>
      </c>
      <c r="C319" s="8">
        <v>71</v>
      </c>
      <c r="D319" s="8">
        <v>25</v>
      </c>
      <c r="E319" s="8">
        <v>0.6</v>
      </c>
      <c r="F319" s="9">
        <v>318</v>
      </c>
      <c r="G319" s="8" t="s">
        <v>16</v>
      </c>
      <c r="H319" s="10" t="s">
        <v>17</v>
      </c>
      <c r="I319" s="10">
        <v>122</v>
      </c>
      <c r="J319" s="10">
        <v>15</v>
      </c>
      <c r="K319" s="10">
        <v>10</v>
      </c>
      <c r="L319" s="11" t="s">
        <v>235</v>
      </c>
      <c r="M319" s="12">
        <v>0</v>
      </c>
      <c r="N319" s="13"/>
      <c r="O319" s="13"/>
    </row>
    <row r="320" spans="1:15">
      <c r="A320" s="22" t="s">
        <v>420</v>
      </c>
      <c r="B320" s="8">
        <v>9</v>
      </c>
      <c r="C320" s="8">
        <v>71</v>
      </c>
      <c r="D320" s="8">
        <v>50</v>
      </c>
      <c r="E320" s="8">
        <v>0.6</v>
      </c>
      <c r="F320" s="9">
        <v>319</v>
      </c>
      <c r="G320" s="8" t="s">
        <v>16</v>
      </c>
      <c r="H320" s="10" t="s">
        <v>17</v>
      </c>
      <c r="I320" s="10">
        <v>122</v>
      </c>
      <c r="J320" s="10">
        <v>15</v>
      </c>
      <c r="K320" s="10">
        <v>10</v>
      </c>
      <c r="L320" s="11" t="s">
        <v>235</v>
      </c>
      <c r="M320" s="12">
        <v>0</v>
      </c>
      <c r="N320" s="13"/>
      <c r="O320" s="13"/>
    </row>
    <row r="321" spans="1:15">
      <c r="A321" s="22" t="s">
        <v>421</v>
      </c>
      <c r="B321" s="8">
        <v>9</v>
      </c>
      <c r="C321" s="8">
        <v>71</v>
      </c>
      <c r="D321" s="8">
        <v>50</v>
      </c>
      <c r="E321" s="8">
        <v>0.6</v>
      </c>
      <c r="F321" s="9">
        <v>320</v>
      </c>
      <c r="G321" s="8" t="s">
        <v>16</v>
      </c>
      <c r="H321" s="10" t="s">
        <v>17</v>
      </c>
      <c r="I321" s="10">
        <v>122</v>
      </c>
      <c r="J321" s="10">
        <v>15</v>
      </c>
      <c r="K321" s="10">
        <v>10</v>
      </c>
      <c r="L321" s="11" t="s">
        <v>235</v>
      </c>
      <c r="M321" s="12">
        <v>0</v>
      </c>
      <c r="N321" s="13"/>
      <c r="O321" s="13"/>
    </row>
    <row r="322" spans="1:15">
      <c r="A322" s="22" t="s">
        <v>422</v>
      </c>
      <c r="B322" s="8">
        <v>9</v>
      </c>
      <c r="C322" s="8">
        <v>68</v>
      </c>
      <c r="D322" s="8">
        <v>50</v>
      </c>
      <c r="E322" s="8">
        <v>0.6</v>
      </c>
      <c r="F322" s="9">
        <v>321</v>
      </c>
      <c r="G322" s="8" t="s">
        <v>16</v>
      </c>
      <c r="H322" s="10" t="s">
        <v>17</v>
      </c>
      <c r="I322" s="10">
        <v>122</v>
      </c>
      <c r="J322" s="10">
        <v>15</v>
      </c>
      <c r="K322" s="10">
        <v>10</v>
      </c>
      <c r="L322" s="11" t="s">
        <v>118</v>
      </c>
      <c r="M322" s="12">
        <v>295</v>
      </c>
      <c r="N322" s="13"/>
      <c r="O322" s="13"/>
    </row>
    <row r="323" spans="1:15">
      <c r="A323" s="22" t="s">
        <v>423</v>
      </c>
      <c r="B323" s="8">
        <v>9</v>
      </c>
      <c r="C323" s="8">
        <v>88</v>
      </c>
      <c r="D323" s="8">
        <v>50</v>
      </c>
      <c r="E323" s="8">
        <v>0.6</v>
      </c>
      <c r="F323" s="9">
        <v>322</v>
      </c>
      <c r="G323" s="8" t="s">
        <v>16</v>
      </c>
      <c r="H323" s="10" t="s">
        <v>17</v>
      </c>
      <c r="I323" s="10">
        <v>122</v>
      </c>
      <c r="J323" s="10">
        <v>15</v>
      </c>
      <c r="K323" s="10">
        <v>10</v>
      </c>
      <c r="L323" s="11" t="s">
        <v>313</v>
      </c>
      <c r="M323" s="12">
        <v>0</v>
      </c>
      <c r="N323" s="13"/>
      <c r="O323" s="13"/>
    </row>
    <row r="324" spans="1:15">
      <c r="A324" s="22" t="s">
        <v>424</v>
      </c>
      <c r="B324" s="8">
        <v>9</v>
      </c>
      <c r="C324" s="8">
        <v>88</v>
      </c>
      <c r="D324" s="8">
        <v>50</v>
      </c>
      <c r="E324" s="8">
        <v>0.6</v>
      </c>
      <c r="F324" s="9">
        <v>323</v>
      </c>
      <c r="G324" s="8" t="s">
        <v>16</v>
      </c>
      <c r="H324" s="10" t="s">
        <v>17</v>
      </c>
      <c r="I324" s="10">
        <v>122</v>
      </c>
      <c r="J324" s="10">
        <v>15</v>
      </c>
      <c r="K324" s="10">
        <v>10</v>
      </c>
      <c r="L324" s="11" t="s">
        <v>313</v>
      </c>
      <c r="M324" s="12">
        <v>0</v>
      </c>
      <c r="N324" s="13"/>
      <c r="O324" s="13"/>
    </row>
    <row r="325" spans="1:15">
      <c r="A325" s="22" t="s">
        <v>425</v>
      </c>
      <c r="B325" s="8">
        <v>9</v>
      </c>
      <c r="C325" s="8">
        <v>88</v>
      </c>
      <c r="D325" s="8">
        <v>50</v>
      </c>
      <c r="E325" s="8">
        <v>0.6</v>
      </c>
      <c r="F325" s="9">
        <v>324</v>
      </c>
      <c r="G325" s="8" t="s">
        <v>16</v>
      </c>
      <c r="H325" s="10" t="s">
        <v>17</v>
      </c>
      <c r="I325" s="10">
        <v>122</v>
      </c>
      <c r="J325" s="10">
        <v>15</v>
      </c>
      <c r="K325" s="10">
        <v>10</v>
      </c>
      <c r="L325" s="11" t="s">
        <v>313</v>
      </c>
      <c r="M325" s="12">
        <v>0</v>
      </c>
      <c r="N325" s="13"/>
      <c r="O325" s="13"/>
    </row>
    <row r="326" spans="1:15">
      <c r="A326" s="22" t="s">
        <v>426</v>
      </c>
      <c r="B326" s="8">
        <v>9</v>
      </c>
      <c r="C326" s="8">
        <v>88</v>
      </c>
      <c r="D326" s="8">
        <v>50</v>
      </c>
      <c r="E326" s="8">
        <v>0.6</v>
      </c>
      <c r="F326" s="9">
        <v>325</v>
      </c>
      <c r="G326" s="8" t="s">
        <v>16</v>
      </c>
      <c r="H326" s="10" t="s">
        <v>17</v>
      </c>
      <c r="I326" s="10">
        <v>122</v>
      </c>
      <c r="J326" s="10">
        <v>15</v>
      </c>
      <c r="K326" s="10">
        <v>10</v>
      </c>
      <c r="L326" s="11" t="s">
        <v>313</v>
      </c>
      <c r="M326" s="12">
        <v>0</v>
      </c>
      <c r="N326" s="13"/>
      <c r="O326" s="13"/>
    </row>
    <row r="327" spans="1:15">
      <c r="A327" s="22" t="s">
        <v>427</v>
      </c>
      <c r="B327" s="8">
        <v>9</v>
      </c>
      <c r="C327" s="8">
        <v>89</v>
      </c>
      <c r="D327" s="8">
        <v>50</v>
      </c>
      <c r="E327" s="8">
        <v>0.6</v>
      </c>
      <c r="F327" s="9">
        <v>326</v>
      </c>
      <c r="G327" s="8" t="s">
        <v>16</v>
      </c>
      <c r="H327" s="10" t="s">
        <v>17</v>
      </c>
      <c r="I327" s="10">
        <v>122</v>
      </c>
      <c r="J327" s="10">
        <v>15</v>
      </c>
      <c r="K327" s="10">
        <v>10</v>
      </c>
      <c r="L327" s="11" t="s">
        <v>311</v>
      </c>
      <c r="M327" s="12">
        <v>0</v>
      </c>
      <c r="N327" s="13"/>
      <c r="O327" s="13"/>
    </row>
    <row r="328" spans="1:15">
      <c r="A328" s="22" t="s">
        <v>428</v>
      </c>
      <c r="B328" s="8">
        <v>9</v>
      </c>
      <c r="C328" s="8">
        <v>89</v>
      </c>
      <c r="D328" s="8">
        <v>50</v>
      </c>
      <c r="E328" s="8">
        <v>0.6</v>
      </c>
      <c r="F328" s="9">
        <v>327</v>
      </c>
      <c r="G328" s="8" t="s">
        <v>16</v>
      </c>
      <c r="H328" s="10" t="s">
        <v>17</v>
      </c>
      <c r="I328" s="10">
        <v>122</v>
      </c>
      <c r="J328" s="10">
        <v>15</v>
      </c>
      <c r="K328" s="10">
        <v>10</v>
      </c>
      <c r="L328" s="11" t="s">
        <v>311</v>
      </c>
      <c r="M328" s="12">
        <v>0</v>
      </c>
      <c r="N328" s="13"/>
      <c r="O328" s="13"/>
    </row>
    <row r="329" spans="1:15">
      <c r="A329" s="22" t="s">
        <v>429</v>
      </c>
      <c r="B329" s="8">
        <v>9</v>
      </c>
      <c r="C329" s="8">
        <v>89</v>
      </c>
      <c r="D329" s="8">
        <v>50</v>
      </c>
      <c r="E329" s="8">
        <v>0.6</v>
      </c>
      <c r="F329" s="9">
        <v>328</v>
      </c>
      <c r="G329" s="8" t="s">
        <v>16</v>
      </c>
      <c r="H329" s="10" t="s">
        <v>17</v>
      </c>
      <c r="I329" s="10">
        <v>122</v>
      </c>
      <c r="J329" s="10">
        <v>15</v>
      </c>
      <c r="K329" s="10">
        <v>10</v>
      </c>
      <c r="L329" s="11" t="s">
        <v>311</v>
      </c>
      <c r="M329" s="12">
        <v>0</v>
      </c>
      <c r="N329" s="13"/>
      <c r="O329" s="13"/>
    </row>
    <row r="330" spans="1:15">
      <c r="A330" s="22" t="s">
        <v>430</v>
      </c>
      <c r="B330" s="8">
        <v>9</v>
      </c>
      <c r="C330" s="8">
        <v>89</v>
      </c>
      <c r="D330" s="8">
        <v>50</v>
      </c>
      <c r="E330" s="8">
        <v>0.6</v>
      </c>
      <c r="F330" s="9">
        <v>329</v>
      </c>
      <c r="G330" s="8" t="s">
        <v>16</v>
      </c>
      <c r="H330" s="10" t="s">
        <v>17</v>
      </c>
      <c r="I330" s="10">
        <v>122</v>
      </c>
      <c r="J330" s="10">
        <v>15</v>
      </c>
      <c r="K330" s="10">
        <v>10</v>
      </c>
      <c r="L330" s="11" t="s">
        <v>311</v>
      </c>
      <c r="M330" s="12">
        <v>0</v>
      </c>
      <c r="N330" s="13"/>
      <c r="O330" s="13"/>
    </row>
    <row r="331" spans="1:15">
      <c r="A331" s="22" t="s">
        <v>431</v>
      </c>
      <c r="B331" s="8">
        <v>9</v>
      </c>
      <c r="C331" s="8">
        <v>89</v>
      </c>
      <c r="D331" s="8">
        <v>50</v>
      </c>
      <c r="E331" s="8">
        <v>0.6</v>
      </c>
      <c r="F331" s="9">
        <v>330</v>
      </c>
      <c r="G331" s="8" t="s">
        <v>16</v>
      </c>
      <c r="H331" s="10" t="s">
        <v>17</v>
      </c>
      <c r="I331" s="10">
        <v>122</v>
      </c>
      <c r="J331" s="10">
        <v>15</v>
      </c>
      <c r="K331" s="10">
        <v>10</v>
      </c>
      <c r="L331" s="11" t="s">
        <v>311</v>
      </c>
      <c r="M331" s="12">
        <v>0</v>
      </c>
      <c r="N331" s="13"/>
      <c r="O331" s="13"/>
    </row>
    <row r="332" spans="1:15">
      <c r="A332" s="22" t="s">
        <v>432</v>
      </c>
      <c r="B332" s="8">
        <v>9</v>
      </c>
      <c r="C332" s="8">
        <v>89</v>
      </c>
      <c r="D332" s="8">
        <v>50</v>
      </c>
      <c r="E332" s="8">
        <v>0.6</v>
      </c>
      <c r="F332" s="9">
        <v>331</v>
      </c>
      <c r="G332" s="8" t="s">
        <v>16</v>
      </c>
      <c r="H332" s="10" t="s">
        <v>17</v>
      </c>
      <c r="I332" s="10">
        <v>122</v>
      </c>
      <c r="J332" s="10">
        <v>15</v>
      </c>
      <c r="K332" s="10">
        <v>10</v>
      </c>
      <c r="L332" s="11" t="s">
        <v>311</v>
      </c>
      <c r="M332" s="12">
        <v>0</v>
      </c>
      <c r="N332" s="13"/>
      <c r="O332" s="13"/>
    </row>
    <row r="333" spans="1:15">
      <c r="A333" s="22" t="s">
        <v>433</v>
      </c>
      <c r="B333" s="8">
        <v>9</v>
      </c>
      <c r="C333" s="8">
        <v>89</v>
      </c>
      <c r="D333" s="8">
        <v>50</v>
      </c>
      <c r="E333" s="8">
        <v>0.6</v>
      </c>
      <c r="F333" s="9">
        <v>332</v>
      </c>
      <c r="G333" s="8" t="s">
        <v>16</v>
      </c>
      <c r="H333" s="10" t="s">
        <v>17</v>
      </c>
      <c r="I333" s="10">
        <v>122</v>
      </c>
      <c r="J333" s="10">
        <v>15</v>
      </c>
      <c r="K333" s="10">
        <v>10</v>
      </c>
      <c r="L333" s="11" t="s">
        <v>311</v>
      </c>
      <c r="M333" s="12">
        <v>0</v>
      </c>
      <c r="N333" s="13"/>
      <c r="O333" s="13"/>
    </row>
    <row r="334" spans="1:15">
      <c r="A334" s="22" t="s">
        <v>434</v>
      </c>
      <c r="B334" s="8">
        <v>9</v>
      </c>
      <c r="C334" s="8">
        <v>248</v>
      </c>
      <c r="D334" s="8">
        <v>50</v>
      </c>
      <c r="E334" s="8"/>
      <c r="F334" s="9">
        <v>333</v>
      </c>
      <c r="G334" s="8" t="s">
        <v>72</v>
      </c>
      <c r="H334" s="10" t="s">
        <v>354</v>
      </c>
      <c r="I334" s="10" t="s">
        <v>354</v>
      </c>
      <c r="J334" s="10" t="s">
        <v>354</v>
      </c>
      <c r="K334" s="10" t="s">
        <v>354</v>
      </c>
      <c r="L334" s="11" t="s">
        <v>435</v>
      </c>
      <c r="M334" s="12">
        <v>0</v>
      </c>
      <c r="N334" s="13"/>
      <c r="O334" s="13"/>
    </row>
    <row r="335" spans="1:15">
      <c r="A335" s="22" t="s">
        <v>436</v>
      </c>
      <c r="B335" s="8">
        <v>9</v>
      </c>
      <c r="C335" s="8">
        <v>248</v>
      </c>
      <c r="D335" s="8">
        <v>50</v>
      </c>
      <c r="E335" s="8"/>
      <c r="F335" s="9">
        <v>334</v>
      </c>
      <c r="G335" s="8" t="s">
        <v>72</v>
      </c>
      <c r="H335" s="10" t="s">
        <v>354</v>
      </c>
      <c r="I335" s="10" t="s">
        <v>354</v>
      </c>
      <c r="J335" s="10" t="s">
        <v>354</v>
      </c>
      <c r="K335" s="10" t="s">
        <v>354</v>
      </c>
      <c r="L335" s="11" t="s">
        <v>435</v>
      </c>
      <c r="M335" s="12">
        <v>0</v>
      </c>
      <c r="N335" s="13"/>
      <c r="O335" s="13"/>
    </row>
    <row r="336" spans="1:15">
      <c r="A336" s="22" t="s">
        <v>437</v>
      </c>
      <c r="B336" s="8">
        <v>9</v>
      </c>
      <c r="C336" s="8">
        <v>248</v>
      </c>
      <c r="D336" s="8">
        <v>50</v>
      </c>
      <c r="E336" s="8"/>
      <c r="F336" s="9">
        <v>335</v>
      </c>
      <c r="G336" s="8" t="s">
        <v>72</v>
      </c>
      <c r="H336" s="10" t="s">
        <v>354</v>
      </c>
      <c r="I336" s="10" t="s">
        <v>354</v>
      </c>
      <c r="J336" s="10" t="s">
        <v>354</v>
      </c>
      <c r="K336" s="10" t="s">
        <v>354</v>
      </c>
      <c r="L336" s="11" t="s">
        <v>435</v>
      </c>
      <c r="M336" s="12">
        <v>0</v>
      </c>
      <c r="N336" s="13"/>
      <c r="O336" s="13"/>
    </row>
    <row r="337" spans="1:15">
      <c r="A337" s="22" t="s">
        <v>438</v>
      </c>
      <c r="B337" s="8">
        <v>9</v>
      </c>
      <c r="C337" s="8">
        <v>248</v>
      </c>
      <c r="D337" s="8">
        <v>50</v>
      </c>
      <c r="E337" s="8"/>
      <c r="F337" s="9">
        <v>336</v>
      </c>
      <c r="G337" s="8" t="s">
        <v>72</v>
      </c>
      <c r="H337" s="10" t="s">
        <v>354</v>
      </c>
      <c r="I337" s="10" t="s">
        <v>354</v>
      </c>
      <c r="J337" s="10" t="s">
        <v>354</v>
      </c>
      <c r="K337" s="10" t="s">
        <v>354</v>
      </c>
      <c r="L337" s="11" t="s">
        <v>435</v>
      </c>
      <c r="M337" s="12">
        <v>0</v>
      </c>
      <c r="N337" s="13"/>
      <c r="O337" s="13"/>
    </row>
    <row r="338" spans="1:15">
      <c r="A338" s="22" t="s">
        <v>439</v>
      </c>
      <c r="B338" s="8">
        <v>9</v>
      </c>
      <c r="C338" s="8">
        <v>320</v>
      </c>
      <c r="D338" s="8">
        <v>50</v>
      </c>
      <c r="E338" s="8">
        <v>1.48</v>
      </c>
      <c r="F338" s="9">
        <v>337</v>
      </c>
      <c r="G338" s="8" t="s">
        <v>72</v>
      </c>
      <c r="H338" s="10" t="s">
        <v>83</v>
      </c>
      <c r="I338" s="10">
        <v>145</v>
      </c>
      <c r="J338" s="10">
        <v>29</v>
      </c>
      <c r="K338" s="10">
        <v>16</v>
      </c>
      <c r="L338" s="11" t="s">
        <v>440</v>
      </c>
      <c r="M338" s="12">
        <v>0</v>
      </c>
      <c r="N338" s="13"/>
      <c r="O338" s="13"/>
    </row>
    <row r="339" spans="1:15">
      <c r="A339" s="22" t="s">
        <v>441</v>
      </c>
      <c r="B339" s="8">
        <v>9</v>
      </c>
      <c r="C339" s="8">
        <v>450</v>
      </c>
      <c r="D339" s="8">
        <v>1</v>
      </c>
      <c r="E339" s="8">
        <v>0.5</v>
      </c>
      <c r="F339" s="9">
        <v>338</v>
      </c>
      <c r="G339" s="8" t="s">
        <v>442</v>
      </c>
      <c r="H339" s="10" t="s">
        <v>443</v>
      </c>
      <c r="I339" s="10">
        <v>89</v>
      </c>
      <c r="J339" s="10">
        <v>14</v>
      </c>
      <c r="K339" s="10">
        <v>9</v>
      </c>
      <c r="L339" s="11" t="s">
        <v>444</v>
      </c>
      <c r="M339" s="12">
        <v>0</v>
      </c>
      <c r="N339" s="13"/>
      <c r="O339" s="13"/>
    </row>
    <row r="340" spans="1:15">
      <c r="A340" s="22" t="s">
        <v>445</v>
      </c>
      <c r="B340" s="8">
        <v>9</v>
      </c>
      <c r="C340" s="8">
        <v>430</v>
      </c>
      <c r="D340" s="8">
        <v>1</v>
      </c>
      <c r="E340" s="8">
        <v>0.5</v>
      </c>
      <c r="F340" s="9">
        <v>339</v>
      </c>
      <c r="G340" s="8" t="s">
        <v>446</v>
      </c>
      <c r="H340" s="10" t="s">
        <v>443</v>
      </c>
      <c r="I340" s="10">
        <v>89</v>
      </c>
      <c r="J340" s="10">
        <v>14</v>
      </c>
      <c r="K340" s="10">
        <v>9</v>
      </c>
      <c r="L340" s="11" t="s">
        <v>447</v>
      </c>
      <c r="M340" s="12">
        <v>0</v>
      </c>
      <c r="N340" s="13"/>
      <c r="O340" s="13"/>
    </row>
    <row r="341" spans="1:15">
      <c r="A341" s="22" t="s">
        <v>448</v>
      </c>
      <c r="B341" s="8">
        <v>9</v>
      </c>
      <c r="C341" s="8">
        <v>99</v>
      </c>
      <c r="D341" s="8">
        <v>50</v>
      </c>
      <c r="E341" s="8">
        <v>0.6</v>
      </c>
      <c r="F341" s="9">
        <v>340</v>
      </c>
      <c r="G341" s="8" t="s">
        <v>16</v>
      </c>
      <c r="H341" s="10" t="s">
        <v>17</v>
      </c>
      <c r="I341" s="10">
        <v>122</v>
      </c>
      <c r="J341" s="10">
        <v>15</v>
      </c>
      <c r="K341" s="10">
        <v>10</v>
      </c>
      <c r="L341" s="11" t="s">
        <v>449</v>
      </c>
      <c r="M341" s="12">
        <v>35</v>
      </c>
      <c r="N341" s="13"/>
      <c r="O341" s="13"/>
    </row>
    <row r="342" spans="1:15">
      <c r="A342" s="22" t="s">
        <v>450</v>
      </c>
      <c r="B342" s="8">
        <v>9</v>
      </c>
      <c r="C342" s="8">
        <v>60</v>
      </c>
      <c r="D342" s="8">
        <v>50</v>
      </c>
      <c r="E342" s="8">
        <v>0.6</v>
      </c>
      <c r="F342" s="9">
        <v>341</v>
      </c>
      <c r="G342" s="8" t="s">
        <v>16</v>
      </c>
      <c r="H342" s="10" t="s">
        <v>17</v>
      </c>
      <c r="I342" s="10">
        <v>122</v>
      </c>
      <c r="J342" s="10">
        <v>15</v>
      </c>
      <c r="K342" s="10">
        <v>10</v>
      </c>
      <c r="L342" s="11" t="s">
        <v>113</v>
      </c>
      <c r="M342" s="12">
        <v>20</v>
      </c>
      <c r="N342" s="13"/>
      <c r="O342" s="13"/>
    </row>
    <row r="343" spans="1:15">
      <c r="A343" s="22" t="s">
        <v>451</v>
      </c>
      <c r="B343" s="8">
        <v>9</v>
      </c>
      <c r="C343" s="8">
        <v>88</v>
      </c>
      <c r="D343" s="8">
        <v>50</v>
      </c>
      <c r="E343" s="8">
        <v>0.6</v>
      </c>
      <c r="F343" s="9">
        <v>342</v>
      </c>
      <c r="G343" s="8" t="s">
        <v>16</v>
      </c>
      <c r="H343" s="10" t="s">
        <v>17</v>
      </c>
      <c r="I343" s="10">
        <v>122</v>
      </c>
      <c r="J343" s="10">
        <v>15</v>
      </c>
      <c r="K343" s="10">
        <v>10</v>
      </c>
      <c r="L343" s="11" t="s">
        <v>452</v>
      </c>
      <c r="M343" s="12">
        <v>43</v>
      </c>
      <c r="N343" s="13"/>
      <c r="O343" s="13"/>
    </row>
    <row r="344" spans="1:15">
      <c r="A344" s="23" t="s">
        <v>453</v>
      </c>
      <c r="B344" s="20">
        <v>9</v>
      </c>
      <c r="C344" s="24">
        <v>79.989999999999995</v>
      </c>
      <c r="D344" s="20">
        <v>25</v>
      </c>
      <c r="E344" s="20">
        <v>0.6</v>
      </c>
      <c r="F344" s="9">
        <v>343</v>
      </c>
      <c r="G344" s="8" t="s">
        <v>16</v>
      </c>
      <c r="H344" s="10" t="s">
        <v>17</v>
      </c>
      <c r="I344" s="10">
        <v>122</v>
      </c>
      <c r="J344" s="10">
        <v>15</v>
      </c>
      <c r="K344" s="10">
        <v>10</v>
      </c>
      <c r="L344" s="11" t="e">
        <v>#N/A</v>
      </c>
      <c r="M344" s="12">
        <v>0</v>
      </c>
      <c r="N344" s="13" t="s">
        <v>18</v>
      </c>
      <c r="O344" s="13"/>
    </row>
    <row r="345" spans="1:15">
      <c r="A345" s="22" t="s">
        <v>454</v>
      </c>
      <c r="B345" s="8">
        <v>9</v>
      </c>
      <c r="C345" s="8">
        <v>65</v>
      </c>
      <c r="D345" s="8">
        <v>50</v>
      </c>
      <c r="E345" s="8">
        <v>0.6</v>
      </c>
      <c r="F345" s="9">
        <v>344</v>
      </c>
      <c r="G345" s="8" t="s">
        <v>16</v>
      </c>
      <c r="H345" s="10" t="s">
        <v>17</v>
      </c>
      <c r="I345" s="10">
        <v>122</v>
      </c>
      <c r="J345" s="10">
        <v>15</v>
      </c>
      <c r="K345" s="10">
        <v>10</v>
      </c>
      <c r="L345" s="11" t="s">
        <v>303</v>
      </c>
      <c r="M345" s="12">
        <v>115</v>
      </c>
      <c r="N345" s="13"/>
      <c r="O345" s="13"/>
    </row>
    <row r="346" spans="1:15">
      <c r="A346" s="22" t="s">
        <v>455</v>
      </c>
      <c r="B346" s="8">
        <v>9</v>
      </c>
      <c r="C346" s="8">
        <v>66</v>
      </c>
      <c r="D346" s="8">
        <v>50</v>
      </c>
      <c r="E346" s="8">
        <v>0.6</v>
      </c>
      <c r="F346" s="9">
        <v>345</v>
      </c>
      <c r="G346" s="8" t="s">
        <v>16</v>
      </c>
      <c r="H346" s="10" t="s">
        <v>17</v>
      </c>
      <c r="I346" s="10">
        <v>122</v>
      </c>
      <c r="J346" s="10">
        <v>15</v>
      </c>
      <c r="K346" s="10">
        <v>10</v>
      </c>
      <c r="L346" s="11" t="s">
        <v>173</v>
      </c>
      <c r="M346" s="12">
        <v>70</v>
      </c>
      <c r="N346" s="13"/>
      <c r="O346" s="13"/>
    </row>
    <row r="347" spans="1:15">
      <c r="A347" s="22" t="s">
        <v>456</v>
      </c>
      <c r="B347" s="8">
        <v>9</v>
      </c>
      <c r="C347" s="8">
        <v>320</v>
      </c>
      <c r="D347" s="8">
        <v>50</v>
      </c>
      <c r="E347" s="8">
        <v>1.48</v>
      </c>
      <c r="F347" s="9">
        <v>346</v>
      </c>
      <c r="G347" s="8" t="s">
        <v>72</v>
      </c>
      <c r="H347" s="10" t="s">
        <v>83</v>
      </c>
      <c r="I347" s="10">
        <v>145</v>
      </c>
      <c r="J347" s="10">
        <v>29</v>
      </c>
      <c r="K347" s="10">
        <v>16</v>
      </c>
      <c r="L347" s="11" t="s">
        <v>440</v>
      </c>
      <c r="M347" s="12">
        <v>13</v>
      </c>
      <c r="N347" s="13"/>
      <c r="O347" s="13"/>
    </row>
    <row r="348" spans="1:15">
      <c r="A348" s="22" t="s">
        <v>457</v>
      </c>
      <c r="B348" s="8">
        <v>9</v>
      </c>
      <c r="C348" s="8">
        <v>320</v>
      </c>
      <c r="D348" s="8">
        <v>50</v>
      </c>
      <c r="E348" s="8">
        <v>1.48</v>
      </c>
      <c r="F348" s="9">
        <v>347</v>
      </c>
      <c r="G348" s="8" t="s">
        <v>72</v>
      </c>
      <c r="H348" s="10" t="s">
        <v>83</v>
      </c>
      <c r="I348" s="10">
        <v>145</v>
      </c>
      <c r="J348" s="10">
        <v>29</v>
      </c>
      <c r="K348" s="10">
        <v>16</v>
      </c>
      <c r="L348" s="11" t="s">
        <v>440</v>
      </c>
      <c r="M348" s="12">
        <v>212</v>
      </c>
      <c r="N348" s="13"/>
      <c r="O348" s="13"/>
    </row>
    <row r="349" spans="1:15">
      <c r="A349" s="22" t="s">
        <v>458</v>
      </c>
      <c r="B349" s="8">
        <v>9</v>
      </c>
      <c r="C349" s="8">
        <v>320</v>
      </c>
      <c r="D349" s="8">
        <v>50</v>
      </c>
      <c r="E349" s="8">
        <v>1.48</v>
      </c>
      <c r="F349" s="9">
        <v>348</v>
      </c>
      <c r="G349" s="8" t="s">
        <v>72</v>
      </c>
      <c r="H349" s="10" t="s">
        <v>83</v>
      </c>
      <c r="I349" s="10">
        <v>145</v>
      </c>
      <c r="J349" s="10">
        <v>29</v>
      </c>
      <c r="K349" s="10">
        <v>16</v>
      </c>
      <c r="L349" s="11" t="s">
        <v>440</v>
      </c>
      <c r="M349" s="12">
        <v>183</v>
      </c>
      <c r="N349" s="13"/>
      <c r="O349" s="13"/>
    </row>
    <row r="350" spans="1:15">
      <c r="A350" s="22" t="s">
        <v>459</v>
      </c>
      <c r="B350" s="8">
        <v>9</v>
      </c>
      <c r="C350" s="8">
        <v>320</v>
      </c>
      <c r="D350" s="8">
        <v>50</v>
      </c>
      <c r="E350" s="8">
        <v>1.48</v>
      </c>
      <c r="F350" s="9">
        <v>349</v>
      </c>
      <c r="G350" s="8" t="s">
        <v>72</v>
      </c>
      <c r="H350" s="10" t="s">
        <v>83</v>
      </c>
      <c r="I350" s="10">
        <v>145</v>
      </c>
      <c r="J350" s="10">
        <v>29</v>
      </c>
      <c r="K350" s="10">
        <v>16</v>
      </c>
      <c r="L350" s="11" t="s">
        <v>440</v>
      </c>
      <c r="M350" s="12">
        <v>91</v>
      </c>
      <c r="N350" s="13"/>
      <c r="O350" s="13"/>
    </row>
    <row r="351" spans="1:15">
      <c r="A351" s="22" t="s">
        <v>460</v>
      </c>
      <c r="B351" s="8">
        <v>9</v>
      </c>
      <c r="C351" s="8">
        <v>88</v>
      </c>
      <c r="D351" s="8">
        <v>50</v>
      </c>
      <c r="E351" s="8">
        <v>0.6</v>
      </c>
      <c r="F351" s="9">
        <v>350</v>
      </c>
      <c r="G351" s="8" t="s">
        <v>16</v>
      </c>
      <c r="H351" s="10" t="s">
        <v>17</v>
      </c>
      <c r="I351" s="10">
        <v>122</v>
      </c>
      <c r="J351" s="10">
        <v>15</v>
      </c>
      <c r="K351" s="10">
        <v>10</v>
      </c>
      <c r="L351" s="11" t="s">
        <v>313</v>
      </c>
      <c r="M351" s="12">
        <v>0</v>
      </c>
      <c r="N351" s="13"/>
      <c r="O351" s="13"/>
    </row>
    <row r="352" spans="1:15">
      <c r="A352" s="22" t="s">
        <v>461</v>
      </c>
      <c r="B352" s="8">
        <v>9</v>
      </c>
      <c r="C352" s="8">
        <v>89</v>
      </c>
      <c r="D352" s="8">
        <v>50</v>
      </c>
      <c r="E352" s="8">
        <v>0.6</v>
      </c>
      <c r="F352" s="9">
        <v>351</v>
      </c>
      <c r="G352" s="8" t="s">
        <v>16</v>
      </c>
      <c r="H352" s="10" t="s">
        <v>17</v>
      </c>
      <c r="I352" s="10">
        <v>122</v>
      </c>
      <c r="J352" s="10">
        <v>15</v>
      </c>
      <c r="K352" s="10">
        <v>10</v>
      </c>
      <c r="L352" s="11" t="s">
        <v>311</v>
      </c>
      <c r="M352" s="12">
        <v>0</v>
      </c>
      <c r="N352" s="13"/>
      <c r="O352" s="13"/>
    </row>
    <row r="353" spans="1:15">
      <c r="A353" s="22" t="s">
        <v>462</v>
      </c>
      <c r="B353" s="8">
        <v>9</v>
      </c>
      <c r="C353" s="8">
        <v>282</v>
      </c>
      <c r="D353" s="8">
        <v>50</v>
      </c>
      <c r="E353" s="8"/>
      <c r="F353" s="9">
        <v>352</v>
      </c>
      <c r="G353" s="8" t="s">
        <v>72</v>
      </c>
      <c r="H353" s="10" t="s">
        <v>354</v>
      </c>
      <c r="I353" s="10" t="s">
        <v>354</v>
      </c>
      <c r="J353" s="10" t="s">
        <v>354</v>
      </c>
      <c r="K353" s="10" t="s">
        <v>354</v>
      </c>
      <c r="L353" s="11" t="s">
        <v>463</v>
      </c>
      <c r="M353" s="12">
        <v>0</v>
      </c>
      <c r="N353" s="13"/>
      <c r="O353" s="13"/>
    </row>
    <row r="354" spans="1:15">
      <c r="A354" s="22" t="s">
        <v>464</v>
      </c>
      <c r="B354" s="8">
        <v>9</v>
      </c>
      <c r="C354" s="8">
        <v>282</v>
      </c>
      <c r="D354" s="8">
        <v>50</v>
      </c>
      <c r="E354" s="8"/>
      <c r="F354" s="9">
        <v>353</v>
      </c>
      <c r="G354" s="8" t="s">
        <v>72</v>
      </c>
      <c r="H354" s="10" t="s">
        <v>354</v>
      </c>
      <c r="I354" s="10" t="s">
        <v>354</v>
      </c>
      <c r="J354" s="10" t="s">
        <v>354</v>
      </c>
      <c r="K354" s="10" t="s">
        <v>354</v>
      </c>
      <c r="L354" s="11" t="s">
        <v>463</v>
      </c>
      <c r="M354" s="12">
        <v>0</v>
      </c>
      <c r="N354" s="13"/>
      <c r="O354" s="13"/>
    </row>
    <row r="355" spans="1:15">
      <c r="A355" s="22" t="s">
        <v>465</v>
      </c>
      <c r="B355" s="8">
        <v>9</v>
      </c>
      <c r="C355" s="8">
        <v>282</v>
      </c>
      <c r="D355" s="8">
        <v>50</v>
      </c>
      <c r="E355" s="8"/>
      <c r="F355" s="9">
        <v>354</v>
      </c>
      <c r="G355" s="8" t="s">
        <v>72</v>
      </c>
      <c r="H355" s="10" t="s">
        <v>354</v>
      </c>
      <c r="I355" s="10" t="s">
        <v>354</v>
      </c>
      <c r="J355" s="10" t="s">
        <v>354</v>
      </c>
      <c r="K355" s="10" t="s">
        <v>354</v>
      </c>
      <c r="L355" s="11" t="s">
        <v>463</v>
      </c>
      <c r="M355" s="12">
        <v>0</v>
      </c>
      <c r="N355" s="13"/>
      <c r="O355" s="13"/>
    </row>
    <row r="356" spans="1:15">
      <c r="A356" s="22" t="s">
        <v>466</v>
      </c>
      <c r="B356" s="8">
        <v>9</v>
      </c>
      <c r="C356" s="8">
        <v>282</v>
      </c>
      <c r="D356" s="8">
        <v>50</v>
      </c>
      <c r="E356" s="8"/>
      <c r="F356" s="9">
        <v>355</v>
      </c>
      <c r="G356" s="8" t="s">
        <v>72</v>
      </c>
      <c r="H356" s="10" t="s">
        <v>354</v>
      </c>
      <c r="I356" s="10" t="s">
        <v>354</v>
      </c>
      <c r="J356" s="10" t="s">
        <v>354</v>
      </c>
      <c r="K356" s="10" t="s">
        <v>354</v>
      </c>
      <c r="L356" s="11" t="s">
        <v>463</v>
      </c>
      <c r="M356" s="12">
        <v>0</v>
      </c>
      <c r="N356" s="13"/>
      <c r="O356" s="13"/>
    </row>
    <row r="357" spans="1:15">
      <c r="A357" s="22" t="s">
        <v>467</v>
      </c>
      <c r="B357" s="8">
        <v>9</v>
      </c>
      <c r="C357" s="8">
        <v>248</v>
      </c>
      <c r="D357" s="8">
        <v>50</v>
      </c>
      <c r="E357" s="8"/>
      <c r="F357" s="9">
        <v>356</v>
      </c>
      <c r="G357" s="8" t="s">
        <v>72</v>
      </c>
      <c r="H357" s="10" t="s">
        <v>354</v>
      </c>
      <c r="I357" s="10" t="s">
        <v>354</v>
      </c>
      <c r="J357" s="10" t="s">
        <v>354</v>
      </c>
      <c r="K357" s="10" t="s">
        <v>354</v>
      </c>
      <c r="L357" s="11" t="s">
        <v>435</v>
      </c>
      <c r="M357" s="12">
        <v>0</v>
      </c>
      <c r="N357" s="13"/>
      <c r="O357" s="13"/>
    </row>
    <row r="358" spans="1:15">
      <c r="A358" s="22" t="s">
        <v>468</v>
      </c>
      <c r="B358" s="8">
        <v>9</v>
      </c>
      <c r="C358" s="8">
        <v>282</v>
      </c>
      <c r="D358" s="8">
        <v>50</v>
      </c>
      <c r="E358" s="8"/>
      <c r="F358" s="9">
        <v>357</v>
      </c>
      <c r="G358" s="8" t="s">
        <v>72</v>
      </c>
      <c r="H358" s="10" t="s">
        <v>354</v>
      </c>
      <c r="I358" s="10" t="s">
        <v>354</v>
      </c>
      <c r="J358" s="10" t="s">
        <v>354</v>
      </c>
      <c r="K358" s="10" t="s">
        <v>354</v>
      </c>
      <c r="L358" s="11" t="s">
        <v>463</v>
      </c>
      <c r="M358" s="12">
        <v>0</v>
      </c>
      <c r="N358" s="13"/>
      <c r="O358" s="13"/>
    </row>
    <row r="359" spans="1:15">
      <c r="A359" s="22" t="s">
        <v>469</v>
      </c>
      <c r="B359" s="8">
        <v>9</v>
      </c>
      <c r="C359" s="8">
        <v>248</v>
      </c>
      <c r="D359" s="8">
        <v>50</v>
      </c>
      <c r="E359" s="8"/>
      <c r="F359" s="9">
        <v>358</v>
      </c>
      <c r="G359" s="8" t="s">
        <v>72</v>
      </c>
      <c r="H359" s="10" t="s">
        <v>354</v>
      </c>
      <c r="I359" s="10" t="s">
        <v>354</v>
      </c>
      <c r="J359" s="10" t="s">
        <v>354</v>
      </c>
      <c r="K359" s="10" t="s">
        <v>354</v>
      </c>
      <c r="L359" s="11" t="s">
        <v>435</v>
      </c>
      <c r="M359" s="12">
        <v>0</v>
      </c>
      <c r="N359" s="13"/>
      <c r="O359" s="13"/>
    </row>
    <row r="360" spans="1:15">
      <c r="A360" s="22" t="s">
        <v>470</v>
      </c>
      <c r="B360" s="8">
        <v>9</v>
      </c>
      <c r="C360" s="8">
        <v>282</v>
      </c>
      <c r="D360" s="8">
        <v>50</v>
      </c>
      <c r="E360" s="8"/>
      <c r="F360" s="9">
        <v>359</v>
      </c>
      <c r="G360" s="8" t="s">
        <v>72</v>
      </c>
      <c r="H360" s="10" t="s">
        <v>354</v>
      </c>
      <c r="I360" s="10" t="s">
        <v>354</v>
      </c>
      <c r="J360" s="10" t="s">
        <v>354</v>
      </c>
      <c r="K360" s="10" t="s">
        <v>354</v>
      </c>
      <c r="L360" s="11" t="s">
        <v>463</v>
      </c>
      <c r="M360" s="12">
        <v>0</v>
      </c>
      <c r="N360" s="13"/>
      <c r="O360" s="13"/>
    </row>
    <row r="361" spans="1:15">
      <c r="A361" s="22" t="s">
        <v>471</v>
      </c>
      <c r="B361" s="8">
        <v>9</v>
      </c>
      <c r="C361" s="8">
        <v>301</v>
      </c>
      <c r="D361" s="8">
        <v>50</v>
      </c>
      <c r="E361" s="8">
        <v>1.48</v>
      </c>
      <c r="F361" s="9">
        <v>360</v>
      </c>
      <c r="G361" s="8" t="s">
        <v>72</v>
      </c>
      <c r="H361" s="10" t="s">
        <v>83</v>
      </c>
      <c r="I361" s="10">
        <v>145</v>
      </c>
      <c r="J361" s="10">
        <v>29</v>
      </c>
      <c r="K361" s="10">
        <v>16</v>
      </c>
      <c r="L361" s="11" t="s">
        <v>472</v>
      </c>
      <c r="M361" s="12">
        <v>1</v>
      </c>
      <c r="N361" s="13"/>
      <c r="O361" s="13"/>
    </row>
    <row r="362" spans="1:15">
      <c r="A362" s="22" t="s">
        <v>473</v>
      </c>
      <c r="B362" s="8">
        <v>9</v>
      </c>
      <c r="C362" s="8">
        <v>68</v>
      </c>
      <c r="D362" s="8">
        <v>50</v>
      </c>
      <c r="E362" s="8">
        <v>0.6</v>
      </c>
      <c r="F362" s="9">
        <v>361</v>
      </c>
      <c r="G362" s="8" t="s">
        <v>16</v>
      </c>
      <c r="H362" s="10" t="s">
        <v>17</v>
      </c>
      <c r="I362" s="10">
        <v>122</v>
      </c>
      <c r="J362" s="10">
        <v>15</v>
      </c>
      <c r="K362" s="10">
        <v>10</v>
      </c>
      <c r="L362" s="11" t="s">
        <v>118</v>
      </c>
      <c r="M362" s="12">
        <v>365</v>
      </c>
      <c r="N362" s="13"/>
      <c r="O362" s="13"/>
    </row>
    <row r="363" spans="1:15">
      <c r="A363" s="22" t="s">
        <v>474</v>
      </c>
      <c r="B363" s="8">
        <v>9</v>
      </c>
      <c r="C363" s="8">
        <v>87</v>
      </c>
      <c r="D363" s="8">
        <v>50</v>
      </c>
      <c r="E363" s="8">
        <v>0.6</v>
      </c>
      <c r="F363" s="9">
        <v>362</v>
      </c>
      <c r="G363" s="8" t="s">
        <v>16</v>
      </c>
      <c r="H363" s="10" t="s">
        <v>17</v>
      </c>
      <c r="I363" s="10">
        <v>122</v>
      </c>
      <c r="J363" s="10">
        <v>15</v>
      </c>
      <c r="K363" s="10">
        <v>10</v>
      </c>
      <c r="L363" s="11" t="s">
        <v>309</v>
      </c>
      <c r="M363" s="12">
        <v>0</v>
      </c>
      <c r="N363" s="13"/>
      <c r="O363" s="13"/>
    </row>
    <row r="364" spans="1:15">
      <c r="A364" s="22" t="s">
        <v>475</v>
      </c>
      <c r="B364" s="8">
        <v>9</v>
      </c>
      <c r="C364" s="8">
        <v>480</v>
      </c>
      <c r="D364" s="8">
        <v>1</v>
      </c>
      <c r="E364" s="8">
        <v>0.5</v>
      </c>
      <c r="F364" s="9">
        <v>363</v>
      </c>
      <c r="G364" s="8" t="s">
        <v>446</v>
      </c>
      <c r="H364" s="10" t="s">
        <v>443</v>
      </c>
      <c r="I364" s="10">
        <v>89</v>
      </c>
      <c r="J364" s="10">
        <v>14</v>
      </c>
      <c r="K364" s="10">
        <v>9</v>
      </c>
      <c r="L364" s="11" t="s">
        <v>476</v>
      </c>
      <c r="M364" s="12">
        <v>0</v>
      </c>
      <c r="N364" s="13"/>
      <c r="O364" s="13"/>
    </row>
    <row r="365" spans="1:15">
      <c r="A365" s="22" t="s">
        <v>477</v>
      </c>
      <c r="B365" s="8">
        <v>9</v>
      </c>
      <c r="C365" s="8">
        <v>370</v>
      </c>
      <c r="D365" s="8">
        <v>1</v>
      </c>
      <c r="E365" s="8">
        <v>0.5</v>
      </c>
      <c r="F365" s="9">
        <v>364</v>
      </c>
      <c r="G365" s="8" t="s">
        <v>446</v>
      </c>
      <c r="H365" s="10" t="s">
        <v>443</v>
      </c>
      <c r="I365" s="10">
        <v>89</v>
      </c>
      <c r="J365" s="10">
        <v>14</v>
      </c>
      <c r="K365" s="10">
        <v>9</v>
      </c>
      <c r="L365" s="11" t="s">
        <v>478</v>
      </c>
      <c r="M365" s="12">
        <v>0</v>
      </c>
      <c r="N365" s="13"/>
      <c r="O365" s="13"/>
    </row>
    <row r="366" spans="1:15">
      <c r="A366" s="22" t="s">
        <v>479</v>
      </c>
      <c r="B366" s="8">
        <v>9</v>
      </c>
      <c r="C366" s="8">
        <v>370</v>
      </c>
      <c r="D366" s="8">
        <v>1</v>
      </c>
      <c r="E366" s="8">
        <v>0.5</v>
      </c>
      <c r="F366" s="9">
        <v>365</v>
      </c>
      <c r="G366" s="8" t="s">
        <v>446</v>
      </c>
      <c r="H366" s="10" t="s">
        <v>443</v>
      </c>
      <c r="I366" s="10">
        <v>89</v>
      </c>
      <c r="J366" s="10">
        <v>14</v>
      </c>
      <c r="K366" s="10">
        <v>9</v>
      </c>
      <c r="L366" s="11" t="s">
        <v>480</v>
      </c>
      <c r="M366" s="12">
        <v>0</v>
      </c>
      <c r="N366" s="13"/>
      <c r="O366" s="13"/>
    </row>
    <row r="367" spans="1:15">
      <c r="A367" s="22" t="s">
        <v>481</v>
      </c>
      <c r="B367" s="8">
        <v>9</v>
      </c>
      <c r="C367" s="8">
        <v>74</v>
      </c>
      <c r="D367" s="8">
        <v>50</v>
      </c>
      <c r="E367" s="8">
        <v>0.6</v>
      </c>
      <c r="F367" s="9">
        <v>366</v>
      </c>
      <c r="G367" s="8" t="s">
        <v>16</v>
      </c>
      <c r="H367" s="10" t="s">
        <v>17</v>
      </c>
      <c r="I367" s="10">
        <v>122</v>
      </c>
      <c r="J367" s="10">
        <v>15</v>
      </c>
      <c r="K367" s="10">
        <v>10</v>
      </c>
      <c r="L367" s="11" t="s">
        <v>155</v>
      </c>
      <c r="M367" s="12">
        <v>19</v>
      </c>
      <c r="N367" s="13"/>
      <c r="O367" s="13"/>
    </row>
    <row r="368" spans="1:15">
      <c r="A368" s="22" t="s">
        <v>482</v>
      </c>
      <c r="B368" s="8">
        <v>9</v>
      </c>
      <c r="C368" s="8">
        <v>77</v>
      </c>
      <c r="D368" s="8">
        <v>50</v>
      </c>
      <c r="E368" s="8">
        <v>0.6</v>
      </c>
      <c r="F368" s="9">
        <v>367</v>
      </c>
      <c r="G368" s="8" t="s">
        <v>16</v>
      </c>
      <c r="H368" s="10" t="s">
        <v>17</v>
      </c>
      <c r="I368" s="10">
        <v>122</v>
      </c>
      <c r="J368" s="10">
        <v>15</v>
      </c>
      <c r="K368" s="10">
        <v>10</v>
      </c>
      <c r="L368" s="11" t="s">
        <v>56</v>
      </c>
      <c r="M368" s="12">
        <v>0</v>
      </c>
      <c r="N368" s="13"/>
      <c r="O368" s="13"/>
    </row>
    <row r="369" spans="1:15">
      <c r="A369" s="22" t="s">
        <v>483</v>
      </c>
      <c r="B369" s="8">
        <v>9</v>
      </c>
      <c r="C369" s="8">
        <v>78</v>
      </c>
      <c r="D369" s="8">
        <v>50</v>
      </c>
      <c r="E369" s="8">
        <v>0.6</v>
      </c>
      <c r="F369" s="9">
        <v>368</v>
      </c>
      <c r="G369" s="8" t="s">
        <v>16</v>
      </c>
      <c r="H369" s="10" t="s">
        <v>17</v>
      </c>
      <c r="I369" s="10">
        <v>122</v>
      </c>
      <c r="J369" s="10">
        <v>15</v>
      </c>
      <c r="K369" s="10">
        <v>10</v>
      </c>
      <c r="L369" s="11" t="s">
        <v>129</v>
      </c>
      <c r="M369" s="12">
        <v>216</v>
      </c>
      <c r="N369" s="13"/>
      <c r="O369" s="13"/>
    </row>
    <row r="370" spans="1:15">
      <c r="A370" s="22" t="s">
        <v>484</v>
      </c>
      <c r="B370" s="8">
        <v>9</v>
      </c>
      <c r="C370" s="8">
        <v>76</v>
      </c>
      <c r="D370" s="8">
        <v>50</v>
      </c>
      <c r="E370" s="8">
        <v>0.6</v>
      </c>
      <c r="F370" s="9">
        <v>369</v>
      </c>
      <c r="G370" s="8" t="s">
        <v>16</v>
      </c>
      <c r="H370" s="10" t="s">
        <v>17</v>
      </c>
      <c r="I370" s="10">
        <v>122</v>
      </c>
      <c r="J370" s="10">
        <v>15</v>
      </c>
      <c r="K370" s="10">
        <v>10</v>
      </c>
      <c r="L370" s="11" t="s">
        <v>131</v>
      </c>
      <c r="M370" s="12">
        <v>19</v>
      </c>
      <c r="N370" s="13"/>
      <c r="O370" s="13"/>
    </row>
    <row r="371" spans="1:15">
      <c r="A371" s="23" t="s">
        <v>485</v>
      </c>
      <c r="B371" s="23">
        <v>9</v>
      </c>
      <c r="C371" s="8">
        <v>80</v>
      </c>
      <c r="D371" s="20">
        <v>50</v>
      </c>
      <c r="E371" s="20">
        <v>0.6</v>
      </c>
      <c r="F371" s="9">
        <v>370</v>
      </c>
      <c r="G371" s="20" t="s">
        <v>16</v>
      </c>
      <c r="H371" s="22" t="s">
        <v>17</v>
      </c>
      <c r="I371" s="22">
        <v>122</v>
      </c>
      <c r="J371" s="22">
        <v>15</v>
      </c>
      <c r="K371" s="22">
        <v>10</v>
      </c>
      <c r="L371" s="11" t="e">
        <v>#N/A</v>
      </c>
      <c r="M371" s="12">
        <v>39</v>
      </c>
      <c r="N371" s="13" t="s">
        <v>18</v>
      </c>
      <c r="O371" s="13" t="s">
        <v>183</v>
      </c>
    </row>
    <row r="372" spans="1:15">
      <c r="A372" s="23" t="s">
        <v>486</v>
      </c>
      <c r="B372" s="20">
        <v>9</v>
      </c>
      <c r="C372" s="8">
        <v>0</v>
      </c>
      <c r="D372" s="8">
        <v>0</v>
      </c>
      <c r="E372" s="8"/>
      <c r="F372" s="9">
        <v>371</v>
      </c>
      <c r="G372" s="8" t="s">
        <v>487</v>
      </c>
      <c r="H372" s="10">
        <v>0</v>
      </c>
      <c r="I372" s="10">
        <v>0</v>
      </c>
      <c r="J372" s="10">
        <v>0</v>
      </c>
      <c r="K372" s="10">
        <v>0</v>
      </c>
      <c r="L372" s="11" t="e">
        <v>#N/A</v>
      </c>
      <c r="M372" s="12">
        <v>0</v>
      </c>
      <c r="N372" s="13" t="s">
        <v>18</v>
      </c>
      <c r="O372" s="13"/>
    </row>
    <row r="373" spans="1:15">
      <c r="A373" s="23" t="s">
        <v>488</v>
      </c>
      <c r="B373" s="20">
        <v>9</v>
      </c>
      <c r="C373" s="8">
        <v>0</v>
      </c>
      <c r="D373" s="8">
        <v>0</v>
      </c>
      <c r="E373" s="8"/>
      <c r="F373" s="9">
        <v>372</v>
      </c>
      <c r="G373" s="8" t="s">
        <v>487</v>
      </c>
      <c r="H373" s="10">
        <v>0</v>
      </c>
      <c r="I373" s="10">
        <v>0</v>
      </c>
      <c r="J373" s="10">
        <v>0</v>
      </c>
      <c r="K373" s="10">
        <v>0</v>
      </c>
      <c r="L373" s="11" t="e">
        <v>#N/A</v>
      </c>
      <c r="M373" s="12">
        <v>0</v>
      </c>
      <c r="N373" s="13" t="s">
        <v>18</v>
      </c>
      <c r="O373" s="13"/>
    </row>
    <row r="374" spans="1:15">
      <c r="A374" s="23" t="s">
        <v>489</v>
      </c>
      <c r="B374" s="20">
        <v>9</v>
      </c>
      <c r="C374" s="8">
        <v>0</v>
      </c>
      <c r="D374" s="8">
        <v>0</v>
      </c>
      <c r="E374" s="8"/>
      <c r="F374" s="9">
        <v>373</v>
      </c>
      <c r="G374" s="8" t="s">
        <v>487</v>
      </c>
      <c r="H374" s="10">
        <v>0</v>
      </c>
      <c r="I374" s="10">
        <v>0</v>
      </c>
      <c r="J374" s="10">
        <v>0</v>
      </c>
      <c r="K374" s="10">
        <v>0</v>
      </c>
      <c r="L374" s="11" t="e">
        <v>#N/A</v>
      </c>
      <c r="M374" s="12">
        <v>28</v>
      </c>
      <c r="N374" s="13" t="s">
        <v>18</v>
      </c>
      <c r="O374" s="13"/>
    </row>
    <row r="375" spans="1:15">
      <c r="A375" s="22" t="s">
        <v>490</v>
      </c>
      <c r="B375" s="8">
        <v>9</v>
      </c>
      <c r="C375" s="8">
        <v>320</v>
      </c>
      <c r="D375" s="8">
        <v>50</v>
      </c>
      <c r="E375" s="8">
        <v>1.48</v>
      </c>
      <c r="F375" s="9">
        <v>374</v>
      </c>
      <c r="G375" s="8" t="s">
        <v>72</v>
      </c>
      <c r="H375" s="10" t="s">
        <v>83</v>
      </c>
      <c r="I375" s="10">
        <v>145</v>
      </c>
      <c r="J375" s="10">
        <v>29</v>
      </c>
      <c r="K375" s="10">
        <v>16</v>
      </c>
      <c r="L375" s="11" t="s">
        <v>440</v>
      </c>
      <c r="M375" s="12">
        <v>5</v>
      </c>
      <c r="N375" s="13"/>
      <c r="O375" s="13"/>
    </row>
    <row r="376" spans="1:15">
      <c r="A376" s="22" t="s">
        <v>491</v>
      </c>
      <c r="B376" s="8">
        <v>9</v>
      </c>
      <c r="C376" s="8">
        <v>305</v>
      </c>
      <c r="D376" s="8">
        <v>50</v>
      </c>
      <c r="E376" s="8"/>
      <c r="F376" s="9">
        <v>375</v>
      </c>
      <c r="G376" s="8" t="s">
        <v>72</v>
      </c>
      <c r="H376" s="10" t="s">
        <v>354</v>
      </c>
      <c r="I376" s="10" t="s">
        <v>354</v>
      </c>
      <c r="J376" s="10" t="s">
        <v>354</v>
      </c>
      <c r="K376" s="10" t="s">
        <v>354</v>
      </c>
      <c r="L376" s="11" t="s">
        <v>355</v>
      </c>
      <c r="M376" s="12">
        <v>0</v>
      </c>
      <c r="N376" s="13"/>
      <c r="O376" s="13"/>
    </row>
    <row r="377" spans="1:15">
      <c r="A377" s="22" t="s">
        <v>492</v>
      </c>
      <c r="B377" s="8">
        <v>9</v>
      </c>
      <c r="C377" s="8">
        <v>548</v>
      </c>
      <c r="D377" s="8">
        <v>1</v>
      </c>
      <c r="E377" s="8">
        <v>0.5</v>
      </c>
      <c r="F377" s="9">
        <v>376</v>
      </c>
      <c r="G377" s="8" t="s">
        <v>446</v>
      </c>
      <c r="H377" s="10" t="s">
        <v>443</v>
      </c>
      <c r="I377" s="10">
        <v>89</v>
      </c>
      <c r="J377" s="10">
        <v>14</v>
      </c>
      <c r="K377" s="10">
        <v>9</v>
      </c>
      <c r="L377" s="11" t="s">
        <v>480</v>
      </c>
      <c r="M377" s="12">
        <v>0</v>
      </c>
      <c r="N377" s="13"/>
      <c r="O377" s="13"/>
    </row>
    <row r="378" spans="1:15">
      <c r="A378" s="22" t="s">
        <v>493</v>
      </c>
      <c r="B378" s="8">
        <v>9</v>
      </c>
      <c r="C378" s="8">
        <v>75</v>
      </c>
      <c r="D378" s="8">
        <v>50</v>
      </c>
      <c r="E378" s="8">
        <v>0.6</v>
      </c>
      <c r="F378" s="9">
        <v>377</v>
      </c>
      <c r="G378" s="8" t="s">
        <v>16</v>
      </c>
      <c r="H378" s="10" t="s">
        <v>17</v>
      </c>
      <c r="I378" s="10">
        <v>122</v>
      </c>
      <c r="J378" s="10">
        <v>15</v>
      </c>
      <c r="K378" s="10">
        <v>10</v>
      </c>
      <c r="L378" s="11" t="s">
        <v>92</v>
      </c>
      <c r="M378" s="12">
        <v>54</v>
      </c>
      <c r="N378" s="13"/>
      <c r="O378" s="13"/>
    </row>
    <row r="379" spans="1:15">
      <c r="A379" s="22" t="s">
        <v>494</v>
      </c>
      <c r="B379" s="8">
        <v>9</v>
      </c>
      <c r="C379" s="8">
        <v>75</v>
      </c>
      <c r="D379" s="8">
        <v>50</v>
      </c>
      <c r="E379" s="8">
        <v>0.6</v>
      </c>
      <c r="F379" s="9">
        <v>378</v>
      </c>
      <c r="G379" s="8" t="s">
        <v>16</v>
      </c>
      <c r="H379" s="10" t="s">
        <v>17</v>
      </c>
      <c r="I379" s="10">
        <v>122</v>
      </c>
      <c r="J379" s="10">
        <v>15</v>
      </c>
      <c r="K379" s="10">
        <v>10</v>
      </c>
      <c r="L379" s="11" t="s">
        <v>92</v>
      </c>
      <c r="M379" s="12">
        <v>40</v>
      </c>
      <c r="N379" s="13"/>
      <c r="O379" s="13"/>
    </row>
    <row r="380" spans="1:15">
      <c r="A380" s="22" t="s">
        <v>495</v>
      </c>
      <c r="B380" s="8">
        <v>9</v>
      </c>
      <c r="C380" s="8">
        <v>70</v>
      </c>
      <c r="D380" s="8">
        <v>50</v>
      </c>
      <c r="E380" s="8">
        <v>0.6</v>
      </c>
      <c r="F380" s="9">
        <v>379</v>
      </c>
      <c r="G380" s="8" t="s">
        <v>16</v>
      </c>
      <c r="H380" s="10" t="s">
        <v>17</v>
      </c>
      <c r="I380" s="10">
        <v>122</v>
      </c>
      <c r="J380" s="10">
        <v>15</v>
      </c>
      <c r="K380" s="10">
        <v>10</v>
      </c>
      <c r="L380" s="11" t="s">
        <v>121</v>
      </c>
      <c r="M380" s="12">
        <v>12</v>
      </c>
      <c r="N380" s="13"/>
      <c r="O380" s="13"/>
    </row>
    <row r="381" spans="1:15">
      <c r="A381" s="22" t="s">
        <v>496</v>
      </c>
      <c r="B381" s="8">
        <v>9</v>
      </c>
      <c r="C381" s="8">
        <v>69</v>
      </c>
      <c r="D381" s="8">
        <v>50</v>
      </c>
      <c r="E381" s="8">
        <v>0.6</v>
      </c>
      <c r="F381" s="9">
        <v>380</v>
      </c>
      <c r="G381" s="8" t="s">
        <v>16</v>
      </c>
      <c r="H381" s="10" t="s">
        <v>17</v>
      </c>
      <c r="I381" s="10">
        <v>122</v>
      </c>
      <c r="J381" s="10">
        <v>15</v>
      </c>
      <c r="K381" s="10">
        <v>10</v>
      </c>
      <c r="L381" s="11" t="s">
        <v>123</v>
      </c>
      <c r="M381" s="12">
        <v>6</v>
      </c>
      <c r="N381" s="13"/>
      <c r="O381" s="13"/>
    </row>
    <row r="382" spans="1:15">
      <c r="A382" s="22" t="s">
        <v>497</v>
      </c>
      <c r="B382" s="8">
        <v>9</v>
      </c>
      <c r="C382" s="8">
        <v>335</v>
      </c>
      <c r="D382" s="8">
        <v>50</v>
      </c>
      <c r="E382" s="8">
        <v>1.48</v>
      </c>
      <c r="F382" s="9">
        <v>381</v>
      </c>
      <c r="G382" s="8" t="s">
        <v>72</v>
      </c>
      <c r="H382" s="10" t="s">
        <v>83</v>
      </c>
      <c r="I382" s="10">
        <v>145</v>
      </c>
      <c r="J382" s="10">
        <v>29</v>
      </c>
      <c r="K382" s="10">
        <v>16</v>
      </c>
      <c r="L382" s="11" t="s">
        <v>498</v>
      </c>
      <c r="M382" s="12">
        <v>5</v>
      </c>
      <c r="N382" s="13"/>
      <c r="O382" s="13"/>
    </row>
    <row r="383" spans="1:15">
      <c r="A383" s="22" t="s">
        <v>499</v>
      </c>
      <c r="B383" s="8">
        <v>9</v>
      </c>
      <c r="C383" s="8">
        <v>341</v>
      </c>
      <c r="D383" s="8">
        <v>50</v>
      </c>
      <c r="E383" s="8">
        <v>1.48</v>
      </c>
      <c r="F383" s="9">
        <v>382</v>
      </c>
      <c r="G383" s="8" t="s">
        <v>72</v>
      </c>
      <c r="H383" s="10" t="s">
        <v>83</v>
      </c>
      <c r="I383" s="10">
        <v>145</v>
      </c>
      <c r="J383" s="10">
        <v>29</v>
      </c>
      <c r="K383" s="10">
        <v>16</v>
      </c>
      <c r="L383" s="11" t="s">
        <v>500</v>
      </c>
      <c r="M383" s="12">
        <v>6</v>
      </c>
      <c r="N383" s="13"/>
      <c r="O383" s="13"/>
    </row>
    <row r="384" spans="1:15">
      <c r="A384" s="22" t="s">
        <v>501</v>
      </c>
      <c r="B384" s="8">
        <v>9</v>
      </c>
      <c r="C384" s="8">
        <v>320</v>
      </c>
      <c r="D384" s="8">
        <v>50</v>
      </c>
      <c r="E384" s="8">
        <v>1.48</v>
      </c>
      <c r="F384" s="9">
        <v>383</v>
      </c>
      <c r="G384" s="8" t="s">
        <v>72</v>
      </c>
      <c r="H384" s="10" t="s">
        <v>83</v>
      </c>
      <c r="I384" s="10">
        <v>145</v>
      </c>
      <c r="J384" s="10">
        <v>29</v>
      </c>
      <c r="K384" s="10">
        <v>16</v>
      </c>
      <c r="L384" s="11" t="s">
        <v>440</v>
      </c>
      <c r="M384" s="12">
        <v>2</v>
      </c>
      <c r="N384" s="13"/>
      <c r="O384" s="13"/>
    </row>
    <row r="385" spans="1:15">
      <c r="A385" s="22" t="s">
        <v>502</v>
      </c>
      <c r="B385" s="8">
        <v>9</v>
      </c>
      <c r="C385" s="8">
        <v>326</v>
      </c>
      <c r="D385" s="8">
        <v>50</v>
      </c>
      <c r="E385" s="8">
        <v>1.48</v>
      </c>
      <c r="F385" s="9">
        <v>384</v>
      </c>
      <c r="G385" s="8" t="s">
        <v>72</v>
      </c>
      <c r="H385" s="10" t="s">
        <v>83</v>
      </c>
      <c r="I385" s="10">
        <v>145</v>
      </c>
      <c r="J385" s="10">
        <v>29</v>
      </c>
      <c r="K385" s="10">
        <v>16</v>
      </c>
      <c r="L385" s="11" t="s">
        <v>400</v>
      </c>
      <c r="M385" s="12">
        <v>12</v>
      </c>
      <c r="N385" s="13"/>
      <c r="O385" s="13"/>
    </row>
    <row r="386" spans="1:15">
      <c r="A386" s="22" t="s">
        <v>503</v>
      </c>
      <c r="B386" s="8">
        <v>9</v>
      </c>
      <c r="C386" s="8">
        <v>326</v>
      </c>
      <c r="D386" s="8">
        <v>50</v>
      </c>
      <c r="E386" s="8">
        <v>1.48</v>
      </c>
      <c r="F386" s="9">
        <v>385</v>
      </c>
      <c r="G386" s="8" t="s">
        <v>72</v>
      </c>
      <c r="H386" s="10" t="s">
        <v>83</v>
      </c>
      <c r="I386" s="10">
        <v>145</v>
      </c>
      <c r="J386" s="10">
        <v>29</v>
      </c>
      <c r="K386" s="10">
        <v>16</v>
      </c>
      <c r="L386" s="11" t="s">
        <v>400</v>
      </c>
      <c r="M386" s="12">
        <v>8</v>
      </c>
      <c r="N386" s="13"/>
      <c r="O386" s="13"/>
    </row>
    <row r="387" spans="1:15">
      <c r="A387" s="22" t="s">
        <v>504</v>
      </c>
      <c r="B387" s="8">
        <v>9</v>
      </c>
      <c r="C387" s="8">
        <v>430</v>
      </c>
      <c r="D387" s="8">
        <v>1</v>
      </c>
      <c r="E387" s="8">
        <v>0.5</v>
      </c>
      <c r="F387" s="9">
        <v>386</v>
      </c>
      <c r="G387" s="8" t="s">
        <v>446</v>
      </c>
      <c r="H387" s="10" t="s">
        <v>443</v>
      </c>
      <c r="I387" s="10">
        <v>89</v>
      </c>
      <c r="J387" s="10">
        <v>14</v>
      </c>
      <c r="K387" s="10">
        <v>9</v>
      </c>
      <c r="L387" s="11" t="s">
        <v>447</v>
      </c>
      <c r="M387" s="12">
        <v>0</v>
      </c>
      <c r="N387" s="13"/>
      <c r="O387" s="13"/>
    </row>
    <row r="388" spans="1:15">
      <c r="A388" s="22" t="s">
        <v>505</v>
      </c>
      <c r="B388" s="8">
        <v>9</v>
      </c>
      <c r="C388" s="8">
        <v>414</v>
      </c>
      <c r="D388" s="8">
        <v>1</v>
      </c>
      <c r="E388" s="8">
        <v>0.5</v>
      </c>
      <c r="F388" s="9">
        <v>387</v>
      </c>
      <c r="G388" s="8" t="s">
        <v>446</v>
      </c>
      <c r="H388" s="10" t="s">
        <v>443</v>
      </c>
      <c r="I388" s="10">
        <v>89</v>
      </c>
      <c r="J388" s="10">
        <v>14</v>
      </c>
      <c r="K388" s="10">
        <v>9</v>
      </c>
      <c r="L388" s="11" t="s">
        <v>480</v>
      </c>
      <c r="M388" s="12">
        <v>0</v>
      </c>
      <c r="N388" s="13"/>
      <c r="O388" s="13"/>
    </row>
    <row r="389" spans="1:15">
      <c r="A389" s="23" t="s">
        <v>506</v>
      </c>
      <c r="B389" s="20">
        <v>9</v>
      </c>
      <c r="C389" s="8">
        <v>135</v>
      </c>
      <c r="D389" s="8">
        <v>8</v>
      </c>
      <c r="E389" s="8">
        <v>0.2</v>
      </c>
      <c r="F389" s="9">
        <v>388</v>
      </c>
      <c r="G389" s="8" t="s">
        <v>507</v>
      </c>
      <c r="H389" s="10" t="s">
        <v>81</v>
      </c>
      <c r="I389" s="10">
        <v>45</v>
      </c>
      <c r="J389" s="10">
        <v>26</v>
      </c>
      <c r="K389" s="10">
        <v>8</v>
      </c>
      <c r="L389" s="11" t="s">
        <v>508</v>
      </c>
      <c r="M389" s="12">
        <v>0</v>
      </c>
      <c r="N389" s="13"/>
      <c r="O389" s="13"/>
    </row>
    <row r="390" spans="1:15">
      <c r="A390" s="23" t="s">
        <v>509</v>
      </c>
      <c r="B390" s="20">
        <v>9</v>
      </c>
      <c r="C390" s="8">
        <v>165</v>
      </c>
      <c r="D390" s="8">
        <v>8</v>
      </c>
      <c r="E390" s="8">
        <v>0.2</v>
      </c>
      <c r="F390" s="9">
        <v>389</v>
      </c>
      <c r="G390" s="8" t="s">
        <v>507</v>
      </c>
      <c r="H390" s="10" t="s">
        <v>81</v>
      </c>
      <c r="I390" s="10">
        <v>45</v>
      </c>
      <c r="J390" s="10">
        <v>26</v>
      </c>
      <c r="K390" s="10">
        <v>8</v>
      </c>
      <c r="L390" s="11" t="s">
        <v>510</v>
      </c>
      <c r="M390" s="12">
        <v>0</v>
      </c>
      <c r="N390" s="13"/>
      <c r="O390" s="13"/>
    </row>
    <row r="391" spans="1:15">
      <c r="A391" s="22" t="s">
        <v>511</v>
      </c>
      <c r="B391" s="8">
        <v>9</v>
      </c>
      <c r="C391" s="8">
        <v>430</v>
      </c>
      <c r="D391" s="8">
        <v>1</v>
      </c>
      <c r="E391" s="8">
        <v>0.5</v>
      </c>
      <c r="F391" s="9">
        <v>390</v>
      </c>
      <c r="G391" s="8" t="s">
        <v>446</v>
      </c>
      <c r="H391" s="10" t="s">
        <v>443</v>
      </c>
      <c r="I391" s="10">
        <v>89</v>
      </c>
      <c r="J391" s="10">
        <v>14</v>
      </c>
      <c r="K391" s="10">
        <v>9</v>
      </c>
      <c r="L391" s="11" t="s">
        <v>480</v>
      </c>
      <c r="M391" s="12">
        <v>0</v>
      </c>
      <c r="N391" s="13"/>
      <c r="O391" s="13"/>
    </row>
    <row r="392" spans="1:15">
      <c r="A392" s="23" t="s">
        <v>512</v>
      </c>
      <c r="B392" s="20">
        <v>9</v>
      </c>
      <c r="C392" s="24">
        <v>499.99</v>
      </c>
      <c r="D392" s="20">
        <v>1</v>
      </c>
      <c r="E392" s="20">
        <v>0.5</v>
      </c>
      <c r="F392" s="9">
        <v>391</v>
      </c>
      <c r="G392" s="22" t="s">
        <v>446</v>
      </c>
      <c r="H392" s="10" t="s">
        <v>443</v>
      </c>
      <c r="I392" s="10">
        <v>89</v>
      </c>
      <c r="J392" s="10">
        <v>14</v>
      </c>
      <c r="K392" s="10">
        <v>9</v>
      </c>
      <c r="L392" s="11" t="e">
        <v>#N/A</v>
      </c>
      <c r="M392" s="12" t="e">
        <v>#N/A</v>
      </c>
      <c r="N392" s="13" t="s">
        <v>18</v>
      </c>
      <c r="O392" s="13"/>
    </row>
    <row r="393" spans="1:15">
      <c r="A393" s="22" t="s">
        <v>513</v>
      </c>
      <c r="B393" s="8">
        <v>9</v>
      </c>
      <c r="C393" s="8">
        <v>370</v>
      </c>
      <c r="D393" s="8">
        <v>1</v>
      </c>
      <c r="E393" s="8">
        <v>0.5</v>
      </c>
      <c r="F393" s="9">
        <v>392</v>
      </c>
      <c r="G393" s="8" t="s">
        <v>446</v>
      </c>
      <c r="H393" s="10" t="s">
        <v>443</v>
      </c>
      <c r="I393" s="10">
        <v>89</v>
      </c>
      <c r="J393" s="10">
        <v>14</v>
      </c>
      <c r="K393" s="10">
        <v>9</v>
      </c>
      <c r="L393" s="11" t="s">
        <v>478</v>
      </c>
      <c r="M393" s="12">
        <v>0</v>
      </c>
      <c r="N393" s="13"/>
      <c r="O393" s="13"/>
    </row>
    <row r="394" spans="1:15">
      <c r="A394" s="22" t="s">
        <v>514</v>
      </c>
      <c r="B394" s="8">
        <v>9</v>
      </c>
      <c r="C394" s="8">
        <v>70</v>
      </c>
      <c r="D394" s="8">
        <v>50</v>
      </c>
      <c r="E394" s="8">
        <v>0.6</v>
      </c>
      <c r="F394" s="9">
        <v>393</v>
      </c>
      <c r="G394" s="8" t="s">
        <v>16</v>
      </c>
      <c r="H394" s="10" t="s">
        <v>17</v>
      </c>
      <c r="I394" s="10">
        <v>122</v>
      </c>
      <c r="J394" s="10">
        <v>15</v>
      </c>
      <c r="K394" s="10">
        <v>10</v>
      </c>
      <c r="L394" s="11" t="s">
        <v>121</v>
      </c>
      <c r="M394" s="12">
        <v>58</v>
      </c>
      <c r="N394" s="13"/>
      <c r="O394" s="13"/>
    </row>
    <row r="395" spans="1:15">
      <c r="A395" s="23" t="s">
        <v>515</v>
      </c>
      <c r="B395" s="20">
        <v>9</v>
      </c>
      <c r="C395" s="8">
        <v>0</v>
      </c>
      <c r="D395" s="8">
        <v>0</v>
      </c>
      <c r="E395" s="8"/>
      <c r="F395" s="9">
        <v>394</v>
      </c>
      <c r="G395" s="8" t="s">
        <v>487</v>
      </c>
      <c r="H395" s="10">
        <v>0</v>
      </c>
      <c r="I395" s="10">
        <v>0</v>
      </c>
      <c r="J395" s="10">
        <v>0</v>
      </c>
      <c r="K395" s="10">
        <v>0</v>
      </c>
      <c r="L395" s="11" t="e">
        <v>#N/A</v>
      </c>
      <c r="M395" s="12">
        <v>79</v>
      </c>
      <c r="N395" s="13" t="s">
        <v>18</v>
      </c>
      <c r="O395" s="13"/>
    </row>
    <row r="396" spans="1:15">
      <c r="A396" s="22" t="s">
        <v>516</v>
      </c>
      <c r="B396" s="8">
        <v>9</v>
      </c>
      <c r="C396" s="8">
        <v>77</v>
      </c>
      <c r="D396" s="8">
        <v>50</v>
      </c>
      <c r="E396" s="8">
        <v>0.64</v>
      </c>
      <c r="F396" s="9">
        <v>395</v>
      </c>
      <c r="G396" s="8" t="s">
        <v>16</v>
      </c>
      <c r="H396" s="10" t="s">
        <v>104</v>
      </c>
      <c r="I396" s="10">
        <v>130</v>
      </c>
      <c r="J396" s="10">
        <v>15</v>
      </c>
      <c r="K396" s="10">
        <v>10</v>
      </c>
      <c r="L396" s="11" t="s">
        <v>56</v>
      </c>
      <c r="M396" s="12">
        <v>0</v>
      </c>
      <c r="N396" s="13"/>
      <c r="O396" s="13"/>
    </row>
    <row r="397" spans="1:15">
      <c r="A397" s="22" t="s">
        <v>517</v>
      </c>
      <c r="B397" s="8">
        <v>9</v>
      </c>
      <c r="C397" s="8">
        <v>370</v>
      </c>
      <c r="D397" s="8">
        <v>1</v>
      </c>
      <c r="E397" s="8">
        <v>0.5</v>
      </c>
      <c r="F397" s="9">
        <v>396</v>
      </c>
      <c r="G397" s="8" t="s">
        <v>446</v>
      </c>
      <c r="H397" s="10" t="s">
        <v>443</v>
      </c>
      <c r="I397" s="10">
        <v>89</v>
      </c>
      <c r="J397" s="10">
        <v>14</v>
      </c>
      <c r="K397" s="10">
        <v>9</v>
      </c>
      <c r="L397" s="11" t="s">
        <v>480</v>
      </c>
      <c r="M397" s="12">
        <v>0</v>
      </c>
      <c r="N397" s="13"/>
      <c r="O397" s="13"/>
    </row>
    <row r="398" spans="1:15">
      <c r="A398" s="22" t="s">
        <v>518</v>
      </c>
      <c r="B398" s="8">
        <v>9</v>
      </c>
      <c r="C398" s="8">
        <v>443</v>
      </c>
      <c r="D398" s="8">
        <v>1</v>
      </c>
      <c r="E398" s="8">
        <v>0.5</v>
      </c>
      <c r="F398" s="9">
        <v>397</v>
      </c>
      <c r="G398" s="8" t="s">
        <v>446</v>
      </c>
      <c r="H398" s="10" t="s">
        <v>443</v>
      </c>
      <c r="I398" s="10">
        <v>89</v>
      </c>
      <c r="J398" s="10">
        <v>14</v>
      </c>
      <c r="K398" s="10">
        <v>9</v>
      </c>
      <c r="L398" s="11" t="s">
        <v>480</v>
      </c>
      <c r="M398" s="12">
        <v>0</v>
      </c>
      <c r="N398" s="13"/>
      <c r="O398" s="13"/>
    </row>
    <row r="399" spans="1:15">
      <c r="A399" s="22" t="s">
        <v>519</v>
      </c>
      <c r="B399" s="8">
        <v>9</v>
      </c>
      <c r="C399" s="8">
        <v>490</v>
      </c>
      <c r="D399" s="8">
        <v>1</v>
      </c>
      <c r="E399" s="8">
        <v>0.5</v>
      </c>
      <c r="F399" s="9">
        <v>398</v>
      </c>
      <c r="G399" s="8" t="s">
        <v>446</v>
      </c>
      <c r="H399" s="10" t="s">
        <v>443</v>
      </c>
      <c r="I399" s="10">
        <v>89</v>
      </c>
      <c r="J399" s="10">
        <v>14</v>
      </c>
      <c r="K399" s="10">
        <v>9</v>
      </c>
      <c r="L399" s="11" t="s">
        <v>480</v>
      </c>
      <c r="M399" s="12">
        <v>0</v>
      </c>
      <c r="N399" s="13"/>
      <c r="O399" s="13"/>
    </row>
    <row r="400" spans="1:15">
      <c r="A400" s="22" t="s">
        <v>520</v>
      </c>
      <c r="B400" s="8">
        <v>9</v>
      </c>
      <c r="C400" s="8">
        <v>375</v>
      </c>
      <c r="D400" s="8">
        <v>1</v>
      </c>
      <c r="E400" s="8">
        <v>0.5</v>
      </c>
      <c r="F400" s="9">
        <v>399</v>
      </c>
      <c r="G400" s="8" t="s">
        <v>446</v>
      </c>
      <c r="H400" s="10" t="s">
        <v>443</v>
      </c>
      <c r="I400" s="10">
        <v>89</v>
      </c>
      <c r="J400" s="10">
        <v>14</v>
      </c>
      <c r="K400" s="10">
        <v>9</v>
      </c>
      <c r="L400" s="11" t="s">
        <v>521</v>
      </c>
      <c r="M400" s="12">
        <v>0</v>
      </c>
      <c r="N400" s="13"/>
      <c r="O400" s="13"/>
    </row>
    <row r="401" spans="1:15">
      <c r="A401" s="22" t="s">
        <v>522</v>
      </c>
      <c r="B401" s="8">
        <v>9</v>
      </c>
      <c r="C401" s="8">
        <v>377</v>
      </c>
      <c r="D401" s="8">
        <v>25</v>
      </c>
      <c r="E401" s="8">
        <v>2.54</v>
      </c>
      <c r="F401" s="9">
        <v>400</v>
      </c>
      <c r="G401" s="8" t="s">
        <v>446</v>
      </c>
      <c r="H401" s="10" t="s">
        <v>523</v>
      </c>
      <c r="I401" s="10">
        <v>77</v>
      </c>
      <c r="J401" s="10">
        <v>52</v>
      </c>
      <c r="K401" s="10">
        <v>32</v>
      </c>
      <c r="L401" s="11" t="s">
        <v>480</v>
      </c>
      <c r="M401" s="12">
        <v>0</v>
      </c>
      <c r="N401" s="13"/>
      <c r="O401" s="13"/>
    </row>
    <row r="402" spans="1:15">
      <c r="A402" s="22" t="s">
        <v>524</v>
      </c>
      <c r="B402" s="8">
        <v>9</v>
      </c>
      <c r="C402" s="8">
        <v>85</v>
      </c>
      <c r="D402" s="8">
        <v>50</v>
      </c>
      <c r="E402" s="8">
        <v>0.6</v>
      </c>
      <c r="F402" s="9">
        <v>401</v>
      </c>
      <c r="G402" s="8" t="s">
        <v>16</v>
      </c>
      <c r="H402" s="10" t="s">
        <v>17</v>
      </c>
      <c r="I402" s="10">
        <v>122</v>
      </c>
      <c r="J402" s="10">
        <v>15</v>
      </c>
      <c r="K402" s="10">
        <v>10</v>
      </c>
      <c r="L402" s="11" t="s">
        <v>100</v>
      </c>
      <c r="M402" s="12">
        <v>0</v>
      </c>
      <c r="N402" s="13"/>
      <c r="O402" s="13"/>
    </row>
    <row r="403" spans="1:15">
      <c r="A403" s="22" t="s">
        <v>525</v>
      </c>
      <c r="B403" s="8">
        <v>9</v>
      </c>
      <c r="C403" s="8">
        <v>320</v>
      </c>
      <c r="D403" s="8">
        <v>50</v>
      </c>
      <c r="E403" s="8">
        <v>1.48</v>
      </c>
      <c r="F403" s="9">
        <v>402</v>
      </c>
      <c r="G403" s="8" t="s">
        <v>72</v>
      </c>
      <c r="H403" s="10" t="s">
        <v>83</v>
      </c>
      <c r="I403" s="10">
        <v>145</v>
      </c>
      <c r="J403" s="10">
        <v>29</v>
      </c>
      <c r="K403" s="10">
        <v>16</v>
      </c>
      <c r="L403" s="11" t="s">
        <v>440</v>
      </c>
      <c r="M403" s="12">
        <v>3</v>
      </c>
      <c r="N403" s="13"/>
      <c r="O403" s="13"/>
    </row>
    <row r="404" spans="1:15">
      <c r="A404" s="22" t="s">
        <v>526</v>
      </c>
      <c r="B404" s="8">
        <v>9</v>
      </c>
      <c r="C404" s="8">
        <v>341</v>
      </c>
      <c r="D404" s="8">
        <v>50</v>
      </c>
      <c r="E404" s="8">
        <v>1.48</v>
      </c>
      <c r="F404" s="9">
        <v>403</v>
      </c>
      <c r="G404" s="8" t="s">
        <v>72</v>
      </c>
      <c r="H404" s="10" t="s">
        <v>83</v>
      </c>
      <c r="I404" s="10">
        <v>145</v>
      </c>
      <c r="J404" s="10">
        <v>29</v>
      </c>
      <c r="K404" s="10">
        <v>16</v>
      </c>
      <c r="L404" s="11" t="s">
        <v>500</v>
      </c>
      <c r="M404" s="12">
        <v>21</v>
      </c>
      <c r="N404" s="13"/>
      <c r="O404" s="13"/>
    </row>
    <row r="405" spans="1:15">
      <c r="A405" s="22" t="s">
        <v>527</v>
      </c>
      <c r="B405" s="8">
        <v>9</v>
      </c>
      <c r="C405" s="8">
        <v>375</v>
      </c>
      <c r="D405" s="8">
        <v>1</v>
      </c>
      <c r="E405" s="8">
        <v>0.5</v>
      </c>
      <c r="F405" s="9">
        <v>404</v>
      </c>
      <c r="G405" s="8" t="s">
        <v>446</v>
      </c>
      <c r="H405" s="10" t="s">
        <v>443</v>
      </c>
      <c r="I405" s="10">
        <v>89</v>
      </c>
      <c r="J405" s="10">
        <v>14</v>
      </c>
      <c r="K405" s="10">
        <v>9</v>
      </c>
      <c r="L405" s="11" t="s">
        <v>521</v>
      </c>
      <c r="M405" s="12">
        <v>0</v>
      </c>
      <c r="N405" s="13"/>
      <c r="O405" s="13"/>
    </row>
    <row r="406" spans="1:15">
      <c r="A406" s="22" t="s">
        <v>528</v>
      </c>
      <c r="B406" s="8">
        <v>9</v>
      </c>
      <c r="C406" s="8">
        <v>75</v>
      </c>
      <c r="D406" s="8">
        <v>50</v>
      </c>
      <c r="E406" s="8">
        <v>0.6</v>
      </c>
      <c r="F406" s="9">
        <v>405</v>
      </c>
      <c r="G406" s="8" t="s">
        <v>16</v>
      </c>
      <c r="H406" s="10" t="s">
        <v>17</v>
      </c>
      <c r="I406" s="10">
        <v>122</v>
      </c>
      <c r="J406" s="10">
        <v>15</v>
      </c>
      <c r="K406" s="10">
        <v>10</v>
      </c>
      <c r="L406" s="11" t="s">
        <v>92</v>
      </c>
      <c r="M406" s="12">
        <v>13</v>
      </c>
      <c r="N406" s="13"/>
      <c r="O406" s="13"/>
    </row>
    <row r="407" spans="1:15">
      <c r="A407" s="22" t="s">
        <v>529</v>
      </c>
      <c r="B407" s="8">
        <v>9</v>
      </c>
      <c r="C407" s="8">
        <v>77</v>
      </c>
      <c r="D407" s="8">
        <v>50</v>
      </c>
      <c r="E407" s="8">
        <v>0.6</v>
      </c>
      <c r="F407" s="9">
        <v>406</v>
      </c>
      <c r="G407" s="8" t="s">
        <v>16</v>
      </c>
      <c r="H407" s="10" t="s">
        <v>17</v>
      </c>
      <c r="I407" s="10">
        <v>122</v>
      </c>
      <c r="J407" s="10">
        <v>15</v>
      </c>
      <c r="K407" s="10">
        <v>10</v>
      </c>
      <c r="L407" s="11" t="s">
        <v>56</v>
      </c>
      <c r="M407" s="12">
        <v>0</v>
      </c>
      <c r="N407" s="13"/>
      <c r="O407" s="13"/>
    </row>
    <row r="408" spans="1:15">
      <c r="A408" s="22" t="s">
        <v>530</v>
      </c>
      <c r="B408" s="8">
        <v>9</v>
      </c>
      <c r="C408" s="8">
        <v>77.5</v>
      </c>
      <c r="D408" s="8">
        <v>100</v>
      </c>
      <c r="E408" s="8">
        <v>0.64</v>
      </c>
      <c r="F408" s="9">
        <v>407</v>
      </c>
      <c r="G408" s="8" t="s">
        <v>16</v>
      </c>
      <c r="H408" s="10" t="s">
        <v>531</v>
      </c>
      <c r="I408" s="10">
        <v>105</v>
      </c>
      <c r="J408" s="10">
        <v>25</v>
      </c>
      <c r="K408" s="10">
        <v>11</v>
      </c>
      <c r="L408" s="11" t="s">
        <v>532</v>
      </c>
      <c r="M408" s="12">
        <v>1279</v>
      </c>
      <c r="N408" s="13"/>
      <c r="O408" s="13"/>
    </row>
    <row r="409" spans="1:15">
      <c r="A409" s="22" t="s">
        <v>533</v>
      </c>
      <c r="B409" s="8">
        <v>9</v>
      </c>
      <c r="C409" s="8">
        <v>87.2</v>
      </c>
      <c r="D409" s="8">
        <v>100</v>
      </c>
      <c r="E409" s="8">
        <v>0.64</v>
      </c>
      <c r="F409" s="9">
        <v>408</v>
      </c>
      <c r="G409" s="8" t="s">
        <v>16</v>
      </c>
      <c r="H409" s="10" t="s">
        <v>531</v>
      </c>
      <c r="I409" s="10">
        <v>105</v>
      </c>
      <c r="J409" s="10">
        <v>25</v>
      </c>
      <c r="K409" s="10">
        <v>11</v>
      </c>
      <c r="L409" s="11" t="s">
        <v>534</v>
      </c>
      <c r="M409" s="12">
        <v>0</v>
      </c>
      <c r="N409" s="13"/>
      <c r="O409" s="13"/>
    </row>
    <row r="410" spans="1:15">
      <c r="A410" s="22" t="s">
        <v>535</v>
      </c>
      <c r="B410" s="8">
        <v>9</v>
      </c>
      <c r="C410" s="8">
        <v>85.2</v>
      </c>
      <c r="D410" s="8">
        <v>100</v>
      </c>
      <c r="E410" s="8">
        <v>0.64</v>
      </c>
      <c r="F410" s="9">
        <v>409</v>
      </c>
      <c r="G410" s="8" t="s">
        <v>16</v>
      </c>
      <c r="H410" s="10" t="s">
        <v>531</v>
      </c>
      <c r="I410" s="10">
        <v>105</v>
      </c>
      <c r="J410" s="10">
        <v>25</v>
      </c>
      <c r="K410" s="10">
        <v>11</v>
      </c>
      <c r="L410" s="11" t="s">
        <v>536</v>
      </c>
      <c r="M410" s="12">
        <v>20</v>
      </c>
      <c r="N410" s="13"/>
      <c r="O410" s="13"/>
    </row>
    <row r="411" spans="1:15">
      <c r="A411" s="22" t="s">
        <v>537</v>
      </c>
      <c r="B411" s="8">
        <v>9</v>
      </c>
      <c r="C411" s="8">
        <v>85.1</v>
      </c>
      <c r="D411" s="8">
        <v>100</v>
      </c>
      <c r="E411" s="8">
        <v>0.64</v>
      </c>
      <c r="F411" s="9">
        <v>410</v>
      </c>
      <c r="G411" s="8" t="s">
        <v>16</v>
      </c>
      <c r="H411" s="10" t="s">
        <v>531</v>
      </c>
      <c r="I411" s="10">
        <v>105</v>
      </c>
      <c r="J411" s="10">
        <v>25</v>
      </c>
      <c r="K411" s="10">
        <v>11</v>
      </c>
      <c r="L411" s="11" t="s">
        <v>538</v>
      </c>
      <c r="M411" s="12">
        <v>107</v>
      </c>
      <c r="N411" s="13"/>
      <c r="O411" s="13"/>
    </row>
    <row r="412" spans="1:15">
      <c r="A412" s="22" t="s">
        <v>539</v>
      </c>
      <c r="B412" s="8">
        <v>9</v>
      </c>
      <c r="C412" s="8">
        <v>85.9</v>
      </c>
      <c r="D412" s="8">
        <v>100</v>
      </c>
      <c r="E412" s="8">
        <v>0.64</v>
      </c>
      <c r="F412" s="9">
        <v>411</v>
      </c>
      <c r="G412" s="8" t="s">
        <v>16</v>
      </c>
      <c r="H412" s="10" t="s">
        <v>531</v>
      </c>
      <c r="I412" s="10">
        <v>105</v>
      </c>
      <c r="J412" s="10">
        <v>25</v>
      </c>
      <c r="K412" s="10">
        <v>11</v>
      </c>
      <c r="L412" s="11" t="s">
        <v>540</v>
      </c>
      <c r="M412" s="12">
        <v>0</v>
      </c>
      <c r="N412" s="13"/>
      <c r="O412" s="13"/>
    </row>
    <row r="413" spans="1:15">
      <c r="A413" s="22" t="s">
        <v>541</v>
      </c>
      <c r="B413" s="8">
        <v>9</v>
      </c>
      <c r="C413" s="8">
        <v>84</v>
      </c>
      <c r="D413" s="8">
        <v>100</v>
      </c>
      <c r="E413" s="8">
        <v>0.64</v>
      </c>
      <c r="F413" s="9">
        <v>412</v>
      </c>
      <c r="G413" s="8" t="s">
        <v>16</v>
      </c>
      <c r="H413" s="10" t="s">
        <v>531</v>
      </c>
      <c r="I413" s="10">
        <v>105</v>
      </c>
      <c r="J413" s="10">
        <v>25</v>
      </c>
      <c r="K413" s="10">
        <v>11</v>
      </c>
      <c r="L413" s="11" t="s">
        <v>60</v>
      </c>
      <c r="M413" s="12">
        <v>5</v>
      </c>
      <c r="N413" s="13"/>
      <c r="O413" s="13"/>
    </row>
    <row r="414" spans="1:15">
      <c r="A414" s="22" t="s">
        <v>542</v>
      </c>
      <c r="B414" s="8">
        <v>9</v>
      </c>
      <c r="C414" s="8">
        <v>81.3</v>
      </c>
      <c r="D414" s="8">
        <v>100</v>
      </c>
      <c r="E414" s="8">
        <v>0.64</v>
      </c>
      <c r="F414" s="9">
        <v>413</v>
      </c>
      <c r="G414" s="8" t="s">
        <v>16</v>
      </c>
      <c r="H414" s="10" t="s">
        <v>531</v>
      </c>
      <c r="I414" s="10">
        <v>105</v>
      </c>
      <c r="J414" s="10">
        <v>25</v>
      </c>
      <c r="K414" s="10">
        <v>11</v>
      </c>
      <c r="L414" s="11" t="s">
        <v>543</v>
      </c>
      <c r="M414" s="12">
        <v>3</v>
      </c>
      <c r="N414" s="13"/>
      <c r="O414" s="13"/>
    </row>
    <row r="415" spans="1:15">
      <c r="A415" s="22" t="s">
        <v>544</v>
      </c>
      <c r="B415" s="8">
        <v>9</v>
      </c>
      <c r="C415" s="8">
        <v>81.599999999999994</v>
      </c>
      <c r="D415" s="8">
        <v>100</v>
      </c>
      <c r="E415" s="8">
        <v>0.64</v>
      </c>
      <c r="F415" s="9">
        <v>414</v>
      </c>
      <c r="G415" s="8" t="s">
        <v>16</v>
      </c>
      <c r="H415" s="10" t="s">
        <v>531</v>
      </c>
      <c r="I415" s="10">
        <v>105</v>
      </c>
      <c r="J415" s="10">
        <v>25</v>
      </c>
      <c r="K415" s="10">
        <v>11</v>
      </c>
      <c r="L415" s="11" t="s">
        <v>545</v>
      </c>
      <c r="M415" s="12">
        <v>12</v>
      </c>
      <c r="N415" s="13"/>
      <c r="O415" s="13"/>
    </row>
    <row r="416" spans="1:15">
      <c r="A416" s="22" t="s">
        <v>546</v>
      </c>
      <c r="B416" s="8">
        <v>9</v>
      </c>
      <c r="C416" s="8">
        <v>79.2</v>
      </c>
      <c r="D416" s="8">
        <v>100</v>
      </c>
      <c r="E416" s="8">
        <v>0.64</v>
      </c>
      <c r="F416" s="9">
        <v>415</v>
      </c>
      <c r="G416" s="8" t="s">
        <v>16</v>
      </c>
      <c r="H416" s="10" t="s">
        <v>531</v>
      </c>
      <c r="I416" s="10">
        <v>105</v>
      </c>
      <c r="J416" s="10">
        <v>25</v>
      </c>
      <c r="K416" s="10">
        <v>11</v>
      </c>
      <c r="L416" s="11" t="s">
        <v>547</v>
      </c>
      <c r="M416" s="12">
        <v>125</v>
      </c>
      <c r="N416" s="13"/>
      <c r="O416" s="13"/>
    </row>
    <row r="417" spans="1:15">
      <c r="A417" s="22" t="s">
        <v>548</v>
      </c>
      <c r="B417" s="8">
        <v>9</v>
      </c>
      <c r="C417" s="8">
        <v>78.099999999999994</v>
      </c>
      <c r="D417" s="8">
        <v>100</v>
      </c>
      <c r="E417" s="8">
        <v>0.64</v>
      </c>
      <c r="F417" s="9">
        <v>416</v>
      </c>
      <c r="G417" s="8" t="s">
        <v>16</v>
      </c>
      <c r="H417" s="10" t="s">
        <v>531</v>
      </c>
      <c r="I417" s="10">
        <v>105</v>
      </c>
      <c r="J417" s="10">
        <v>25</v>
      </c>
      <c r="K417" s="10">
        <v>11</v>
      </c>
      <c r="L417" s="11" t="s">
        <v>549</v>
      </c>
      <c r="M417" s="12">
        <v>65</v>
      </c>
      <c r="N417" s="13"/>
      <c r="O417" s="13"/>
    </row>
    <row r="418" spans="1:15">
      <c r="A418" s="22" t="s">
        <v>550</v>
      </c>
      <c r="B418" s="8">
        <v>9</v>
      </c>
      <c r="C418" s="8">
        <v>88</v>
      </c>
      <c r="D418" s="8">
        <v>100</v>
      </c>
      <c r="E418" s="8">
        <v>0.64</v>
      </c>
      <c r="F418" s="9">
        <v>417</v>
      </c>
      <c r="G418" s="8" t="s">
        <v>16</v>
      </c>
      <c r="H418" s="10" t="s">
        <v>531</v>
      </c>
      <c r="I418" s="10">
        <v>105</v>
      </c>
      <c r="J418" s="10">
        <v>25</v>
      </c>
      <c r="K418" s="10">
        <v>11</v>
      </c>
      <c r="L418" s="11" t="s">
        <v>313</v>
      </c>
      <c r="M418" s="12">
        <v>620</v>
      </c>
      <c r="N418" s="13"/>
      <c r="O418" s="13"/>
    </row>
    <row r="419" spans="1:15">
      <c r="A419" s="22" t="s">
        <v>551</v>
      </c>
      <c r="B419" s="8">
        <v>9</v>
      </c>
      <c r="C419" s="8">
        <v>96.1</v>
      </c>
      <c r="D419" s="8">
        <v>100</v>
      </c>
      <c r="E419" s="8">
        <v>0.64</v>
      </c>
      <c r="F419" s="9">
        <v>418</v>
      </c>
      <c r="G419" s="8" t="s">
        <v>16</v>
      </c>
      <c r="H419" s="10" t="s">
        <v>531</v>
      </c>
      <c r="I419" s="10">
        <v>105</v>
      </c>
      <c r="J419" s="10">
        <v>25</v>
      </c>
      <c r="K419" s="10">
        <v>11</v>
      </c>
      <c r="L419" s="11" t="s">
        <v>552</v>
      </c>
      <c r="M419" s="12">
        <v>2</v>
      </c>
      <c r="N419" s="13"/>
      <c r="O419" s="13"/>
    </row>
    <row r="420" spans="1:15">
      <c r="A420" s="22" t="s">
        <v>553</v>
      </c>
      <c r="B420" s="8">
        <v>9</v>
      </c>
      <c r="C420" s="8">
        <v>94.4</v>
      </c>
      <c r="D420" s="8">
        <v>100</v>
      </c>
      <c r="E420" s="8">
        <v>0.64</v>
      </c>
      <c r="F420" s="9">
        <v>419</v>
      </c>
      <c r="G420" s="8" t="s">
        <v>16</v>
      </c>
      <c r="H420" s="10" t="s">
        <v>531</v>
      </c>
      <c r="I420" s="10">
        <v>105</v>
      </c>
      <c r="J420" s="10">
        <v>25</v>
      </c>
      <c r="K420" s="10">
        <v>11</v>
      </c>
      <c r="L420" s="11" t="s">
        <v>554</v>
      </c>
      <c r="M420" s="12">
        <v>20</v>
      </c>
      <c r="N420" s="13"/>
      <c r="O420" s="13"/>
    </row>
    <row r="421" spans="1:15">
      <c r="A421" s="22" t="s">
        <v>555</v>
      </c>
      <c r="B421" s="8">
        <v>9</v>
      </c>
      <c r="C421" s="8">
        <v>93.5</v>
      </c>
      <c r="D421" s="8">
        <v>100</v>
      </c>
      <c r="E421" s="8">
        <v>0.64</v>
      </c>
      <c r="F421" s="9">
        <v>420</v>
      </c>
      <c r="G421" s="8" t="s">
        <v>16</v>
      </c>
      <c r="H421" s="10" t="s">
        <v>531</v>
      </c>
      <c r="I421" s="10">
        <v>105</v>
      </c>
      <c r="J421" s="10">
        <v>25</v>
      </c>
      <c r="K421" s="10">
        <v>11</v>
      </c>
      <c r="L421" s="11" t="s">
        <v>556</v>
      </c>
      <c r="M421" s="12">
        <v>700</v>
      </c>
      <c r="N421" s="13"/>
      <c r="O421" s="13"/>
    </row>
    <row r="422" spans="1:15">
      <c r="A422" s="22" t="s">
        <v>557</v>
      </c>
      <c r="B422" s="8">
        <v>9</v>
      </c>
      <c r="C422" s="8">
        <v>93.4</v>
      </c>
      <c r="D422" s="8">
        <v>100</v>
      </c>
      <c r="E422" s="8">
        <v>0.64</v>
      </c>
      <c r="F422" s="9">
        <v>421</v>
      </c>
      <c r="G422" s="8" t="s">
        <v>16</v>
      </c>
      <c r="H422" s="10" t="s">
        <v>531</v>
      </c>
      <c r="I422" s="10">
        <v>105</v>
      </c>
      <c r="J422" s="10">
        <v>25</v>
      </c>
      <c r="K422" s="10">
        <v>11</v>
      </c>
      <c r="L422" s="11" t="s">
        <v>558</v>
      </c>
      <c r="M422" s="12">
        <v>610</v>
      </c>
      <c r="N422" s="13"/>
      <c r="O422" s="13"/>
    </row>
    <row r="423" spans="1:15">
      <c r="A423" s="22" t="s">
        <v>559</v>
      </c>
      <c r="B423" s="8">
        <v>9</v>
      </c>
      <c r="C423" s="8">
        <v>91.9</v>
      </c>
      <c r="D423" s="8">
        <v>100</v>
      </c>
      <c r="E423" s="8">
        <v>0.64</v>
      </c>
      <c r="F423" s="9">
        <v>422</v>
      </c>
      <c r="G423" s="8" t="s">
        <v>16</v>
      </c>
      <c r="H423" s="10" t="s">
        <v>531</v>
      </c>
      <c r="I423" s="10">
        <v>105</v>
      </c>
      <c r="J423" s="10">
        <v>25</v>
      </c>
      <c r="K423" s="10">
        <v>11</v>
      </c>
      <c r="L423" s="11" t="s">
        <v>560</v>
      </c>
      <c r="M423" s="12">
        <v>966</v>
      </c>
      <c r="N423" s="13"/>
      <c r="O423" s="13"/>
    </row>
    <row r="424" spans="1:15">
      <c r="A424" s="22" t="s">
        <v>561</v>
      </c>
      <c r="B424" s="8">
        <v>9</v>
      </c>
      <c r="C424" s="8">
        <v>90.6</v>
      </c>
      <c r="D424" s="8">
        <v>100</v>
      </c>
      <c r="E424" s="8">
        <v>0.64</v>
      </c>
      <c r="F424" s="9">
        <v>423</v>
      </c>
      <c r="G424" s="8" t="s">
        <v>16</v>
      </c>
      <c r="H424" s="10" t="s">
        <v>531</v>
      </c>
      <c r="I424" s="10">
        <v>105</v>
      </c>
      <c r="J424" s="10">
        <v>25</v>
      </c>
      <c r="K424" s="10">
        <v>11</v>
      </c>
      <c r="L424" s="11" t="s">
        <v>562</v>
      </c>
      <c r="M424" s="12">
        <v>1212</v>
      </c>
      <c r="N424" s="13"/>
      <c r="O424" s="13"/>
    </row>
    <row r="425" spans="1:15">
      <c r="A425" s="22" t="s">
        <v>563</v>
      </c>
      <c r="B425" s="8">
        <v>9</v>
      </c>
      <c r="C425" s="8">
        <v>89.5</v>
      </c>
      <c r="D425" s="8">
        <v>100</v>
      </c>
      <c r="E425" s="8">
        <v>0.64</v>
      </c>
      <c r="F425" s="9">
        <v>424</v>
      </c>
      <c r="G425" s="8" t="s">
        <v>16</v>
      </c>
      <c r="H425" s="10" t="s">
        <v>531</v>
      </c>
      <c r="I425" s="10">
        <v>105</v>
      </c>
      <c r="J425" s="10">
        <v>25</v>
      </c>
      <c r="K425" s="10">
        <v>11</v>
      </c>
      <c r="L425" s="11" t="s">
        <v>564</v>
      </c>
      <c r="M425" s="12">
        <v>898</v>
      </c>
      <c r="N425" s="13"/>
      <c r="O425" s="13"/>
    </row>
    <row r="426" spans="1:15">
      <c r="A426" s="22" t="s">
        <v>565</v>
      </c>
      <c r="B426" s="8">
        <v>9</v>
      </c>
      <c r="C426" s="8">
        <v>89.3</v>
      </c>
      <c r="D426" s="8">
        <v>100</v>
      </c>
      <c r="E426" s="8">
        <v>0.64</v>
      </c>
      <c r="F426" s="9">
        <v>425</v>
      </c>
      <c r="G426" s="8" t="s">
        <v>16</v>
      </c>
      <c r="H426" s="10" t="s">
        <v>531</v>
      </c>
      <c r="I426" s="10">
        <v>105</v>
      </c>
      <c r="J426" s="10">
        <v>25</v>
      </c>
      <c r="K426" s="10">
        <v>11</v>
      </c>
      <c r="L426" s="11" t="s">
        <v>566</v>
      </c>
      <c r="M426" s="12">
        <v>1155</v>
      </c>
      <c r="N426" s="13"/>
      <c r="O426" s="13"/>
    </row>
    <row r="427" spans="1:15">
      <c r="A427" s="22" t="s">
        <v>567</v>
      </c>
      <c r="B427" s="8">
        <v>9</v>
      </c>
      <c r="C427" s="8">
        <v>85.9</v>
      </c>
      <c r="D427" s="8">
        <v>100</v>
      </c>
      <c r="E427" s="8">
        <v>0.64</v>
      </c>
      <c r="F427" s="9">
        <v>426</v>
      </c>
      <c r="G427" s="8" t="s">
        <v>16</v>
      </c>
      <c r="H427" s="10" t="s">
        <v>531</v>
      </c>
      <c r="I427" s="10">
        <v>105</v>
      </c>
      <c r="J427" s="10">
        <v>25</v>
      </c>
      <c r="K427" s="10">
        <v>11</v>
      </c>
      <c r="L427" s="11" t="s">
        <v>540</v>
      </c>
      <c r="M427" s="12">
        <v>694</v>
      </c>
      <c r="N427" s="13"/>
      <c r="O427" s="13"/>
    </row>
    <row r="428" spans="1:15">
      <c r="A428" s="22" t="s">
        <v>568</v>
      </c>
      <c r="B428" s="8">
        <v>9</v>
      </c>
      <c r="C428" s="8">
        <v>69</v>
      </c>
      <c r="D428" s="8">
        <v>50</v>
      </c>
      <c r="E428" s="8">
        <v>0.6</v>
      </c>
      <c r="F428" s="9">
        <v>427</v>
      </c>
      <c r="G428" s="8" t="s">
        <v>16</v>
      </c>
      <c r="H428" s="10" t="s">
        <v>17</v>
      </c>
      <c r="I428" s="10">
        <v>122</v>
      </c>
      <c r="J428" s="10">
        <v>15</v>
      </c>
      <c r="K428" s="10">
        <v>10</v>
      </c>
      <c r="L428" s="11" t="s">
        <v>123</v>
      </c>
      <c r="M428" s="12">
        <v>0</v>
      </c>
      <c r="N428" s="13"/>
      <c r="O428" s="13"/>
    </row>
    <row r="429" spans="1:15">
      <c r="A429" s="22" t="s">
        <v>569</v>
      </c>
      <c r="B429" s="8">
        <v>9</v>
      </c>
      <c r="C429" s="8">
        <v>77</v>
      </c>
      <c r="D429" s="8">
        <v>100</v>
      </c>
      <c r="E429" s="8">
        <v>0.64</v>
      </c>
      <c r="F429" s="9">
        <v>428</v>
      </c>
      <c r="G429" s="8" t="s">
        <v>16</v>
      </c>
      <c r="H429" s="10" t="s">
        <v>531</v>
      </c>
      <c r="I429" s="10">
        <v>105</v>
      </c>
      <c r="J429" s="10">
        <v>25</v>
      </c>
      <c r="K429" s="10">
        <v>11</v>
      </c>
      <c r="L429" s="11" t="s">
        <v>56</v>
      </c>
      <c r="M429" s="12">
        <v>42</v>
      </c>
      <c r="N429" s="13"/>
      <c r="O429" s="13"/>
    </row>
    <row r="430" spans="1:15">
      <c r="A430" s="22" t="s">
        <v>570</v>
      </c>
      <c r="B430" s="8">
        <v>9</v>
      </c>
      <c r="C430" s="8">
        <v>323</v>
      </c>
      <c r="D430" s="8">
        <v>50</v>
      </c>
      <c r="E430" s="8">
        <v>1.6</v>
      </c>
      <c r="F430" s="9">
        <v>429</v>
      </c>
      <c r="G430" s="8" t="s">
        <v>72</v>
      </c>
      <c r="H430" s="10" t="s">
        <v>73</v>
      </c>
      <c r="I430" s="10">
        <v>183</v>
      </c>
      <c r="J430" s="10">
        <v>29</v>
      </c>
      <c r="K430" s="10">
        <v>16</v>
      </c>
      <c r="L430" s="11" t="s">
        <v>571</v>
      </c>
      <c r="M430" s="12">
        <v>69</v>
      </c>
      <c r="N430" s="13"/>
      <c r="O430" s="13"/>
    </row>
    <row r="431" spans="1:15">
      <c r="A431" s="22" t="s">
        <v>572</v>
      </c>
      <c r="B431" s="8">
        <v>9</v>
      </c>
      <c r="C431" s="8">
        <v>375</v>
      </c>
      <c r="D431" s="8">
        <v>25</v>
      </c>
      <c r="E431" s="8">
        <v>2.54</v>
      </c>
      <c r="F431" s="9">
        <v>430</v>
      </c>
      <c r="G431" s="8" t="s">
        <v>446</v>
      </c>
      <c r="H431" s="10" t="s">
        <v>523</v>
      </c>
      <c r="I431" s="10">
        <v>77</v>
      </c>
      <c r="J431" s="10">
        <v>52</v>
      </c>
      <c r="K431" s="10">
        <v>32</v>
      </c>
      <c r="L431" s="11" t="s">
        <v>480</v>
      </c>
      <c r="M431" s="12">
        <v>0</v>
      </c>
      <c r="N431" s="13"/>
      <c r="O431" s="13"/>
    </row>
    <row r="432" spans="1:15">
      <c r="A432" s="22" t="s">
        <v>573</v>
      </c>
      <c r="B432" s="8">
        <v>9</v>
      </c>
      <c r="C432" s="8">
        <v>65</v>
      </c>
      <c r="D432" s="8">
        <v>50</v>
      </c>
      <c r="E432" s="8">
        <v>0.6</v>
      </c>
      <c r="F432" s="9">
        <v>431</v>
      </c>
      <c r="G432" s="8" t="s">
        <v>16</v>
      </c>
      <c r="H432" s="10" t="s">
        <v>17</v>
      </c>
      <c r="I432" s="10">
        <v>122</v>
      </c>
      <c r="J432" s="10">
        <v>15</v>
      </c>
      <c r="K432" s="10">
        <v>10</v>
      </c>
      <c r="L432" s="11" t="s">
        <v>22</v>
      </c>
      <c r="M432" s="12">
        <v>8</v>
      </c>
      <c r="N432" s="13"/>
      <c r="O432" s="13"/>
    </row>
    <row r="433" spans="1:15">
      <c r="A433" s="22" t="s">
        <v>574</v>
      </c>
      <c r="B433" s="8">
        <v>9</v>
      </c>
      <c r="C433" s="8">
        <v>67</v>
      </c>
      <c r="D433" s="8">
        <v>50</v>
      </c>
      <c r="E433" s="8">
        <v>0.6</v>
      </c>
      <c r="F433" s="9">
        <v>432</v>
      </c>
      <c r="G433" s="8" t="s">
        <v>16</v>
      </c>
      <c r="H433" s="10" t="s">
        <v>17</v>
      </c>
      <c r="I433" s="10">
        <v>122</v>
      </c>
      <c r="J433" s="10">
        <v>15</v>
      </c>
      <c r="K433" s="10">
        <v>10</v>
      </c>
      <c r="L433" s="11" t="s">
        <v>96</v>
      </c>
      <c r="M433" s="12">
        <v>0</v>
      </c>
      <c r="N433" s="13"/>
      <c r="O433" s="13"/>
    </row>
    <row r="434" spans="1:15">
      <c r="A434" s="22" t="s">
        <v>575</v>
      </c>
      <c r="B434" s="8">
        <v>9</v>
      </c>
      <c r="C434" s="8">
        <v>77</v>
      </c>
      <c r="D434" s="8">
        <v>50</v>
      </c>
      <c r="E434" s="8">
        <v>0.6</v>
      </c>
      <c r="F434" s="9">
        <v>433</v>
      </c>
      <c r="G434" s="8" t="s">
        <v>16</v>
      </c>
      <c r="H434" s="10" t="s">
        <v>17</v>
      </c>
      <c r="I434" s="10">
        <v>122</v>
      </c>
      <c r="J434" s="10">
        <v>15</v>
      </c>
      <c r="K434" s="10">
        <v>10</v>
      </c>
      <c r="L434" s="11" t="s">
        <v>56</v>
      </c>
      <c r="M434" s="12">
        <v>30</v>
      </c>
      <c r="N434" s="13"/>
      <c r="O434" s="13"/>
    </row>
    <row r="435" spans="1:15">
      <c r="A435" s="22" t="s">
        <v>576</v>
      </c>
      <c r="B435" s="8">
        <v>9</v>
      </c>
      <c r="C435" s="8">
        <v>79</v>
      </c>
      <c r="D435" s="8">
        <v>50</v>
      </c>
      <c r="E435" s="8">
        <v>0.6</v>
      </c>
      <c r="F435" s="9">
        <v>434</v>
      </c>
      <c r="G435" s="8" t="s">
        <v>16</v>
      </c>
      <c r="H435" s="10" t="s">
        <v>17</v>
      </c>
      <c r="I435" s="10">
        <v>122</v>
      </c>
      <c r="J435" s="10">
        <v>15</v>
      </c>
      <c r="K435" s="10">
        <v>10</v>
      </c>
      <c r="L435" s="11" t="s">
        <v>146</v>
      </c>
      <c r="M435" s="12">
        <v>89</v>
      </c>
      <c r="N435" s="13"/>
      <c r="O435" s="13"/>
    </row>
    <row r="436" spans="1:15">
      <c r="A436" s="22" t="s">
        <v>577</v>
      </c>
      <c r="B436" s="8">
        <v>9</v>
      </c>
      <c r="C436" s="8">
        <v>71</v>
      </c>
      <c r="D436" s="8">
        <v>50</v>
      </c>
      <c r="E436" s="8">
        <v>0.6</v>
      </c>
      <c r="F436" s="9">
        <v>435</v>
      </c>
      <c r="G436" s="8" t="s">
        <v>16</v>
      </c>
      <c r="H436" s="10" t="s">
        <v>17</v>
      </c>
      <c r="I436" s="10">
        <v>122</v>
      </c>
      <c r="J436" s="10">
        <v>15</v>
      </c>
      <c r="K436" s="10">
        <v>10</v>
      </c>
      <c r="L436" s="11" t="s">
        <v>235</v>
      </c>
      <c r="M436" s="12">
        <v>66</v>
      </c>
      <c r="N436" s="13"/>
      <c r="O436" s="13"/>
    </row>
    <row r="437" spans="1:15">
      <c r="A437" s="22" t="s">
        <v>578</v>
      </c>
      <c r="B437" s="8">
        <v>9</v>
      </c>
      <c r="C437" s="8">
        <v>65</v>
      </c>
      <c r="D437" s="8">
        <v>50</v>
      </c>
      <c r="E437" s="8">
        <v>0.6</v>
      </c>
      <c r="F437" s="9">
        <v>436</v>
      </c>
      <c r="G437" s="8" t="s">
        <v>16</v>
      </c>
      <c r="H437" s="10" t="s">
        <v>17</v>
      </c>
      <c r="I437" s="10">
        <v>122</v>
      </c>
      <c r="J437" s="10">
        <v>15</v>
      </c>
      <c r="K437" s="10">
        <v>10</v>
      </c>
      <c r="L437" s="11" t="s">
        <v>22</v>
      </c>
      <c r="M437" s="12">
        <v>0</v>
      </c>
      <c r="N437" s="13"/>
      <c r="O437" s="13"/>
    </row>
    <row r="438" spans="1:15">
      <c r="A438" s="22" t="s">
        <v>579</v>
      </c>
      <c r="B438" s="8">
        <v>9</v>
      </c>
      <c r="C438" s="8">
        <v>76</v>
      </c>
      <c r="D438" s="8">
        <v>50</v>
      </c>
      <c r="E438" s="8">
        <v>0.6</v>
      </c>
      <c r="F438" s="9">
        <v>437</v>
      </c>
      <c r="G438" s="8" t="s">
        <v>16</v>
      </c>
      <c r="H438" s="10" t="s">
        <v>17</v>
      </c>
      <c r="I438" s="10">
        <v>122</v>
      </c>
      <c r="J438" s="10">
        <v>15</v>
      </c>
      <c r="K438" s="10">
        <v>10</v>
      </c>
      <c r="L438" s="11" t="s">
        <v>131</v>
      </c>
      <c r="M438" s="12">
        <v>33</v>
      </c>
      <c r="N438" s="13"/>
      <c r="O438" s="13"/>
    </row>
    <row r="439" spans="1:15">
      <c r="A439" s="22" t="s">
        <v>580</v>
      </c>
      <c r="B439" s="8">
        <v>9</v>
      </c>
      <c r="C439" s="8">
        <v>76</v>
      </c>
      <c r="D439" s="8">
        <v>50</v>
      </c>
      <c r="E439" s="8">
        <v>0.6</v>
      </c>
      <c r="F439" s="9">
        <v>438</v>
      </c>
      <c r="G439" s="8" t="s">
        <v>16</v>
      </c>
      <c r="H439" s="10" t="s">
        <v>17</v>
      </c>
      <c r="I439" s="10">
        <v>122</v>
      </c>
      <c r="J439" s="10">
        <v>15</v>
      </c>
      <c r="K439" s="10">
        <v>10</v>
      </c>
      <c r="L439" s="11" t="s">
        <v>131</v>
      </c>
      <c r="M439" s="12">
        <v>0</v>
      </c>
      <c r="N439" s="13"/>
      <c r="O439" s="13"/>
    </row>
    <row r="440" spans="1:15">
      <c r="A440" s="22" t="s">
        <v>581</v>
      </c>
      <c r="B440" s="8">
        <v>9</v>
      </c>
      <c r="C440" s="8">
        <v>77</v>
      </c>
      <c r="D440" s="8">
        <v>50</v>
      </c>
      <c r="E440" s="8">
        <v>0.6</v>
      </c>
      <c r="F440" s="9">
        <v>439</v>
      </c>
      <c r="G440" s="8" t="s">
        <v>16</v>
      </c>
      <c r="H440" s="10" t="s">
        <v>17</v>
      </c>
      <c r="I440" s="10">
        <v>122</v>
      </c>
      <c r="J440" s="10">
        <v>15</v>
      </c>
      <c r="K440" s="10">
        <v>10</v>
      </c>
      <c r="L440" s="11" t="s">
        <v>56</v>
      </c>
      <c r="M440" s="12">
        <v>41</v>
      </c>
      <c r="N440" s="13"/>
      <c r="O440" s="13"/>
    </row>
    <row r="441" spans="1:15">
      <c r="A441" s="22" t="s">
        <v>582</v>
      </c>
      <c r="B441" s="8">
        <v>9</v>
      </c>
      <c r="C441" s="8">
        <v>490</v>
      </c>
      <c r="D441" s="8">
        <v>25</v>
      </c>
      <c r="E441" s="8">
        <v>2.54</v>
      </c>
      <c r="F441" s="9">
        <v>440</v>
      </c>
      <c r="G441" s="8" t="s">
        <v>446</v>
      </c>
      <c r="H441" s="10" t="s">
        <v>523</v>
      </c>
      <c r="I441" s="10">
        <v>77</v>
      </c>
      <c r="J441" s="10">
        <v>52</v>
      </c>
      <c r="K441" s="10">
        <v>32</v>
      </c>
      <c r="L441" s="11" t="s">
        <v>480</v>
      </c>
      <c r="M441" s="12">
        <v>0</v>
      </c>
      <c r="N441" s="13"/>
      <c r="O441" s="13"/>
    </row>
    <row r="442" spans="1:15">
      <c r="A442" s="22" t="s">
        <v>583</v>
      </c>
      <c r="B442" s="8">
        <v>9</v>
      </c>
      <c r="C442" s="8">
        <v>380</v>
      </c>
      <c r="D442" s="8">
        <v>1</v>
      </c>
      <c r="E442" s="8">
        <v>0.5</v>
      </c>
      <c r="F442" s="9">
        <v>441</v>
      </c>
      <c r="G442" s="8" t="s">
        <v>446</v>
      </c>
      <c r="H442" s="10" t="s">
        <v>443</v>
      </c>
      <c r="I442" s="10">
        <v>89</v>
      </c>
      <c r="J442" s="10">
        <v>14</v>
      </c>
      <c r="K442" s="10">
        <v>9</v>
      </c>
      <c r="L442" s="11" t="s">
        <v>584</v>
      </c>
      <c r="M442" s="12">
        <v>0</v>
      </c>
      <c r="N442" s="13"/>
      <c r="O442" s="13"/>
    </row>
    <row r="443" spans="1:15">
      <c r="A443" s="22" t="s">
        <v>585</v>
      </c>
      <c r="B443" s="8">
        <v>9</v>
      </c>
      <c r="C443" s="8">
        <v>69</v>
      </c>
      <c r="D443" s="8">
        <v>50</v>
      </c>
      <c r="E443" s="8">
        <v>0.6</v>
      </c>
      <c r="F443" s="9">
        <v>442</v>
      </c>
      <c r="G443" s="8" t="s">
        <v>16</v>
      </c>
      <c r="H443" s="10" t="s">
        <v>17</v>
      </c>
      <c r="I443" s="10">
        <v>122</v>
      </c>
      <c r="J443" s="10">
        <v>15</v>
      </c>
      <c r="K443" s="10">
        <v>10</v>
      </c>
      <c r="L443" s="11" t="s">
        <v>123</v>
      </c>
      <c r="M443" s="12">
        <v>50</v>
      </c>
      <c r="N443" s="13"/>
      <c r="O443" s="13"/>
    </row>
    <row r="444" spans="1:15">
      <c r="A444" s="22" t="s">
        <v>586</v>
      </c>
      <c r="B444" s="8">
        <v>9</v>
      </c>
      <c r="C444" s="8">
        <v>77</v>
      </c>
      <c r="D444" s="8">
        <v>50</v>
      </c>
      <c r="E444" s="8">
        <v>0.6</v>
      </c>
      <c r="F444" s="9">
        <v>443</v>
      </c>
      <c r="G444" s="8" t="s">
        <v>16</v>
      </c>
      <c r="H444" s="10" t="s">
        <v>17</v>
      </c>
      <c r="I444" s="10">
        <v>122</v>
      </c>
      <c r="J444" s="10">
        <v>15</v>
      </c>
      <c r="K444" s="10">
        <v>10</v>
      </c>
      <c r="L444" s="11" t="s">
        <v>56</v>
      </c>
      <c r="M444" s="12">
        <v>242</v>
      </c>
      <c r="N444" s="13"/>
      <c r="O444" s="13"/>
    </row>
    <row r="445" spans="1:15">
      <c r="A445" s="22" t="s">
        <v>587</v>
      </c>
      <c r="B445" s="8">
        <v>9</v>
      </c>
      <c r="C445" s="8">
        <v>315</v>
      </c>
      <c r="D445" s="8">
        <v>50</v>
      </c>
      <c r="E445" s="8">
        <v>1.48</v>
      </c>
      <c r="F445" s="9">
        <v>444</v>
      </c>
      <c r="G445" s="8" t="s">
        <v>72</v>
      </c>
      <c r="H445" s="10" t="s">
        <v>83</v>
      </c>
      <c r="I445" s="10">
        <v>145</v>
      </c>
      <c r="J445" s="10">
        <v>29</v>
      </c>
      <c r="K445" s="10">
        <v>16</v>
      </c>
      <c r="L445" s="11" t="s">
        <v>588</v>
      </c>
      <c r="M445" s="12">
        <v>125</v>
      </c>
      <c r="N445" s="13"/>
      <c r="O445" s="13"/>
    </row>
    <row r="446" spans="1:15">
      <c r="A446" s="22" t="s">
        <v>589</v>
      </c>
      <c r="B446" s="8">
        <v>9</v>
      </c>
      <c r="C446" s="8">
        <v>323</v>
      </c>
      <c r="D446" s="8">
        <v>50</v>
      </c>
      <c r="E446" s="8">
        <v>1.48</v>
      </c>
      <c r="F446" s="9">
        <v>445</v>
      </c>
      <c r="G446" s="8" t="s">
        <v>72</v>
      </c>
      <c r="H446" s="10" t="s">
        <v>83</v>
      </c>
      <c r="I446" s="10">
        <v>145</v>
      </c>
      <c r="J446" s="10">
        <v>29</v>
      </c>
      <c r="K446" s="10">
        <v>16</v>
      </c>
      <c r="L446" s="11" t="s">
        <v>571</v>
      </c>
      <c r="M446" s="12">
        <v>0</v>
      </c>
      <c r="N446" s="13"/>
      <c r="O446" s="13"/>
    </row>
    <row r="447" spans="1:15">
      <c r="A447" s="22" t="s">
        <v>590</v>
      </c>
      <c r="B447" s="8">
        <v>9</v>
      </c>
      <c r="C447" s="8">
        <v>330</v>
      </c>
      <c r="D447" s="8">
        <v>50</v>
      </c>
      <c r="E447" s="8">
        <v>1.48</v>
      </c>
      <c r="F447" s="9">
        <v>446</v>
      </c>
      <c r="G447" s="8" t="s">
        <v>72</v>
      </c>
      <c r="H447" s="10" t="s">
        <v>83</v>
      </c>
      <c r="I447" s="10">
        <v>145</v>
      </c>
      <c r="J447" s="10">
        <v>29</v>
      </c>
      <c r="K447" s="10">
        <v>16</v>
      </c>
      <c r="L447" s="11" t="s">
        <v>591</v>
      </c>
      <c r="M447" s="12">
        <v>61</v>
      </c>
      <c r="N447" s="13"/>
      <c r="O447" s="13"/>
    </row>
    <row r="448" spans="1:15">
      <c r="A448" s="22" t="s">
        <v>592</v>
      </c>
      <c r="B448" s="8">
        <v>9</v>
      </c>
      <c r="C448" s="8">
        <v>328</v>
      </c>
      <c r="D448" s="8">
        <v>50</v>
      </c>
      <c r="E448" s="8">
        <v>1.48</v>
      </c>
      <c r="F448" s="9">
        <v>447</v>
      </c>
      <c r="G448" s="8" t="s">
        <v>72</v>
      </c>
      <c r="H448" s="10" t="s">
        <v>83</v>
      </c>
      <c r="I448" s="10">
        <v>145</v>
      </c>
      <c r="J448" s="10">
        <v>29</v>
      </c>
      <c r="K448" s="10">
        <v>16</v>
      </c>
      <c r="L448" s="11" t="s">
        <v>593</v>
      </c>
      <c r="M448" s="12">
        <v>67</v>
      </c>
      <c r="N448" s="13"/>
      <c r="O448" s="13"/>
    </row>
    <row r="449" spans="1:15">
      <c r="A449" s="22" t="s">
        <v>594</v>
      </c>
      <c r="B449" s="8">
        <v>9</v>
      </c>
      <c r="C449" s="8">
        <v>435</v>
      </c>
      <c r="D449" s="8">
        <v>1</v>
      </c>
      <c r="E449" s="8">
        <v>0.5</v>
      </c>
      <c r="F449" s="9">
        <v>448</v>
      </c>
      <c r="G449" s="8" t="s">
        <v>446</v>
      </c>
      <c r="H449" s="10" t="s">
        <v>443</v>
      </c>
      <c r="I449" s="10">
        <v>89</v>
      </c>
      <c r="J449" s="10">
        <v>14</v>
      </c>
      <c r="K449" s="10">
        <v>9</v>
      </c>
      <c r="L449" s="11" t="s">
        <v>595</v>
      </c>
      <c r="M449" s="12">
        <v>0</v>
      </c>
      <c r="N449" s="13"/>
      <c r="O449" s="13"/>
    </row>
    <row r="450" spans="1:15">
      <c r="A450" s="22" t="s">
        <v>596</v>
      </c>
      <c r="B450" s="8">
        <v>9</v>
      </c>
      <c r="C450" s="8">
        <v>67</v>
      </c>
      <c r="D450" s="8">
        <v>50</v>
      </c>
      <c r="E450" s="8">
        <v>0.6</v>
      </c>
      <c r="F450" s="9">
        <v>449</v>
      </c>
      <c r="G450" s="8" t="s">
        <v>16</v>
      </c>
      <c r="H450" s="10" t="s">
        <v>17</v>
      </c>
      <c r="I450" s="10">
        <v>122</v>
      </c>
      <c r="J450" s="10">
        <v>15</v>
      </c>
      <c r="K450" s="10">
        <v>10</v>
      </c>
      <c r="L450" s="11" t="s">
        <v>96</v>
      </c>
      <c r="M450" s="12">
        <v>30</v>
      </c>
      <c r="N450" s="13"/>
      <c r="O450" s="13"/>
    </row>
    <row r="451" spans="1:15">
      <c r="A451" s="22" t="s">
        <v>597</v>
      </c>
      <c r="B451" s="8">
        <v>9</v>
      </c>
      <c r="C451" s="8">
        <v>69</v>
      </c>
      <c r="D451" s="8">
        <v>50</v>
      </c>
      <c r="E451" s="8">
        <v>0.6</v>
      </c>
      <c r="F451" s="9">
        <v>450</v>
      </c>
      <c r="G451" s="8" t="s">
        <v>16</v>
      </c>
      <c r="H451" s="10" t="s">
        <v>17</v>
      </c>
      <c r="I451" s="10">
        <v>122</v>
      </c>
      <c r="J451" s="10">
        <v>15</v>
      </c>
      <c r="K451" s="10">
        <v>10</v>
      </c>
      <c r="L451" s="11" t="s">
        <v>280</v>
      </c>
      <c r="M451" s="12">
        <v>28</v>
      </c>
      <c r="N451" s="13"/>
      <c r="O451" s="13"/>
    </row>
    <row r="452" spans="1:15">
      <c r="A452" s="22" t="s">
        <v>598</v>
      </c>
      <c r="B452" s="8">
        <v>9</v>
      </c>
      <c r="C452" s="8">
        <v>67</v>
      </c>
      <c r="D452" s="8">
        <v>50</v>
      </c>
      <c r="E452" s="8">
        <v>0.6</v>
      </c>
      <c r="F452" s="9">
        <v>451</v>
      </c>
      <c r="G452" s="8" t="s">
        <v>16</v>
      </c>
      <c r="H452" s="10" t="s">
        <v>17</v>
      </c>
      <c r="I452" s="10">
        <v>122</v>
      </c>
      <c r="J452" s="10">
        <v>15</v>
      </c>
      <c r="K452" s="10">
        <v>10</v>
      </c>
      <c r="L452" s="11" t="s">
        <v>96</v>
      </c>
      <c r="M452" s="12">
        <v>0</v>
      </c>
      <c r="N452" s="13"/>
      <c r="O452" s="13"/>
    </row>
    <row r="453" spans="1:15">
      <c r="A453" s="22" t="s">
        <v>599</v>
      </c>
      <c r="B453" s="8">
        <v>9</v>
      </c>
      <c r="C453" s="8">
        <v>81</v>
      </c>
      <c r="D453" s="8">
        <v>50</v>
      </c>
      <c r="E453" s="8">
        <v>0.6</v>
      </c>
      <c r="F453" s="9">
        <v>452</v>
      </c>
      <c r="G453" s="8" t="s">
        <v>16</v>
      </c>
      <c r="H453" s="10" t="s">
        <v>17</v>
      </c>
      <c r="I453" s="10">
        <v>122</v>
      </c>
      <c r="J453" s="10">
        <v>15</v>
      </c>
      <c r="K453" s="10">
        <v>10</v>
      </c>
      <c r="L453" s="11" t="s">
        <v>600</v>
      </c>
      <c r="M453" s="12">
        <v>33</v>
      </c>
      <c r="N453" s="13"/>
      <c r="O453" s="13"/>
    </row>
    <row r="454" spans="1:15">
      <c r="A454" s="22" t="s">
        <v>601</v>
      </c>
      <c r="B454" s="8">
        <v>9</v>
      </c>
      <c r="C454" s="8">
        <v>430</v>
      </c>
      <c r="D454" s="8">
        <v>1</v>
      </c>
      <c r="E454" s="8">
        <v>0.5</v>
      </c>
      <c r="F454" s="9">
        <v>453</v>
      </c>
      <c r="G454" s="8" t="s">
        <v>446</v>
      </c>
      <c r="H454" s="10" t="s">
        <v>443</v>
      </c>
      <c r="I454" s="10">
        <v>89</v>
      </c>
      <c r="J454" s="10">
        <v>14</v>
      </c>
      <c r="K454" s="10">
        <v>9</v>
      </c>
      <c r="L454" s="11" t="s">
        <v>447</v>
      </c>
      <c r="M454" s="12">
        <v>0</v>
      </c>
      <c r="N454" s="13"/>
      <c r="O454" s="13"/>
    </row>
    <row r="455" spans="1:15">
      <c r="A455" s="22" t="s">
        <v>602</v>
      </c>
      <c r="B455" s="8">
        <v>9</v>
      </c>
      <c r="C455" s="8">
        <v>69</v>
      </c>
      <c r="D455" s="8">
        <v>50</v>
      </c>
      <c r="E455" s="8">
        <v>0.6</v>
      </c>
      <c r="F455" s="9">
        <v>454</v>
      </c>
      <c r="G455" s="8" t="s">
        <v>16</v>
      </c>
      <c r="H455" s="10" t="s">
        <v>17</v>
      </c>
      <c r="I455" s="10">
        <v>122</v>
      </c>
      <c r="J455" s="10">
        <v>15</v>
      </c>
      <c r="K455" s="10">
        <v>10</v>
      </c>
      <c r="L455" s="11" t="s">
        <v>123</v>
      </c>
      <c r="M455" s="12">
        <v>71</v>
      </c>
      <c r="N455" s="13"/>
      <c r="O455" s="13"/>
    </row>
    <row r="456" spans="1:15">
      <c r="A456" s="22" t="s">
        <v>603</v>
      </c>
      <c r="B456" s="8">
        <v>9</v>
      </c>
      <c r="C456" s="8">
        <v>72</v>
      </c>
      <c r="D456" s="8">
        <v>50</v>
      </c>
      <c r="E456" s="8">
        <v>0.6</v>
      </c>
      <c r="F456" s="9">
        <v>455</v>
      </c>
      <c r="G456" s="8" t="s">
        <v>16</v>
      </c>
      <c r="H456" s="10" t="s">
        <v>17</v>
      </c>
      <c r="I456" s="10">
        <v>122</v>
      </c>
      <c r="J456" s="10">
        <v>15</v>
      </c>
      <c r="K456" s="10">
        <v>10</v>
      </c>
      <c r="L456" s="11" t="s">
        <v>604</v>
      </c>
      <c r="M456" s="12">
        <v>37</v>
      </c>
      <c r="N456" s="13"/>
      <c r="O456" s="13"/>
    </row>
    <row r="457" spans="1:15">
      <c r="A457" s="22" t="s">
        <v>605</v>
      </c>
      <c r="B457" s="8">
        <v>9</v>
      </c>
      <c r="C457" s="8">
        <v>60</v>
      </c>
      <c r="D457" s="8">
        <v>50</v>
      </c>
      <c r="E457" s="8">
        <v>0.6</v>
      </c>
      <c r="F457" s="9">
        <v>456</v>
      </c>
      <c r="G457" s="8" t="s">
        <v>16</v>
      </c>
      <c r="H457" s="10" t="s">
        <v>17</v>
      </c>
      <c r="I457" s="10">
        <v>122</v>
      </c>
      <c r="J457" s="10">
        <v>15</v>
      </c>
      <c r="K457" s="10">
        <v>10</v>
      </c>
      <c r="L457" s="11" t="s">
        <v>113</v>
      </c>
      <c r="M457" s="12">
        <v>225</v>
      </c>
      <c r="N457" s="13"/>
      <c r="O457" s="13"/>
    </row>
    <row r="458" spans="1:15">
      <c r="A458" s="22" t="s">
        <v>606</v>
      </c>
      <c r="B458" s="8">
        <v>9</v>
      </c>
      <c r="C458" s="8">
        <v>69</v>
      </c>
      <c r="D458" s="8">
        <v>50</v>
      </c>
      <c r="E458" s="8">
        <v>0.6</v>
      </c>
      <c r="F458" s="9">
        <v>457</v>
      </c>
      <c r="G458" s="8" t="s">
        <v>16</v>
      </c>
      <c r="H458" s="10" t="s">
        <v>17</v>
      </c>
      <c r="I458" s="10">
        <v>122</v>
      </c>
      <c r="J458" s="10">
        <v>15</v>
      </c>
      <c r="K458" s="10">
        <v>10</v>
      </c>
      <c r="L458" s="11" t="s">
        <v>123</v>
      </c>
      <c r="M458" s="12">
        <v>17</v>
      </c>
      <c r="N458" s="13"/>
      <c r="O458" s="13"/>
    </row>
    <row r="459" spans="1:15">
      <c r="A459" s="22" t="s">
        <v>607</v>
      </c>
      <c r="B459" s="8">
        <v>9</v>
      </c>
      <c r="C459" s="8">
        <v>69</v>
      </c>
      <c r="D459" s="8">
        <v>50</v>
      </c>
      <c r="E459" s="8">
        <v>0.6</v>
      </c>
      <c r="F459" s="9">
        <v>458</v>
      </c>
      <c r="G459" s="8" t="s">
        <v>16</v>
      </c>
      <c r="H459" s="10" t="s">
        <v>17</v>
      </c>
      <c r="I459" s="10">
        <v>122</v>
      </c>
      <c r="J459" s="10">
        <v>15</v>
      </c>
      <c r="K459" s="10">
        <v>10</v>
      </c>
      <c r="L459" s="11" t="s">
        <v>123</v>
      </c>
      <c r="M459" s="12">
        <v>1</v>
      </c>
      <c r="N459" s="13"/>
      <c r="O459" s="13"/>
    </row>
    <row r="460" spans="1:15">
      <c r="A460" s="22" t="s">
        <v>608</v>
      </c>
      <c r="B460" s="8">
        <v>9</v>
      </c>
      <c r="C460" s="8">
        <v>79</v>
      </c>
      <c r="D460" s="8">
        <v>50</v>
      </c>
      <c r="E460" s="8">
        <v>0.6</v>
      </c>
      <c r="F460" s="9">
        <v>459</v>
      </c>
      <c r="G460" s="8" t="s">
        <v>16</v>
      </c>
      <c r="H460" s="10" t="s">
        <v>17</v>
      </c>
      <c r="I460" s="10">
        <v>122</v>
      </c>
      <c r="J460" s="10">
        <v>15</v>
      </c>
      <c r="K460" s="10">
        <v>10</v>
      </c>
      <c r="L460" s="11" t="s">
        <v>146</v>
      </c>
      <c r="M460" s="12">
        <v>0</v>
      </c>
      <c r="N460" s="13"/>
      <c r="O460" s="13"/>
    </row>
    <row r="461" spans="1:15">
      <c r="A461" s="22" t="s">
        <v>609</v>
      </c>
      <c r="B461" s="8">
        <v>9</v>
      </c>
      <c r="C461" s="8">
        <v>77</v>
      </c>
      <c r="D461" s="8">
        <v>50</v>
      </c>
      <c r="E461" s="8">
        <v>0.6</v>
      </c>
      <c r="F461" s="9">
        <v>460</v>
      </c>
      <c r="G461" s="8" t="s">
        <v>16</v>
      </c>
      <c r="H461" s="10" t="s">
        <v>17</v>
      </c>
      <c r="I461" s="10">
        <v>122</v>
      </c>
      <c r="J461" s="10">
        <v>15</v>
      </c>
      <c r="K461" s="10">
        <v>10</v>
      </c>
      <c r="L461" s="11" t="s">
        <v>56</v>
      </c>
      <c r="M461" s="12">
        <v>5</v>
      </c>
      <c r="N461" s="13"/>
      <c r="O461" s="13"/>
    </row>
    <row r="462" spans="1:15">
      <c r="A462" s="22" t="s">
        <v>610</v>
      </c>
      <c r="B462" s="8">
        <v>9</v>
      </c>
      <c r="C462" s="8">
        <v>67</v>
      </c>
      <c r="D462" s="8">
        <v>50</v>
      </c>
      <c r="E462" s="8">
        <v>0.6</v>
      </c>
      <c r="F462" s="9">
        <v>461</v>
      </c>
      <c r="G462" s="8" t="s">
        <v>16</v>
      </c>
      <c r="H462" s="10" t="s">
        <v>17</v>
      </c>
      <c r="I462" s="10">
        <v>122</v>
      </c>
      <c r="J462" s="10">
        <v>15</v>
      </c>
      <c r="K462" s="10">
        <v>10</v>
      </c>
      <c r="L462" s="11" t="s">
        <v>96</v>
      </c>
      <c r="M462" s="12">
        <v>0</v>
      </c>
      <c r="N462" s="13"/>
      <c r="O462" s="13"/>
    </row>
    <row r="463" spans="1:15">
      <c r="A463" s="22" t="s">
        <v>611</v>
      </c>
      <c r="B463" s="8">
        <v>9</v>
      </c>
      <c r="C463" s="8">
        <v>68</v>
      </c>
      <c r="D463" s="8">
        <v>50</v>
      </c>
      <c r="E463" s="8">
        <v>0.6</v>
      </c>
      <c r="F463" s="9">
        <v>462</v>
      </c>
      <c r="G463" s="8" t="s">
        <v>16</v>
      </c>
      <c r="H463" s="10" t="s">
        <v>17</v>
      </c>
      <c r="I463" s="10">
        <v>122</v>
      </c>
      <c r="J463" s="10">
        <v>15</v>
      </c>
      <c r="K463" s="10">
        <v>10</v>
      </c>
      <c r="L463" s="11" t="s">
        <v>118</v>
      </c>
      <c r="M463" s="12">
        <v>0</v>
      </c>
      <c r="N463" s="13"/>
      <c r="O463" s="13"/>
    </row>
    <row r="464" spans="1:15">
      <c r="A464" s="22" t="s">
        <v>612</v>
      </c>
      <c r="B464" s="8">
        <v>9</v>
      </c>
      <c r="C464" s="8">
        <v>91</v>
      </c>
      <c r="D464" s="8">
        <v>50</v>
      </c>
      <c r="E464" s="8">
        <v>0.6</v>
      </c>
      <c r="F464" s="9">
        <v>463</v>
      </c>
      <c r="G464" s="8" t="s">
        <v>16</v>
      </c>
      <c r="H464" s="10" t="s">
        <v>17</v>
      </c>
      <c r="I464" s="10">
        <v>122</v>
      </c>
      <c r="J464" s="10">
        <v>15</v>
      </c>
      <c r="K464" s="10">
        <v>10</v>
      </c>
      <c r="L464" s="11" t="s">
        <v>613</v>
      </c>
      <c r="M464" s="12">
        <v>0</v>
      </c>
      <c r="N464" s="13"/>
      <c r="O464" s="13"/>
    </row>
    <row r="465" spans="1:15">
      <c r="A465" s="22" t="s">
        <v>614</v>
      </c>
      <c r="B465" s="8">
        <v>9</v>
      </c>
      <c r="C465" s="8">
        <v>67</v>
      </c>
      <c r="D465" s="8">
        <v>50</v>
      </c>
      <c r="E465" s="8">
        <v>0.6</v>
      </c>
      <c r="F465" s="9">
        <v>464</v>
      </c>
      <c r="G465" s="8" t="s">
        <v>16</v>
      </c>
      <c r="H465" s="10" t="s">
        <v>17</v>
      </c>
      <c r="I465" s="10">
        <v>122</v>
      </c>
      <c r="J465" s="10">
        <v>15</v>
      </c>
      <c r="K465" s="10">
        <v>10</v>
      </c>
      <c r="L465" s="11" t="s">
        <v>96</v>
      </c>
      <c r="M465" s="12">
        <v>2</v>
      </c>
      <c r="N465" s="13"/>
      <c r="O465" s="13"/>
    </row>
    <row r="466" spans="1:15">
      <c r="A466" s="22" t="s">
        <v>615</v>
      </c>
      <c r="B466" s="8">
        <v>9</v>
      </c>
      <c r="C466" s="8">
        <v>64</v>
      </c>
      <c r="D466" s="8">
        <v>50</v>
      </c>
      <c r="E466" s="8">
        <v>0.6</v>
      </c>
      <c r="F466" s="9">
        <v>465</v>
      </c>
      <c r="G466" s="8" t="s">
        <v>16</v>
      </c>
      <c r="H466" s="10" t="s">
        <v>17</v>
      </c>
      <c r="I466" s="10">
        <v>122</v>
      </c>
      <c r="J466" s="10">
        <v>15</v>
      </c>
      <c r="K466" s="10">
        <v>10</v>
      </c>
      <c r="L466" s="11" t="s">
        <v>64</v>
      </c>
      <c r="M466" s="12">
        <v>76</v>
      </c>
      <c r="N466" s="13"/>
      <c r="O466" s="13"/>
    </row>
    <row r="467" spans="1:15">
      <c r="A467" s="22" t="s">
        <v>616</v>
      </c>
      <c r="B467" s="8">
        <v>9</v>
      </c>
      <c r="C467" s="8">
        <v>64</v>
      </c>
      <c r="D467" s="8">
        <v>50</v>
      </c>
      <c r="E467" s="8">
        <v>0.6</v>
      </c>
      <c r="F467" s="9">
        <v>466</v>
      </c>
      <c r="G467" s="8" t="s">
        <v>16</v>
      </c>
      <c r="H467" s="10" t="s">
        <v>17</v>
      </c>
      <c r="I467" s="10">
        <v>122</v>
      </c>
      <c r="J467" s="10">
        <v>15</v>
      </c>
      <c r="K467" s="10">
        <v>10</v>
      </c>
      <c r="L467" s="11" t="s">
        <v>315</v>
      </c>
      <c r="M467" s="12">
        <v>128</v>
      </c>
      <c r="N467" s="13"/>
      <c r="O467" s="13"/>
    </row>
    <row r="468" spans="1:15">
      <c r="A468" s="22" t="s">
        <v>617</v>
      </c>
      <c r="B468" s="8">
        <v>9</v>
      </c>
      <c r="C468" s="8">
        <v>72</v>
      </c>
      <c r="D468" s="8">
        <v>50</v>
      </c>
      <c r="E468" s="8">
        <v>0.6</v>
      </c>
      <c r="F468" s="9">
        <v>467</v>
      </c>
      <c r="G468" s="8" t="s">
        <v>16</v>
      </c>
      <c r="H468" s="10" t="s">
        <v>17</v>
      </c>
      <c r="I468" s="10">
        <v>122</v>
      </c>
      <c r="J468" s="10">
        <v>15</v>
      </c>
      <c r="K468" s="10">
        <v>10</v>
      </c>
      <c r="L468" s="11" t="s">
        <v>107</v>
      </c>
      <c r="M468" s="12">
        <v>27</v>
      </c>
      <c r="N468" s="13"/>
      <c r="O468" s="13"/>
    </row>
    <row r="469" spans="1:15">
      <c r="A469" s="22" t="s">
        <v>618</v>
      </c>
      <c r="B469" s="8">
        <v>9</v>
      </c>
      <c r="C469" s="8">
        <v>74</v>
      </c>
      <c r="D469" s="8">
        <v>50</v>
      </c>
      <c r="E469" s="8">
        <v>0.6</v>
      </c>
      <c r="F469" s="9">
        <v>468</v>
      </c>
      <c r="G469" s="8" t="s">
        <v>16</v>
      </c>
      <c r="H469" s="10" t="s">
        <v>17</v>
      </c>
      <c r="I469" s="10">
        <v>122</v>
      </c>
      <c r="J469" s="10">
        <v>15</v>
      </c>
      <c r="K469" s="10">
        <v>10</v>
      </c>
      <c r="L469" s="11" t="s">
        <v>155</v>
      </c>
      <c r="M469" s="12">
        <v>278</v>
      </c>
      <c r="N469" s="13"/>
      <c r="O469" s="13"/>
    </row>
    <row r="470" spans="1:15">
      <c r="A470" s="22" t="s">
        <v>619</v>
      </c>
      <c r="B470" s="8">
        <v>9</v>
      </c>
      <c r="C470" s="8">
        <v>79</v>
      </c>
      <c r="D470" s="8">
        <v>100</v>
      </c>
      <c r="E470" s="8">
        <v>0.72</v>
      </c>
      <c r="F470" s="9">
        <v>469</v>
      </c>
      <c r="G470" s="8" t="s">
        <v>16</v>
      </c>
      <c r="H470" s="10" t="s">
        <v>620</v>
      </c>
      <c r="I470" s="10">
        <v>111</v>
      </c>
      <c r="J470" s="10">
        <v>29</v>
      </c>
      <c r="K470" s="10">
        <v>10</v>
      </c>
      <c r="L470" s="11" t="s">
        <v>146</v>
      </c>
      <c r="M470" s="12">
        <v>10</v>
      </c>
      <c r="N470" s="13"/>
      <c r="O470" s="13"/>
    </row>
    <row r="471" spans="1:15">
      <c r="A471" s="22" t="s">
        <v>621</v>
      </c>
      <c r="B471" s="8">
        <v>9</v>
      </c>
      <c r="C471" s="8">
        <v>79</v>
      </c>
      <c r="D471" s="8">
        <v>100</v>
      </c>
      <c r="E471" s="8">
        <v>0.72</v>
      </c>
      <c r="F471" s="9">
        <v>470</v>
      </c>
      <c r="G471" s="8" t="s">
        <v>16</v>
      </c>
      <c r="H471" s="10" t="s">
        <v>620</v>
      </c>
      <c r="I471" s="10">
        <v>111</v>
      </c>
      <c r="J471" s="10">
        <v>29</v>
      </c>
      <c r="K471" s="10">
        <v>10</v>
      </c>
      <c r="L471" s="11" t="s">
        <v>146</v>
      </c>
      <c r="M471" s="12">
        <v>2</v>
      </c>
      <c r="N471" s="13"/>
      <c r="O471" s="13"/>
    </row>
    <row r="472" spans="1:15">
      <c r="A472" s="22" t="s">
        <v>622</v>
      </c>
      <c r="B472" s="8">
        <v>9</v>
      </c>
      <c r="C472" s="8">
        <v>76</v>
      </c>
      <c r="D472" s="8">
        <v>100</v>
      </c>
      <c r="E472" s="8">
        <v>0.72</v>
      </c>
      <c r="F472" s="9">
        <v>471</v>
      </c>
      <c r="G472" s="8" t="s">
        <v>16</v>
      </c>
      <c r="H472" s="10" t="s">
        <v>620</v>
      </c>
      <c r="I472" s="10">
        <v>111</v>
      </c>
      <c r="J472" s="10">
        <v>29</v>
      </c>
      <c r="K472" s="10">
        <v>10</v>
      </c>
      <c r="L472" s="11" t="s">
        <v>131</v>
      </c>
      <c r="M472" s="12">
        <v>7</v>
      </c>
      <c r="N472" s="13"/>
      <c r="O472" s="13"/>
    </row>
    <row r="473" spans="1:15">
      <c r="A473" s="22" t="s">
        <v>623</v>
      </c>
      <c r="B473" s="8">
        <v>9</v>
      </c>
      <c r="C473" s="8">
        <v>76</v>
      </c>
      <c r="D473" s="8">
        <v>100</v>
      </c>
      <c r="E473" s="8">
        <v>0.72</v>
      </c>
      <c r="F473" s="9">
        <v>472</v>
      </c>
      <c r="G473" s="8" t="s">
        <v>16</v>
      </c>
      <c r="H473" s="10" t="s">
        <v>620</v>
      </c>
      <c r="I473" s="10">
        <v>111</v>
      </c>
      <c r="J473" s="10">
        <v>29</v>
      </c>
      <c r="K473" s="10">
        <v>10</v>
      </c>
      <c r="L473" s="11" t="s">
        <v>131</v>
      </c>
      <c r="M473" s="12">
        <v>225</v>
      </c>
      <c r="N473" s="13"/>
      <c r="O473" s="13"/>
    </row>
    <row r="474" spans="1:15">
      <c r="A474" s="22" t="s">
        <v>624</v>
      </c>
      <c r="B474" s="8">
        <v>9</v>
      </c>
      <c r="C474" s="8">
        <v>76</v>
      </c>
      <c r="D474" s="8">
        <v>100</v>
      </c>
      <c r="E474" s="8">
        <v>0.72</v>
      </c>
      <c r="F474" s="9">
        <v>473</v>
      </c>
      <c r="G474" s="8" t="s">
        <v>16</v>
      </c>
      <c r="H474" s="10" t="s">
        <v>620</v>
      </c>
      <c r="I474" s="10">
        <v>111</v>
      </c>
      <c r="J474" s="10">
        <v>29</v>
      </c>
      <c r="K474" s="10">
        <v>10</v>
      </c>
      <c r="L474" s="11" t="s">
        <v>131</v>
      </c>
      <c r="M474" s="12">
        <v>131</v>
      </c>
      <c r="N474" s="13"/>
      <c r="O474" s="13"/>
    </row>
    <row r="475" spans="1:15">
      <c r="A475" s="22" t="s">
        <v>625</v>
      </c>
      <c r="B475" s="8">
        <v>9</v>
      </c>
      <c r="C475" s="8">
        <v>68</v>
      </c>
      <c r="D475" s="8">
        <v>50</v>
      </c>
      <c r="E475" s="8">
        <v>0.6</v>
      </c>
      <c r="F475" s="9">
        <v>474</v>
      </c>
      <c r="G475" s="8" t="s">
        <v>16</v>
      </c>
      <c r="H475" s="10" t="s">
        <v>17</v>
      </c>
      <c r="I475" s="10">
        <v>122</v>
      </c>
      <c r="J475" s="10">
        <v>15</v>
      </c>
      <c r="K475" s="10">
        <v>10</v>
      </c>
      <c r="L475" s="11" t="s">
        <v>118</v>
      </c>
      <c r="M475" s="12">
        <v>58</v>
      </c>
      <c r="N475" s="13"/>
      <c r="O475" s="13"/>
    </row>
    <row r="476" spans="1:15">
      <c r="A476" s="22" t="s">
        <v>626</v>
      </c>
      <c r="B476" s="8">
        <v>9</v>
      </c>
      <c r="C476" s="8">
        <v>76</v>
      </c>
      <c r="D476" s="8">
        <v>50</v>
      </c>
      <c r="E476" s="8">
        <v>0.6</v>
      </c>
      <c r="F476" s="9">
        <v>475</v>
      </c>
      <c r="G476" s="8" t="s">
        <v>16</v>
      </c>
      <c r="H476" s="10" t="s">
        <v>17</v>
      </c>
      <c r="I476" s="10">
        <v>122</v>
      </c>
      <c r="J476" s="10">
        <v>15</v>
      </c>
      <c r="K476" s="10">
        <v>10</v>
      </c>
      <c r="L476" s="11" t="s">
        <v>131</v>
      </c>
      <c r="M476" s="12">
        <v>25</v>
      </c>
      <c r="N476" s="13"/>
      <c r="O476" s="13"/>
    </row>
    <row r="477" spans="1:15">
      <c r="A477" s="22" t="s">
        <v>627</v>
      </c>
      <c r="B477" s="8">
        <v>9</v>
      </c>
      <c r="C477" s="8">
        <v>60</v>
      </c>
      <c r="D477" s="8">
        <v>50</v>
      </c>
      <c r="E477" s="8">
        <v>0.6</v>
      </c>
      <c r="F477" s="9">
        <v>476</v>
      </c>
      <c r="G477" s="8" t="s">
        <v>16</v>
      </c>
      <c r="H477" s="10" t="s">
        <v>17</v>
      </c>
      <c r="I477" s="10">
        <v>122</v>
      </c>
      <c r="J477" s="10">
        <v>15</v>
      </c>
      <c r="K477" s="10">
        <v>10</v>
      </c>
      <c r="L477" s="11" t="s">
        <v>113</v>
      </c>
      <c r="M477" s="12">
        <v>0</v>
      </c>
      <c r="N477" s="13"/>
      <c r="O477" s="13"/>
    </row>
    <row r="478" spans="1:15">
      <c r="A478" s="22" t="s">
        <v>628</v>
      </c>
      <c r="B478" s="8">
        <v>9</v>
      </c>
      <c r="C478" s="8">
        <v>155</v>
      </c>
      <c r="D478" s="8">
        <v>6</v>
      </c>
      <c r="E478" s="8">
        <v>0.2</v>
      </c>
      <c r="F478" s="9">
        <v>477</v>
      </c>
      <c r="G478" s="8" t="s">
        <v>629</v>
      </c>
      <c r="H478" s="10" t="s">
        <v>630</v>
      </c>
      <c r="I478" s="10">
        <v>45</v>
      </c>
      <c r="J478" s="10">
        <v>26</v>
      </c>
      <c r="K478" s="10">
        <v>8</v>
      </c>
      <c r="L478" s="11" t="s">
        <v>631</v>
      </c>
      <c r="M478" s="12">
        <v>0</v>
      </c>
      <c r="N478" s="13"/>
      <c r="O478" s="13"/>
    </row>
    <row r="479" spans="1:15">
      <c r="A479" s="22" t="s">
        <v>632</v>
      </c>
      <c r="B479" s="8">
        <v>9</v>
      </c>
      <c r="C479" s="8">
        <v>155</v>
      </c>
      <c r="D479" s="8">
        <v>6</v>
      </c>
      <c r="E479" s="8">
        <v>0.2</v>
      </c>
      <c r="F479" s="9">
        <v>478</v>
      </c>
      <c r="G479" s="8" t="s">
        <v>629</v>
      </c>
      <c r="H479" s="10" t="s">
        <v>630</v>
      </c>
      <c r="I479" s="10">
        <v>45</v>
      </c>
      <c r="J479" s="10">
        <v>26</v>
      </c>
      <c r="K479" s="10">
        <v>8</v>
      </c>
      <c r="L479" s="11" t="s">
        <v>631</v>
      </c>
      <c r="M479" s="12">
        <v>0</v>
      </c>
      <c r="N479" s="13"/>
      <c r="O479" s="13"/>
    </row>
    <row r="480" spans="1:15">
      <c r="A480" s="22" t="s">
        <v>633</v>
      </c>
      <c r="B480" s="8">
        <v>9</v>
      </c>
      <c r="C480" s="8">
        <v>155</v>
      </c>
      <c r="D480" s="8">
        <v>6</v>
      </c>
      <c r="E480" s="8">
        <v>0.2</v>
      </c>
      <c r="F480" s="9">
        <v>479</v>
      </c>
      <c r="G480" s="8" t="s">
        <v>629</v>
      </c>
      <c r="H480" s="10" t="s">
        <v>630</v>
      </c>
      <c r="I480" s="10">
        <v>45</v>
      </c>
      <c r="J480" s="10">
        <v>26</v>
      </c>
      <c r="K480" s="10">
        <v>8</v>
      </c>
      <c r="L480" s="11" t="s">
        <v>631</v>
      </c>
      <c r="M480" s="12">
        <v>0</v>
      </c>
      <c r="N480" s="13"/>
      <c r="O480" s="13"/>
    </row>
    <row r="481" spans="1:15">
      <c r="A481" s="22" t="s">
        <v>634</v>
      </c>
      <c r="B481" s="8">
        <v>9</v>
      </c>
      <c r="C481" s="8">
        <v>155</v>
      </c>
      <c r="D481" s="8">
        <v>6</v>
      </c>
      <c r="E481" s="8">
        <v>0.2</v>
      </c>
      <c r="F481" s="9">
        <v>480</v>
      </c>
      <c r="G481" s="8" t="s">
        <v>629</v>
      </c>
      <c r="H481" s="10" t="s">
        <v>630</v>
      </c>
      <c r="I481" s="10">
        <v>45</v>
      </c>
      <c r="J481" s="10">
        <v>26</v>
      </c>
      <c r="K481" s="10">
        <v>8</v>
      </c>
      <c r="L481" s="11" t="s">
        <v>631</v>
      </c>
      <c r="M481" s="12">
        <v>0</v>
      </c>
      <c r="N481" s="13"/>
      <c r="O481" s="13"/>
    </row>
    <row r="482" spans="1:15">
      <c r="A482" s="22" t="s">
        <v>635</v>
      </c>
      <c r="B482" s="8">
        <v>9</v>
      </c>
      <c r="C482" s="8">
        <v>155</v>
      </c>
      <c r="D482" s="8">
        <v>6</v>
      </c>
      <c r="E482" s="8">
        <v>0.2</v>
      </c>
      <c r="F482" s="9">
        <v>481</v>
      </c>
      <c r="G482" s="8" t="s">
        <v>629</v>
      </c>
      <c r="H482" s="10" t="s">
        <v>630</v>
      </c>
      <c r="I482" s="10">
        <v>45</v>
      </c>
      <c r="J482" s="10">
        <v>26</v>
      </c>
      <c r="K482" s="10">
        <v>8</v>
      </c>
      <c r="L482" s="11" t="s">
        <v>631</v>
      </c>
      <c r="M482" s="12">
        <v>0</v>
      </c>
      <c r="N482" s="13"/>
      <c r="O482" s="13"/>
    </row>
    <row r="483" spans="1:15">
      <c r="A483" s="22" t="s">
        <v>636</v>
      </c>
      <c r="B483" s="8">
        <v>9</v>
      </c>
      <c r="C483" s="8">
        <v>155</v>
      </c>
      <c r="D483" s="8">
        <v>6</v>
      </c>
      <c r="E483" s="8">
        <v>0.2</v>
      </c>
      <c r="F483" s="9">
        <v>482</v>
      </c>
      <c r="G483" s="8" t="s">
        <v>629</v>
      </c>
      <c r="H483" s="10" t="s">
        <v>630</v>
      </c>
      <c r="I483" s="10">
        <v>45</v>
      </c>
      <c r="J483" s="10">
        <v>26</v>
      </c>
      <c r="K483" s="10">
        <v>8</v>
      </c>
      <c r="L483" s="11" t="s">
        <v>631</v>
      </c>
      <c r="M483" s="12">
        <v>0</v>
      </c>
      <c r="N483" s="13"/>
      <c r="O483" s="13"/>
    </row>
    <row r="484" spans="1:15">
      <c r="A484" s="22" t="s">
        <v>637</v>
      </c>
      <c r="B484" s="8">
        <v>9</v>
      </c>
      <c r="C484" s="8">
        <v>67</v>
      </c>
      <c r="D484" s="8">
        <v>50</v>
      </c>
      <c r="E484" s="8">
        <v>0.6</v>
      </c>
      <c r="F484" s="9">
        <v>483</v>
      </c>
      <c r="G484" s="8" t="s">
        <v>16</v>
      </c>
      <c r="H484" s="10" t="s">
        <v>17</v>
      </c>
      <c r="I484" s="10">
        <v>122</v>
      </c>
      <c r="J484" s="10">
        <v>15</v>
      </c>
      <c r="K484" s="10">
        <v>10</v>
      </c>
      <c r="L484" s="11" t="s">
        <v>96</v>
      </c>
      <c r="M484" s="12">
        <v>23</v>
      </c>
      <c r="N484" s="13"/>
      <c r="O484" s="13"/>
    </row>
    <row r="485" spans="1:15">
      <c r="A485" s="22" t="s">
        <v>638</v>
      </c>
      <c r="B485" s="8">
        <v>9</v>
      </c>
      <c r="C485" s="8">
        <v>68</v>
      </c>
      <c r="D485" s="8">
        <v>50</v>
      </c>
      <c r="E485" s="8">
        <v>0.6</v>
      </c>
      <c r="F485" s="9">
        <v>484</v>
      </c>
      <c r="G485" s="8" t="s">
        <v>16</v>
      </c>
      <c r="H485" s="10" t="s">
        <v>17</v>
      </c>
      <c r="I485" s="10">
        <v>122</v>
      </c>
      <c r="J485" s="10">
        <v>15</v>
      </c>
      <c r="K485" s="10">
        <v>10</v>
      </c>
      <c r="L485" s="11" t="s">
        <v>118</v>
      </c>
      <c r="M485" s="12">
        <v>26</v>
      </c>
      <c r="N485" s="13"/>
      <c r="O485" s="13"/>
    </row>
    <row r="486" spans="1:15">
      <c r="A486" s="22" t="s">
        <v>639</v>
      </c>
      <c r="B486" s="8">
        <v>9</v>
      </c>
      <c r="C486" s="8">
        <v>69</v>
      </c>
      <c r="D486" s="8">
        <v>50</v>
      </c>
      <c r="E486" s="8">
        <v>0.6</v>
      </c>
      <c r="F486" s="9">
        <v>487</v>
      </c>
      <c r="G486" s="8" t="s">
        <v>16</v>
      </c>
      <c r="H486" s="10" t="s">
        <v>17</v>
      </c>
      <c r="I486" s="10">
        <v>122</v>
      </c>
      <c r="J486" s="10">
        <v>15</v>
      </c>
      <c r="K486" s="10">
        <v>10</v>
      </c>
      <c r="L486" s="11" t="s">
        <v>317</v>
      </c>
      <c r="M486" s="12">
        <v>0</v>
      </c>
      <c r="N486" s="13"/>
      <c r="O486" s="13"/>
    </row>
    <row r="487" spans="1:15">
      <c r="A487" s="22" t="s">
        <v>640</v>
      </c>
      <c r="B487" s="8">
        <v>9</v>
      </c>
      <c r="C487" s="8">
        <v>71</v>
      </c>
      <c r="D487" s="8">
        <v>50</v>
      </c>
      <c r="E487" s="8">
        <v>0.6</v>
      </c>
      <c r="F487" s="9">
        <v>488</v>
      </c>
      <c r="G487" s="8" t="s">
        <v>16</v>
      </c>
      <c r="H487" s="10" t="s">
        <v>17</v>
      </c>
      <c r="I487" s="10">
        <v>122</v>
      </c>
      <c r="J487" s="10">
        <v>15</v>
      </c>
      <c r="K487" s="10">
        <v>10</v>
      </c>
      <c r="L487" s="11" t="s">
        <v>319</v>
      </c>
      <c r="M487" s="12">
        <v>8</v>
      </c>
      <c r="N487" s="13"/>
      <c r="O487" s="13"/>
    </row>
    <row r="488" spans="1:15">
      <c r="A488" s="22" t="s">
        <v>641</v>
      </c>
      <c r="B488" s="8">
        <v>9</v>
      </c>
      <c r="C488" s="8">
        <v>72</v>
      </c>
      <c r="D488" s="8">
        <v>50</v>
      </c>
      <c r="E488" s="8">
        <v>0.6</v>
      </c>
      <c r="F488" s="9">
        <v>489</v>
      </c>
      <c r="G488" s="8" t="s">
        <v>16</v>
      </c>
      <c r="H488" s="10" t="s">
        <v>17</v>
      </c>
      <c r="I488" s="10">
        <v>122</v>
      </c>
      <c r="J488" s="10">
        <v>15</v>
      </c>
      <c r="K488" s="10">
        <v>10</v>
      </c>
      <c r="L488" s="11" t="s">
        <v>107</v>
      </c>
      <c r="M488" s="12">
        <v>6</v>
      </c>
      <c r="N488" s="13"/>
      <c r="O488" s="13"/>
    </row>
    <row r="489" spans="1:15">
      <c r="A489" s="22" t="s">
        <v>642</v>
      </c>
      <c r="B489" s="8">
        <v>9</v>
      </c>
      <c r="C489" s="8">
        <v>74</v>
      </c>
      <c r="D489" s="8">
        <v>50</v>
      </c>
      <c r="E489" s="8">
        <v>0.6</v>
      </c>
      <c r="F489" s="9">
        <v>490</v>
      </c>
      <c r="G489" s="8" t="s">
        <v>16</v>
      </c>
      <c r="H489" s="10" t="s">
        <v>17</v>
      </c>
      <c r="I489" s="10">
        <v>122</v>
      </c>
      <c r="J489" s="10">
        <v>15</v>
      </c>
      <c r="K489" s="10">
        <v>10</v>
      </c>
      <c r="L489" s="11" t="s">
        <v>155</v>
      </c>
      <c r="M489" s="12">
        <v>0</v>
      </c>
      <c r="N489" s="13"/>
      <c r="O489" s="13"/>
    </row>
    <row r="490" spans="1:15">
      <c r="A490" s="22" t="s">
        <v>643</v>
      </c>
      <c r="B490" s="8">
        <v>9</v>
      </c>
      <c r="C490" s="8">
        <v>155</v>
      </c>
      <c r="D490" s="8">
        <v>6</v>
      </c>
      <c r="E490" s="8">
        <v>0.2</v>
      </c>
      <c r="F490" s="9">
        <v>491</v>
      </c>
      <c r="G490" s="8" t="s">
        <v>629</v>
      </c>
      <c r="H490" s="10" t="s">
        <v>630</v>
      </c>
      <c r="I490" s="10">
        <v>45</v>
      </c>
      <c r="J490" s="10">
        <v>26</v>
      </c>
      <c r="K490" s="10">
        <v>8</v>
      </c>
      <c r="L490" s="11" t="s">
        <v>631</v>
      </c>
      <c r="M490" s="12">
        <v>0</v>
      </c>
      <c r="N490" s="13"/>
      <c r="O490" s="13"/>
    </row>
    <row r="491" spans="1:15">
      <c r="A491" s="22" t="s">
        <v>644</v>
      </c>
      <c r="B491" s="8">
        <v>9</v>
      </c>
      <c r="C491" s="8">
        <v>155</v>
      </c>
      <c r="D491" s="8">
        <v>6</v>
      </c>
      <c r="E491" s="8">
        <v>0.2</v>
      </c>
      <c r="F491" s="9">
        <v>492</v>
      </c>
      <c r="G491" s="8" t="s">
        <v>629</v>
      </c>
      <c r="H491" s="10" t="s">
        <v>630</v>
      </c>
      <c r="I491" s="10">
        <v>45</v>
      </c>
      <c r="J491" s="10">
        <v>26</v>
      </c>
      <c r="K491" s="10">
        <v>8</v>
      </c>
      <c r="L491" s="11" t="s">
        <v>631</v>
      </c>
      <c r="M491" s="12">
        <v>0</v>
      </c>
      <c r="N491" s="13"/>
      <c r="O491" s="13"/>
    </row>
    <row r="492" spans="1:15">
      <c r="A492" s="22" t="s">
        <v>645</v>
      </c>
      <c r="B492" s="8">
        <v>9</v>
      </c>
      <c r="C492" s="8">
        <v>87</v>
      </c>
      <c r="D492" s="8">
        <v>50</v>
      </c>
      <c r="E492" s="8">
        <v>0.6</v>
      </c>
      <c r="F492" s="9">
        <v>493</v>
      </c>
      <c r="G492" s="8" t="s">
        <v>16</v>
      </c>
      <c r="H492" s="10" t="s">
        <v>17</v>
      </c>
      <c r="I492" s="10">
        <v>122</v>
      </c>
      <c r="J492" s="10">
        <v>15</v>
      </c>
      <c r="K492" s="10">
        <v>10</v>
      </c>
      <c r="L492" s="11" t="s">
        <v>309</v>
      </c>
      <c r="M492" s="12">
        <v>57</v>
      </c>
      <c r="N492" s="13"/>
      <c r="O492" s="13"/>
    </row>
    <row r="493" spans="1:15">
      <c r="A493" s="22" t="s">
        <v>646</v>
      </c>
      <c r="B493" s="8">
        <v>9</v>
      </c>
      <c r="C493" s="8">
        <v>91</v>
      </c>
      <c r="D493" s="8">
        <v>50</v>
      </c>
      <c r="E493" s="8">
        <v>0.6</v>
      </c>
      <c r="F493" s="9">
        <v>494</v>
      </c>
      <c r="G493" s="8" t="s">
        <v>16</v>
      </c>
      <c r="H493" s="10" t="s">
        <v>17</v>
      </c>
      <c r="I493" s="10">
        <v>122</v>
      </c>
      <c r="J493" s="10">
        <v>15</v>
      </c>
      <c r="K493" s="10">
        <v>10</v>
      </c>
      <c r="L493" s="11" t="s">
        <v>647</v>
      </c>
      <c r="M493" s="12">
        <v>95</v>
      </c>
      <c r="N493" s="13"/>
      <c r="O493" s="13"/>
    </row>
    <row r="494" spans="1:15">
      <c r="A494" s="22" t="s">
        <v>648</v>
      </c>
      <c r="B494" s="8">
        <v>9</v>
      </c>
      <c r="C494" s="8">
        <v>483</v>
      </c>
      <c r="D494" s="8">
        <v>1</v>
      </c>
      <c r="E494" s="8">
        <v>0.5</v>
      </c>
      <c r="F494" s="9">
        <v>495</v>
      </c>
      <c r="G494" s="8" t="s">
        <v>446</v>
      </c>
      <c r="H494" s="10" t="s">
        <v>443</v>
      </c>
      <c r="I494" s="10">
        <v>89</v>
      </c>
      <c r="J494" s="10">
        <v>14</v>
      </c>
      <c r="K494" s="10">
        <v>9</v>
      </c>
      <c r="L494" s="11" t="s">
        <v>649</v>
      </c>
      <c r="M494" s="12">
        <v>41</v>
      </c>
      <c r="N494" s="13"/>
      <c r="O494" s="13"/>
    </row>
    <row r="495" spans="1:15">
      <c r="A495" s="22" t="s">
        <v>650</v>
      </c>
      <c r="B495" s="8">
        <v>9</v>
      </c>
      <c r="C495" s="8">
        <v>155</v>
      </c>
      <c r="D495" s="8">
        <v>6</v>
      </c>
      <c r="E495" s="8">
        <v>0.2</v>
      </c>
      <c r="F495" s="9">
        <v>496</v>
      </c>
      <c r="G495" s="8" t="s">
        <v>629</v>
      </c>
      <c r="H495" s="10" t="s">
        <v>630</v>
      </c>
      <c r="I495" s="10">
        <v>45</v>
      </c>
      <c r="J495" s="10">
        <v>26</v>
      </c>
      <c r="K495" s="10">
        <v>8</v>
      </c>
      <c r="L495" s="11" t="s">
        <v>631</v>
      </c>
      <c r="M495" s="12">
        <v>0</v>
      </c>
      <c r="N495" s="13"/>
      <c r="O495" s="13"/>
    </row>
    <row r="496" spans="1:15">
      <c r="A496" s="22" t="s">
        <v>651</v>
      </c>
      <c r="B496" s="8">
        <v>9</v>
      </c>
      <c r="C496" s="8">
        <v>155</v>
      </c>
      <c r="D496" s="8">
        <v>6</v>
      </c>
      <c r="E496" s="8">
        <v>0.2</v>
      </c>
      <c r="F496" s="9">
        <v>497</v>
      </c>
      <c r="G496" s="8" t="s">
        <v>629</v>
      </c>
      <c r="H496" s="10" t="s">
        <v>630</v>
      </c>
      <c r="I496" s="10">
        <v>45</v>
      </c>
      <c r="J496" s="10">
        <v>26</v>
      </c>
      <c r="K496" s="10">
        <v>8</v>
      </c>
      <c r="L496" s="11" t="s">
        <v>631</v>
      </c>
      <c r="M496" s="12">
        <v>0</v>
      </c>
      <c r="N496" s="13"/>
      <c r="O496" s="13"/>
    </row>
    <row r="497" spans="1:15">
      <c r="A497" s="22" t="s">
        <v>652</v>
      </c>
      <c r="B497" s="8">
        <v>9</v>
      </c>
      <c r="C497" s="8">
        <v>155</v>
      </c>
      <c r="D497" s="8">
        <v>160</v>
      </c>
      <c r="E497" s="8">
        <v>1.7</v>
      </c>
      <c r="F497" s="9">
        <v>498</v>
      </c>
      <c r="G497" s="8" t="s">
        <v>629</v>
      </c>
      <c r="H497" s="10" t="s">
        <v>653</v>
      </c>
      <c r="I497" s="10">
        <v>72</v>
      </c>
      <c r="J497" s="10">
        <v>52</v>
      </c>
      <c r="K497" s="10">
        <v>32</v>
      </c>
      <c r="L497" s="11" t="s">
        <v>631</v>
      </c>
      <c r="M497" s="12">
        <v>41</v>
      </c>
      <c r="N497" s="13"/>
      <c r="O497" s="13"/>
    </row>
    <row r="498" spans="1:15">
      <c r="A498" s="22" t="s">
        <v>654</v>
      </c>
      <c r="B498" s="8">
        <v>9</v>
      </c>
      <c r="C498" s="8">
        <v>155</v>
      </c>
      <c r="D498" s="8">
        <v>160</v>
      </c>
      <c r="E498" s="8">
        <v>1.7</v>
      </c>
      <c r="F498" s="9">
        <v>499</v>
      </c>
      <c r="G498" s="8" t="s">
        <v>629</v>
      </c>
      <c r="H498" s="10" t="s">
        <v>653</v>
      </c>
      <c r="I498" s="10">
        <v>72</v>
      </c>
      <c r="J498" s="10">
        <v>52</v>
      </c>
      <c r="K498" s="10">
        <v>32</v>
      </c>
      <c r="L498" s="11" t="s">
        <v>631</v>
      </c>
      <c r="M498" s="12">
        <v>1</v>
      </c>
      <c r="N498" s="13"/>
      <c r="O498" s="13"/>
    </row>
    <row r="499" spans="1:15">
      <c r="A499" s="22" t="s">
        <v>655</v>
      </c>
      <c r="B499" s="8">
        <v>9</v>
      </c>
      <c r="C499" s="8">
        <v>160</v>
      </c>
      <c r="D499" s="8">
        <v>160</v>
      </c>
      <c r="E499" s="8">
        <v>1.7</v>
      </c>
      <c r="F499" s="9">
        <v>500</v>
      </c>
      <c r="G499" s="8" t="s">
        <v>629</v>
      </c>
      <c r="H499" s="10" t="s">
        <v>653</v>
      </c>
      <c r="I499" s="10">
        <v>72</v>
      </c>
      <c r="J499" s="10">
        <v>52</v>
      </c>
      <c r="K499" s="10">
        <v>32</v>
      </c>
      <c r="L499" s="11" t="s">
        <v>656</v>
      </c>
      <c r="M499" s="12">
        <v>136</v>
      </c>
      <c r="N499" s="13"/>
      <c r="O499" s="13"/>
    </row>
    <row r="500" spans="1:15">
      <c r="A500" s="22" t="s">
        <v>657</v>
      </c>
      <c r="B500" s="8">
        <v>9</v>
      </c>
      <c r="C500" s="8">
        <v>160</v>
      </c>
      <c r="D500" s="8">
        <v>160</v>
      </c>
      <c r="E500" s="8">
        <v>1.7</v>
      </c>
      <c r="F500" s="9">
        <v>501</v>
      </c>
      <c r="G500" s="8" t="s">
        <v>629</v>
      </c>
      <c r="H500" s="10" t="s">
        <v>653</v>
      </c>
      <c r="I500" s="10">
        <v>72</v>
      </c>
      <c r="J500" s="10">
        <v>52</v>
      </c>
      <c r="K500" s="10">
        <v>32</v>
      </c>
      <c r="L500" s="11" t="s">
        <v>656</v>
      </c>
      <c r="M500" s="12">
        <v>66</v>
      </c>
      <c r="N500" s="13"/>
      <c r="O500" s="13"/>
    </row>
    <row r="501" spans="1:15">
      <c r="A501" s="22" t="s">
        <v>658</v>
      </c>
      <c r="B501" s="8">
        <v>9</v>
      </c>
      <c r="C501" s="8">
        <v>475</v>
      </c>
      <c r="D501" s="8">
        <v>25</v>
      </c>
      <c r="E501" s="8">
        <v>1.6</v>
      </c>
      <c r="F501" s="9">
        <v>502</v>
      </c>
      <c r="G501" s="8" t="s">
        <v>659</v>
      </c>
      <c r="H501" s="10" t="s">
        <v>73</v>
      </c>
      <c r="I501" s="10">
        <v>183</v>
      </c>
      <c r="J501" s="10">
        <v>29</v>
      </c>
      <c r="K501" s="10">
        <v>16</v>
      </c>
      <c r="L501" s="11" t="s">
        <v>440</v>
      </c>
      <c r="M501" s="12">
        <v>0</v>
      </c>
      <c r="N501" s="13"/>
      <c r="O501" s="13"/>
    </row>
    <row r="502" spans="1:15">
      <c r="A502" s="22" t="s">
        <v>660</v>
      </c>
      <c r="B502" s="8">
        <v>9</v>
      </c>
      <c r="C502" s="8">
        <v>155</v>
      </c>
      <c r="D502" s="8">
        <v>160</v>
      </c>
      <c r="E502" s="8">
        <v>1.7</v>
      </c>
      <c r="F502" s="9">
        <v>503</v>
      </c>
      <c r="G502" s="8" t="s">
        <v>629</v>
      </c>
      <c r="H502" s="10" t="s">
        <v>653</v>
      </c>
      <c r="I502" s="10">
        <v>72</v>
      </c>
      <c r="J502" s="10">
        <v>52</v>
      </c>
      <c r="K502" s="10">
        <v>32</v>
      </c>
      <c r="L502" s="11" t="s">
        <v>631</v>
      </c>
      <c r="M502" s="12">
        <v>0</v>
      </c>
      <c r="N502" s="13"/>
      <c r="O502" s="13"/>
    </row>
    <row r="503" spans="1:15">
      <c r="A503" s="22" t="s">
        <v>661</v>
      </c>
      <c r="B503" s="8">
        <v>9</v>
      </c>
      <c r="C503" s="8">
        <v>475</v>
      </c>
      <c r="D503" s="8">
        <v>25</v>
      </c>
      <c r="E503" s="8">
        <v>1.6</v>
      </c>
      <c r="F503" s="9">
        <v>504</v>
      </c>
      <c r="G503" s="8" t="s">
        <v>659</v>
      </c>
      <c r="H503" s="10" t="s">
        <v>73</v>
      </c>
      <c r="I503" s="10">
        <v>183</v>
      </c>
      <c r="J503" s="10">
        <v>29</v>
      </c>
      <c r="K503" s="10">
        <v>16</v>
      </c>
      <c r="L503" s="11" t="s">
        <v>440</v>
      </c>
      <c r="M503" s="12">
        <v>0</v>
      </c>
      <c r="N503" s="13"/>
      <c r="O503" s="13"/>
    </row>
    <row r="504" spans="1:15">
      <c r="A504" s="22" t="s">
        <v>662</v>
      </c>
      <c r="B504" s="8">
        <v>9</v>
      </c>
      <c r="C504" s="8">
        <v>155</v>
      </c>
      <c r="D504" s="8">
        <v>160</v>
      </c>
      <c r="E504" s="8">
        <v>1.7</v>
      </c>
      <c r="F504" s="9">
        <v>505</v>
      </c>
      <c r="G504" s="8" t="s">
        <v>629</v>
      </c>
      <c r="H504" s="10" t="s">
        <v>653</v>
      </c>
      <c r="I504" s="10">
        <v>72</v>
      </c>
      <c r="J504" s="10">
        <v>52</v>
      </c>
      <c r="K504" s="10">
        <v>32</v>
      </c>
      <c r="L504" s="11" t="s">
        <v>631</v>
      </c>
      <c r="M504" s="12">
        <v>0</v>
      </c>
      <c r="N504" s="13"/>
      <c r="O504" s="13"/>
    </row>
    <row r="505" spans="1:15">
      <c r="A505" s="22" t="s">
        <v>663</v>
      </c>
      <c r="B505" s="8">
        <v>9</v>
      </c>
      <c r="C505" s="8">
        <v>79</v>
      </c>
      <c r="D505" s="8">
        <v>50</v>
      </c>
      <c r="E505" s="8">
        <v>0.6</v>
      </c>
      <c r="F505" s="9">
        <v>506</v>
      </c>
      <c r="G505" s="8" t="s">
        <v>16</v>
      </c>
      <c r="H505" s="10" t="s">
        <v>17</v>
      </c>
      <c r="I505" s="10">
        <v>122</v>
      </c>
      <c r="J505" s="10">
        <v>15</v>
      </c>
      <c r="K505" s="10">
        <v>10</v>
      </c>
      <c r="L505" s="11" t="s">
        <v>146</v>
      </c>
      <c r="M505" s="12">
        <v>37</v>
      </c>
      <c r="N505" s="13"/>
      <c r="O505" s="13"/>
    </row>
    <row r="506" spans="1:15">
      <c r="A506" s="22" t="s">
        <v>664</v>
      </c>
      <c r="B506" s="8">
        <v>9</v>
      </c>
      <c r="C506" s="8">
        <v>89</v>
      </c>
      <c r="D506" s="8">
        <v>50</v>
      </c>
      <c r="E506" s="8">
        <v>0.6</v>
      </c>
      <c r="F506" s="9">
        <v>507</v>
      </c>
      <c r="G506" s="8" t="s">
        <v>16</v>
      </c>
      <c r="H506" s="10" t="s">
        <v>17</v>
      </c>
      <c r="I506" s="10">
        <v>122</v>
      </c>
      <c r="J506" s="10">
        <v>15</v>
      </c>
      <c r="K506" s="10">
        <v>10</v>
      </c>
      <c r="L506" s="11" t="s">
        <v>311</v>
      </c>
      <c r="M506" s="12">
        <v>27</v>
      </c>
      <c r="N506" s="13"/>
      <c r="O506" s="13"/>
    </row>
    <row r="507" spans="1:15">
      <c r="A507" s="22" t="s">
        <v>665</v>
      </c>
      <c r="B507" s="8">
        <v>9</v>
      </c>
      <c r="C507" s="8">
        <v>248</v>
      </c>
      <c r="D507" s="8">
        <v>50</v>
      </c>
      <c r="E507" s="8"/>
      <c r="F507" s="9">
        <v>508</v>
      </c>
      <c r="G507" s="8" t="s">
        <v>72</v>
      </c>
      <c r="H507" s="10" t="s">
        <v>354</v>
      </c>
      <c r="I507" s="10" t="s">
        <v>354</v>
      </c>
      <c r="J507" s="10" t="s">
        <v>354</v>
      </c>
      <c r="K507" s="10" t="s">
        <v>354</v>
      </c>
      <c r="L507" s="11" t="s">
        <v>435</v>
      </c>
      <c r="M507" s="12">
        <v>0</v>
      </c>
      <c r="N507" s="13"/>
      <c r="O507" s="13"/>
    </row>
    <row r="508" spans="1:15">
      <c r="A508" s="22" t="s">
        <v>666</v>
      </c>
      <c r="B508" s="8">
        <v>9</v>
      </c>
      <c r="C508" s="8">
        <v>282</v>
      </c>
      <c r="D508" s="8">
        <v>50</v>
      </c>
      <c r="E508" s="8"/>
      <c r="F508" s="9">
        <v>509</v>
      </c>
      <c r="G508" s="8" t="s">
        <v>72</v>
      </c>
      <c r="H508" s="10" t="s">
        <v>354</v>
      </c>
      <c r="I508" s="10" t="s">
        <v>354</v>
      </c>
      <c r="J508" s="10" t="s">
        <v>354</v>
      </c>
      <c r="K508" s="10" t="s">
        <v>354</v>
      </c>
      <c r="L508" s="11" t="s">
        <v>463</v>
      </c>
      <c r="M508" s="12">
        <v>0</v>
      </c>
      <c r="N508" s="13"/>
      <c r="O508" s="13"/>
    </row>
    <row r="509" spans="1:15">
      <c r="A509" s="22" t="s">
        <v>667</v>
      </c>
      <c r="B509" s="8">
        <v>9</v>
      </c>
      <c r="C509" s="8">
        <v>248</v>
      </c>
      <c r="D509" s="8">
        <v>50</v>
      </c>
      <c r="E509" s="8"/>
      <c r="F509" s="9">
        <v>510</v>
      </c>
      <c r="G509" s="8" t="s">
        <v>72</v>
      </c>
      <c r="H509" s="10" t="s">
        <v>354</v>
      </c>
      <c r="I509" s="10" t="s">
        <v>354</v>
      </c>
      <c r="J509" s="10" t="s">
        <v>354</v>
      </c>
      <c r="K509" s="10" t="s">
        <v>354</v>
      </c>
      <c r="L509" s="11" t="s">
        <v>435</v>
      </c>
      <c r="M509" s="12">
        <v>0</v>
      </c>
      <c r="N509" s="13"/>
      <c r="O509" s="13"/>
    </row>
    <row r="510" spans="1:15">
      <c r="A510" s="22" t="s">
        <v>668</v>
      </c>
      <c r="B510" s="8">
        <v>9</v>
      </c>
      <c r="C510" s="8">
        <v>291</v>
      </c>
      <c r="D510" s="8">
        <v>50</v>
      </c>
      <c r="E510" s="8">
        <v>1.48</v>
      </c>
      <c r="F510" s="9">
        <v>511</v>
      </c>
      <c r="G510" s="8" t="s">
        <v>372</v>
      </c>
      <c r="H510" s="10" t="s">
        <v>83</v>
      </c>
      <c r="I510" s="10">
        <v>145</v>
      </c>
      <c r="J510" s="10">
        <v>29</v>
      </c>
      <c r="K510" s="10">
        <v>16</v>
      </c>
      <c r="L510" s="11" t="s">
        <v>669</v>
      </c>
      <c r="M510" s="12">
        <v>0</v>
      </c>
      <c r="N510" s="13"/>
      <c r="O510" s="13"/>
    </row>
    <row r="511" spans="1:15">
      <c r="A511" s="22" t="s">
        <v>670</v>
      </c>
      <c r="B511" s="8">
        <v>9</v>
      </c>
      <c r="C511" s="8">
        <v>301</v>
      </c>
      <c r="D511" s="8">
        <v>50</v>
      </c>
      <c r="E511" s="8">
        <v>1.48</v>
      </c>
      <c r="F511" s="9">
        <v>512</v>
      </c>
      <c r="G511" s="8" t="s">
        <v>372</v>
      </c>
      <c r="H511" s="10" t="s">
        <v>83</v>
      </c>
      <c r="I511" s="10">
        <v>145</v>
      </c>
      <c r="J511" s="10">
        <v>29</v>
      </c>
      <c r="K511" s="10">
        <v>16</v>
      </c>
      <c r="L511" s="11" t="s">
        <v>472</v>
      </c>
      <c r="M511" s="12">
        <v>0</v>
      </c>
      <c r="N511" s="13"/>
      <c r="O511" s="13"/>
    </row>
    <row r="512" spans="1:15">
      <c r="A512" s="22" t="s">
        <v>671</v>
      </c>
      <c r="B512" s="8">
        <v>9</v>
      </c>
      <c r="C512" s="8">
        <v>301</v>
      </c>
      <c r="D512" s="8">
        <v>50</v>
      </c>
      <c r="E512" s="8">
        <v>1.48</v>
      </c>
      <c r="F512" s="9">
        <v>513</v>
      </c>
      <c r="G512" s="8" t="s">
        <v>372</v>
      </c>
      <c r="H512" s="10" t="s">
        <v>83</v>
      </c>
      <c r="I512" s="10">
        <v>145</v>
      </c>
      <c r="J512" s="10">
        <v>29</v>
      </c>
      <c r="K512" s="10">
        <v>16</v>
      </c>
      <c r="L512" s="11" t="s">
        <v>472</v>
      </c>
      <c r="M512" s="12">
        <v>0</v>
      </c>
      <c r="N512" s="13"/>
      <c r="O512" s="13"/>
    </row>
    <row r="513" spans="1:15">
      <c r="A513" s="22" t="s">
        <v>672</v>
      </c>
      <c r="B513" s="8">
        <v>9</v>
      </c>
      <c r="C513" s="8">
        <v>291</v>
      </c>
      <c r="D513" s="8">
        <v>50</v>
      </c>
      <c r="E513" s="8">
        <v>1.48</v>
      </c>
      <c r="F513" s="9">
        <v>514</v>
      </c>
      <c r="G513" s="8" t="s">
        <v>372</v>
      </c>
      <c r="H513" s="10" t="s">
        <v>83</v>
      </c>
      <c r="I513" s="10">
        <v>145</v>
      </c>
      <c r="J513" s="10">
        <v>29</v>
      </c>
      <c r="K513" s="10">
        <v>16</v>
      </c>
      <c r="L513" s="11" t="s">
        <v>669</v>
      </c>
      <c r="M513" s="12">
        <v>0</v>
      </c>
      <c r="N513" s="13"/>
      <c r="O513" s="13"/>
    </row>
    <row r="514" spans="1:15">
      <c r="A514" s="22" t="s">
        <v>673</v>
      </c>
      <c r="B514" s="8">
        <v>9</v>
      </c>
      <c r="C514" s="8">
        <v>306</v>
      </c>
      <c r="D514" s="8">
        <v>50</v>
      </c>
      <c r="E514" s="8">
        <v>1.48</v>
      </c>
      <c r="F514" s="9">
        <v>515</v>
      </c>
      <c r="G514" s="8" t="s">
        <v>372</v>
      </c>
      <c r="H514" s="10" t="s">
        <v>83</v>
      </c>
      <c r="I514" s="10">
        <v>145</v>
      </c>
      <c r="J514" s="10">
        <v>29</v>
      </c>
      <c r="K514" s="10">
        <v>16</v>
      </c>
      <c r="L514" s="11" t="s">
        <v>674</v>
      </c>
      <c r="M514" s="12">
        <v>0</v>
      </c>
      <c r="N514" s="13"/>
      <c r="O514" s="13"/>
    </row>
    <row r="515" spans="1:15">
      <c r="A515" s="22" t="s">
        <v>675</v>
      </c>
      <c r="B515" s="8">
        <v>9</v>
      </c>
      <c r="C515" s="8">
        <v>475</v>
      </c>
      <c r="D515" s="8">
        <v>25</v>
      </c>
      <c r="E515" s="8">
        <v>1.6</v>
      </c>
      <c r="F515" s="9">
        <v>516</v>
      </c>
      <c r="G515" s="8" t="s">
        <v>659</v>
      </c>
      <c r="H515" s="10" t="s">
        <v>73</v>
      </c>
      <c r="I515" s="10">
        <v>183</v>
      </c>
      <c r="J515" s="10">
        <v>29</v>
      </c>
      <c r="K515" s="10">
        <v>16</v>
      </c>
      <c r="L515" s="11" t="s">
        <v>440</v>
      </c>
      <c r="M515" s="12">
        <v>0</v>
      </c>
      <c r="N515" s="13"/>
      <c r="O515" s="13"/>
    </row>
    <row r="516" spans="1:15">
      <c r="A516" s="22" t="s">
        <v>676</v>
      </c>
      <c r="B516" s="8">
        <v>9</v>
      </c>
      <c r="C516" s="8">
        <v>475</v>
      </c>
      <c r="D516" s="8">
        <v>25</v>
      </c>
      <c r="E516" s="8">
        <v>1.6</v>
      </c>
      <c r="F516" s="9">
        <v>517</v>
      </c>
      <c r="G516" s="8" t="s">
        <v>659</v>
      </c>
      <c r="H516" s="10" t="s">
        <v>73</v>
      </c>
      <c r="I516" s="10">
        <v>183</v>
      </c>
      <c r="J516" s="10">
        <v>29</v>
      </c>
      <c r="K516" s="10">
        <v>16</v>
      </c>
      <c r="L516" s="11" t="s">
        <v>440</v>
      </c>
      <c r="M516" s="12">
        <v>0</v>
      </c>
      <c r="N516" s="13"/>
      <c r="O516" s="13"/>
    </row>
    <row r="517" spans="1:15">
      <c r="A517" s="22" t="s">
        <v>677</v>
      </c>
      <c r="B517" s="8">
        <v>9</v>
      </c>
      <c r="C517" s="8">
        <v>475</v>
      </c>
      <c r="D517" s="8">
        <v>25</v>
      </c>
      <c r="E517" s="8">
        <v>1.6</v>
      </c>
      <c r="F517" s="9">
        <v>518</v>
      </c>
      <c r="G517" s="8" t="s">
        <v>659</v>
      </c>
      <c r="H517" s="10" t="s">
        <v>73</v>
      </c>
      <c r="I517" s="10">
        <v>183</v>
      </c>
      <c r="J517" s="10">
        <v>29</v>
      </c>
      <c r="K517" s="10">
        <v>16</v>
      </c>
      <c r="L517" s="11" t="s">
        <v>440</v>
      </c>
      <c r="M517" s="12">
        <v>0</v>
      </c>
      <c r="N517" s="13"/>
      <c r="O517" s="13"/>
    </row>
    <row r="518" spans="1:15">
      <c r="A518" s="22" t="s">
        <v>678</v>
      </c>
      <c r="B518" s="8">
        <v>9</v>
      </c>
      <c r="C518" s="8">
        <v>475</v>
      </c>
      <c r="D518" s="8">
        <v>25</v>
      </c>
      <c r="E518" s="8">
        <v>1.6</v>
      </c>
      <c r="F518" s="9">
        <v>519</v>
      </c>
      <c r="G518" s="8" t="s">
        <v>659</v>
      </c>
      <c r="H518" s="10" t="s">
        <v>73</v>
      </c>
      <c r="I518" s="10">
        <v>183</v>
      </c>
      <c r="J518" s="10">
        <v>29</v>
      </c>
      <c r="K518" s="10">
        <v>16</v>
      </c>
      <c r="L518" s="11" t="s">
        <v>440</v>
      </c>
      <c r="M518" s="12">
        <v>0</v>
      </c>
      <c r="N518" s="13"/>
      <c r="O518" s="13"/>
    </row>
    <row r="519" spans="1:15">
      <c r="A519" s="22" t="s">
        <v>679</v>
      </c>
      <c r="B519" s="8">
        <v>9</v>
      </c>
      <c r="C519" s="8">
        <v>475</v>
      </c>
      <c r="D519" s="8">
        <v>25</v>
      </c>
      <c r="E519" s="8">
        <v>1.6</v>
      </c>
      <c r="F519" s="9">
        <v>520</v>
      </c>
      <c r="G519" s="8" t="s">
        <v>659</v>
      </c>
      <c r="H519" s="10" t="s">
        <v>73</v>
      </c>
      <c r="I519" s="10">
        <v>183</v>
      </c>
      <c r="J519" s="10">
        <v>29</v>
      </c>
      <c r="K519" s="10">
        <v>16</v>
      </c>
      <c r="L519" s="11" t="s">
        <v>440</v>
      </c>
      <c r="M519" s="12">
        <v>0</v>
      </c>
      <c r="N519" s="13"/>
      <c r="O519" s="13"/>
    </row>
    <row r="520" spans="1:15">
      <c r="A520" s="22" t="s">
        <v>680</v>
      </c>
      <c r="B520" s="8">
        <v>9</v>
      </c>
      <c r="C520" s="8">
        <v>475</v>
      </c>
      <c r="D520" s="8">
        <v>25</v>
      </c>
      <c r="E520" s="8">
        <v>1.6</v>
      </c>
      <c r="F520" s="9">
        <v>521</v>
      </c>
      <c r="G520" s="8" t="s">
        <v>659</v>
      </c>
      <c r="H520" s="10" t="s">
        <v>73</v>
      </c>
      <c r="I520" s="10">
        <v>183</v>
      </c>
      <c r="J520" s="10">
        <v>29</v>
      </c>
      <c r="K520" s="10">
        <v>16</v>
      </c>
      <c r="L520" s="11" t="s">
        <v>440</v>
      </c>
      <c r="M520" s="12">
        <v>0</v>
      </c>
      <c r="N520" s="13"/>
      <c r="O520" s="13"/>
    </row>
    <row r="521" spans="1:15">
      <c r="A521" s="22" t="s">
        <v>681</v>
      </c>
      <c r="B521" s="8">
        <v>9</v>
      </c>
      <c r="C521" s="8">
        <v>475</v>
      </c>
      <c r="D521" s="8">
        <v>25</v>
      </c>
      <c r="E521" s="8">
        <v>1.6</v>
      </c>
      <c r="F521" s="9">
        <v>522</v>
      </c>
      <c r="G521" s="8" t="s">
        <v>659</v>
      </c>
      <c r="H521" s="10" t="s">
        <v>73</v>
      </c>
      <c r="I521" s="10">
        <v>183</v>
      </c>
      <c r="J521" s="10">
        <v>29</v>
      </c>
      <c r="K521" s="10">
        <v>16</v>
      </c>
      <c r="L521" s="11" t="s">
        <v>440</v>
      </c>
      <c r="M521" s="12">
        <v>0</v>
      </c>
      <c r="N521" s="13"/>
      <c r="O521" s="13"/>
    </row>
    <row r="522" spans="1:15">
      <c r="A522" s="22" t="s">
        <v>682</v>
      </c>
      <c r="B522" s="8">
        <v>9</v>
      </c>
      <c r="C522" s="8">
        <v>475</v>
      </c>
      <c r="D522" s="8">
        <v>25</v>
      </c>
      <c r="E522" s="8">
        <v>1.6</v>
      </c>
      <c r="F522" s="9">
        <v>523</v>
      </c>
      <c r="G522" s="8" t="s">
        <v>659</v>
      </c>
      <c r="H522" s="10" t="s">
        <v>73</v>
      </c>
      <c r="I522" s="10">
        <v>183</v>
      </c>
      <c r="J522" s="10">
        <v>29</v>
      </c>
      <c r="K522" s="10">
        <v>16</v>
      </c>
      <c r="L522" s="11" t="s">
        <v>440</v>
      </c>
      <c r="M522" s="12">
        <v>0</v>
      </c>
      <c r="N522" s="13"/>
      <c r="O522" s="13"/>
    </row>
    <row r="523" spans="1:15">
      <c r="A523" s="22" t="s">
        <v>683</v>
      </c>
      <c r="B523" s="8">
        <v>9</v>
      </c>
      <c r="C523" s="8">
        <v>475</v>
      </c>
      <c r="D523" s="8">
        <v>25</v>
      </c>
      <c r="E523" s="8">
        <v>1.6</v>
      </c>
      <c r="F523" s="9">
        <v>524</v>
      </c>
      <c r="G523" s="8" t="s">
        <v>659</v>
      </c>
      <c r="H523" s="10" t="s">
        <v>73</v>
      </c>
      <c r="I523" s="10">
        <v>183</v>
      </c>
      <c r="J523" s="10">
        <v>29</v>
      </c>
      <c r="K523" s="10">
        <v>16</v>
      </c>
      <c r="L523" s="11" t="s">
        <v>440</v>
      </c>
      <c r="M523" s="12">
        <v>0</v>
      </c>
      <c r="N523" s="13"/>
      <c r="O523" s="13"/>
    </row>
    <row r="524" spans="1:15">
      <c r="A524" s="22" t="s">
        <v>684</v>
      </c>
      <c r="B524" s="8">
        <v>9</v>
      </c>
      <c r="C524" s="8">
        <v>475</v>
      </c>
      <c r="D524" s="8">
        <v>25</v>
      </c>
      <c r="E524" s="8">
        <v>1.6</v>
      </c>
      <c r="F524" s="9">
        <v>525</v>
      </c>
      <c r="G524" s="8" t="s">
        <v>659</v>
      </c>
      <c r="H524" s="10" t="s">
        <v>73</v>
      </c>
      <c r="I524" s="10">
        <v>183</v>
      </c>
      <c r="J524" s="10">
        <v>29</v>
      </c>
      <c r="K524" s="10">
        <v>16</v>
      </c>
      <c r="L524" s="11" t="s">
        <v>440</v>
      </c>
      <c r="M524" s="12">
        <v>0</v>
      </c>
      <c r="N524" s="13"/>
      <c r="O524" s="13"/>
    </row>
    <row r="525" spans="1:15">
      <c r="A525" s="22" t="s">
        <v>685</v>
      </c>
      <c r="B525" s="8">
        <v>9</v>
      </c>
      <c r="C525" s="8">
        <v>475</v>
      </c>
      <c r="D525" s="8">
        <v>25</v>
      </c>
      <c r="E525" s="8">
        <v>1.6</v>
      </c>
      <c r="F525" s="9">
        <v>526</v>
      </c>
      <c r="G525" s="8" t="s">
        <v>659</v>
      </c>
      <c r="H525" s="10" t="s">
        <v>73</v>
      </c>
      <c r="I525" s="10">
        <v>183</v>
      </c>
      <c r="J525" s="10">
        <v>29</v>
      </c>
      <c r="K525" s="10">
        <v>16</v>
      </c>
      <c r="L525" s="11" t="s">
        <v>440</v>
      </c>
      <c r="M525" s="12">
        <v>0</v>
      </c>
      <c r="N525" s="13"/>
      <c r="O525" s="13"/>
    </row>
    <row r="526" spans="1:15">
      <c r="A526" s="22" t="s">
        <v>686</v>
      </c>
      <c r="B526" s="8">
        <v>9</v>
      </c>
      <c r="C526" s="8">
        <v>490</v>
      </c>
      <c r="D526" s="8">
        <v>25</v>
      </c>
      <c r="E526" s="8">
        <v>1.6</v>
      </c>
      <c r="F526" s="9">
        <v>527</v>
      </c>
      <c r="G526" s="8" t="s">
        <v>659</v>
      </c>
      <c r="H526" s="10" t="s">
        <v>73</v>
      </c>
      <c r="I526" s="10">
        <v>183</v>
      </c>
      <c r="J526" s="10">
        <v>29</v>
      </c>
      <c r="K526" s="10">
        <v>16</v>
      </c>
      <c r="L526" s="11" t="s">
        <v>498</v>
      </c>
      <c r="M526" s="12">
        <v>0</v>
      </c>
      <c r="N526" s="13"/>
      <c r="O526" s="13"/>
    </row>
    <row r="527" spans="1:15">
      <c r="A527" s="22" t="s">
        <v>687</v>
      </c>
      <c r="B527" s="8">
        <v>9</v>
      </c>
      <c r="C527" s="8">
        <v>496</v>
      </c>
      <c r="D527" s="8">
        <v>25</v>
      </c>
      <c r="E527" s="8">
        <v>1.6</v>
      </c>
      <c r="F527" s="9">
        <v>528</v>
      </c>
      <c r="G527" s="8" t="s">
        <v>659</v>
      </c>
      <c r="H527" s="10" t="s">
        <v>73</v>
      </c>
      <c r="I527" s="10">
        <v>183</v>
      </c>
      <c r="J527" s="10">
        <v>29</v>
      </c>
      <c r="K527" s="10">
        <v>16</v>
      </c>
      <c r="L527" s="11" t="s">
        <v>500</v>
      </c>
      <c r="M527" s="12">
        <v>0</v>
      </c>
      <c r="N527" s="13"/>
      <c r="O527" s="13"/>
    </row>
    <row r="528" spans="1:15">
      <c r="A528" s="22" t="s">
        <v>688</v>
      </c>
      <c r="B528" s="8">
        <v>9</v>
      </c>
      <c r="C528" s="8">
        <v>496</v>
      </c>
      <c r="D528" s="8">
        <v>25</v>
      </c>
      <c r="E528" s="8">
        <v>1.6</v>
      </c>
      <c r="F528" s="9">
        <v>529</v>
      </c>
      <c r="G528" s="8" t="s">
        <v>659</v>
      </c>
      <c r="H528" s="10" t="s">
        <v>73</v>
      </c>
      <c r="I528" s="10">
        <v>183</v>
      </c>
      <c r="J528" s="10">
        <v>29</v>
      </c>
      <c r="K528" s="10">
        <v>16</v>
      </c>
      <c r="L528" s="11" t="s">
        <v>500</v>
      </c>
      <c r="M528" s="12">
        <v>0</v>
      </c>
      <c r="N528" s="13"/>
      <c r="O528" s="13"/>
    </row>
    <row r="529" spans="1:15">
      <c r="A529" s="22" t="s">
        <v>689</v>
      </c>
      <c r="B529" s="8">
        <v>9</v>
      </c>
      <c r="C529" s="8">
        <v>475</v>
      </c>
      <c r="D529" s="8">
        <v>25</v>
      </c>
      <c r="E529" s="8">
        <v>1.6</v>
      </c>
      <c r="F529" s="9">
        <v>530</v>
      </c>
      <c r="G529" s="8" t="s">
        <v>659</v>
      </c>
      <c r="H529" s="10" t="s">
        <v>73</v>
      </c>
      <c r="I529" s="10">
        <v>183</v>
      </c>
      <c r="J529" s="10">
        <v>29</v>
      </c>
      <c r="K529" s="10">
        <v>16</v>
      </c>
      <c r="L529" s="11" t="s">
        <v>440</v>
      </c>
      <c r="M529" s="12">
        <v>0</v>
      </c>
      <c r="N529" s="13"/>
      <c r="O529" s="13"/>
    </row>
    <row r="530" spans="1:15">
      <c r="A530" s="22" t="s">
        <v>690</v>
      </c>
      <c r="B530" s="8">
        <v>9</v>
      </c>
      <c r="C530" s="8">
        <v>475</v>
      </c>
      <c r="D530" s="8">
        <v>25</v>
      </c>
      <c r="E530" s="8">
        <v>1.6</v>
      </c>
      <c r="F530" s="9">
        <v>531</v>
      </c>
      <c r="G530" s="8" t="s">
        <v>659</v>
      </c>
      <c r="H530" s="10" t="s">
        <v>73</v>
      </c>
      <c r="I530" s="10">
        <v>183</v>
      </c>
      <c r="J530" s="10">
        <v>29</v>
      </c>
      <c r="K530" s="10">
        <v>16</v>
      </c>
      <c r="L530" s="11" t="s">
        <v>440</v>
      </c>
      <c r="M530" s="12">
        <v>0</v>
      </c>
      <c r="N530" s="13"/>
      <c r="O530" s="13"/>
    </row>
    <row r="531" spans="1:15">
      <c r="A531" s="22" t="s">
        <v>691</v>
      </c>
      <c r="B531" s="8">
        <v>9</v>
      </c>
      <c r="C531" s="8">
        <v>475</v>
      </c>
      <c r="D531" s="8">
        <v>25</v>
      </c>
      <c r="E531" s="8">
        <v>1.6</v>
      </c>
      <c r="F531" s="9">
        <v>532</v>
      </c>
      <c r="G531" s="8" t="s">
        <v>659</v>
      </c>
      <c r="H531" s="10" t="s">
        <v>73</v>
      </c>
      <c r="I531" s="10">
        <v>183</v>
      </c>
      <c r="J531" s="10">
        <v>29</v>
      </c>
      <c r="K531" s="10">
        <v>16</v>
      </c>
      <c r="L531" s="11" t="s">
        <v>440</v>
      </c>
      <c r="M531" s="12">
        <v>0</v>
      </c>
      <c r="N531" s="13"/>
      <c r="O531" s="13"/>
    </row>
    <row r="532" spans="1:15">
      <c r="A532" s="22" t="s">
        <v>692</v>
      </c>
      <c r="B532" s="8">
        <v>9</v>
      </c>
      <c r="C532" s="8">
        <v>490</v>
      </c>
      <c r="D532" s="8">
        <v>25</v>
      </c>
      <c r="E532" s="8">
        <v>1.6</v>
      </c>
      <c r="F532" s="9">
        <v>533</v>
      </c>
      <c r="G532" s="8" t="s">
        <v>659</v>
      </c>
      <c r="H532" s="10" t="s">
        <v>73</v>
      </c>
      <c r="I532" s="10">
        <v>183</v>
      </c>
      <c r="J532" s="10">
        <v>29</v>
      </c>
      <c r="K532" s="10">
        <v>16</v>
      </c>
      <c r="L532" s="11" t="s">
        <v>498</v>
      </c>
      <c r="M532" s="12">
        <v>0</v>
      </c>
      <c r="N532" s="13"/>
      <c r="O532" s="13"/>
    </row>
    <row r="533" spans="1:15">
      <c r="A533" s="22" t="s">
        <v>693</v>
      </c>
      <c r="B533" s="8">
        <v>9</v>
      </c>
      <c r="C533" s="8">
        <v>496</v>
      </c>
      <c r="D533" s="8">
        <v>25</v>
      </c>
      <c r="E533" s="8">
        <v>1.6</v>
      </c>
      <c r="F533" s="9">
        <v>534</v>
      </c>
      <c r="G533" s="8" t="s">
        <v>659</v>
      </c>
      <c r="H533" s="10" t="s">
        <v>73</v>
      </c>
      <c r="I533" s="10">
        <v>183</v>
      </c>
      <c r="J533" s="10">
        <v>29</v>
      </c>
      <c r="K533" s="10">
        <v>16</v>
      </c>
      <c r="L533" s="11" t="s">
        <v>500</v>
      </c>
      <c r="M533" s="12">
        <v>0</v>
      </c>
      <c r="N533" s="13"/>
      <c r="O533" s="13"/>
    </row>
    <row r="534" spans="1:15">
      <c r="A534" s="22" t="s">
        <v>694</v>
      </c>
      <c r="B534" s="8">
        <v>9</v>
      </c>
      <c r="C534" s="8">
        <v>496</v>
      </c>
      <c r="D534" s="8">
        <v>25</v>
      </c>
      <c r="E534" s="8">
        <v>1.6</v>
      </c>
      <c r="F534" s="9">
        <v>535</v>
      </c>
      <c r="G534" s="8" t="s">
        <v>659</v>
      </c>
      <c r="H534" s="10" t="s">
        <v>73</v>
      </c>
      <c r="I534" s="10">
        <v>183</v>
      </c>
      <c r="J534" s="10">
        <v>29</v>
      </c>
      <c r="K534" s="10">
        <v>16</v>
      </c>
      <c r="L534" s="11" t="s">
        <v>500</v>
      </c>
      <c r="M534" s="12">
        <v>0</v>
      </c>
      <c r="N534" s="13"/>
      <c r="O534" s="13"/>
    </row>
    <row r="535" spans="1:15">
      <c r="A535" s="22" t="s">
        <v>695</v>
      </c>
      <c r="B535" s="8">
        <v>9</v>
      </c>
      <c r="C535" s="8">
        <v>475</v>
      </c>
      <c r="D535" s="8">
        <v>25</v>
      </c>
      <c r="E535" s="8">
        <v>1.6</v>
      </c>
      <c r="F535" s="9">
        <v>536</v>
      </c>
      <c r="G535" s="8" t="s">
        <v>659</v>
      </c>
      <c r="H535" s="10" t="s">
        <v>73</v>
      </c>
      <c r="I535" s="10">
        <v>183</v>
      </c>
      <c r="J535" s="10">
        <v>29</v>
      </c>
      <c r="K535" s="10">
        <v>16</v>
      </c>
      <c r="L535" s="11" t="s">
        <v>440</v>
      </c>
      <c r="M535" s="12">
        <v>0</v>
      </c>
      <c r="N535" s="13"/>
      <c r="O535" s="13"/>
    </row>
    <row r="536" spans="1:15">
      <c r="A536" s="22" t="s">
        <v>696</v>
      </c>
      <c r="B536" s="8">
        <v>9</v>
      </c>
      <c r="C536" s="8">
        <v>475</v>
      </c>
      <c r="D536" s="8">
        <v>25</v>
      </c>
      <c r="E536" s="8">
        <v>1.6</v>
      </c>
      <c r="F536" s="9">
        <v>537</v>
      </c>
      <c r="G536" s="8" t="s">
        <v>659</v>
      </c>
      <c r="H536" s="10" t="s">
        <v>73</v>
      </c>
      <c r="I536" s="10">
        <v>183</v>
      </c>
      <c r="J536" s="10">
        <v>29</v>
      </c>
      <c r="K536" s="10">
        <v>16</v>
      </c>
      <c r="L536" s="11" t="s">
        <v>440</v>
      </c>
      <c r="M536" s="12">
        <v>0</v>
      </c>
      <c r="N536" s="13"/>
      <c r="O536" s="13"/>
    </row>
    <row r="537" spans="1:15">
      <c r="A537" s="22" t="s">
        <v>697</v>
      </c>
      <c r="B537" s="8">
        <v>9</v>
      </c>
      <c r="C537" s="8">
        <v>475</v>
      </c>
      <c r="D537" s="8">
        <v>25</v>
      </c>
      <c r="E537" s="8">
        <v>1.6</v>
      </c>
      <c r="F537" s="9">
        <v>538</v>
      </c>
      <c r="G537" s="8" t="s">
        <v>659</v>
      </c>
      <c r="H537" s="10" t="s">
        <v>73</v>
      </c>
      <c r="I537" s="10">
        <v>183</v>
      </c>
      <c r="J537" s="10">
        <v>29</v>
      </c>
      <c r="K537" s="10">
        <v>16</v>
      </c>
      <c r="L537" s="11" t="s">
        <v>440</v>
      </c>
      <c r="M537" s="12">
        <v>0</v>
      </c>
      <c r="N537" s="13"/>
      <c r="O537" s="13"/>
    </row>
    <row r="538" spans="1:15">
      <c r="A538" s="22" t="s">
        <v>698</v>
      </c>
      <c r="B538" s="8">
        <v>9</v>
      </c>
      <c r="C538" s="8">
        <v>475</v>
      </c>
      <c r="D538" s="8">
        <v>25</v>
      </c>
      <c r="E538" s="8">
        <v>1.6</v>
      </c>
      <c r="F538" s="9">
        <v>539</v>
      </c>
      <c r="G538" s="8" t="s">
        <v>659</v>
      </c>
      <c r="H538" s="10" t="s">
        <v>73</v>
      </c>
      <c r="I538" s="10">
        <v>183</v>
      </c>
      <c r="J538" s="10">
        <v>29</v>
      </c>
      <c r="K538" s="10">
        <v>16</v>
      </c>
      <c r="L538" s="11" t="s">
        <v>440</v>
      </c>
      <c r="M538" s="12">
        <v>0</v>
      </c>
      <c r="N538" s="13"/>
      <c r="O538" s="13"/>
    </row>
    <row r="539" spans="1:15">
      <c r="A539" s="22" t="s">
        <v>699</v>
      </c>
      <c r="B539" s="8">
        <v>9</v>
      </c>
      <c r="C539" s="8">
        <v>490</v>
      </c>
      <c r="D539" s="8">
        <v>25</v>
      </c>
      <c r="E539" s="8">
        <v>1.6</v>
      </c>
      <c r="F539" s="9">
        <v>540</v>
      </c>
      <c r="G539" s="8" t="s">
        <v>659</v>
      </c>
      <c r="H539" s="10" t="s">
        <v>73</v>
      </c>
      <c r="I539" s="10">
        <v>183</v>
      </c>
      <c r="J539" s="10">
        <v>29</v>
      </c>
      <c r="K539" s="10">
        <v>16</v>
      </c>
      <c r="L539" s="11" t="s">
        <v>498</v>
      </c>
      <c r="M539" s="12">
        <v>0</v>
      </c>
      <c r="N539" s="13"/>
      <c r="O539" s="13"/>
    </row>
    <row r="540" spans="1:15">
      <c r="A540" s="22" t="s">
        <v>700</v>
      </c>
      <c r="B540" s="8">
        <v>9</v>
      </c>
      <c r="C540" s="8">
        <v>496</v>
      </c>
      <c r="D540" s="8">
        <v>25</v>
      </c>
      <c r="E540" s="8">
        <v>1.6</v>
      </c>
      <c r="F540" s="9">
        <v>541</v>
      </c>
      <c r="G540" s="8" t="s">
        <v>659</v>
      </c>
      <c r="H540" s="10" t="s">
        <v>73</v>
      </c>
      <c r="I540" s="10">
        <v>183</v>
      </c>
      <c r="J540" s="10">
        <v>29</v>
      </c>
      <c r="K540" s="10">
        <v>16</v>
      </c>
      <c r="L540" s="11" t="s">
        <v>500</v>
      </c>
      <c r="M540" s="12">
        <v>0</v>
      </c>
      <c r="N540" s="13"/>
      <c r="O540" s="13"/>
    </row>
    <row r="541" spans="1:15">
      <c r="A541" s="22" t="s">
        <v>701</v>
      </c>
      <c r="B541" s="8">
        <v>9</v>
      </c>
      <c r="C541" s="8">
        <v>496</v>
      </c>
      <c r="D541" s="8">
        <v>25</v>
      </c>
      <c r="E541" s="8">
        <v>1.6</v>
      </c>
      <c r="F541" s="9">
        <v>542</v>
      </c>
      <c r="G541" s="8" t="s">
        <v>659</v>
      </c>
      <c r="H541" s="10" t="s">
        <v>73</v>
      </c>
      <c r="I541" s="10">
        <v>183</v>
      </c>
      <c r="J541" s="10">
        <v>29</v>
      </c>
      <c r="K541" s="10">
        <v>16</v>
      </c>
      <c r="L541" s="11" t="s">
        <v>500</v>
      </c>
      <c r="M541" s="12">
        <v>0</v>
      </c>
      <c r="N541" s="13"/>
      <c r="O541" s="13"/>
    </row>
    <row r="542" spans="1:15">
      <c r="A542" s="22" t="s">
        <v>702</v>
      </c>
      <c r="B542" s="8">
        <v>9</v>
      </c>
      <c r="C542" s="8">
        <v>475</v>
      </c>
      <c r="D542" s="8">
        <v>25</v>
      </c>
      <c r="E542" s="8">
        <v>1.6</v>
      </c>
      <c r="F542" s="9">
        <v>543</v>
      </c>
      <c r="G542" s="8" t="s">
        <v>659</v>
      </c>
      <c r="H542" s="10" t="s">
        <v>73</v>
      </c>
      <c r="I542" s="10">
        <v>183</v>
      </c>
      <c r="J542" s="10">
        <v>29</v>
      </c>
      <c r="K542" s="10">
        <v>16</v>
      </c>
      <c r="L542" s="11" t="s">
        <v>440</v>
      </c>
      <c r="M542" s="12">
        <v>0</v>
      </c>
      <c r="N542" s="13"/>
      <c r="O542" s="13"/>
    </row>
    <row r="543" spans="1:15">
      <c r="A543" s="22" t="s">
        <v>703</v>
      </c>
      <c r="B543" s="8">
        <v>9</v>
      </c>
      <c r="C543" s="8">
        <v>475</v>
      </c>
      <c r="D543" s="8">
        <v>25</v>
      </c>
      <c r="E543" s="8">
        <v>1.6</v>
      </c>
      <c r="F543" s="9">
        <v>544</v>
      </c>
      <c r="G543" s="8" t="s">
        <v>659</v>
      </c>
      <c r="H543" s="10" t="s">
        <v>73</v>
      </c>
      <c r="I543" s="10">
        <v>183</v>
      </c>
      <c r="J543" s="10">
        <v>29</v>
      </c>
      <c r="K543" s="10">
        <v>16</v>
      </c>
      <c r="L543" s="11" t="s">
        <v>440</v>
      </c>
      <c r="M543" s="12">
        <v>0</v>
      </c>
      <c r="N543" s="13"/>
      <c r="O543" s="13"/>
    </row>
    <row r="544" spans="1:15">
      <c r="A544" s="22" t="s">
        <v>704</v>
      </c>
      <c r="B544" s="8">
        <v>9</v>
      </c>
      <c r="C544" s="8">
        <v>475</v>
      </c>
      <c r="D544" s="8">
        <v>25</v>
      </c>
      <c r="E544" s="8">
        <v>1.6</v>
      </c>
      <c r="F544" s="9">
        <v>545</v>
      </c>
      <c r="G544" s="8" t="s">
        <v>659</v>
      </c>
      <c r="H544" s="10" t="s">
        <v>73</v>
      </c>
      <c r="I544" s="10">
        <v>183</v>
      </c>
      <c r="J544" s="10">
        <v>29</v>
      </c>
      <c r="K544" s="10">
        <v>16</v>
      </c>
      <c r="L544" s="11" t="s">
        <v>440</v>
      </c>
      <c r="M544" s="12">
        <v>0</v>
      </c>
      <c r="N544" s="13"/>
      <c r="O544" s="13"/>
    </row>
    <row r="545" spans="1:15">
      <c r="A545" s="22" t="s">
        <v>705</v>
      </c>
      <c r="B545" s="8">
        <v>9</v>
      </c>
      <c r="C545" s="8">
        <v>475</v>
      </c>
      <c r="D545" s="8">
        <v>25</v>
      </c>
      <c r="E545" s="8">
        <v>1.6</v>
      </c>
      <c r="F545" s="9">
        <v>546</v>
      </c>
      <c r="G545" s="8" t="s">
        <v>659</v>
      </c>
      <c r="H545" s="10" t="s">
        <v>73</v>
      </c>
      <c r="I545" s="10">
        <v>183</v>
      </c>
      <c r="J545" s="10">
        <v>29</v>
      </c>
      <c r="K545" s="10">
        <v>16</v>
      </c>
      <c r="L545" s="11" t="s">
        <v>440</v>
      </c>
      <c r="M545" s="12">
        <v>0</v>
      </c>
      <c r="N545" s="13"/>
      <c r="O545" s="13"/>
    </row>
    <row r="546" spans="1:15">
      <c r="A546" s="22" t="s">
        <v>706</v>
      </c>
      <c r="B546" s="8">
        <v>9</v>
      </c>
      <c r="C546" s="8">
        <v>490</v>
      </c>
      <c r="D546" s="8">
        <v>25</v>
      </c>
      <c r="E546" s="8">
        <v>1.6</v>
      </c>
      <c r="F546" s="9">
        <v>547</v>
      </c>
      <c r="G546" s="8" t="s">
        <v>659</v>
      </c>
      <c r="H546" s="10" t="s">
        <v>73</v>
      </c>
      <c r="I546" s="10">
        <v>183</v>
      </c>
      <c r="J546" s="10">
        <v>29</v>
      </c>
      <c r="K546" s="10">
        <v>16</v>
      </c>
      <c r="L546" s="11" t="s">
        <v>498</v>
      </c>
      <c r="M546" s="12">
        <v>0</v>
      </c>
      <c r="N546" s="13"/>
      <c r="O546" s="13"/>
    </row>
    <row r="547" spans="1:15">
      <c r="A547" s="22" t="s">
        <v>707</v>
      </c>
      <c r="B547" s="8">
        <v>9</v>
      </c>
      <c r="C547" s="8">
        <v>496</v>
      </c>
      <c r="D547" s="8">
        <v>25</v>
      </c>
      <c r="E547" s="8">
        <v>1.6</v>
      </c>
      <c r="F547" s="9">
        <v>548</v>
      </c>
      <c r="G547" s="8" t="s">
        <v>659</v>
      </c>
      <c r="H547" s="10" t="s">
        <v>73</v>
      </c>
      <c r="I547" s="10">
        <v>183</v>
      </c>
      <c r="J547" s="10">
        <v>29</v>
      </c>
      <c r="K547" s="10">
        <v>16</v>
      </c>
      <c r="L547" s="11" t="s">
        <v>500</v>
      </c>
      <c r="M547" s="12">
        <v>0</v>
      </c>
      <c r="N547" s="13"/>
      <c r="O547" s="13"/>
    </row>
    <row r="548" spans="1:15">
      <c r="A548" s="22" t="s">
        <v>708</v>
      </c>
      <c r="B548" s="8">
        <v>9</v>
      </c>
      <c r="C548" s="8">
        <v>496</v>
      </c>
      <c r="D548" s="8">
        <v>25</v>
      </c>
      <c r="E548" s="8">
        <v>1.6</v>
      </c>
      <c r="F548" s="9">
        <v>549</v>
      </c>
      <c r="G548" s="8" t="s">
        <v>659</v>
      </c>
      <c r="H548" s="10" t="s">
        <v>73</v>
      </c>
      <c r="I548" s="10">
        <v>183</v>
      </c>
      <c r="J548" s="10">
        <v>29</v>
      </c>
      <c r="K548" s="10">
        <v>16</v>
      </c>
      <c r="L548" s="11" t="s">
        <v>500</v>
      </c>
      <c r="M548" s="12">
        <v>0</v>
      </c>
      <c r="N548" s="13"/>
      <c r="O548" s="13"/>
    </row>
    <row r="549" spans="1:15">
      <c r="A549" s="22" t="s">
        <v>709</v>
      </c>
      <c r="B549" s="8">
        <v>9</v>
      </c>
      <c r="C549" s="8">
        <v>475</v>
      </c>
      <c r="D549" s="8">
        <v>25</v>
      </c>
      <c r="E549" s="8">
        <v>1.6</v>
      </c>
      <c r="F549" s="9">
        <v>550</v>
      </c>
      <c r="G549" s="8" t="s">
        <v>659</v>
      </c>
      <c r="H549" s="10" t="s">
        <v>73</v>
      </c>
      <c r="I549" s="10">
        <v>183</v>
      </c>
      <c r="J549" s="10">
        <v>29</v>
      </c>
      <c r="K549" s="10">
        <v>16</v>
      </c>
      <c r="L549" s="11" t="s">
        <v>440</v>
      </c>
      <c r="M549" s="12">
        <v>0</v>
      </c>
      <c r="N549" s="13"/>
      <c r="O549" s="13"/>
    </row>
    <row r="550" spans="1:15">
      <c r="A550" s="22" t="s">
        <v>710</v>
      </c>
      <c r="B550" s="8">
        <v>9</v>
      </c>
      <c r="C550" s="8">
        <v>475</v>
      </c>
      <c r="D550" s="8">
        <v>25</v>
      </c>
      <c r="E550" s="8">
        <v>1.6</v>
      </c>
      <c r="F550" s="9">
        <v>551</v>
      </c>
      <c r="G550" s="8" t="s">
        <v>659</v>
      </c>
      <c r="H550" s="10" t="s">
        <v>73</v>
      </c>
      <c r="I550" s="10">
        <v>183</v>
      </c>
      <c r="J550" s="10">
        <v>29</v>
      </c>
      <c r="K550" s="10">
        <v>16</v>
      </c>
      <c r="L550" s="11" t="s">
        <v>440</v>
      </c>
      <c r="M550" s="12">
        <v>0</v>
      </c>
      <c r="N550" s="13"/>
      <c r="O550" s="13"/>
    </row>
    <row r="551" spans="1:15">
      <c r="A551" s="22" t="s">
        <v>711</v>
      </c>
      <c r="B551" s="8">
        <v>9</v>
      </c>
      <c r="C551" s="8">
        <v>475</v>
      </c>
      <c r="D551" s="8">
        <v>25</v>
      </c>
      <c r="E551" s="8">
        <v>1.6</v>
      </c>
      <c r="F551" s="9">
        <v>552</v>
      </c>
      <c r="G551" s="8" t="s">
        <v>659</v>
      </c>
      <c r="H551" s="10" t="s">
        <v>73</v>
      </c>
      <c r="I551" s="10">
        <v>183</v>
      </c>
      <c r="J551" s="10">
        <v>29</v>
      </c>
      <c r="K551" s="10">
        <v>16</v>
      </c>
      <c r="L551" s="11" t="s">
        <v>440</v>
      </c>
      <c r="M551" s="12">
        <v>0</v>
      </c>
      <c r="N551" s="13"/>
      <c r="O551" s="13"/>
    </row>
    <row r="552" spans="1:15">
      <c r="A552" s="22" t="s">
        <v>712</v>
      </c>
      <c r="B552" s="8">
        <v>9</v>
      </c>
      <c r="C552" s="8">
        <v>490</v>
      </c>
      <c r="D552" s="8">
        <v>25</v>
      </c>
      <c r="E552" s="8">
        <v>1.6</v>
      </c>
      <c r="F552" s="9">
        <v>553</v>
      </c>
      <c r="G552" s="8" t="s">
        <v>659</v>
      </c>
      <c r="H552" s="10" t="s">
        <v>73</v>
      </c>
      <c r="I552" s="10">
        <v>183</v>
      </c>
      <c r="J552" s="10">
        <v>29</v>
      </c>
      <c r="K552" s="10">
        <v>16</v>
      </c>
      <c r="L552" s="11" t="s">
        <v>498</v>
      </c>
      <c r="M552" s="12">
        <v>0</v>
      </c>
      <c r="N552" s="13"/>
      <c r="O552" s="13"/>
    </row>
    <row r="553" spans="1:15">
      <c r="A553" s="22" t="s">
        <v>713</v>
      </c>
      <c r="B553" s="8">
        <v>9</v>
      </c>
      <c r="C553" s="8">
        <v>496</v>
      </c>
      <c r="D553" s="8">
        <v>25</v>
      </c>
      <c r="E553" s="8">
        <v>1.6</v>
      </c>
      <c r="F553" s="9">
        <v>554</v>
      </c>
      <c r="G553" s="8" t="s">
        <v>659</v>
      </c>
      <c r="H553" s="10" t="s">
        <v>73</v>
      </c>
      <c r="I553" s="10">
        <v>183</v>
      </c>
      <c r="J553" s="10">
        <v>29</v>
      </c>
      <c r="K553" s="10">
        <v>16</v>
      </c>
      <c r="L553" s="11" t="s">
        <v>500</v>
      </c>
      <c r="M553" s="12">
        <v>0</v>
      </c>
      <c r="N553" s="13"/>
      <c r="O553" s="13"/>
    </row>
    <row r="554" spans="1:15">
      <c r="A554" s="22" t="s">
        <v>714</v>
      </c>
      <c r="B554" s="8">
        <v>9</v>
      </c>
      <c r="C554" s="8">
        <v>496</v>
      </c>
      <c r="D554" s="8">
        <v>25</v>
      </c>
      <c r="E554" s="8">
        <v>1.6</v>
      </c>
      <c r="F554" s="9">
        <v>555</v>
      </c>
      <c r="G554" s="8" t="s">
        <v>659</v>
      </c>
      <c r="H554" s="10" t="s">
        <v>73</v>
      </c>
      <c r="I554" s="10">
        <v>183</v>
      </c>
      <c r="J554" s="10">
        <v>29</v>
      </c>
      <c r="K554" s="10">
        <v>16</v>
      </c>
      <c r="L554" s="11" t="s">
        <v>500</v>
      </c>
      <c r="M554" s="12">
        <v>0</v>
      </c>
      <c r="N554" s="13"/>
      <c r="O554" s="13"/>
    </row>
    <row r="555" spans="1:15">
      <c r="A555" s="22" t="s">
        <v>715</v>
      </c>
      <c r="B555" s="8">
        <v>9</v>
      </c>
      <c r="C555" s="8">
        <v>475</v>
      </c>
      <c r="D555" s="8">
        <v>25</v>
      </c>
      <c r="E555" s="8">
        <v>1.6</v>
      </c>
      <c r="F555" s="9">
        <v>556</v>
      </c>
      <c r="G555" s="8" t="s">
        <v>659</v>
      </c>
      <c r="H555" s="10" t="s">
        <v>73</v>
      </c>
      <c r="I555" s="10">
        <v>183</v>
      </c>
      <c r="J555" s="10">
        <v>29</v>
      </c>
      <c r="K555" s="10">
        <v>16</v>
      </c>
      <c r="L555" s="11" t="s">
        <v>440</v>
      </c>
      <c r="M555" s="12">
        <v>0</v>
      </c>
      <c r="N555" s="13"/>
      <c r="O555" s="13"/>
    </row>
    <row r="556" spans="1:15">
      <c r="A556" s="22" t="s">
        <v>716</v>
      </c>
      <c r="B556" s="8">
        <v>9</v>
      </c>
      <c r="C556" s="8">
        <v>475</v>
      </c>
      <c r="D556" s="8">
        <v>25</v>
      </c>
      <c r="E556" s="8">
        <v>1.6</v>
      </c>
      <c r="F556" s="9">
        <v>557</v>
      </c>
      <c r="G556" s="8" t="s">
        <v>659</v>
      </c>
      <c r="H556" s="10" t="s">
        <v>73</v>
      </c>
      <c r="I556" s="10">
        <v>183</v>
      </c>
      <c r="J556" s="10">
        <v>29</v>
      </c>
      <c r="K556" s="10">
        <v>16</v>
      </c>
      <c r="L556" s="11" t="s">
        <v>440</v>
      </c>
      <c r="M556" s="12">
        <v>0</v>
      </c>
      <c r="N556" s="13"/>
      <c r="O556" s="13"/>
    </row>
    <row r="557" spans="1:15">
      <c r="A557" s="22" t="s">
        <v>717</v>
      </c>
      <c r="B557" s="8">
        <v>9</v>
      </c>
      <c r="C557" s="8">
        <v>475</v>
      </c>
      <c r="D557" s="8">
        <v>25</v>
      </c>
      <c r="E557" s="8">
        <v>1.6</v>
      </c>
      <c r="F557" s="9">
        <v>558</v>
      </c>
      <c r="G557" s="8" t="s">
        <v>659</v>
      </c>
      <c r="H557" s="10" t="s">
        <v>73</v>
      </c>
      <c r="I557" s="10">
        <v>183</v>
      </c>
      <c r="J557" s="10">
        <v>29</v>
      </c>
      <c r="K557" s="10">
        <v>16</v>
      </c>
      <c r="L557" s="11" t="s">
        <v>440</v>
      </c>
      <c r="M557" s="12">
        <v>0</v>
      </c>
      <c r="N557" s="13"/>
      <c r="O557" s="13"/>
    </row>
    <row r="558" spans="1:15">
      <c r="A558" s="22" t="s">
        <v>718</v>
      </c>
      <c r="B558" s="8">
        <v>9</v>
      </c>
      <c r="C558" s="8">
        <v>490</v>
      </c>
      <c r="D558" s="8">
        <v>25</v>
      </c>
      <c r="E558" s="8">
        <v>1.6</v>
      </c>
      <c r="F558" s="9">
        <v>559</v>
      </c>
      <c r="G558" s="8" t="s">
        <v>659</v>
      </c>
      <c r="H558" s="10" t="s">
        <v>73</v>
      </c>
      <c r="I558" s="10">
        <v>183</v>
      </c>
      <c r="J558" s="10">
        <v>29</v>
      </c>
      <c r="K558" s="10">
        <v>16</v>
      </c>
      <c r="L558" s="11" t="s">
        <v>498</v>
      </c>
      <c r="M558" s="12">
        <v>0</v>
      </c>
      <c r="N558" s="13"/>
      <c r="O558" s="13"/>
    </row>
    <row r="559" spans="1:15">
      <c r="A559" s="22" t="s">
        <v>719</v>
      </c>
      <c r="B559" s="8">
        <v>9</v>
      </c>
      <c r="C559" s="8">
        <v>496</v>
      </c>
      <c r="D559" s="8">
        <v>25</v>
      </c>
      <c r="E559" s="8">
        <v>1.6</v>
      </c>
      <c r="F559" s="9">
        <v>560</v>
      </c>
      <c r="G559" s="8" t="s">
        <v>659</v>
      </c>
      <c r="H559" s="10" t="s">
        <v>73</v>
      </c>
      <c r="I559" s="10">
        <v>183</v>
      </c>
      <c r="J559" s="10">
        <v>29</v>
      </c>
      <c r="K559" s="10">
        <v>16</v>
      </c>
      <c r="L559" s="11" t="s">
        <v>500</v>
      </c>
      <c r="M559" s="12">
        <v>0</v>
      </c>
      <c r="N559" s="13"/>
      <c r="O559" s="13"/>
    </row>
    <row r="560" spans="1:15">
      <c r="A560" s="22" t="s">
        <v>720</v>
      </c>
      <c r="B560" s="8">
        <v>9</v>
      </c>
      <c r="C560" s="8">
        <v>496</v>
      </c>
      <c r="D560" s="8">
        <v>25</v>
      </c>
      <c r="E560" s="8">
        <v>1.6</v>
      </c>
      <c r="F560" s="9">
        <v>561</v>
      </c>
      <c r="G560" s="8" t="s">
        <v>659</v>
      </c>
      <c r="H560" s="10" t="s">
        <v>73</v>
      </c>
      <c r="I560" s="10">
        <v>183</v>
      </c>
      <c r="J560" s="10">
        <v>29</v>
      </c>
      <c r="K560" s="10">
        <v>16</v>
      </c>
      <c r="L560" s="11" t="s">
        <v>500</v>
      </c>
      <c r="M560" s="12">
        <v>0</v>
      </c>
      <c r="N560" s="13"/>
      <c r="O560" s="13"/>
    </row>
    <row r="561" spans="1:15">
      <c r="A561" s="23" t="s">
        <v>721</v>
      </c>
      <c r="B561" s="20">
        <v>9</v>
      </c>
      <c r="C561" s="24">
        <v>499.99</v>
      </c>
      <c r="D561" s="20">
        <v>25</v>
      </c>
      <c r="E561" s="20">
        <v>1.6</v>
      </c>
      <c r="F561" s="9">
        <v>562</v>
      </c>
      <c r="G561" s="8" t="s">
        <v>722</v>
      </c>
      <c r="H561" s="10" t="s">
        <v>73</v>
      </c>
      <c r="I561" s="10">
        <v>183</v>
      </c>
      <c r="J561" s="10">
        <v>29</v>
      </c>
      <c r="K561" s="10">
        <v>16</v>
      </c>
      <c r="L561" s="11" t="e">
        <v>#N/A</v>
      </c>
      <c r="M561" s="12" t="e">
        <v>#N/A</v>
      </c>
      <c r="N561" s="13" t="s">
        <v>18</v>
      </c>
      <c r="O561" s="13"/>
    </row>
    <row r="562" spans="1:15">
      <c r="A562" s="23" t="s">
        <v>723</v>
      </c>
      <c r="B562" s="20">
        <v>9</v>
      </c>
      <c r="C562" s="24">
        <v>499.99</v>
      </c>
      <c r="D562" s="20">
        <v>25</v>
      </c>
      <c r="E562" s="20">
        <v>1.6</v>
      </c>
      <c r="F562" s="9">
        <v>563</v>
      </c>
      <c r="G562" s="8" t="s">
        <v>722</v>
      </c>
      <c r="H562" s="10" t="s">
        <v>73</v>
      </c>
      <c r="I562" s="10">
        <v>183</v>
      </c>
      <c r="J562" s="10">
        <v>29</v>
      </c>
      <c r="K562" s="10">
        <v>16</v>
      </c>
      <c r="L562" s="11" t="e">
        <v>#N/A</v>
      </c>
      <c r="M562" s="12" t="e">
        <v>#N/A</v>
      </c>
      <c r="N562" s="13" t="s">
        <v>18</v>
      </c>
      <c r="O562" s="13"/>
    </row>
    <row r="563" spans="1:15">
      <c r="A563" s="22" t="s">
        <v>724</v>
      </c>
      <c r="B563" s="8">
        <v>9</v>
      </c>
      <c r="C563" s="8">
        <v>339</v>
      </c>
      <c r="D563" s="8">
        <v>50</v>
      </c>
      <c r="E563" s="8">
        <v>1.48</v>
      </c>
      <c r="F563" s="9">
        <v>564</v>
      </c>
      <c r="G563" s="8" t="s">
        <v>72</v>
      </c>
      <c r="H563" s="10" t="s">
        <v>83</v>
      </c>
      <c r="I563" s="10">
        <v>145</v>
      </c>
      <c r="J563" s="10">
        <v>29</v>
      </c>
      <c r="K563" s="10">
        <v>16</v>
      </c>
      <c r="L563" s="11" t="s">
        <v>86</v>
      </c>
      <c r="M563" s="12">
        <v>8</v>
      </c>
      <c r="N563" s="13"/>
      <c r="O563" s="13"/>
    </row>
    <row r="564" spans="1:15">
      <c r="A564" s="22" t="s">
        <v>725</v>
      </c>
      <c r="B564" s="8">
        <v>9</v>
      </c>
      <c r="C564" s="8">
        <v>87</v>
      </c>
      <c r="D564" s="8">
        <v>50</v>
      </c>
      <c r="E564" s="8">
        <v>0.6</v>
      </c>
      <c r="F564" s="9">
        <v>565</v>
      </c>
      <c r="G564" s="8" t="s">
        <v>16</v>
      </c>
      <c r="H564" s="10" t="s">
        <v>17</v>
      </c>
      <c r="I564" s="10">
        <v>122</v>
      </c>
      <c r="J564" s="10">
        <v>15</v>
      </c>
      <c r="K564" s="10">
        <v>10</v>
      </c>
      <c r="L564" s="11" t="s">
        <v>309</v>
      </c>
      <c r="M564" s="12">
        <v>0</v>
      </c>
      <c r="N564" s="13"/>
      <c r="O564" s="13"/>
    </row>
    <row r="565" spans="1:15">
      <c r="A565" s="22" t="s">
        <v>726</v>
      </c>
      <c r="B565" s="8">
        <v>9</v>
      </c>
      <c r="C565" s="8">
        <v>69</v>
      </c>
      <c r="D565" s="8">
        <v>50</v>
      </c>
      <c r="E565" s="8">
        <v>0.6</v>
      </c>
      <c r="F565" s="9">
        <v>566</v>
      </c>
      <c r="G565" s="8" t="s">
        <v>16</v>
      </c>
      <c r="H565" s="10" t="s">
        <v>17</v>
      </c>
      <c r="I565" s="10">
        <v>122</v>
      </c>
      <c r="J565" s="10">
        <v>15</v>
      </c>
      <c r="K565" s="10">
        <v>10</v>
      </c>
      <c r="L565" s="11" t="s">
        <v>123</v>
      </c>
      <c r="M565" s="12">
        <v>28</v>
      </c>
      <c r="N565" s="13"/>
      <c r="O565" s="13"/>
    </row>
    <row r="566" spans="1:15">
      <c r="A566" s="22" t="s">
        <v>727</v>
      </c>
      <c r="B566" s="8">
        <v>9</v>
      </c>
      <c r="C566" s="8">
        <v>69</v>
      </c>
      <c r="D566" s="8">
        <v>50</v>
      </c>
      <c r="E566" s="8">
        <v>0.6</v>
      </c>
      <c r="F566" s="9">
        <v>567</v>
      </c>
      <c r="G566" s="8" t="s">
        <v>16</v>
      </c>
      <c r="H566" s="10" t="s">
        <v>17</v>
      </c>
      <c r="I566" s="10">
        <v>122</v>
      </c>
      <c r="J566" s="10">
        <v>15</v>
      </c>
      <c r="K566" s="10">
        <v>10</v>
      </c>
      <c r="L566" s="11" t="s">
        <v>123</v>
      </c>
      <c r="M566" s="12">
        <v>0</v>
      </c>
      <c r="N566" s="13"/>
      <c r="O566" s="13"/>
    </row>
    <row r="567" spans="1:15">
      <c r="A567" s="22" t="s">
        <v>728</v>
      </c>
      <c r="B567" s="8">
        <v>9</v>
      </c>
      <c r="C567" s="8">
        <v>77</v>
      </c>
      <c r="D567" s="8">
        <v>50</v>
      </c>
      <c r="E567" s="8">
        <v>0.6</v>
      </c>
      <c r="F567" s="9">
        <v>568</v>
      </c>
      <c r="G567" s="8" t="s">
        <v>16</v>
      </c>
      <c r="H567" s="10" t="s">
        <v>17</v>
      </c>
      <c r="I567" s="10">
        <v>122</v>
      </c>
      <c r="J567" s="10">
        <v>15</v>
      </c>
      <c r="K567" s="10">
        <v>10</v>
      </c>
      <c r="L567" s="11" t="s">
        <v>56</v>
      </c>
      <c r="M567" s="12">
        <v>0</v>
      </c>
      <c r="N567" s="13"/>
      <c r="O567" s="13"/>
    </row>
    <row r="568" spans="1:15">
      <c r="A568" s="22" t="s">
        <v>729</v>
      </c>
      <c r="B568" s="8">
        <v>9</v>
      </c>
      <c r="C568" s="8">
        <v>78</v>
      </c>
      <c r="D568" s="8">
        <v>50</v>
      </c>
      <c r="E568" s="8">
        <v>0.6</v>
      </c>
      <c r="F568" s="9">
        <v>569</v>
      </c>
      <c r="G568" s="8" t="s">
        <v>16</v>
      </c>
      <c r="H568" s="10" t="s">
        <v>17</v>
      </c>
      <c r="I568" s="10">
        <v>122</v>
      </c>
      <c r="J568" s="10">
        <v>15</v>
      </c>
      <c r="K568" s="10">
        <v>10</v>
      </c>
      <c r="L568" s="11" t="s">
        <v>129</v>
      </c>
      <c r="M568" s="12">
        <v>0</v>
      </c>
      <c r="N568" s="13"/>
      <c r="O568" s="13"/>
    </row>
    <row r="569" spans="1:15">
      <c r="A569" s="22" t="s">
        <v>730</v>
      </c>
      <c r="B569" s="8">
        <v>9</v>
      </c>
      <c r="C569" s="8">
        <v>63</v>
      </c>
      <c r="D569" s="8">
        <v>50</v>
      </c>
      <c r="E569" s="8">
        <v>0.6</v>
      </c>
      <c r="F569" s="9">
        <v>570</v>
      </c>
      <c r="G569" s="8" t="s">
        <v>16</v>
      </c>
      <c r="H569" s="10" t="s">
        <v>17</v>
      </c>
      <c r="I569" s="10">
        <v>122</v>
      </c>
      <c r="J569" s="10">
        <v>15</v>
      </c>
      <c r="K569" s="10">
        <v>10</v>
      </c>
      <c r="L569" s="11" t="s">
        <v>255</v>
      </c>
      <c r="M569" s="12">
        <v>0</v>
      </c>
      <c r="N569" s="13"/>
      <c r="O569" s="13"/>
    </row>
    <row r="570" spans="1:15">
      <c r="A570" s="22" t="s">
        <v>731</v>
      </c>
      <c r="B570" s="8">
        <v>9</v>
      </c>
      <c r="C570" s="8">
        <v>65</v>
      </c>
      <c r="D570" s="8">
        <v>50</v>
      </c>
      <c r="E570" s="8">
        <v>0.6</v>
      </c>
      <c r="F570" s="9">
        <v>571</v>
      </c>
      <c r="G570" s="8" t="s">
        <v>16</v>
      </c>
      <c r="H570" s="10" t="s">
        <v>17</v>
      </c>
      <c r="I570" s="10">
        <v>122</v>
      </c>
      <c r="J570" s="10">
        <v>15</v>
      </c>
      <c r="K570" s="10">
        <v>10</v>
      </c>
      <c r="L570" s="11" t="s">
        <v>22</v>
      </c>
      <c r="M570" s="12">
        <v>0</v>
      </c>
      <c r="N570" s="13"/>
      <c r="O570" s="13"/>
    </row>
    <row r="571" spans="1:15">
      <c r="A571" s="22" t="s">
        <v>732</v>
      </c>
      <c r="B571" s="8">
        <v>9</v>
      </c>
      <c r="C571" s="8">
        <v>535</v>
      </c>
      <c r="D571" s="8">
        <v>1</v>
      </c>
      <c r="E571" s="8">
        <v>0.5</v>
      </c>
      <c r="F571" s="9">
        <v>572</v>
      </c>
      <c r="G571" s="8" t="s">
        <v>446</v>
      </c>
      <c r="H571" s="10" t="s">
        <v>443</v>
      </c>
      <c r="I571" s="10">
        <v>89</v>
      </c>
      <c r="J571" s="10">
        <v>14</v>
      </c>
      <c r="K571" s="10">
        <v>9</v>
      </c>
      <c r="L571" s="11" t="s">
        <v>733</v>
      </c>
      <c r="M571" s="12">
        <v>1</v>
      </c>
      <c r="N571" s="12" t="e">
        <f>VLOOKUP(A:A,[2]成品数据统计表!$C$1:$E$65536,3,0)</f>
        <v>#REF!</v>
      </c>
      <c r="O571" s="13"/>
    </row>
    <row r="572" spans="1:15">
      <c r="A572" s="22" t="s">
        <v>734</v>
      </c>
      <c r="B572" s="8">
        <v>9</v>
      </c>
      <c r="C572" s="8">
        <v>332</v>
      </c>
      <c r="D572" s="8">
        <v>50</v>
      </c>
      <c r="E572" s="8">
        <v>1.48</v>
      </c>
      <c r="F572" s="9">
        <v>573</v>
      </c>
      <c r="G572" s="8" t="s">
        <v>72</v>
      </c>
      <c r="H572" s="10" t="s">
        <v>83</v>
      </c>
      <c r="I572" s="10">
        <v>145</v>
      </c>
      <c r="J572" s="10">
        <v>29</v>
      </c>
      <c r="K572" s="10">
        <v>16</v>
      </c>
      <c r="L572" s="11" t="s">
        <v>405</v>
      </c>
      <c r="M572" s="12">
        <v>16</v>
      </c>
      <c r="N572" s="13"/>
      <c r="O572" s="13"/>
    </row>
    <row r="573" spans="1:15">
      <c r="A573" s="22" t="s">
        <v>735</v>
      </c>
      <c r="B573" s="8">
        <v>9</v>
      </c>
      <c r="C573" s="8">
        <v>329</v>
      </c>
      <c r="D573" s="8">
        <v>50</v>
      </c>
      <c r="E573" s="8">
        <v>1.48</v>
      </c>
      <c r="F573" s="9">
        <v>574</v>
      </c>
      <c r="G573" s="8" t="s">
        <v>72</v>
      </c>
      <c r="H573" s="10" t="s">
        <v>83</v>
      </c>
      <c r="I573" s="10">
        <v>145</v>
      </c>
      <c r="J573" s="10">
        <v>29</v>
      </c>
      <c r="K573" s="10">
        <v>16</v>
      </c>
      <c r="L573" s="11" t="s">
        <v>84</v>
      </c>
      <c r="M573" s="12">
        <v>4</v>
      </c>
      <c r="N573" s="13"/>
      <c r="O573" s="13"/>
    </row>
    <row r="574" spans="1:15">
      <c r="A574" s="22" t="s">
        <v>736</v>
      </c>
      <c r="B574" s="8">
        <v>9</v>
      </c>
      <c r="C574" s="8">
        <v>155</v>
      </c>
      <c r="D574" s="8">
        <v>6</v>
      </c>
      <c r="E574" s="8">
        <v>0.2</v>
      </c>
      <c r="F574" s="9">
        <v>575</v>
      </c>
      <c r="G574" s="8" t="s">
        <v>629</v>
      </c>
      <c r="H574" s="10" t="s">
        <v>630</v>
      </c>
      <c r="I574" s="10">
        <v>45</v>
      </c>
      <c r="J574" s="10">
        <v>26</v>
      </c>
      <c r="K574" s="10">
        <v>8</v>
      </c>
      <c r="L574" s="11" t="s">
        <v>631</v>
      </c>
      <c r="M574" s="12">
        <v>14</v>
      </c>
      <c r="N574" s="13"/>
      <c r="O574" s="13"/>
    </row>
    <row r="575" spans="1:15">
      <c r="A575" s="22" t="s">
        <v>737</v>
      </c>
      <c r="B575" s="8">
        <v>9</v>
      </c>
      <c r="C575" s="8">
        <v>155</v>
      </c>
      <c r="D575" s="8">
        <v>6</v>
      </c>
      <c r="E575" s="8">
        <v>0.2</v>
      </c>
      <c r="F575" s="9">
        <v>576</v>
      </c>
      <c r="G575" s="8" t="s">
        <v>629</v>
      </c>
      <c r="H575" s="10" t="s">
        <v>630</v>
      </c>
      <c r="I575" s="10">
        <v>45</v>
      </c>
      <c r="J575" s="10">
        <v>26</v>
      </c>
      <c r="K575" s="10">
        <v>8</v>
      </c>
      <c r="L575" s="11" t="s">
        <v>631</v>
      </c>
      <c r="M575" s="12">
        <v>0</v>
      </c>
      <c r="N575" s="13"/>
      <c r="O575" s="13"/>
    </row>
    <row r="576" spans="1:15">
      <c r="A576" s="22" t="s">
        <v>738</v>
      </c>
      <c r="B576" s="8">
        <v>9</v>
      </c>
      <c r="C576" s="8">
        <v>160</v>
      </c>
      <c r="D576" s="8">
        <v>6</v>
      </c>
      <c r="E576" s="8">
        <v>0.2</v>
      </c>
      <c r="F576" s="9">
        <v>577</v>
      </c>
      <c r="G576" s="8" t="s">
        <v>629</v>
      </c>
      <c r="H576" s="10" t="s">
        <v>630</v>
      </c>
      <c r="I576" s="10">
        <v>45</v>
      </c>
      <c r="J576" s="10">
        <v>26</v>
      </c>
      <c r="K576" s="10">
        <v>8</v>
      </c>
      <c r="L576" s="11" t="s">
        <v>656</v>
      </c>
      <c r="M576" s="12">
        <v>19</v>
      </c>
      <c r="N576" s="13"/>
      <c r="O576" s="13"/>
    </row>
    <row r="577" spans="1:15">
      <c r="A577" s="22" t="s">
        <v>739</v>
      </c>
      <c r="B577" s="8">
        <v>9</v>
      </c>
      <c r="C577" s="8">
        <v>160</v>
      </c>
      <c r="D577" s="8">
        <v>6</v>
      </c>
      <c r="E577" s="8">
        <v>0.2</v>
      </c>
      <c r="F577" s="9">
        <v>578</v>
      </c>
      <c r="G577" s="8" t="s">
        <v>629</v>
      </c>
      <c r="H577" s="10" t="s">
        <v>630</v>
      </c>
      <c r="I577" s="10">
        <v>45</v>
      </c>
      <c r="J577" s="10">
        <v>26</v>
      </c>
      <c r="K577" s="10">
        <v>8</v>
      </c>
      <c r="L577" s="11" t="s">
        <v>656</v>
      </c>
      <c r="M577" s="12">
        <v>0</v>
      </c>
      <c r="N577" s="13"/>
      <c r="O577" s="13"/>
    </row>
    <row r="578" spans="1:15">
      <c r="A578" s="22" t="s">
        <v>740</v>
      </c>
      <c r="B578" s="8">
        <v>9</v>
      </c>
      <c r="C578" s="8">
        <v>155</v>
      </c>
      <c r="D578" s="8">
        <v>6</v>
      </c>
      <c r="E578" s="8">
        <v>0.2</v>
      </c>
      <c r="F578" s="9">
        <v>579</v>
      </c>
      <c r="G578" s="8" t="s">
        <v>629</v>
      </c>
      <c r="H578" s="10" t="s">
        <v>630</v>
      </c>
      <c r="I578" s="10">
        <v>45</v>
      </c>
      <c r="J578" s="10">
        <v>26</v>
      </c>
      <c r="K578" s="10">
        <v>8</v>
      </c>
      <c r="L578" s="11" t="s">
        <v>631</v>
      </c>
      <c r="M578" s="12">
        <v>0</v>
      </c>
      <c r="N578" s="13"/>
      <c r="O578" s="13"/>
    </row>
    <row r="579" spans="1:15">
      <c r="A579" s="22" t="s">
        <v>741</v>
      </c>
      <c r="B579" s="8">
        <v>9</v>
      </c>
      <c r="C579" s="8">
        <v>155</v>
      </c>
      <c r="D579" s="8">
        <v>6</v>
      </c>
      <c r="E579" s="8">
        <v>0.2</v>
      </c>
      <c r="F579" s="9">
        <v>580</v>
      </c>
      <c r="G579" s="8" t="s">
        <v>629</v>
      </c>
      <c r="H579" s="10" t="s">
        <v>630</v>
      </c>
      <c r="I579" s="10">
        <v>45</v>
      </c>
      <c r="J579" s="10">
        <v>26</v>
      </c>
      <c r="K579" s="10">
        <v>8</v>
      </c>
      <c r="L579" s="11" t="s">
        <v>631</v>
      </c>
      <c r="M579" s="12">
        <v>0</v>
      </c>
      <c r="N579" s="13"/>
      <c r="O579" s="13"/>
    </row>
    <row r="580" spans="1:15">
      <c r="A580" s="22" t="s">
        <v>742</v>
      </c>
      <c r="B580" s="8">
        <v>9</v>
      </c>
      <c r="C580" s="8">
        <v>515</v>
      </c>
      <c r="D580" s="8">
        <v>1</v>
      </c>
      <c r="E580" s="8">
        <v>0.5</v>
      </c>
      <c r="F580" s="9">
        <v>581</v>
      </c>
      <c r="G580" s="8" t="s">
        <v>442</v>
      </c>
      <c r="H580" s="10" t="s">
        <v>443</v>
      </c>
      <c r="I580" s="10">
        <v>89</v>
      </c>
      <c r="J580" s="10">
        <v>14</v>
      </c>
      <c r="K580" s="10">
        <v>9</v>
      </c>
      <c r="L580" s="11" t="s">
        <v>743</v>
      </c>
      <c r="M580" s="12">
        <v>0</v>
      </c>
      <c r="N580" s="13"/>
      <c r="O580" s="13"/>
    </row>
    <row r="581" spans="1:15">
      <c r="A581" s="22" t="s">
        <v>744</v>
      </c>
      <c r="B581" s="8">
        <v>9</v>
      </c>
      <c r="C581" s="8">
        <v>382</v>
      </c>
      <c r="D581" s="8">
        <v>1</v>
      </c>
      <c r="E581" s="8">
        <v>0.5</v>
      </c>
      <c r="F581" s="9">
        <v>582</v>
      </c>
      <c r="G581" s="8" t="s">
        <v>446</v>
      </c>
      <c r="H581" s="10" t="s">
        <v>443</v>
      </c>
      <c r="I581" s="10">
        <v>89</v>
      </c>
      <c r="J581" s="10">
        <v>14</v>
      </c>
      <c r="K581" s="10">
        <v>9</v>
      </c>
      <c r="L581" s="11" t="s">
        <v>745</v>
      </c>
      <c r="M581" s="12">
        <v>56</v>
      </c>
      <c r="N581" s="13"/>
      <c r="O581" s="13"/>
    </row>
    <row r="582" spans="1:15">
      <c r="A582" s="22" t="s">
        <v>746</v>
      </c>
      <c r="B582" s="8">
        <v>9</v>
      </c>
      <c r="C582" s="8">
        <v>475</v>
      </c>
      <c r="D582" s="8">
        <v>25</v>
      </c>
      <c r="E582" s="8">
        <v>1.6</v>
      </c>
      <c r="F582" s="9">
        <v>583</v>
      </c>
      <c r="G582" s="8" t="s">
        <v>659</v>
      </c>
      <c r="H582" s="10" t="s">
        <v>73</v>
      </c>
      <c r="I582" s="10">
        <v>183</v>
      </c>
      <c r="J582" s="10">
        <v>29</v>
      </c>
      <c r="K582" s="10">
        <v>16</v>
      </c>
      <c r="L582" s="11" t="s">
        <v>440</v>
      </c>
      <c r="M582" s="12">
        <v>0</v>
      </c>
      <c r="N582" s="13"/>
      <c r="O582" s="13"/>
    </row>
    <row r="583" spans="1:15">
      <c r="A583" s="22" t="s">
        <v>747</v>
      </c>
      <c r="B583" s="8">
        <v>9</v>
      </c>
      <c r="C583" s="8">
        <v>155</v>
      </c>
      <c r="D583" s="8">
        <v>6</v>
      </c>
      <c r="E583" s="8">
        <v>0.2</v>
      </c>
      <c r="F583" s="9">
        <v>584</v>
      </c>
      <c r="G583" s="8" t="s">
        <v>629</v>
      </c>
      <c r="H583" s="10" t="s">
        <v>630</v>
      </c>
      <c r="I583" s="10">
        <v>45</v>
      </c>
      <c r="J583" s="10">
        <v>26</v>
      </c>
      <c r="K583" s="10">
        <v>8</v>
      </c>
      <c r="L583" s="11" t="e">
        <v>#N/A</v>
      </c>
      <c r="M583" s="12">
        <v>0</v>
      </c>
      <c r="N583" s="13" t="s">
        <v>18</v>
      </c>
      <c r="O583" s="13"/>
    </row>
    <row r="584" spans="1:15">
      <c r="A584" s="22" t="s">
        <v>748</v>
      </c>
      <c r="B584" s="8">
        <v>9</v>
      </c>
      <c r="C584" s="8">
        <v>496</v>
      </c>
      <c r="D584" s="8">
        <v>25</v>
      </c>
      <c r="E584" s="8">
        <v>1.6</v>
      </c>
      <c r="F584" s="9">
        <v>585</v>
      </c>
      <c r="G584" s="8" t="s">
        <v>659</v>
      </c>
      <c r="H584" s="10" t="s">
        <v>73</v>
      </c>
      <c r="I584" s="10">
        <v>183</v>
      </c>
      <c r="J584" s="10">
        <v>29</v>
      </c>
      <c r="K584" s="10">
        <v>16</v>
      </c>
      <c r="L584" s="11" t="s">
        <v>500</v>
      </c>
      <c r="M584" s="12">
        <v>10</v>
      </c>
      <c r="N584" s="13"/>
      <c r="O584" s="13"/>
    </row>
    <row r="585" spans="1:15">
      <c r="A585" s="22" t="s">
        <v>749</v>
      </c>
      <c r="B585" s="8">
        <v>9</v>
      </c>
      <c r="C585" s="8">
        <v>496</v>
      </c>
      <c r="D585" s="8">
        <v>25</v>
      </c>
      <c r="E585" s="8">
        <v>1.6</v>
      </c>
      <c r="F585" s="9">
        <v>586</v>
      </c>
      <c r="G585" s="8" t="s">
        <v>659</v>
      </c>
      <c r="H585" s="10" t="s">
        <v>73</v>
      </c>
      <c r="I585" s="10">
        <v>183</v>
      </c>
      <c r="J585" s="10">
        <v>29</v>
      </c>
      <c r="K585" s="10">
        <v>16</v>
      </c>
      <c r="L585" s="11" t="s">
        <v>500</v>
      </c>
      <c r="M585" s="12">
        <v>10</v>
      </c>
      <c r="N585" s="13"/>
      <c r="O585" s="13"/>
    </row>
    <row r="586" spans="1:15">
      <c r="A586" s="22" t="s">
        <v>750</v>
      </c>
      <c r="B586" s="8">
        <v>9</v>
      </c>
      <c r="C586" s="8">
        <v>496</v>
      </c>
      <c r="D586" s="8">
        <v>25</v>
      </c>
      <c r="E586" s="8">
        <v>1.6</v>
      </c>
      <c r="F586" s="9">
        <v>587</v>
      </c>
      <c r="G586" s="8" t="s">
        <v>659</v>
      </c>
      <c r="H586" s="10" t="s">
        <v>73</v>
      </c>
      <c r="I586" s="10">
        <v>183</v>
      </c>
      <c r="J586" s="10">
        <v>29</v>
      </c>
      <c r="K586" s="10">
        <v>16</v>
      </c>
      <c r="L586" s="11" t="s">
        <v>500</v>
      </c>
      <c r="M586" s="12">
        <v>3</v>
      </c>
      <c r="N586" s="13"/>
      <c r="O586" s="13"/>
    </row>
    <row r="587" spans="1:15">
      <c r="A587" s="22" t="s">
        <v>751</v>
      </c>
      <c r="B587" s="8">
        <v>9</v>
      </c>
      <c r="C587" s="8">
        <v>475</v>
      </c>
      <c r="D587" s="8">
        <v>25</v>
      </c>
      <c r="E587" s="8">
        <v>1.6</v>
      </c>
      <c r="F587" s="9">
        <v>588</v>
      </c>
      <c r="G587" s="8" t="s">
        <v>659</v>
      </c>
      <c r="H587" s="10" t="s">
        <v>73</v>
      </c>
      <c r="I587" s="10">
        <v>183</v>
      </c>
      <c r="J587" s="10">
        <v>29</v>
      </c>
      <c r="K587" s="10">
        <v>16</v>
      </c>
      <c r="L587" s="11" t="s">
        <v>440</v>
      </c>
      <c r="M587" s="12">
        <v>0</v>
      </c>
      <c r="N587" s="13"/>
      <c r="O587" s="13"/>
    </row>
    <row r="588" spans="1:15">
      <c r="A588" s="22" t="s">
        <v>752</v>
      </c>
      <c r="B588" s="8">
        <v>9</v>
      </c>
      <c r="C588" s="8">
        <v>496</v>
      </c>
      <c r="D588" s="8">
        <v>25</v>
      </c>
      <c r="E588" s="8">
        <v>1.6</v>
      </c>
      <c r="F588" s="9">
        <v>589</v>
      </c>
      <c r="G588" s="8" t="s">
        <v>659</v>
      </c>
      <c r="H588" s="10" t="s">
        <v>73</v>
      </c>
      <c r="I588" s="10">
        <v>183</v>
      </c>
      <c r="J588" s="10">
        <v>29</v>
      </c>
      <c r="K588" s="10">
        <v>16</v>
      </c>
      <c r="L588" s="11" t="s">
        <v>500</v>
      </c>
      <c r="M588" s="12">
        <v>0</v>
      </c>
      <c r="N588" s="13"/>
      <c r="O588" s="13"/>
    </row>
    <row r="589" spans="1:15">
      <c r="A589" s="22" t="s">
        <v>753</v>
      </c>
      <c r="B589" s="8">
        <v>9</v>
      </c>
      <c r="C589" s="8">
        <v>496</v>
      </c>
      <c r="D589" s="8">
        <v>25</v>
      </c>
      <c r="E589" s="8">
        <v>1.6</v>
      </c>
      <c r="F589" s="9">
        <v>590</v>
      </c>
      <c r="G589" s="8" t="s">
        <v>659</v>
      </c>
      <c r="H589" s="10" t="s">
        <v>73</v>
      </c>
      <c r="I589" s="10">
        <v>183</v>
      </c>
      <c r="J589" s="10">
        <v>29</v>
      </c>
      <c r="K589" s="10">
        <v>16</v>
      </c>
      <c r="L589" s="11" t="s">
        <v>500</v>
      </c>
      <c r="M589" s="12">
        <v>0</v>
      </c>
      <c r="N589" s="13"/>
      <c r="O589" s="13"/>
    </row>
    <row r="590" spans="1:15">
      <c r="A590" s="22" t="s">
        <v>754</v>
      </c>
      <c r="B590" s="8">
        <v>9</v>
      </c>
      <c r="C590" s="8">
        <v>323</v>
      </c>
      <c r="D590" s="8">
        <v>50</v>
      </c>
      <c r="E590" s="8">
        <v>1.6</v>
      </c>
      <c r="F590" s="9">
        <v>591</v>
      </c>
      <c r="G590" s="8" t="s">
        <v>72</v>
      </c>
      <c r="H590" s="10" t="s">
        <v>73</v>
      </c>
      <c r="I590" s="10">
        <v>183</v>
      </c>
      <c r="J590" s="10">
        <v>29</v>
      </c>
      <c r="K590" s="10">
        <v>16</v>
      </c>
      <c r="L590" s="11" t="s">
        <v>571</v>
      </c>
      <c r="M590" s="12">
        <v>0</v>
      </c>
      <c r="N590" s="13"/>
      <c r="O590" s="13"/>
    </row>
    <row r="591" spans="1:15">
      <c r="A591" s="22" t="s">
        <v>755</v>
      </c>
      <c r="B591" s="8">
        <v>9</v>
      </c>
      <c r="C591" s="8">
        <v>143</v>
      </c>
      <c r="D591" s="8">
        <v>6</v>
      </c>
      <c r="E591" s="8">
        <v>0.2</v>
      </c>
      <c r="F591" s="9">
        <v>592</v>
      </c>
      <c r="G591" s="8" t="s">
        <v>629</v>
      </c>
      <c r="H591" s="10" t="s">
        <v>630</v>
      </c>
      <c r="I591" s="10">
        <v>45</v>
      </c>
      <c r="J591" s="10">
        <v>26</v>
      </c>
      <c r="K591" s="10">
        <v>8</v>
      </c>
      <c r="L591" s="11" t="s">
        <v>756</v>
      </c>
      <c r="M591" s="12">
        <v>3</v>
      </c>
      <c r="N591" s="13"/>
      <c r="O591" s="13"/>
    </row>
    <row r="592" spans="1:15">
      <c r="A592" s="22" t="s">
        <v>757</v>
      </c>
      <c r="B592" s="8">
        <v>9</v>
      </c>
      <c r="C592" s="8">
        <v>143</v>
      </c>
      <c r="D592" s="8">
        <v>6</v>
      </c>
      <c r="E592" s="8">
        <v>0.2</v>
      </c>
      <c r="F592" s="9">
        <v>593</v>
      </c>
      <c r="G592" s="8" t="s">
        <v>629</v>
      </c>
      <c r="H592" s="10" t="s">
        <v>630</v>
      </c>
      <c r="I592" s="10">
        <v>45</v>
      </c>
      <c r="J592" s="10">
        <v>26</v>
      </c>
      <c r="K592" s="10">
        <v>8</v>
      </c>
      <c r="L592" s="11" t="s">
        <v>756</v>
      </c>
      <c r="M592" s="12">
        <v>14</v>
      </c>
      <c r="N592" s="13"/>
      <c r="O592" s="13"/>
    </row>
    <row r="593" spans="1:15">
      <c r="A593" s="22" t="s">
        <v>758</v>
      </c>
      <c r="B593" s="8">
        <v>9</v>
      </c>
      <c r="C593" s="8">
        <v>147</v>
      </c>
      <c r="D593" s="8">
        <v>6</v>
      </c>
      <c r="E593" s="8">
        <v>0.2</v>
      </c>
      <c r="F593" s="9">
        <v>594</v>
      </c>
      <c r="G593" s="8" t="s">
        <v>629</v>
      </c>
      <c r="H593" s="10" t="s">
        <v>630</v>
      </c>
      <c r="I593" s="10">
        <v>45</v>
      </c>
      <c r="J593" s="10">
        <v>26</v>
      </c>
      <c r="K593" s="10">
        <v>8</v>
      </c>
      <c r="L593" s="11" t="s">
        <v>759</v>
      </c>
      <c r="M593" s="12">
        <v>51</v>
      </c>
      <c r="N593" s="13"/>
      <c r="O593" s="13"/>
    </row>
    <row r="594" spans="1:15">
      <c r="A594" s="22" t="s">
        <v>760</v>
      </c>
      <c r="B594" s="8">
        <v>9</v>
      </c>
      <c r="C594" s="8">
        <v>147</v>
      </c>
      <c r="D594" s="8">
        <v>6</v>
      </c>
      <c r="E594" s="8">
        <v>0.2</v>
      </c>
      <c r="F594" s="9">
        <v>595</v>
      </c>
      <c r="G594" s="8" t="s">
        <v>629</v>
      </c>
      <c r="H594" s="10" t="s">
        <v>630</v>
      </c>
      <c r="I594" s="10">
        <v>45</v>
      </c>
      <c r="J594" s="10">
        <v>26</v>
      </c>
      <c r="K594" s="10">
        <v>8</v>
      </c>
      <c r="L594" s="11" t="s">
        <v>759</v>
      </c>
      <c r="M594" s="12">
        <v>0</v>
      </c>
      <c r="N594" s="13"/>
      <c r="O594" s="13"/>
    </row>
    <row r="595" spans="1:15">
      <c r="A595" s="22" t="s">
        <v>761</v>
      </c>
      <c r="B595" s="8">
        <v>9</v>
      </c>
      <c r="C595" s="8">
        <v>145</v>
      </c>
      <c r="D595" s="8">
        <v>6</v>
      </c>
      <c r="E595" s="8">
        <v>0.2</v>
      </c>
      <c r="F595" s="9">
        <v>596</v>
      </c>
      <c r="G595" s="8" t="s">
        <v>629</v>
      </c>
      <c r="H595" s="10" t="s">
        <v>630</v>
      </c>
      <c r="I595" s="10">
        <v>45</v>
      </c>
      <c r="J595" s="10">
        <v>26</v>
      </c>
      <c r="K595" s="10">
        <v>8</v>
      </c>
      <c r="L595" s="11" t="s">
        <v>762</v>
      </c>
      <c r="M595" s="12">
        <v>0</v>
      </c>
      <c r="N595" s="13"/>
      <c r="O595" s="13"/>
    </row>
    <row r="596" spans="1:15">
      <c r="A596" s="22" t="s">
        <v>763</v>
      </c>
      <c r="B596" s="8">
        <v>9</v>
      </c>
      <c r="C596" s="8">
        <v>145</v>
      </c>
      <c r="D596" s="8">
        <v>6</v>
      </c>
      <c r="E596" s="8">
        <v>0.2</v>
      </c>
      <c r="F596" s="9">
        <v>597</v>
      </c>
      <c r="G596" s="8" t="s">
        <v>629</v>
      </c>
      <c r="H596" s="10" t="s">
        <v>630</v>
      </c>
      <c r="I596" s="10">
        <v>45</v>
      </c>
      <c r="J596" s="10">
        <v>26</v>
      </c>
      <c r="K596" s="10">
        <v>8</v>
      </c>
      <c r="L596" s="11" t="s">
        <v>762</v>
      </c>
      <c r="M596" s="12">
        <v>0</v>
      </c>
      <c r="N596" s="13"/>
      <c r="O596" s="13"/>
    </row>
    <row r="597" spans="1:15">
      <c r="A597" s="22" t="s">
        <v>764</v>
      </c>
      <c r="B597" s="8">
        <v>9</v>
      </c>
      <c r="C597" s="8">
        <v>430</v>
      </c>
      <c r="D597" s="8">
        <v>1</v>
      </c>
      <c r="E597" s="8">
        <v>0.5</v>
      </c>
      <c r="F597" s="9">
        <v>598</v>
      </c>
      <c r="G597" s="8" t="s">
        <v>446</v>
      </c>
      <c r="H597" s="10" t="s">
        <v>443</v>
      </c>
      <c r="I597" s="10">
        <v>89</v>
      </c>
      <c r="J597" s="10">
        <v>14</v>
      </c>
      <c r="K597" s="10">
        <v>9</v>
      </c>
      <c r="L597" s="11" t="s">
        <v>765</v>
      </c>
      <c r="M597" s="12">
        <v>0</v>
      </c>
      <c r="N597" s="13"/>
      <c r="O597" s="13"/>
    </row>
    <row r="598" spans="1:15">
      <c r="A598" s="22" t="s">
        <v>766</v>
      </c>
      <c r="B598" s="8">
        <v>9</v>
      </c>
      <c r="C598" s="8">
        <v>496</v>
      </c>
      <c r="D598" s="8">
        <v>25</v>
      </c>
      <c r="E598" s="8">
        <v>1.6</v>
      </c>
      <c r="F598" s="9">
        <v>599</v>
      </c>
      <c r="G598" s="8" t="s">
        <v>659</v>
      </c>
      <c r="H598" s="10" t="s">
        <v>73</v>
      </c>
      <c r="I598" s="10">
        <v>183</v>
      </c>
      <c r="J598" s="10">
        <v>29</v>
      </c>
      <c r="K598" s="10">
        <v>16</v>
      </c>
      <c r="L598" s="11" t="s">
        <v>500</v>
      </c>
      <c r="M598" s="12">
        <v>0</v>
      </c>
      <c r="N598" s="13"/>
      <c r="O598" s="13"/>
    </row>
    <row r="599" spans="1:15">
      <c r="A599" s="22" t="s">
        <v>767</v>
      </c>
      <c r="B599" s="8">
        <v>9</v>
      </c>
      <c r="C599" s="8">
        <v>496</v>
      </c>
      <c r="D599" s="8">
        <v>25</v>
      </c>
      <c r="E599" s="8">
        <v>1.6</v>
      </c>
      <c r="F599" s="9">
        <v>600</v>
      </c>
      <c r="G599" s="8" t="s">
        <v>659</v>
      </c>
      <c r="H599" s="10" t="s">
        <v>73</v>
      </c>
      <c r="I599" s="10">
        <v>183</v>
      </c>
      <c r="J599" s="10">
        <v>29</v>
      </c>
      <c r="K599" s="10">
        <v>16</v>
      </c>
      <c r="L599" s="11" t="s">
        <v>500</v>
      </c>
      <c r="M599" s="12">
        <v>1</v>
      </c>
      <c r="N599" s="13"/>
      <c r="O599" s="13"/>
    </row>
    <row r="600" spans="1:15">
      <c r="A600" s="22" t="s">
        <v>768</v>
      </c>
      <c r="B600" s="8">
        <v>9</v>
      </c>
      <c r="C600" s="8">
        <v>155</v>
      </c>
      <c r="D600" s="8">
        <v>6</v>
      </c>
      <c r="E600" s="8">
        <v>0.2</v>
      </c>
      <c r="F600" s="9">
        <v>601</v>
      </c>
      <c r="G600" s="8" t="s">
        <v>629</v>
      </c>
      <c r="H600" s="10" t="s">
        <v>630</v>
      </c>
      <c r="I600" s="10">
        <v>45</v>
      </c>
      <c r="J600" s="10">
        <v>26</v>
      </c>
      <c r="K600" s="10">
        <v>8</v>
      </c>
      <c r="L600" s="11" t="e">
        <v>#N/A</v>
      </c>
      <c r="M600" s="12">
        <v>0</v>
      </c>
      <c r="N600" s="13" t="s">
        <v>18</v>
      </c>
      <c r="O600" s="13"/>
    </row>
    <row r="601" spans="1:15">
      <c r="A601" s="22" t="s">
        <v>769</v>
      </c>
      <c r="B601" s="8">
        <v>9</v>
      </c>
      <c r="C601" s="8">
        <v>496</v>
      </c>
      <c r="D601" s="8">
        <v>25</v>
      </c>
      <c r="E601" s="8">
        <v>1.6</v>
      </c>
      <c r="F601" s="9">
        <v>602</v>
      </c>
      <c r="G601" s="8" t="s">
        <v>659</v>
      </c>
      <c r="H601" s="10" t="s">
        <v>73</v>
      </c>
      <c r="I601" s="10">
        <v>183</v>
      </c>
      <c r="J601" s="10">
        <v>29</v>
      </c>
      <c r="K601" s="10">
        <v>16</v>
      </c>
      <c r="L601" s="11" t="s">
        <v>500</v>
      </c>
      <c r="M601" s="12">
        <v>0</v>
      </c>
      <c r="N601" s="13"/>
      <c r="O601" s="13"/>
    </row>
    <row r="602" spans="1:15">
      <c r="A602" s="22" t="s">
        <v>770</v>
      </c>
      <c r="B602" s="8">
        <v>9</v>
      </c>
      <c r="C602" s="8">
        <v>475</v>
      </c>
      <c r="D602" s="8">
        <v>25</v>
      </c>
      <c r="E602" s="8">
        <v>1.6</v>
      </c>
      <c r="F602" s="9">
        <v>603</v>
      </c>
      <c r="G602" s="8" t="s">
        <v>659</v>
      </c>
      <c r="H602" s="10" t="s">
        <v>73</v>
      </c>
      <c r="I602" s="10">
        <v>183</v>
      </c>
      <c r="J602" s="10">
        <v>29</v>
      </c>
      <c r="K602" s="10">
        <v>16</v>
      </c>
      <c r="L602" s="11" t="s">
        <v>440</v>
      </c>
      <c r="M602" s="12">
        <v>0</v>
      </c>
      <c r="N602" s="13"/>
      <c r="O602" s="13"/>
    </row>
    <row r="603" spans="1:15">
      <c r="A603" s="22" t="s">
        <v>771</v>
      </c>
      <c r="B603" s="8">
        <v>9</v>
      </c>
      <c r="C603" s="8">
        <v>155</v>
      </c>
      <c r="D603" s="8">
        <v>6</v>
      </c>
      <c r="E603" s="8">
        <v>0.2</v>
      </c>
      <c r="F603" s="9">
        <v>604</v>
      </c>
      <c r="G603" s="8" t="s">
        <v>629</v>
      </c>
      <c r="H603" s="10" t="s">
        <v>630</v>
      </c>
      <c r="I603" s="10">
        <v>45</v>
      </c>
      <c r="J603" s="10">
        <v>26</v>
      </c>
      <c r="K603" s="10">
        <v>8</v>
      </c>
      <c r="L603" s="11" t="s">
        <v>631</v>
      </c>
      <c r="M603" s="12">
        <v>0</v>
      </c>
      <c r="N603" s="13"/>
      <c r="O603" s="13"/>
    </row>
    <row r="604" spans="1:15">
      <c r="A604" s="22" t="s">
        <v>772</v>
      </c>
      <c r="B604" s="8">
        <v>9</v>
      </c>
      <c r="C604" s="8">
        <v>496</v>
      </c>
      <c r="D604" s="8">
        <v>25</v>
      </c>
      <c r="E604" s="8">
        <v>1.6</v>
      </c>
      <c r="F604" s="9">
        <v>605</v>
      </c>
      <c r="G604" s="8" t="s">
        <v>659</v>
      </c>
      <c r="H604" s="10" t="s">
        <v>73</v>
      </c>
      <c r="I604" s="10">
        <v>183</v>
      </c>
      <c r="J604" s="10">
        <v>29</v>
      </c>
      <c r="K604" s="10">
        <v>16</v>
      </c>
      <c r="L604" s="11" t="s">
        <v>500</v>
      </c>
      <c r="M604" s="12">
        <v>0</v>
      </c>
      <c r="N604" s="13"/>
      <c r="O604" s="13"/>
    </row>
    <row r="605" spans="1:15">
      <c r="A605" s="22" t="s">
        <v>773</v>
      </c>
      <c r="B605" s="8">
        <v>9</v>
      </c>
      <c r="C605" s="8">
        <v>496</v>
      </c>
      <c r="D605" s="8">
        <v>25</v>
      </c>
      <c r="E605" s="8">
        <v>1.6</v>
      </c>
      <c r="F605" s="9">
        <v>606</v>
      </c>
      <c r="G605" s="8" t="s">
        <v>659</v>
      </c>
      <c r="H605" s="10" t="s">
        <v>73</v>
      </c>
      <c r="I605" s="10">
        <v>183</v>
      </c>
      <c r="J605" s="10">
        <v>29</v>
      </c>
      <c r="K605" s="10">
        <v>16</v>
      </c>
      <c r="L605" s="11" t="s">
        <v>500</v>
      </c>
      <c r="M605" s="12">
        <v>0</v>
      </c>
      <c r="N605" s="13"/>
      <c r="O605" s="13"/>
    </row>
    <row r="606" spans="1:15">
      <c r="A606" s="22" t="s">
        <v>774</v>
      </c>
      <c r="B606" s="8">
        <v>9</v>
      </c>
      <c r="C606" s="8">
        <v>155</v>
      </c>
      <c r="D606" s="8">
        <v>6</v>
      </c>
      <c r="E606" s="8">
        <v>0.2</v>
      </c>
      <c r="F606" s="9">
        <v>607</v>
      </c>
      <c r="G606" s="8" t="s">
        <v>629</v>
      </c>
      <c r="H606" s="10" t="s">
        <v>630</v>
      </c>
      <c r="I606" s="10">
        <v>45</v>
      </c>
      <c r="J606" s="10">
        <v>26</v>
      </c>
      <c r="K606" s="10">
        <v>8</v>
      </c>
      <c r="L606" s="11" t="e">
        <v>#N/A</v>
      </c>
      <c r="M606" s="12">
        <v>0</v>
      </c>
      <c r="N606" s="13" t="s">
        <v>18</v>
      </c>
      <c r="O606" s="13"/>
    </row>
    <row r="607" spans="1:15">
      <c r="A607" s="22" t="s">
        <v>775</v>
      </c>
      <c r="B607" s="8">
        <v>9</v>
      </c>
      <c r="C607" s="8">
        <v>496</v>
      </c>
      <c r="D607" s="8">
        <v>25</v>
      </c>
      <c r="E607" s="8">
        <v>1.6</v>
      </c>
      <c r="F607" s="9">
        <v>608</v>
      </c>
      <c r="G607" s="8" t="s">
        <v>659</v>
      </c>
      <c r="H607" s="10" t="s">
        <v>73</v>
      </c>
      <c r="I607" s="10">
        <v>183</v>
      </c>
      <c r="J607" s="10">
        <v>29</v>
      </c>
      <c r="K607" s="10">
        <v>16</v>
      </c>
      <c r="L607" s="11" t="s">
        <v>500</v>
      </c>
      <c r="M607" s="12">
        <v>0</v>
      </c>
      <c r="N607" s="13"/>
      <c r="O607" s="13"/>
    </row>
    <row r="608" spans="1:15">
      <c r="A608" s="22" t="s">
        <v>776</v>
      </c>
      <c r="B608" s="8">
        <v>9</v>
      </c>
      <c r="C608" s="8">
        <v>475</v>
      </c>
      <c r="D608" s="8">
        <v>25</v>
      </c>
      <c r="E608" s="8">
        <v>1.6</v>
      </c>
      <c r="F608" s="9">
        <v>609</v>
      </c>
      <c r="G608" s="8" t="s">
        <v>659</v>
      </c>
      <c r="H608" s="10" t="s">
        <v>73</v>
      </c>
      <c r="I608" s="10">
        <v>183</v>
      </c>
      <c r="J608" s="10">
        <v>29</v>
      </c>
      <c r="K608" s="10">
        <v>16</v>
      </c>
      <c r="L608" s="11" t="s">
        <v>440</v>
      </c>
      <c r="M608" s="12">
        <v>0</v>
      </c>
      <c r="N608" s="13"/>
      <c r="O608" s="13"/>
    </row>
    <row r="609" spans="1:15">
      <c r="A609" s="22" t="s">
        <v>777</v>
      </c>
      <c r="B609" s="8">
        <v>9</v>
      </c>
      <c r="C609" s="8">
        <v>155</v>
      </c>
      <c r="D609" s="8">
        <v>6</v>
      </c>
      <c r="E609" s="8">
        <v>0.2</v>
      </c>
      <c r="F609" s="9">
        <v>610</v>
      </c>
      <c r="G609" s="8" t="s">
        <v>629</v>
      </c>
      <c r="H609" s="10" t="s">
        <v>630</v>
      </c>
      <c r="I609" s="10">
        <v>45</v>
      </c>
      <c r="J609" s="10">
        <v>26</v>
      </c>
      <c r="K609" s="10">
        <v>8</v>
      </c>
      <c r="L609" s="11" t="e">
        <v>#N/A</v>
      </c>
      <c r="M609" s="12">
        <v>0</v>
      </c>
      <c r="N609" s="13" t="s">
        <v>18</v>
      </c>
      <c r="O609" s="13"/>
    </row>
    <row r="610" spans="1:15">
      <c r="A610" s="22" t="s">
        <v>778</v>
      </c>
      <c r="B610" s="8">
        <v>9</v>
      </c>
      <c r="C610" s="8">
        <v>496</v>
      </c>
      <c r="D610" s="8">
        <v>25</v>
      </c>
      <c r="E610" s="8">
        <v>1.6</v>
      </c>
      <c r="F610" s="9">
        <v>611</v>
      </c>
      <c r="G610" s="8" t="s">
        <v>659</v>
      </c>
      <c r="H610" s="10" t="s">
        <v>73</v>
      </c>
      <c r="I610" s="10">
        <v>183</v>
      </c>
      <c r="J610" s="10">
        <v>29</v>
      </c>
      <c r="K610" s="10">
        <v>16</v>
      </c>
      <c r="L610" s="11" t="s">
        <v>500</v>
      </c>
      <c r="M610" s="12">
        <v>0</v>
      </c>
      <c r="N610" s="13"/>
      <c r="O610" s="13"/>
    </row>
    <row r="611" spans="1:15">
      <c r="A611" s="22" t="s">
        <v>779</v>
      </c>
      <c r="B611" s="8">
        <v>9</v>
      </c>
      <c r="C611" s="8">
        <v>496</v>
      </c>
      <c r="D611" s="8">
        <v>25</v>
      </c>
      <c r="E611" s="8">
        <v>1.6</v>
      </c>
      <c r="F611" s="9">
        <v>612</v>
      </c>
      <c r="G611" s="8" t="s">
        <v>659</v>
      </c>
      <c r="H611" s="10" t="s">
        <v>73</v>
      </c>
      <c r="I611" s="10">
        <v>183</v>
      </c>
      <c r="J611" s="10">
        <v>29</v>
      </c>
      <c r="K611" s="10">
        <v>16</v>
      </c>
      <c r="L611" s="11" t="s">
        <v>500</v>
      </c>
      <c r="M611" s="12">
        <v>9</v>
      </c>
      <c r="N611" s="13"/>
      <c r="O611" s="13"/>
    </row>
    <row r="612" spans="1:15">
      <c r="A612" s="22" t="s">
        <v>780</v>
      </c>
      <c r="B612" s="8">
        <v>9</v>
      </c>
      <c r="C612" s="8">
        <v>496</v>
      </c>
      <c r="D612" s="8">
        <v>25</v>
      </c>
      <c r="E612" s="8">
        <v>1.6</v>
      </c>
      <c r="F612" s="9">
        <v>613</v>
      </c>
      <c r="G612" s="8" t="s">
        <v>659</v>
      </c>
      <c r="H612" s="10" t="s">
        <v>73</v>
      </c>
      <c r="I612" s="10">
        <v>183</v>
      </c>
      <c r="J612" s="10">
        <v>29</v>
      </c>
      <c r="K612" s="10">
        <v>16</v>
      </c>
      <c r="L612" s="11" t="s">
        <v>500</v>
      </c>
      <c r="M612" s="12">
        <v>0</v>
      </c>
      <c r="N612" s="13"/>
      <c r="O612" s="13"/>
    </row>
    <row r="613" spans="1:15">
      <c r="A613" s="22" t="s">
        <v>781</v>
      </c>
      <c r="B613" s="8">
        <v>9</v>
      </c>
      <c r="C613" s="8">
        <v>155</v>
      </c>
      <c r="D613" s="8">
        <v>6</v>
      </c>
      <c r="E613" s="8">
        <v>0.2</v>
      </c>
      <c r="F613" s="9">
        <v>614</v>
      </c>
      <c r="G613" s="8" t="s">
        <v>629</v>
      </c>
      <c r="H613" s="10" t="s">
        <v>630</v>
      </c>
      <c r="I613" s="10">
        <v>45</v>
      </c>
      <c r="J613" s="10">
        <v>26</v>
      </c>
      <c r="K613" s="10">
        <v>8</v>
      </c>
      <c r="L613" s="11" t="e">
        <v>#N/A</v>
      </c>
      <c r="M613" s="12">
        <v>0</v>
      </c>
      <c r="N613" s="13" t="s">
        <v>18</v>
      </c>
      <c r="O613" s="13"/>
    </row>
    <row r="614" spans="1:15">
      <c r="A614" s="22" t="s">
        <v>782</v>
      </c>
      <c r="B614" s="8">
        <v>9</v>
      </c>
      <c r="C614" s="8">
        <v>496</v>
      </c>
      <c r="D614" s="8">
        <v>25</v>
      </c>
      <c r="E614" s="8">
        <v>1.6</v>
      </c>
      <c r="F614" s="9">
        <v>615</v>
      </c>
      <c r="G614" s="8" t="s">
        <v>659</v>
      </c>
      <c r="H614" s="10" t="s">
        <v>73</v>
      </c>
      <c r="I614" s="10">
        <v>183</v>
      </c>
      <c r="J614" s="10">
        <v>29</v>
      </c>
      <c r="K614" s="10">
        <v>16</v>
      </c>
      <c r="L614" s="11" t="s">
        <v>500</v>
      </c>
      <c r="M614" s="12">
        <v>0</v>
      </c>
      <c r="N614" s="13"/>
      <c r="O614" s="13"/>
    </row>
    <row r="615" spans="1:15">
      <c r="A615" s="22" t="s">
        <v>783</v>
      </c>
      <c r="B615" s="8">
        <v>9</v>
      </c>
      <c r="C615" s="8">
        <v>496</v>
      </c>
      <c r="D615" s="8">
        <v>25</v>
      </c>
      <c r="E615" s="8">
        <v>1.6</v>
      </c>
      <c r="F615" s="9">
        <v>616</v>
      </c>
      <c r="G615" s="8" t="s">
        <v>659</v>
      </c>
      <c r="H615" s="10" t="s">
        <v>73</v>
      </c>
      <c r="I615" s="10">
        <v>183</v>
      </c>
      <c r="J615" s="10">
        <v>29</v>
      </c>
      <c r="K615" s="10">
        <v>16</v>
      </c>
      <c r="L615" s="11" t="s">
        <v>500</v>
      </c>
      <c r="M615" s="12">
        <v>10</v>
      </c>
      <c r="N615" s="13"/>
      <c r="O615" s="13"/>
    </row>
    <row r="616" spans="1:15">
      <c r="A616" s="22" t="s">
        <v>784</v>
      </c>
      <c r="B616" s="8">
        <v>9</v>
      </c>
      <c r="C616" s="8">
        <v>496</v>
      </c>
      <c r="D616" s="8">
        <v>25</v>
      </c>
      <c r="E616" s="8">
        <v>1.6</v>
      </c>
      <c r="F616" s="9">
        <v>617</v>
      </c>
      <c r="G616" s="8" t="s">
        <v>659</v>
      </c>
      <c r="H616" s="10" t="s">
        <v>73</v>
      </c>
      <c r="I616" s="10">
        <v>183</v>
      </c>
      <c r="J616" s="10">
        <v>29</v>
      </c>
      <c r="K616" s="10">
        <v>16</v>
      </c>
      <c r="L616" s="11" t="s">
        <v>500</v>
      </c>
      <c r="M616" s="12">
        <v>0</v>
      </c>
      <c r="N616" s="13"/>
      <c r="O616" s="13"/>
    </row>
    <row r="617" spans="1:15">
      <c r="A617" s="22" t="s">
        <v>785</v>
      </c>
      <c r="B617" s="8">
        <v>9</v>
      </c>
      <c r="C617" s="8">
        <v>155</v>
      </c>
      <c r="D617" s="8">
        <v>6</v>
      </c>
      <c r="E617" s="8">
        <v>0.2</v>
      </c>
      <c r="F617" s="9">
        <v>618</v>
      </c>
      <c r="G617" s="8" t="s">
        <v>629</v>
      </c>
      <c r="H617" s="10" t="s">
        <v>630</v>
      </c>
      <c r="I617" s="10">
        <v>45</v>
      </c>
      <c r="J617" s="10">
        <v>26</v>
      </c>
      <c r="K617" s="10">
        <v>8</v>
      </c>
      <c r="L617" s="11" t="s">
        <v>631</v>
      </c>
      <c r="M617" s="12">
        <v>0</v>
      </c>
      <c r="N617" s="13"/>
      <c r="O617" s="13"/>
    </row>
    <row r="618" spans="1:15">
      <c r="A618" s="22" t="s">
        <v>786</v>
      </c>
      <c r="B618" s="8">
        <v>9</v>
      </c>
      <c r="C618" s="8">
        <v>496</v>
      </c>
      <c r="D618" s="8">
        <v>25</v>
      </c>
      <c r="E618" s="8">
        <v>1.6</v>
      </c>
      <c r="F618" s="9">
        <v>619</v>
      </c>
      <c r="G618" s="8" t="s">
        <v>659</v>
      </c>
      <c r="H618" s="10" t="s">
        <v>73</v>
      </c>
      <c r="I618" s="10">
        <v>183</v>
      </c>
      <c r="J618" s="10">
        <v>29</v>
      </c>
      <c r="K618" s="10">
        <v>16</v>
      </c>
      <c r="L618" s="11" t="s">
        <v>500</v>
      </c>
      <c r="M618" s="12">
        <v>0</v>
      </c>
      <c r="N618" s="13"/>
      <c r="O618" s="13"/>
    </row>
    <row r="619" spans="1:15">
      <c r="A619" s="22" t="s">
        <v>787</v>
      </c>
      <c r="B619" s="8">
        <v>9</v>
      </c>
      <c r="C619" s="8">
        <v>155</v>
      </c>
      <c r="D619" s="8">
        <v>6</v>
      </c>
      <c r="E619" s="8">
        <v>0.2</v>
      </c>
      <c r="F619" s="9">
        <v>620</v>
      </c>
      <c r="G619" s="8" t="s">
        <v>629</v>
      </c>
      <c r="H619" s="10" t="s">
        <v>630</v>
      </c>
      <c r="I619" s="10">
        <v>45</v>
      </c>
      <c r="J619" s="10">
        <v>26</v>
      </c>
      <c r="K619" s="10">
        <v>8</v>
      </c>
      <c r="L619" s="11" t="s">
        <v>631</v>
      </c>
      <c r="M619" s="12">
        <v>0</v>
      </c>
      <c r="N619" s="13"/>
      <c r="O619" s="13"/>
    </row>
    <row r="620" spans="1:15">
      <c r="A620" s="22" t="s">
        <v>788</v>
      </c>
      <c r="B620" s="8">
        <v>9</v>
      </c>
      <c r="C620" s="8">
        <v>496</v>
      </c>
      <c r="D620" s="8">
        <v>25</v>
      </c>
      <c r="E620" s="8">
        <v>1.6</v>
      </c>
      <c r="F620" s="9">
        <v>621</v>
      </c>
      <c r="G620" s="8" t="s">
        <v>659</v>
      </c>
      <c r="H620" s="10" t="s">
        <v>73</v>
      </c>
      <c r="I620" s="10">
        <v>183</v>
      </c>
      <c r="J620" s="10">
        <v>29</v>
      </c>
      <c r="K620" s="10">
        <v>16</v>
      </c>
      <c r="L620" s="11" t="s">
        <v>500</v>
      </c>
      <c r="M620" s="12">
        <v>0</v>
      </c>
      <c r="N620" s="13"/>
      <c r="O620" s="13"/>
    </row>
    <row r="621" spans="1:15">
      <c r="A621" s="22" t="s">
        <v>789</v>
      </c>
      <c r="B621" s="8">
        <v>9</v>
      </c>
      <c r="C621" s="8">
        <v>111</v>
      </c>
      <c r="D621" s="8">
        <v>50</v>
      </c>
      <c r="E621" s="8">
        <v>0.6</v>
      </c>
      <c r="F621" s="9">
        <v>622</v>
      </c>
      <c r="G621" s="8" t="s">
        <v>16</v>
      </c>
      <c r="H621" s="10" t="s">
        <v>17</v>
      </c>
      <c r="I621" s="10">
        <v>122</v>
      </c>
      <c r="J621" s="10">
        <v>15</v>
      </c>
      <c r="K621" s="10">
        <v>10</v>
      </c>
      <c r="L621" s="11" t="s">
        <v>790</v>
      </c>
      <c r="M621" s="12">
        <v>0</v>
      </c>
      <c r="N621" s="13"/>
      <c r="O621" s="13"/>
    </row>
    <row r="622" spans="1:15">
      <c r="A622" s="22" t="s">
        <v>791</v>
      </c>
      <c r="B622" s="8">
        <v>9</v>
      </c>
      <c r="C622" s="8">
        <v>65</v>
      </c>
      <c r="D622" s="8">
        <v>50</v>
      </c>
      <c r="E622" s="8">
        <v>0.6</v>
      </c>
      <c r="F622" s="9">
        <v>623</v>
      </c>
      <c r="G622" s="8" t="s">
        <v>16</v>
      </c>
      <c r="H622" s="10" t="s">
        <v>17</v>
      </c>
      <c r="I622" s="10">
        <v>122</v>
      </c>
      <c r="J622" s="10">
        <v>15</v>
      </c>
      <c r="K622" s="10">
        <v>10</v>
      </c>
      <c r="L622" s="11" t="s">
        <v>22</v>
      </c>
      <c r="M622" s="12">
        <v>37</v>
      </c>
      <c r="N622" s="13"/>
      <c r="O622" s="13"/>
    </row>
    <row r="623" spans="1:15">
      <c r="A623" s="23" t="s">
        <v>792</v>
      </c>
      <c r="B623" s="20">
        <v>9</v>
      </c>
      <c r="C623" s="8">
        <v>0</v>
      </c>
      <c r="D623" s="8">
        <v>0</v>
      </c>
      <c r="E623" s="8"/>
      <c r="F623" s="9">
        <v>624</v>
      </c>
      <c r="G623" s="8" t="s">
        <v>487</v>
      </c>
      <c r="H623" s="10">
        <v>0</v>
      </c>
      <c r="I623" s="10">
        <v>0</v>
      </c>
      <c r="J623" s="10">
        <v>0</v>
      </c>
      <c r="K623" s="10">
        <v>0</v>
      </c>
      <c r="L623" s="11" t="e">
        <v>#N/A</v>
      </c>
      <c r="M623" s="12">
        <v>288</v>
      </c>
      <c r="N623" s="13" t="s">
        <v>18</v>
      </c>
      <c r="O623" s="13"/>
    </row>
    <row r="624" spans="1:15">
      <c r="A624" s="22" t="s">
        <v>793</v>
      </c>
      <c r="B624" s="8">
        <v>9</v>
      </c>
      <c r="C624" s="8">
        <v>525</v>
      </c>
      <c r="D624" s="8">
        <v>1</v>
      </c>
      <c r="E624" s="8">
        <v>0.5</v>
      </c>
      <c r="F624" s="9">
        <v>625</v>
      </c>
      <c r="G624" s="8" t="s">
        <v>442</v>
      </c>
      <c r="H624" s="10" t="s">
        <v>443</v>
      </c>
      <c r="I624" s="10">
        <v>89</v>
      </c>
      <c r="J624" s="10">
        <v>14</v>
      </c>
      <c r="K624" s="10">
        <v>9</v>
      </c>
      <c r="L624" s="11" t="s">
        <v>794</v>
      </c>
      <c r="M624" s="12">
        <v>2</v>
      </c>
      <c r="N624" s="13"/>
      <c r="O624" s="13"/>
    </row>
    <row r="625" spans="1:15">
      <c r="A625" s="22" t="s">
        <v>795</v>
      </c>
      <c r="B625" s="8">
        <v>9</v>
      </c>
      <c r="C625" s="8">
        <v>475</v>
      </c>
      <c r="D625" s="8">
        <v>25</v>
      </c>
      <c r="E625" s="8">
        <v>1.6</v>
      </c>
      <c r="F625" s="9">
        <v>626</v>
      </c>
      <c r="G625" s="8" t="s">
        <v>659</v>
      </c>
      <c r="H625" s="10" t="s">
        <v>73</v>
      </c>
      <c r="I625" s="10">
        <v>183</v>
      </c>
      <c r="J625" s="10">
        <v>29</v>
      </c>
      <c r="K625" s="10">
        <v>16</v>
      </c>
      <c r="L625" s="11" t="s">
        <v>440</v>
      </c>
      <c r="M625" s="12">
        <v>2</v>
      </c>
      <c r="N625" s="13"/>
      <c r="O625" s="13"/>
    </row>
    <row r="626" spans="1:15">
      <c r="A626" s="22" t="s">
        <v>796</v>
      </c>
      <c r="B626" s="8">
        <v>9</v>
      </c>
      <c r="C626" s="8">
        <v>155</v>
      </c>
      <c r="D626" s="8">
        <v>6</v>
      </c>
      <c r="E626" s="8">
        <v>0.2</v>
      </c>
      <c r="F626" s="9">
        <v>627</v>
      </c>
      <c r="G626" s="8" t="s">
        <v>629</v>
      </c>
      <c r="H626" s="10" t="s">
        <v>630</v>
      </c>
      <c r="I626" s="10">
        <v>45</v>
      </c>
      <c r="J626" s="10">
        <v>26</v>
      </c>
      <c r="K626" s="10">
        <v>8</v>
      </c>
      <c r="L626" s="11" t="e">
        <v>#N/A</v>
      </c>
      <c r="M626" s="12">
        <v>0</v>
      </c>
      <c r="N626" s="13" t="s">
        <v>18</v>
      </c>
      <c r="O626" s="13"/>
    </row>
    <row r="627" spans="1:15">
      <c r="A627" s="23" t="s">
        <v>797</v>
      </c>
      <c r="B627" s="20">
        <v>9</v>
      </c>
      <c r="C627" s="8">
        <v>385</v>
      </c>
      <c r="D627" s="8">
        <v>1</v>
      </c>
      <c r="E627" s="8">
        <v>0.5</v>
      </c>
      <c r="F627" s="9">
        <v>628</v>
      </c>
      <c r="G627" s="8" t="s">
        <v>446</v>
      </c>
      <c r="H627" s="10" t="s">
        <v>443</v>
      </c>
      <c r="I627" s="10">
        <v>89</v>
      </c>
      <c r="J627" s="10">
        <v>14</v>
      </c>
      <c r="K627" s="10">
        <v>9</v>
      </c>
      <c r="L627" s="11" t="s">
        <v>798</v>
      </c>
      <c r="M627" s="12">
        <v>2</v>
      </c>
      <c r="N627" s="12" t="e">
        <f>VLOOKUP(A:A,[2]成品数据统计表!$C$1:$E$65536,3,0)</f>
        <v>#REF!</v>
      </c>
      <c r="O627" s="13"/>
    </row>
    <row r="628" spans="1:15">
      <c r="A628" s="23" t="s">
        <v>799</v>
      </c>
      <c r="B628" s="20">
        <v>9</v>
      </c>
      <c r="C628" s="8">
        <v>423</v>
      </c>
      <c r="D628" s="8">
        <v>1</v>
      </c>
      <c r="E628" s="8">
        <v>0.5</v>
      </c>
      <c r="F628" s="9">
        <v>629</v>
      </c>
      <c r="G628" s="8" t="s">
        <v>446</v>
      </c>
      <c r="H628" s="10" t="s">
        <v>443</v>
      </c>
      <c r="I628" s="10">
        <v>89</v>
      </c>
      <c r="J628" s="10">
        <v>14</v>
      </c>
      <c r="K628" s="10">
        <v>9</v>
      </c>
      <c r="L628" s="11" t="s">
        <v>800</v>
      </c>
      <c r="M628" s="12">
        <v>1</v>
      </c>
      <c r="N628" s="13"/>
      <c r="O628" s="13"/>
    </row>
    <row r="629" spans="1:15">
      <c r="A629" s="22" t="s">
        <v>801</v>
      </c>
      <c r="B629" s="8">
        <v>9</v>
      </c>
      <c r="C629" s="8">
        <v>460</v>
      </c>
      <c r="D629" s="8">
        <v>25</v>
      </c>
      <c r="E629" s="8">
        <v>1.6</v>
      </c>
      <c r="F629" s="9">
        <v>630</v>
      </c>
      <c r="G629" s="8" t="s">
        <v>659</v>
      </c>
      <c r="H629" s="10" t="s">
        <v>73</v>
      </c>
      <c r="I629" s="10">
        <v>183</v>
      </c>
      <c r="J629" s="10">
        <v>29</v>
      </c>
      <c r="K629" s="10">
        <v>16</v>
      </c>
      <c r="L629" s="11" t="s">
        <v>355</v>
      </c>
      <c r="M629" s="12">
        <v>0</v>
      </c>
      <c r="N629" s="13"/>
      <c r="O629" s="13"/>
    </row>
    <row r="630" spans="1:15">
      <c r="A630" s="22" t="s">
        <v>802</v>
      </c>
      <c r="B630" s="8">
        <v>9</v>
      </c>
      <c r="C630" s="8">
        <v>481</v>
      </c>
      <c r="D630" s="8">
        <v>25</v>
      </c>
      <c r="E630" s="8">
        <v>1.6</v>
      </c>
      <c r="F630" s="9">
        <v>631</v>
      </c>
      <c r="G630" s="8" t="s">
        <v>659</v>
      </c>
      <c r="H630" s="10" t="s">
        <v>73</v>
      </c>
      <c r="I630" s="10">
        <v>183</v>
      </c>
      <c r="J630" s="10">
        <v>29</v>
      </c>
      <c r="K630" s="10">
        <v>16</v>
      </c>
      <c r="L630" s="11" t="s">
        <v>400</v>
      </c>
      <c r="M630" s="12">
        <v>0</v>
      </c>
      <c r="N630" s="13"/>
      <c r="O630" s="13"/>
    </row>
    <row r="631" spans="1:15">
      <c r="A631" s="22" t="s">
        <v>803</v>
      </c>
      <c r="B631" s="8">
        <v>9</v>
      </c>
      <c r="C631" s="8">
        <v>481</v>
      </c>
      <c r="D631" s="8">
        <v>25</v>
      </c>
      <c r="E631" s="8">
        <v>1.6</v>
      </c>
      <c r="F631" s="9">
        <v>632</v>
      </c>
      <c r="G631" s="8" t="s">
        <v>659</v>
      </c>
      <c r="H631" s="10" t="s">
        <v>73</v>
      </c>
      <c r="I631" s="10">
        <v>183</v>
      </c>
      <c r="J631" s="10">
        <v>29</v>
      </c>
      <c r="K631" s="10">
        <v>16</v>
      </c>
      <c r="L631" s="11" t="s">
        <v>400</v>
      </c>
      <c r="M631" s="12">
        <v>0</v>
      </c>
      <c r="N631" s="13"/>
      <c r="O631" s="13"/>
    </row>
    <row r="632" spans="1:15">
      <c r="A632" s="22" t="s">
        <v>804</v>
      </c>
      <c r="B632" s="8">
        <v>9</v>
      </c>
      <c r="C632" s="8">
        <v>367</v>
      </c>
      <c r="D632" s="8">
        <v>1</v>
      </c>
      <c r="E632" s="8">
        <v>0.5</v>
      </c>
      <c r="F632" s="9">
        <v>633</v>
      </c>
      <c r="G632" s="8" t="s">
        <v>446</v>
      </c>
      <c r="H632" s="10" t="s">
        <v>443</v>
      </c>
      <c r="I632" s="10">
        <v>89</v>
      </c>
      <c r="J632" s="10">
        <v>14</v>
      </c>
      <c r="K632" s="10">
        <v>9</v>
      </c>
      <c r="L632" s="11" t="s">
        <v>805</v>
      </c>
      <c r="M632" s="12">
        <v>6</v>
      </c>
      <c r="N632" s="13"/>
      <c r="O632" s="13"/>
    </row>
    <row r="633" spans="1:15">
      <c r="A633" s="22" t="s">
        <v>806</v>
      </c>
      <c r="B633" s="8">
        <v>9</v>
      </c>
      <c r="C633" s="8">
        <v>355</v>
      </c>
      <c r="D633" s="8">
        <v>25</v>
      </c>
      <c r="E633" s="8">
        <v>2.54</v>
      </c>
      <c r="F633" s="9">
        <v>634</v>
      </c>
      <c r="G633" s="8" t="s">
        <v>446</v>
      </c>
      <c r="H633" s="10" t="s">
        <v>653</v>
      </c>
      <c r="I633" s="10">
        <v>72</v>
      </c>
      <c r="J633" s="10">
        <v>52</v>
      </c>
      <c r="K633" s="10">
        <v>32</v>
      </c>
      <c r="L633" s="11" t="s">
        <v>807</v>
      </c>
      <c r="M633" s="12">
        <v>22</v>
      </c>
      <c r="N633" s="12" t="e">
        <f>VLOOKUP(A:A,[2]成品数据统计表!$C$1:$E$65536,3,0)</f>
        <v>#REF!</v>
      </c>
      <c r="O633" s="13"/>
    </row>
    <row r="634" spans="1:15">
      <c r="A634" s="22" t="s">
        <v>808</v>
      </c>
      <c r="B634" s="8">
        <v>9</v>
      </c>
      <c r="C634" s="8">
        <v>345</v>
      </c>
      <c r="D634" s="8">
        <v>1</v>
      </c>
      <c r="E634" s="8">
        <v>0.5</v>
      </c>
      <c r="F634" s="9">
        <v>636</v>
      </c>
      <c r="G634" s="8" t="s">
        <v>446</v>
      </c>
      <c r="H634" s="10" t="s">
        <v>443</v>
      </c>
      <c r="I634" s="10">
        <v>89</v>
      </c>
      <c r="J634" s="10">
        <v>14</v>
      </c>
      <c r="K634" s="10">
        <v>9</v>
      </c>
      <c r="L634" s="11" t="s">
        <v>809</v>
      </c>
      <c r="M634" s="12">
        <v>0</v>
      </c>
      <c r="N634" s="12" t="e">
        <f>VLOOKUP(A:A,[2]成品数据统计表!$C$1:$E$65536,3,0)</f>
        <v>#REF!</v>
      </c>
      <c r="O634" s="13"/>
    </row>
    <row r="635" spans="1:15">
      <c r="A635" s="22" t="s">
        <v>810</v>
      </c>
      <c r="B635" s="8">
        <v>9</v>
      </c>
      <c r="C635" s="8">
        <v>80</v>
      </c>
      <c r="D635" s="8">
        <v>50</v>
      </c>
      <c r="E635" s="8">
        <v>0.6</v>
      </c>
      <c r="F635" s="9">
        <v>637</v>
      </c>
      <c r="G635" s="8" t="s">
        <v>16</v>
      </c>
      <c r="H635" s="10" t="s">
        <v>17</v>
      </c>
      <c r="I635" s="10">
        <v>122</v>
      </c>
      <c r="J635" s="10">
        <v>15</v>
      </c>
      <c r="K635" s="10">
        <v>10</v>
      </c>
      <c r="L635" s="11" t="e">
        <v>#N/A</v>
      </c>
      <c r="M635" s="12">
        <v>0</v>
      </c>
      <c r="N635" s="13" t="s">
        <v>18</v>
      </c>
      <c r="O635" s="13"/>
    </row>
    <row r="636" spans="1:15">
      <c r="A636" s="22" t="s">
        <v>811</v>
      </c>
      <c r="B636" s="8">
        <v>9</v>
      </c>
      <c r="C636" s="8">
        <v>80</v>
      </c>
      <c r="D636" s="8">
        <v>50</v>
      </c>
      <c r="E636" s="8">
        <v>0.6</v>
      </c>
      <c r="F636" s="9">
        <v>638</v>
      </c>
      <c r="G636" s="8" t="s">
        <v>16</v>
      </c>
      <c r="H636" s="10" t="s">
        <v>17</v>
      </c>
      <c r="I636" s="10">
        <v>122</v>
      </c>
      <c r="J636" s="10">
        <v>15</v>
      </c>
      <c r="K636" s="10">
        <v>10</v>
      </c>
      <c r="L636" s="11" t="e">
        <v>#N/A</v>
      </c>
      <c r="M636" s="12">
        <v>0</v>
      </c>
      <c r="N636" s="13" t="s">
        <v>18</v>
      </c>
      <c r="O636" s="13"/>
    </row>
    <row r="637" spans="1:15">
      <c r="A637" s="22" t="s">
        <v>812</v>
      </c>
      <c r="B637" s="8">
        <v>9</v>
      </c>
      <c r="C637" s="8">
        <v>80</v>
      </c>
      <c r="D637" s="8">
        <v>50</v>
      </c>
      <c r="E637" s="8">
        <v>0.6</v>
      </c>
      <c r="F637" s="9">
        <v>639</v>
      </c>
      <c r="G637" s="8" t="s">
        <v>16</v>
      </c>
      <c r="H637" s="10" t="s">
        <v>17</v>
      </c>
      <c r="I637" s="10">
        <v>122</v>
      </c>
      <c r="J637" s="10">
        <v>15</v>
      </c>
      <c r="K637" s="10">
        <v>10</v>
      </c>
      <c r="L637" s="11" t="e">
        <v>#N/A</v>
      </c>
      <c r="M637" s="12">
        <v>0</v>
      </c>
      <c r="N637" s="13" t="s">
        <v>18</v>
      </c>
      <c r="O637" s="13"/>
    </row>
    <row r="638" spans="1:15">
      <c r="A638" s="22" t="s">
        <v>813</v>
      </c>
      <c r="B638" s="8">
        <v>9</v>
      </c>
      <c r="C638" s="8">
        <v>80</v>
      </c>
      <c r="D638" s="8">
        <v>50</v>
      </c>
      <c r="E638" s="8">
        <v>0.6</v>
      </c>
      <c r="F638" s="9">
        <v>640</v>
      </c>
      <c r="G638" s="8" t="s">
        <v>16</v>
      </c>
      <c r="H638" s="10" t="s">
        <v>17</v>
      </c>
      <c r="I638" s="10">
        <v>122</v>
      </c>
      <c r="J638" s="10">
        <v>15</v>
      </c>
      <c r="K638" s="10">
        <v>10</v>
      </c>
      <c r="L638" s="11" t="e">
        <v>#N/A</v>
      </c>
      <c r="M638" s="12">
        <v>2</v>
      </c>
      <c r="N638" s="13" t="s">
        <v>18</v>
      </c>
      <c r="O638" s="13"/>
    </row>
    <row r="639" spans="1:15">
      <c r="A639" s="22" t="s">
        <v>814</v>
      </c>
      <c r="B639" s="8">
        <v>9</v>
      </c>
      <c r="C639" s="8">
        <v>80</v>
      </c>
      <c r="D639" s="8">
        <v>50</v>
      </c>
      <c r="E639" s="8">
        <v>0.6</v>
      </c>
      <c r="F639" s="9">
        <v>641</v>
      </c>
      <c r="G639" s="8" t="s">
        <v>16</v>
      </c>
      <c r="H639" s="10" t="s">
        <v>17</v>
      </c>
      <c r="I639" s="10">
        <v>122</v>
      </c>
      <c r="J639" s="10">
        <v>15</v>
      </c>
      <c r="K639" s="10">
        <v>10</v>
      </c>
      <c r="L639" s="11" t="e">
        <v>#N/A</v>
      </c>
      <c r="M639" s="12">
        <v>15</v>
      </c>
      <c r="N639" s="13" t="s">
        <v>18</v>
      </c>
      <c r="O639" s="13"/>
    </row>
    <row r="640" spans="1:15">
      <c r="A640" s="22" t="s">
        <v>815</v>
      </c>
      <c r="B640" s="8">
        <v>9</v>
      </c>
      <c r="C640" s="8">
        <v>80</v>
      </c>
      <c r="D640" s="8">
        <v>50</v>
      </c>
      <c r="E640" s="8">
        <v>0.6</v>
      </c>
      <c r="F640" s="9">
        <v>642</v>
      </c>
      <c r="G640" s="8" t="s">
        <v>16</v>
      </c>
      <c r="H640" s="10" t="s">
        <v>17</v>
      </c>
      <c r="I640" s="10">
        <v>122</v>
      </c>
      <c r="J640" s="10">
        <v>15</v>
      </c>
      <c r="K640" s="10">
        <v>10</v>
      </c>
      <c r="L640" s="11" t="e">
        <v>#N/A</v>
      </c>
      <c r="M640" s="12">
        <v>22</v>
      </c>
      <c r="N640" s="13" t="s">
        <v>18</v>
      </c>
      <c r="O640" s="13"/>
    </row>
    <row r="641" spans="1:15">
      <c r="A641" s="22" t="s">
        <v>816</v>
      </c>
      <c r="B641" s="8">
        <v>9</v>
      </c>
      <c r="C641" s="8">
        <v>80</v>
      </c>
      <c r="D641" s="8">
        <v>50</v>
      </c>
      <c r="E641" s="8">
        <v>0.6</v>
      </c>
      <c r="F641" s="9">
        <v>643</v>
      </c>
      <c r="G641" s="8" t="s">
        <v>16</v>
      </c>
      <c r="H641" s="10" t="s">
        <v>17</v>
      </c>
      <c r="I641" s="10">
        <v>122</v>
      </c>
      <c r="J641" s="10">
        <v>15</v>
      </c>
      <c r="K641" s="10">
        <v>10</v>
      </c>
      <c r="L641" s="11" t="e">
        <v>#N/A</v>
      </c>
      <c r="M641" s="12">
        <v>61</v>
      </c>
      <c r="N641" s="13" t="s">
        <v>18</v>
      </c>
      <c r="O641" s="13"/>
    </row>
    <row r="642" spans="1:15">
      <c r="A642" s="22" t="s">
        <v>817</v>
      </c>
      <c r="B642" s="8">
        <v>9</v>
      </c>
      <c r="C642" s="8">
        <v>80</v>
      </c>
      <c r="D642" s="8">
        <v>50</v>
      </c>
      <c r="E642" s="8">
        <v>0.6</v>
      </c>
      <c r="F642" s="9">
        <v>644</v>
      </c>
      <c r="G642" s="8" t="s">
        <v>16</v>
      </c>
      <c r="H642" s="10" t="s">
        <v>17</v>
      </c>
      <c r="I642" s="10">
        <v>122</v>
      </c>
      <c r="J642" s="10">
        <v>15</v>
      </c>
      <c r="K642" s="10">
        <v>10</v>
      </c>
      <c r="L642" s="11" t="e">
        <v>#N/A</v>
      </c>
      <c r="M642" s="12">
        <v>0</v>
      </c>
      <c r="N642" s="13" t="s">
        <v>18</v>
      </c>
      <c r="O642" s="13"/>
    </row>
    <row r="643" spans="1:15">
      <c r="A643" s="22" t="s">
        <v>818</v>
      </c>
      <c r="B643" s="8">
        <v>9</v>
      </c>
      <c r="C643" s="8">
        <v>80</v>
      </c>
      <c r="D643" s="8">
        <v>50</v>
      </c>
      <c r="E643" s="8">
        <v>0.6</v>
      </c>
      <c r="F643" s="9">
        <v>645</v>
      </c>
      <c r="G643" s="8" t="s">
        <v>16</v>
      </c>
      <c r="H643" s="10" t="s">
        <v>17</v>
      </c>
      <c r="I643" s="10">
        <v>122</v>
      </c>
      <c r="J643" s="10">
        <v>15</v>
      </c>
      <c r="K643" s="10">
        <v>10</v>
      </c>
      <c r="L643" s="11" t="e">
        <v>#N/A</v>
      </c>
      <c r="M643" s="12">
        <v>0</v>
      </c>
      <c r="N643" s="13" t="s">
        <v>18</v>
      </c>
      <c r="O643" s="13"/>
    </row>
    <row r="644" spans="1:15">
      <c r="A644" s="22" t="s">
        <v>819</v>
      </c>
      <c r="B644" s="8">
        <v>9</v>
      </c>
      <c r="C644" s="8">
        <v>80</v>
      </c>
      <c r="D644" s="8">
        <v>50</v>
      </c>
      <c r="E644" s="8">
        <v>0.6</v>
      </c>
      <c r="F644" s="9">
        <v>646</v>
      </c>
      <c r="G644" s="8" t="s">
        <v>16</v>
      </c>
      <c r="H644" s="10" t="s">
        <v>17</v>
      </c>
      <c r="I644" s="10">
        <v>122</v>
      </c>
      <c r="J644" s="10">
        <v>15</v>
      </c>
      <c r="K644" s="10">
        <v>10</v>
      </c>
      <c r="L644" s="11" t="e">
        <v>#N/A</v>
      </c>
      <c r="M644" s="12">
        <v>0</v>
      </c>
      <c r="N644" s="13" t="s">
        <v>18</v>
      </c>
      <c r="O644" s="13"/>
    </row>
    <row r="645" spans="1:15">
      <c r="A645" s="22" t="s">
        <v>820</v>
      </c>
      <c r="B645" s="8">
        <v>9</v>
      </c>
      <c r="C645" s="8">
        <v>80</v>
      </c>
      <c r="D645" s="8">
        <v>50</v>
      </c>
      <c r="E645" s="8">
        <v>0.6</v>
      </c>
      <c r="F645" s="9">
        <v>647</v>
      </c>
      <c r="G645" s="8" t="s">
        <v>16</v>
      </c>
      <c r="H645" s="10" t="s">
        <v>17</v>
      </c>
      <c r="I645" s="10">
        <v>122</v>
      </c>
      <c r="J645" s="10">
        <v>15</v>
      </c>
      <c r="K645" s="10">
        <v>10</v>
      </c>
      <c r="L645" s="11" t="e">
        <v>#N/A</v>
      </c>
      <c r="M645" s="12">
        <v>0</v>
      </c>
      <c r="N645" s="13" t="s">
        <v>18</v>
      </c>
      <c r="O645" s="13"/>
    </row>
    <row r="646" spans="1:15">
      <c r="A646" s="22" t="s">
        <v>821</v>
      </c>
      <c r="B646" s="8">
        <v>9</v>
      </c>
      <c r="C646" s="8">
        <v>80</v>
      </c>
      <c r="D646" s="8">
        <v>50</v>
      </c>
      <c r="E646" s="8">
        <v>0.6</v>
      </c>
      <c r="F646" s="9">
        <v>648</v>
      </c>
      <c r="G646" s="8" t="s">
        <v>16</v>
      </c>
      <c r="H646" s="10" t="s">
        <v>17</v>
      </c>
      <c r="I646" s="10">
        <v>122</v>
      </c>
      <c r="J646" s="10">
        <v>15</v>
      </c>
      <c r="K646" s="10">
        <v>10</v>
      </c>
      <c r="L646" s="11" t="e">
        <v>#N/A</v>
      </c>
      <c r="M646" s="12">
        <v>0</v>
      </c>
      <c r="N646" s="13" t="s">
        <v>18</v>
      </c>
      <c r="O646" s="13"/>
    </row>
    <row r="647" spans="1:15">
      <c r="A647" s="22" t="s">
        <v>822</v>
      </c>
      <c r="B647" s="8">
        <v>9</v>
      </c>
      <c r="C647" s="8">
        <v>80</v>
      </c>
      <c r="D647" s="8">
        <v>50</v>
      </c>
      <c r="E647" s="8">
        <v>0.6</v>
      </c>
      <c r="F647" s="9">
        <v>649</v>
      </c>
      <c r="G647" s="8" t="s">
        <v>16</v>
      </c>
      <c r="H647" s="10" t="s">
        <v>17</v>
      </c>
      <c r="I647" s="10">
        <v>122</v>
      </c>
      <c r="J647" s="10">
        <v>15</v>
      </c>
      <c r="K647" s="10">
        <v>10</v>
      </c>
      <c r="L647" s="11" t="e">
        <v>#N/A</v>
      </c>
      <c r="M647" s="12">
        <v>0</v>
      </c>
      <c r="N647" s="13" t="s">
        <v>18</v>
      </c>
      <c r="O647" s="13"/>
    </row>
    <row r="648" spans="1:15">
      <c r="A648" s="22" t="s">
        <v>823</v>
      </c>
      <c r="B648" s="8">
        <v>9</v>
      </c>
      <c r="C648" s="8">
        <v>80</v>
      </c>
      <c r="D648" s="8">
        <v>50</v>
      </c>
      <c r="E648" s="8">
        <v>0.6</v>
      </c>
      <c r="F648" s="9">
        <v>650</v>
      </c>
      <c r="G648" s="8" t="s">
        <v>16</v>
      </c>
      <c r="H648" s="10" t="s">
        <v>17</v>
      </c>
      <c r="I648" s="10">
        <v>122</v>
      </c>
      <c r="J648" s="10">
        <v>15</v>
      </c>
      <c r="K648" s="10">
        <v>10</v>
      </c>
      <c r="L648" s="11" t="e">
        <v>#N/A</v>
      </c>
      <c r="M648" s="12">
        <v>0</v>
      </c>
      <c r="N648" s="13" t="s">
        <v>18</v>
      </c>
      <c r="O648" s="13"/>
    </row>
    <row r="649" spans="1:15">
      <c r="A649" s="22" t="s">
        <v>824</v>
      </c>
      <c r="B649" s="8">
        <v>9</v>
      </c>
      <c r="C649" s="8">
        <v>80</v>
      </c>
      <c r="D649" s="8">
        <v>50</v>
      </c>
      <c r="E649" s="8">
        <v>0.6</v>
      </c>
      <c r="F649" s="9">
        <v>651</v>
      </c>
      <c r="G649" s="8" t="s">
        <v>16</v>
      </c>
      <c r="H649" s="10" t="s">
        <v>17</v>
      </c>
      <c r="I649" s="10">
        <v>122</v>
      </c>
      <c r="J649" s="10">
        <v>15</v>
      </c>
      <c r="K649" s="10">
        <v>10</v>
      </c>
      <c r="L649" s="11" t="e">
        <v>#N/A</v>
      </c>
      <c r="M649" s="12">
        <v>0</v>
      </c>
      <c r="N649" s="13" t="s">
        <v>18</v>
      </c>
      <c r="O649" s="13"/>
    </row>
    <row r="650" spans="1:15">
      <c r="A650" s="22" t="s">
        <v>825</v>
      </c>
      <c r="B650" s="8">
        <v>9</v>
      </c>
      <c r="C650" s="8">
        <v>80</v>
      </c>
      <c r="D650" s="8">
        <v>50</v>
      </c>
      <c r="E650" s="8">
        <v>0.6</v>
      </c>
      <c r="F650" s="9">
        <v>652</v>
      </c>
      <c r="G650" s="8" t="s">
        <v>16</v>
      </c>
      <c r="H650" s="10" t="s">
        <v>17</v>
      </c>
      <c r="I650" s="10">
        <v>122</v>
      </c>
      <c r="J650" s="10">
        <v>15</v>
      </c>
      <c r="K650" s="10">
        <v>10</v>
      </c>
      <c r="L650" s="11" t="e">
        <v>#N/A</v>
      </c>
      <c r="M650" s="12">
        <v>0</v>
      </c>
      <c r="N650" s="13" t="s">
        <v>18</v>
      </c>
      <c r="O650" s="13"/>
    </row>
    <row r="651" spans="1:15">
      <c r="A651" s="22" t="s">
        <v>826</v>
      </c>
      <c r="B651" s="8">
        <v>9</v>
      </c>
      <c r="C651" s="8">
        <v>69</v>
      </c>
      <c r="D651" s="8">
        <v>50</v>
      </c>
      <c r="E651" s="8">
        <v>0.6</v>
      </c>
      <c r="F651" s="9">
        <v>653</v>
      </c>
      <c r="G651" s="8" t="s">
        <v>16</v>
      </c>
      <c r="H651" s="10" t="s">
        <v>17</v>
      </c>
      <c r="I651" s="10">
        <v>122</v>
      </c>
      <c r="J651" s="10">
        <v>15</v>
      </c>
      <c r="K651" s="10">
        <v>10</v>
      </c>
      <c r="L651" s="11" t="s">
        <v>123</v>
      </c>
      <c r="M651" s="12">
        <v>0</v>
      </c>
      <c r="N651" s="13"/>
      <c r="O651" s="13"/>
    </row>
    <row r="652" spans="1:15">
      <c r="A652" s="22" t="s">
        <v>827</v>
      </c>
      <c r="B652" s="8">
        <v>9</v>
      </c>
      <c r="C652" s="8">
        <v>535</v>
      </c>
      <c r="D652" s="8">
        <v>1</v>
      </c>
      <c r="E652" s="8">
        <v>0.5</v>
      </c>
      <c r="F652" s="9">
        <v>655</v>
      </c>
      <c r="G652" s="8" t="s">
        <v>446</v>
      </c>
      <c r="H652" s="10" t="s">
        <v>443</v>
      </c>
      <c r="I652" s="10">
        <v>89</v>
      </c>
      <c r="J652" s="10">
        <v>14</v>
      </c>
      <c r="K652" s="10">
        <v>9</v>
      </c>
      <c r="L652" s="11" t="s">
        <v>733</v>
      </c>
      <c r="M652" s="12">
        <v>0</v>
      </c>
      <c r="N652" s="13"/>
      <c r="O652" s="13"/>
    </row>
    <row r="653" spans="1:15">
      <c r="A653" s="22" t="s">
        <v>828</v>
      </c>
      <c r="B653" s="8">
        <v>9</v>
      </c>
      <c r="C653" s="8">
        <v>91</v>
      </c>
      <c r="D653" s="8">
        <v>50</v>
      </c>
      <c r="E653" s="8">
        <v>0.6</v>
      </c>
      <c r="F653" s="9">
        <v>656</v>
      </c>
      <c r="G653" s="8" t="s">
        <v>16</v>
      </c>
      <c r="H653" s="10" t="s">
        <v>17</v>
      </c>
      <c r="I653" s="10">
        <v>122</v>
      </c>
      <c r="J653" s="10">
        <v>15</v>
      </c>
      <c r="K653" s="10">
        <v>10</v>
      </c>
      <c r="L653" s="11" t="s">
        <v>613</v>
      </c>
      <c r="M653" s="12">
        <v>20</v>
      </c>
      <c r="N653" s="13"/>
      <c r="O653" s="13"/>
    </row>
    <row r="654" spans="1:15">
      <c r="A654" s="22" t="s">
        <v>829</v>
      </c>
      <c r="B654" s="8">
        <v>9</v>
      </c>
      <c r="C654" s="8">
        <v>367</v>
      </c>
      <c r="D654" s="8">
        <v>1</v>
      </c>
      <c r="E654" s="8">
        <v>0.5</v>
      </c>
      <c r="F654" s="9">
        <v>657</v>
      </c>
      <c r="G654" s="8" t="s">
        <v>446</v>
      </c>
      <c r="H654" s="10" t="s">
        <v>443</v>
      </c>
      <c r="I654" s="10">
        <v>89</v>
      </c>
      <c r="J654" s="10">
        <v>14</v>
      </c>
      <c r="K654" s="10">
        <v>9</v>
      </c>
      <c r="L654" s="11" t="s">
        <v>805</v>
      </c>
      <c r="M654" s="12">
        <v>9</v>
      </c>
      <c r="N654" s="12" t="e">
        <f>VLOOKUP(A:A,[2]成品数据统计表!$C$1:$E$65536,3,0)</f>
        <v>#REF!</v>
      </c>
      <c r="O654" s="13"/>
    </row>
    <row r="655" spans="1:15">
      <c r="A655" s="23" t="s">
        <v>830</v>
      </c>
      <c r="B655" s="20">
        <v>9</v>
      </c>
      <c r="C655" s="24">
        <v>350</v>
      </c>
      <c r="D655" s="8">
        <v>1</v>
      </c>
      <c r="E655" s="8">
        <v>0.5</v>
      </c>
      <c r="F655" s="9">
        <v>659</v>
      </c>
      <c r="G655" s="8" t="s">
        <v>446</v>
      </c>
      <c r="H655" s="10" t="s">
        <v>443</v>
      </c>
      <c r="I655" s="10">
        <v>89</v>
      </c>
      <c r="J655" s="10">
        <v>14</v>
      </c>
      <c r="K655" s="10">
        <v>9</v>
      </c>
      <c r="L655" s="11" t="e">
        <v>#N/A</v>
      </c>
      <c r="M655" s="12" t="e">
        <v>#N/A</v>
      </c>
      <c r="N655" s="13" t="s">
        <v>18</v>
      </c>
      <c r="O655" s="13"/>
    </row>
    <row r="656" spans="1:15">
      <c r="A656" s="22" t="s">
        <v>831</v>
      </c>
      <c r="B656" s="8">
        <v>9</v>
      </c>
      <c r="C656" s="8">
        <v>323</v>
      </c>
      <c r="D656" s="8">
        <v>50</v>
      </c>
      <c r="E656" s="8">
        <v>1.48</v>
      </c>
      <c r="F656" s="9">
        <v>660</v>
      </c>
      <c r="G656" s="8" t="s">
        <v>72</v>
      </c>
      <c r="H656" s="10" t="s">
        <v>83</v>
      </c>
      <c r="I656" s="10">
        <v>145</v>
      </c>
      <c r="J656" s="10">
        <v>29</v>
      </c>
      <c r="K656" s="10">
        <v>16</v>
      </c>
      <c r="L656" s="11" t="s">
        <v>571</v>
      </c>
      <c r="M656" s="12">
        <v>5</v>
      </c>
      <c r="N656" s="13"/>
      <c r="O656" s="13"/>
    </row>
    <row r="657" spans="1:15">
      <c r="A657" s="22" t="s">
        <v>832</v>
      </c>
      <c r="B657" s="8">
        <v>9</v>
      </c>
      <c r="C657" s="8">
        <v>321</v>
      </c>
      <c r="D657" s="8">
        <v>50</v>
      </c>
      <c r="E657" s="8">
        <v>1.48</v>
      </c>
      <c r="F657" s="9">
        <v>661</v>
      </c>
      <c r="G657" s="8" t="s">
        <v>72</v>
      </c>
      <c r="H657" s="10" t="s">
        <v>83</v>
      </c>
      <c r="I657" s="10">
        <v>145</v>
      </c>
      <c r="J657" s="10">
        <v>29</v>
      </c>
      <c r="K657" s="10">
        <v>16</v>
      </c>
      <c r="L657" s="11" t="s">
        <v>833</v>
      </c>
      <c r="M657" s="12">
        <v>0</v>
      </c>
      <c r="N657" s="13"/>
      <c r="O657" s="13"/>
    </row>
    <row r="658" spans="1:15">
      <c r="A658" s="22" t="s">
        <v>834</v>
      </c>
      <c r="B658" s="8">
        <v>9</v>
      </c>
      <c r="C658" s="8">
        <v>65</v>
      </c>
      <c r="D658" s="8">
        <v>50</v>
      </c>
      <c r="E658" s="8">
        <v>0.6</v>
      </c>
      <c r="F658" s="9">
        <v>662</v>
      </c>
      <c r="G658" s="8" t="s">
        <v>16</v>
      </c>
      <c r="H658" s="10" t="s">
        <v>17</v>
      </c>
      <c r="I658" s="10">
        <v>122</v>
      </c>
      <c r="J658" s="10">
        <v>15</v>
      </c>
      <c r="K658" s="10">
        <v>10</v>
      </c>
      <c r="L658" s="11" t="s">
        <v>22</v>
      </c>
      <c r="M658" s="12">
        <v>0</v>
      </c>
      <c r="N658" s="13"/>
      <c r="O658" s="13"/>
    </row>
    <row r="659" spans="1:15">
      <c r="A659" s="22" t="s">
        <v>835</v>
      </c>
      <c r="B659" s="8">
        <v>9</v>
      </c>
      <c r="C659" s="8">
        <v>433</v>
      </c>
      <c r="D659" s="8">
        <v>1</v>
      </c>
      <c r="E659" s="8">
        <v>0.5</v>
      </c>
      <c r="F659" s="9">
        <v>663</v>
      </c>
      <c r="G659" s="8" t="s">
        <v>446</v>
      </c>
      <c r="H659" s="10" t="s">
        <v>443</v>
      </c>
      <c r="I659" s="10">
        <v>89</v>
      </c>
      <c r="J659" s="10">
        <v>14</v>
      </c>
      <c r="K659" s="10">
        <v>9</v>
      </c>
      <c r="L659" s="11" t="s">
        <v>765</v>
      </c>
      <c r="M659" s="12">
        <v>0</v>
      </c>
      <c r="N659" s="13"/>
      <c r="O659" s="13"/>
    </row>
    <row r="660" spans="1:15">
      <c r="A660" s="23" t="s">
        <v>836</v>
      </c>
      <c r="B660" s="20">
        <v>9</v>
      </c>
      <c r="C660" s="8">
        <v>91</v>
      </c>
      <c r="D660" s="20">
        <v>50</v>
      </c>
      <c r="E660" s="20">
        <v>0.6</v>
      </c>
      <c r="F660" s="9">
        <v>664</v>
      </c>
      <c r="G660" s="8" t="s">
        <v>16</v>
      </c>
      <c r="H660" s="10" t="s">
        <v>17</v>
      </c>
      <c r="I660" s="10">
        <v>122</v>
      </c>
      <c r="J660" s="10">
        <v>15</v>
      </c>
      <c r="K660" s="10">
        <v>10</v>
      </c>
      <c r="L660" s="11" t="s">
        <v>647</v>
      </c>
      <c r="M660" s="12">
        <v>5</v>
      </c>
      <c r="N660" s="13"/>
      <c r="O660" s="13"/>
    </row>
    <row r="661" spans="1:15">
      <c r="A661" s="23" t="s">
        <v>837</v>
      </c>
      <c r="B661" s="20">
        <v>9</v>
      </c>
      <c r="C661" s="8">
        <v>92</v>
      </c>
      <c r="D661" s="20">
        <v>50</v>
      </c>
      <c r="E661" s="20">
        <v>0.6</v>
      </c>
      <c r="F661" s="9">
        <v>665</v>
      </c>
      <c r="G661" s="8" t="s">
        <v>16</v>
      </c>
      <c r="H661" s="10" t="s">
        <v>17</v>
      </c>
      <c r="I661" s="10">
        <v>122</v>
      </c>
      <c r="J661" s="10">
        <v>15</v>
      </c>
      <c r="K661" s="10">
        <v>10</v>
      </c>
      <c r="L661" s="11" t="s">
        <v>838</v>
      </c>
      <c r="M661" s="12">
        <v>42</v>
      </c>
      <c r="N661" s="13"/>
      <c r="O661" s="13"/>
    </row>
    <row r="662" spans="1:15">
      <c r="A662" s="22" t="s">
        <v>839</v>
      </c>
      <c r="B662" s="8">
        <v>9</v>
      </c>
      <c r="C662" s="8">
        <v>320</v>
      </c>
      <c r="D662" s="8">
        <v>50</v>
      </c>
      <c r="E662" s="8">
        <v>1.48</v>
      </c>
      <c r="F662" s="9">
        <v>666</v>
      </c>
      <c r="G662" s="8" t="s">
        <v>372</v>
      </c>
      <c r="H662" s="10" t="s">
        <v>83</v>
      </c>
      <c r="I662" s="10">
        <v>145</v>
      </c>
      <c r="J662" s="10">
        <v>29</v>
      </c>
      <c r="K662" s="10">
        <v>16</v>
      </c>
      <c r="L662" s="11" t="s">
        <v>440</v>
      </c>
      <c r="M662" s="12">
        <v>0</v>
      </c>
      <c r="N662" s="13"/>
      <c r="O662" s="13"/>
    </row>
    <row r="663" spans="1:15">
      <c r="A663" s="22" t="s">
        <v>840</v>
      </c>
      <c r="B663" s="8">
        <v>9</v>
      </c>
      <c r="C663" s="8">
        <v>360</v>
      </c>
      <c r="D663" s="25">
        <v>50</v>
      </c>
      <c r="E663" s="8">
        <v>1.48</v>
      </c>
      <c r="F663" s="9">
        <v>667</v>
      </c>
      <c r="G663" s="25" t="s">
        <v>372</v>
      </c>
      <c r="H663" s="10" t="s">
        <v>83</v>
      </c>
      <c r="I663" s="10">
        <v>145</v>
      </c>
      <c r="J663" s="10">
        <v>29</v>
      </c>
      <c r="K663" s="10">
        <v>16</v>
      </c>
      <c r="L663" s="11" t="s">
        <v>841</v>
      </c>
      <c r="M663" s="12">
        <v>69</v>
      </c>
      <c r="N663" s="13"/>
      <c r="O663" s="13"/>
    </row>
    <row r="664" spans="1:15">
      <c r="A664" s="23" t="s">
        <v>842</v>
      </c>
      <c r="B664" s="20">
        <v>9</v>
      </c>
      <c r="C664" s="8">
        <v>383</v>
      </c>
      <c r="D664" s="8">
        <v>1</v>
      </c>
      <c r="E664" s="8">
        <v>0.5</v>
      </c>
      <c r="F664" s="9">
        <v>668</v>
      </c>
      <c r="G664" s="8" t="s">
        <v>446</v>
      </c>
      <c r="H664" s="10" t="s">
        <v>443</v>
      </c>
      <c r="I664" s="10">
        <v>89</v>
      </c>
      <c r="J664" s="10">
        <v>14</v>
      </c>
      <c r="K664" s="10">
        <v>9</v>
      </c>
      <c r="L664" s="11" t="s">
        <v>843</v>
      </c>
      <c r="M664" s="12">
        <v>0</v>
      </c>
      <c r="N664" s="13"/>
      <c r="O664" s="13"/>
    </row>
    <row r="665" spans="1:15">
      <c r="A665" s="22" t="s">
        <v>844</v>
      </c>
      <c r="B665" s="8">
        <v>9</v>
      </c>
      <c r="C665" s="8">
        <v>460</v>
      </c>
      <c r="D665" s="8">
        <v>1</v>
      </c>
      <c r="E665" s="8">
        <v>0.5</v>
      </c>
      <c r="F665" s="9">
        <v>669</v>
      </c>
      <c r="G665" s="8" t="s">
        <v>446</v>
      </c>
      <c r="H665" s="10" t="s">
        <v>443</v>
      </c>
      <c r="I665" s="10">
        <v>89</v>
      </c>
      <c r="J665" s="10">
        <v>14</v>
      </c>
      <c r="K665" s="10">
        <v>9</v>
      </c>
      <c r="L665" s="11" t="s">
        <v>843</v>
      </c>
      <c r="M665" s="12">
        <v>0</v>
      </c>
      <c r="N665" s="13"/>
      <c r="O665" s="13"/>
    </row>
    <row r="666" spans="1:15">
      <c r="A666" s="22" t="s">
        <v>845</v>
      </c>
      <c r="B666" s="8">
        <v>9</v>
      </c>
      <c r="C666" s="8">
        <v>316</v>
      </c>
      <c r="D666" s="8">
        <v>50</v>
      </c>
      <c r="E666" s="8">
        <v>1.48</v>
      </c>
      <c r="F666" s="9">
        <v>670</v>
      </c>
      <c r="G666" s="8" t="s">
        <v>372</v>
      </c>
      <c r="H666" s="10" t="s">
        <v>83</v>
      </c>
      <c r="I666" s="10">
        <v>145</v>
      </c>
      <c r="J666" s="10">
        <v>29</v>
      </c>
      <c r="K666" s="10">
        <v>16</v>
      </c>
      <c r="L666" s="11" t="s">
        <v>846</v>
      </c>
      <c r="M666" s="12">
        <v>147</v>
      </c>
      <c r="N666" s="13"/>
      <c r="O666" s="13"/>
    </row>
    <row r="667" spans="1:15">
      <c r="A667" s="22" t="s">
        <v>847</v>
      </c>
      <c r="B667" s="8">
        <v>9</v>
      </c>
      <c r="C667" s="8">
        <v>320</v>
      </c>
      <c r="D667" s="8">
        <v>50</v>
      </c>
      <c r="E667" s="8">
        <v>1.48</v>
      </c>
      <c r="F667" s="9">
        <v>671</v>
      </c>
      <c r="G667" s="8" t="s">
        <v>372</v>
      </c>
      <c r="H667" s="10" t="s">
        <v>83</v>
      </c>
      <c r="I667" s="10">
        <v>145</v>
      </c>
      <c r="J667" s="10">
        <v>29</v>
      </c>
      <c r="K667" s="10">
        <v>16</v>
      </c>
      <c r="L667" s="11" t="s">
        <v>440</v>
      </c>
      <c r="M667" s="12">
        <v>0</v>
      </c>
      <c r="N667" s="13"/>
      <c r="O667" s="13"/>
    </row>
    <row r="668" spans="1:15">
      <c r="A668" s="22" t="s">
        <v>848</v>
      </c>
      <c r="B668" s="8">
        <v>9</v>
      </c>
      <c r="C668" s="8">
        <v>335</v>
      </c>
      <c r="D668" s="8">
        <v>50</v>
      </c>
      <c r="E668" s="8">
        <v>1.48</v>
      </c>
      <c r="F668" s="9">
        <v>672</v>
      </c>
      <c r="G668" s="8" t="s">
        <v>372</v>
      </c>
      <c r="H668" s="10" t="s">
        <v>83</v>
      </c>
      <c r="I668" s="10">
        <v>145</v>
      </c>
      <c r="J668" s="10">
        <v>29</v>
      </c>
      <c r="K668" s="10">
        <v>16</v>
      </c>
      <c r="L668" s="11" t="s">
        <v>498</v>
      </c>
      <c r="M668" s="12">
        <v>3</v>
      </c>
      <c r="N668" s="13"/>
      <c r="O668" s="13"/>
    </row>
    <row r="669" spans="1:15">
      <c r="A669" s="22" t="s">
        <v>849</v>
      </c>
      <c r="B669" s="8">
        <v>9</v>
      </c>
      <c r="C669" s="8">
        <v>360</v>
      </c>
      <c r="D669" s="8">
        <v>50</v>
      </c>
      <c r="E669" s="8">
        <v>1.48</v>
      </c>
      <c r="F669" s="9">
        <v>673</v>
      </c>
      <c r="G669" s="8" t="s">
        <v>372</v>
      </c>
      <c r="H669" s="10" t="s">
        <v>83</v>
      </c>
      <c r="I669" s="10">
        <v>145</v>
      </c>
      <c r="J669" s="10">
        <v>29</v>
      </c>
      <c r="K669" s="10">
        <v>16</v>
      </c>
      <c r="L669" s="11" t="s">
        <v>841</v>
      </c>
      <c r="M669" s="12">
        <v>0</v>
      </c>
      <c r="N669" s="13"/>
      <c r="O669" s="13"/>
    </row>
    <row r="670" spans="1:15">
      <c r="A670" s="22" t="s">
        <v>850</v>
      </c>
      <c r="B670" s="8">
        <v>9</v>
      </c>
      <c r="C670" s="26">
        <v>423</v>
      </c>
      <c r="D670" s="8">
        <v>1</v>
      </c>
      <c r="E670" s="8">
        <v>0.5</v>
      </c>
      <c r="F670" s="9">
        <v>674</v>
      </c>
      <c r="G670" s="8" t="s">
        <v>446</v>
      </c>
      <c r="H670" s="10" t="s">
        <v>443</v>
      </c>
      <c r="I670" s="10">
        <v>89</v>
      </c>
      <c r="J670" s="10">
        <v>14</v>
      </c>
      <c r="K670" s="10">
        <v>9</v>
      </c>
      <c r="L670" s="11" t="s">
        <v>800</v>
      </c>
      <c r="M670" s="12">
        <v>31</v>
      </c>
      <c r="N670" s="12" t="e">
        <f>VLOOKUP(A:A,[2]成品数据统计表!$C$1:$E$65536,3,0)</f>
        <v>#REF!</v>
      </c>
      <c r="O670" s="13"/>
    </row>
    <row r="671" spans="1:15">
      <c r="A671" s="22" t="s">
        <v>851</v>
      </c>
      <c r="B671" s="8">
        <v>9</v>
      </c>
      <c r="C671" s="8">
        <v>510</v>
      </c>
      <c r="D671" s="8">
        <v>1</v>
      </c>
      <c r="E671" s="8">
        <v>0.5</v>
      </c>
      <c r="F671" s="9">
        <v>676</v>
      </c>
      <c r="G671" s="8" t="s">
        <v>446</v>
      </c>
      <c r="H671" s="10" t="s">
        <v>443</v>
      </c>
      <c r="I671" s="10">
        <v>89</v>
      </c>
      <c r="J671" s="10">
        <v>14</v>
      </c>
      <c r="K671" s="10">
        <v>9</v>
      </c>
      <c r="L671" s="11" t="s">
        <v>852</v>
      </c>
      <c r="M671" s="12">
        <v>6</v>
      </c>
      <c r="N671" s="13"/>
      <c r="O671" s="13"/>
    </row>
    <row r="672" spans="1:15">
      <c r="A672" s="22" t="s">
        <v>853</v>
      </c>
      <c r="B672" s="8">
        <v>9</v>
      </c>
      <c r="C672" s="8">
        <v>72</v>
      </c>
      <c r="D672" s="8">
        <v>50</v>
      </c>
      <c r="E672" s="8">
        <v>0.6</v>
      </c>
      <c r="F672" s="9">
        <v>679</v>
      </c>
      <c r="G672" s="8" t="s">
        <v>16</v>
      </c>
      <c r="H672" s="10" t="s">
        <v>17</v>
      </c>
      <c r="I672" s="10">
        <v>122</v>
      </c>
      <c r="J672" s="10">
        <v>15</v>
      </c>
      <c r="K672" s="10">
        <v>10</v>
      </c>
      <c r="L672" s="11" t="s">
        <v>107</v>
      </c>
      <c r="M672" s="12">
        <v>0</v>
      </c>
      <c r="N672" s="13"/>
      <c r="O672" s="13"/>
    </row>
    <row r="673" spans="1:15">
      <c r="A673" s="22" t="s">
        <v>854</v>
      </c>
      <c r="B673" s="8">
        <v>9</v>
      </c>
      <c r="C673" s="8">
        <v>74</v>
      </c>
      <c r="D673" s="8">
        <v>50</v>
      </c>
      <c r="E673" s="8">
        <v>0.6</v>
      </c>
      <c r="F673" s="9">
        <v>680</v>
      </c>
      <c r="G673" s="25" t="s">
        <v>16</v>
      </c>
      <c r="H673" s="10" t="s">
        <v>17</v>
      </c>
      <c r="I673" s="10">
        <v>122</v>
      </c>
      <c r="J673" s="10">
        <v>15</v>
      </c>
      <c r="K673" s="10">
        <v>10</v>
      </c>
      <c r="L673" s="11" t="s">
        <v>155</v>
      </c>
      <c r="M673" s="12">
        <v>0</v>
      </c>
      <c r="N673" s="13"/>
      <c r="O673" s="13"/>
    </row>
    <row r="674" spans="1:15">
      <c r="A674" s="22" t="s">
        <v>855</v>
      </c>
      <c r="B674" s="8">
        <v>9</v>
      </c>
      <c r="C674" s="8">
        <v>155</v>
      </c>
      <c r="D674" s="8">
        <v>6</v>
      </c>
      <c r="E674" s="8">
        <v>0.2</v>
      </c>
      <c r="F674" s="9">
        <v>681</v>
      </c>
      <c r="G674" s="8" t="s">
        <v>629</v>
      </c>
      <c r="H674" s="10" t="s">
        <v>630</v>
      </c>
      <c r="I674" s="10">
        <v>45</v>
      </c>
      <c r="J674" s="10">
        <v>26</v>
      </c>
      <c r="K674" s="10">
        <v>8</v>
      </c>
      <c r="L674" s="11" t="s">
        <v>631</v>
      </c>
      <c r="M674" s="12">
        <v>9</v>
      </c>
      <c r="N674" s="13"/>
      <c r="O674" s="13"/>
    </row>
    <row r="675" spans="1:15">
      <c r="A675" s="22" t="s">
        <v>856</v>
      </c>
      <c r="B675" s="8">
        <v>9</v>
      </c>
      <c r="C675" s="8">
        <v>80</v>
      </c>
      <c r="D675" s="8">
        <v>50</v>
      </c>
      <c r="E675" s="8">
        <v>0.6</v>
      </c>
      <c r="F675" s="9">
        <v>682</v>
      </c>
      <c r="G675" s="8" t="s">
        <v>16</v>
      </c>
      <c r="H675" s="10" t="s">
        <v>17</v>
      </c>
      <c r="I675" s="10">
        <v>122</v>
      </c>
      <c r="J675" s="10">
        <v>15</v>
      </c>
      <c r="K675" s="10">
        <v>10</v>
      </c>
      <c r="L675" s="11" t="e">
        <v>#N/A</v>
      </c>
      <c r="M675" s="12">
        <v>0</v>
      </c>
      <c r="N675" s="13" t="s">
        <v>18</v>
      </c>
      <c r="O675" s="13"/>
    </row>
    <row r="676" spans="1:15">
      <c r="A676" s="22" t="s">
        <v>857</v>
      </c>
      <c r="B676" s="8">
        <v>9</v>
      </c>
      <c r="C676" s="8">
        <v>80</v>
      </c>
      <c r="D676" s="8">
        <v>50</v>
      </c>
      <c r="E676" s="8">
        <v>0.6</v>
      </c>
      <c r="F676" s="9">
        <v>683</v>
      </c>
      <c r="G676" s="8" t="s">
        <v>16</v>
      </c>
      <c r="H676" s="10" t="s">
        <v>17</v>
      </c>
      <c r="I676" s="10">
        <v>122</v>
      </c>
      <c r="J676" s="10">
        <v>15</v>
      </c>
      <c r="K676" s="10">
        <v>10</v>
      </c>
      <c r="L676" s="11" t="e">
        <v>#N/A</v>
      </c>
      <c r="M676" s="12">
        <v>0</v>
      </c>
      <c r="N676" s="13" t="s">
        <v>18</v>
      </c>
      <c r="O676" s="13"/>
    </row>
    <row r="677" spans="1:15">
      <c r="A677" s="22" t="s">
        <v>858</v>
      </c>
      <c r="B677" s="8">
        <v>9</v>
      </c>
      <c r="C677" s="8">
        <v>80</v>
      </c>
      <c r="D677" s="8">
        <v>50</v>
      </c>
      <c r="E677" s="8">
        <v>0.6</v>
      </c>
      <c r="F677" s="9">
        <v>684</v>
      </c>
      <c r="G677" s="8" t="s">
        <v>16</v>
      </c>
      <c r="H677" s="10" t="s">
        <v>17</v>
      </c>
      <c r="I677" s="10">
        <v>122</v>
      </c>
      <c r="J677" s="10">
        <v>15</v>
      </c>
      <c r="K677" s="10">
        <v>10</v>
      </c>
      <c r="L677" s="11" t="e">
        <v>#N/A</v>
      </c>
      <c r="M677" s="12">
        <v>0</v>
      </c>
      <c r="N677" s="13" t="s">
        <v>18</v>
      </c>
      <c r="O677" s="13"/>
    </row>
    <row r="678" spans="1:15">
      <c r="A678" s="22" t="s">
        <v>859</v>
      </c>
      <c r="B678" s="8">
        <v>9</v>
      </c>
      <c r="C678" s="8">
        <v>80</v>
      </c>
      <c r="D678" s="8">
        <v>50</v>
      </c>
      <c r="E678" s="8">
        <v>0.6</v>
      </c>
      <c r="F678" s="9">
        <v>685</v>
      </c>
      <c r="G678" s="8" t="s">
        <v>16</v>
      </c>
      <c r="H678" s="10" t="s">
        <v>17</v>
      </c>
      <c r="I678" s="10">
        <v>122</v>
      </c>
      <c r="J678" s="10">
        <v>15</v>
      </c>
      <c r="K678" s="10">
        <v>10</v>
      </c>
      <c r="L678" s="11" t="e">
        <v>#N/A</v>
      </c>
      <c r="M678" s="12">
        <v>18</v>
      </c>
      <c r="N678" s="13" t="s">
        <v>18</v>
      </c>
      <c r="O678" s="13"/>
    </row>
    <row r="679" spans="1:15">
      <c r="A679" s="22" t="s">
        <v>860</v>
      </c>
      <c r="B679" s="8">
        <v>9</v>
      </c>
      <c r="C679" s="8">
        <v>80</v>
      </c>
      <c r="D679" s="8">
        <v>50</v>
      </c>
      <c r="E679" s="8">
        <v>0.6</v>
      </c>
      <c r="F679" s="9">
        <v>686</v>
      </c>
      <c r="G679" s="8" t="s">
        <v>16</v>
      </c>
      <c r="H679" s="10" t="s">
        <v>17</v>
      </c>
      <c r="I679" s="10">
        <v>122</v>
      </c>
      <c r="J679" s="10">
        <v>15</v>
      </c>
      <c r="K679" s="10">
        <v>10</v>
      </c>
      <c r="L679" s="11" t="e">
        <v>#N/A</v>
      </c>
      <c r="M679" s="12">
        <v>0</v>
      </c>
      <c r="N679" s="13" t="s">
        <v>18</v>
      </c>
      <c r="O679" s="13"/>
    </row>
    <row r="680" spans="1:15">
      <c r="A680" s="22" t="s">
        <v>861</v>
      </c>
      <c r="B680" s="8">
        <v>9</v>
      </c>
      <c r="C680" s="8">
        <v>80</v>
      </c>
      <c r="D680" s="8">
        <v>50</v>
      </c>
      <c r="E680" s="8">
        <v>0.6</v>
      </c>
      <c r="F680" s="9">
        <v>687</v>
      </c>
      <c r="G680" s="8" t="s">
        <v>16</v>
      </c>
      <c r="H680" s="10" t="s">
        <v>17</v>
      </c>
      <c r="I680" s="10">
        <v>122</v>
      </c>
      <c r="J680" s="10">
        <v>15</v>
      </c>
      <c r="K680" s="10">
        <v>10</v>
      </c>
      <c r="L680" s="11" t="e">
        <v>#N/A</v>
      </c>
      <c r="M680" s="12">
        <v>0</v>
      </c>
      <c r="N680" s="13" t="s">
        <v>18</v>
      </c>
      <c r="O680" s="13"/>
    </row>
    <row r="681" spans="1:15">
      <c r="A681" s="22" t="s">
        <v>862</v>
      </c>
      <c r="B681" s="8">
        <v>9</v>
      </c>
      <c r="C681" s="8">
        <v>80</v>
      </c>
      <c r="D681" s="8">
        <v>50</v>
      </c>
      <c r="E681" s="8">
        <v>0.6</v>
      </c>
      <c r="F681" s="9">
        <v>688</v>
      </c>
      <c r="G681" s="8" t="s">
        <v>16</v>
      </c>
      <c r="H681" s="10" t="s">
        <v>17</v>
      </c>
      <c r="I681" s="10">
        <v>122</v>
      </c>
      <c r="J681" s="10">
        <v>15</v>
      </c>
      <c r="K681" s="10">
        <v>10</v>
      </c>
      <c r="L681" s="11" t="e">
        <v>#N/A</v>
      </c>
      <c r="M681" s="12">
        <v>0</v>
      </c>
      <c r="N681" s="13" t="s">
        <v>18</v>
      </c>
      <c r="O681" s="13"/>
    </row>
    <row r="682" spans="1:15">
      <c r="A682" s="22" t="s">
        <v>863</v>
      </c>
      <c r="B682" s="8">
        <v>9</v>
      </c>
      <c r="C682" s="8">
        <v>515</v>
      </c>
      <c r="D682" s="8">
        <v>25</v>
      </c>
      <c r="E682" s="8">
        <v>2.54</v>
      </c>
      <c r="F682" s="9">
        <v>689</v>
      </c>
      <c r="G682" s="8" t="s">
        <v>442</v>
      </c>
      <c r="H682" s="10" t="s">
        <v>653</v>
      </c>
      <c r="I682" s="10">
        <v>72</v>
      </c>
      <c r="J682" s="10">
        <v>52</v>
      </c>
      <c r="K682" s="10">
        <v>32</v>
      </c>
      <c r="L682" s="11" t="s">
        <v>743</v>
      </c>
      <c r="M682" s="12">
        <v>0</v>
      </c>
      <c r="N682" s="13"/>
      <c r="O682" s="13"/>
    </row>
    <row r="683" spans="1:15">
      <c r="A683" s="22" t="s">
        <v>864</v>
      </c>
      <c r="B683" s="8">
        <v>9</v>
      </c>
      <c r="C683" s="8">
        <v>80</v>
      </c>
      <c r="D683" s="8">
        <v>50</v>
      </c>
      <c r="E683" s="8">
        <v>0.6</v>
      </c>
      <c r="F683" s="9">
        <v>690</v>
      </c>
      <c r="G683" s="8" t="s">
        <v>16</v>
      </c>
      <c r="H683" s="10" t="s">
        <v>17</v>
      </c>
      <c r="I683" s="10">
        <v>122</v>
      </c>
      <c r="J683" s="10">
        <v>15</v>
      </c>
      <c r="K683" s="10">
        <v>10</v>
      </c>
      <c r="L683" s="11" t="e">
        <v>#N/A</v>
      </c>
      <c r="M683" s="12">
        <v>0</v>
      </c>
      <c r="N683" s="13" t="s">
        <v>18</v>
      </c>
      <c r="O683" s="13"/>
    </row>
    <row r="684" spans="1:15">
      <c r="A684" s="22" t="s">
        <v>865</v>
      </c>
      <c r="B684" s="8">
        <v>9</v>
      </c>
      <c r="C684" s="8">
        <v>72</v>
      </c>
      <c r="D684" s="25">
        <v>50</v>
      </c>
      <c r="E684" s="8">
        <v>0.6</v>
      </c>
      <c r="F684" s="9">
        <v>691</v>
      </c>
      <c r="G684" s="25" t="s">
        <v>16</v>
      </c>
      <c r="H684" s="10" t="s">
        <v>17</v>
      </c>
      <c r="I684" s="10">
        <v>122</v>
      </c>
      <c r="J684" s="10">
        <v>15</v>
      </c>
      <c r="K684" s="10">
        <v>10</v>
      </c>
      <c r="L684" s="11" t="s">
        <v>107</v>
      </c>
      <c r="M684" s="12">
        <v>0</v>
      </c>
      <c r="N684" s="13"/>
      <c r="O684" s="13"/>
    </row>
    <row r="685" spans="1:15">
      <c r="A685" s="22" t="s">
        <v>866</v>
      </c>
      <c r="B685" s="8">
        <v>9</v>
      </c>
      <c r="C685" s="8">
        <v>74</v>
      </c>
      <c r="D685" s="25">
        <v>50</v>
      </c>
      <c r="E685" s="8">
        <v>0.6</v>
      </c>
      <c r="F685" s="9">
        <v>692</v>
      </c>
      <c r="G685" s="25" t="s">
        <v>16</v>
      </c>
      <c r="H685" s="10" t="s">
        <v>17</v>
      </c>
      <c r="I685" s="10">
        <v>122</v>
      </c>
      <c r="J685" s="10">
        <v>15</v>
      </c>
      <c r="K685" s="10">
        <v>10</v>
      </c>
      <c r="L685" s="11" t="s">
        <v>155</v>
      </c>
      <c r="M685" s="12">
        <v>0</v>
      </c>
      <c r="N685" s="13"/>
      <c r="O685" s="13"/>
    </row>
    <row r="686" spans="1:15">
      <c r="A686" s="22" t="s">
        <v>867</v>
      </c>
      <c r="B686" s="8">
        <v>9</v>
      </c>
      <c r="C686" s="8">
        <v>69</v>
      </c>
      <c r="D686" s="25">
        <v>50</v>
      </c>
      <c r="E686" s="8">
        <v>0.6</v>
      </c>
      <c r="F686" s="9">
        <v>693</v>
      </c>
      <c r="G686" s="25" t="s">
        <v>16</v>
      </c>
      <c r="H686" s="10" t="s">
        <v>17</v>
      </c>
      <c r="I686" s="10">
        <v>122</v>
      </c>
      <c r="J686" s="10">
        <v>15</v>
      </c>
      <c r="K686" s="10">
        <v>10</v>
      </c>
      <c r="L686" s="11" t="s">
        <v>123</v>
      </c>
      <c r="M686" s="12">
        <v>0</v>
      </c>
      <c r="N686" s="13"/>
      <c r="O686" s="13"/>
    </row>
    <row r="687" spans="1:15">
      <c r="A687" s="22" t="s">
        <v>868</v>
      </c>
      <c r="B687" s="8">
        <v>9</v>
      </c>
      <c r="C687" s="8">
        <v>69</v>
      </c>
      <c r="D687" s="8">
        <v>50</v>
      </c>
      <c r="E687" s="8">
        <v>0.6</v>
      </c>
      <c r="F687" s="9">
        <v>694</v>
      </c>
      <c r="G687" s="8" t="s">
        <v>16</v>
      </c>
      <c r="H687" s="10" t="s">
        <v>17</v>
      </c>
      <c r="I687" s="10">
        <v>122</v>
      </c>
      <c r="J687" s="10">
        <v>15</v>
      </c>
      <c r="K687" s="10">
        <v>10</v>
      </c>
      <c r="L687" s="11" t="s">
        <v>123</v>
      </c>
      <c r="M687" s="12">
        <v>114</v>
      </c>
      <c r="N687" s="13"/>
      <c r="O687" s="13"/>
    </row>
    <row r="688" spans="1:15">
      <c r="A688" s="22" t="s">
        <v>869</v>
      </c>
      <c r="B688" s="8">
        <v>9</v>
      </c>
      <c r="C688" s="8">
        <v>67</v>
      </c>
      <c r="D688" s="25">
        <v>50</v>
      </c>
      <c r="E688" s="8">
        <v>0.6</v>
      </c>
      <c r="F688" s="9">
        <v>695</v>
      </c>
      <c r="G688" s="25" t="s">
        <v>16</v>
      </c>
      <c r="H688" s="10" t="s">
        <v>17</v>
      </c>
      <c r="I688" s="10">
        <v>122</v>
      </c>
      <c r="J688" s="10">
        <v>15</v>
      </c>
      <c r="K688" s="10">
        <v>10</v>
      </c>
      <c r="L688" s="11" t="s">
        <v>96</v>
      </c>
      <c r="M688" s="12">
        <v>285</v>
      </c>
      <c r="N688" s="13"/>
      <c r="O688" s="13"/>
    </row>
    <row r="689" spans="1:15">
      <c r="A689" s="22" t="s">
        <v>870</v>
      </c>
      <c r="B689" s="8">
        <v>9</v>
      </c>
      <c r="C689" s="8">
        <v>72</v>
      </c>
      <c r="D689" s="8">
        <v>50</v>
      </c>
      <c r="E689" s="8">
        <v>0.6</v>
      </c>
      <c r="F689" s="9">
        <v>696</v>
      </c>
      <c r="G689" s="8" t="s">
        <v>16</v>
      </c>
      <c r="H689" s="10" t="s">
        <v>17</v>
      </c>
      <c r="I689" s="10">
        <v>122</v>
      </c>
      <c r="J689" s="10">
        <v>15</v>
      </c>
      <c r="K689" s="10">
        <v>10</v>
      </c>
      <c r="L689" s="11" t="s">
        <v>107</v>
      </c>
      <c r="M689" s="12">
        <v>131</v>
      </c>
      <c r="N689" s="13"/>
      <c r="O689" s="13"/>
    </row>
    <row r="690" spans="1:15">
      <c r="A690" s="22" t="s">
        <v>871</v>
      </c>
      <c r="B690" s="8">
        <v>9</v>
      </c>
      <c r="C690" s="8">
        <v>322</v>
      </c>
      <c r="D690" s="8">
        <v>1</v>
      </c>
      <c r="E690" s="8">
        <v>0.5</v>
      </c>
      <c r="F690" s="9">
        <v>697</v>
      </c>
      <c r="G690" s="8" t="s">
        <v>446</v>
      </c>
      <c r="H690" s="10" t="s">
        <v>443</v>
      </c>
      <c r="I690" s="10">
        <v>89</v>
      </c>
      <c r="J690" s="10">
        <v>14</v>
      </c>
      <c r="K690" s="10">
        <v>9</v>
      </c>
      <c r="L690" s="11" t="s">
        <v>872</v>
      </c>
      <c r="M690" s="12">
        <v>19</v>
      </c>
      <c r="N690" s="12" t="e">
        <f>VLOOKUP(A:A,[2]成品数据统计表!$C$1:$E$65536,3,0)</f>
        <v>#REF!</v>
      </c>
      <c r="O690" s="13"/>
    </row>
    <row r="691" spans="1:15">
      <c r="A691" s="22" t="s">
        <v>873</v>
      </c>
      <c r="B691" s="8">
        <v>9</v>
      </c>
      <c r="C691" s="8">
        <v>76</v>
      </c>
      <c r="D691" s="8">
        <v>50</v>
      </c>
      <c r="E691" s="8">
        <v>0.6</v>
      </c>
      <c r="F691" s="9">
        <v>698</v>
      </c>
      <c r="G691" s="8" t="s">
        <v>16</v>
      </c>
      <c r="H691" s="10" t="s">
        <v>17</v>
      </c>
      <c r="I691" s="10">
        <v>122</v>
      </c>
      <c r="J691" s="10">
        <v>15</v>
      </c>
      <c r="K691" s="10">
        <v>10</v>
      </c>
      <c r="L691" s="11" t="s">
        <v>131</v>
      </c>
      <c r="M691" s="12">
        <v>157</v>
      </c>
      <c r="N691" s="13"/>
      <c r="O691" s="13"/>
    </row>
    <row r="692" spans="1:15">
      <c r="A692" s="22" t="s">
        <v>874</v>
      </c>
      <c r="B692" s="8">
        <v>9</v>
      </c>
      <c r="C692" s="8">
        <v>75</v>
      </c>
      <c r="D692" s="8">
        <v>50</v>
      </c>
      <c r="E692" s="8">
        <v>0.6</v>
      </c>
      <c r="F692" s="9">
        <v>699</v>
      </c>
      <c r="G692" s="8" t="s">
        <v>16</v>
      </c>
      <c r="H692" s="10" t="s">
        <v>17</v>
      </c>
      <c r="I692" s="10">
        <v>122</v>
      </c>
      <c r="J692" s="10">
        <v>15</v>
      </c>
      <c r="K692" s="10">
        <v>10</v>
      </c>
      <c r="L692" s="11" t="s">
        <v>92</v>
      </c>
      <c r="M692" s="12">
        <v>20</v>
      </c>
      <c r="N692" s="13"/>
      <c r="O692" s="13"/>
    </row>
    <row r="693" spans="1:15">
      <c r="A693" s="22" t="s">
        <v>875</v>
      </c>
      <c r="B693" s="8">
        <v>9</v>
      </c>
      <c r="C693" s="8">
        <v>74</v>
      </c>
      <c r="D693" s="8">
        <v>50</v>
      </c>
      <c r="E693" s="8">
        <v>0.6</v>
      </c>
      <c r="F693" s="9">
        <v>700</v>
      </c>
      <c r="G693" s="8" t="s">
        <v>16</v>
      </c>
      <c r="H693" s="10" t="s">
        <v>17</v>
      </c>
      <c r="I693" s="10">
        <v>122</v>
      </c>
      <c r="J693" s="10">
        <v>15</v>
      </c>
      <c r="K693" s="10">
        <v>10</v>
      </c>
      <c r="L693" s="11" t="s">
        <v>155</v>
      </c>
      <c r="M693" s="12">
        <v>42</v>
      </c>
      <c r="N693" s="13"/>
      <c r="O693" s="13"/>
    </row>
    <row r="694" spans="1:15">
      <c r="A694" s="22" t="s">
        <v>876</v>
      </c>
      <c r="B694" s="8">
        <v>9</v>
      </c>
      <c r="C694" s="8">
        <v>64</v>
      </c>
      <c r="D694" s="8">
        <v>50</v>
      </c>
      <c r="E694" s="8">
        <v>0.6</v>
      </c>
      <c r="F694" s="9">
        <v>701</v>
      </c>
      <c r="G694" s="8" t="s">
        <v>16</v>
      </c>
      <c r="H694" s="10" t="s">
        <v>17</v>
      </c>
      <c r="I694" s="10">
        <v>122</v>
      </c>
      <c r="J694" s="10">
        <v>15</v>
      </c>
      <c r="K694" s="10">
        <v>10</v>
      </c>
      <c r="L694" s="11" t="s">
        <v>315</v>
      </c>
      <c r="M694" s="12">
        <v>2</v>
      </c>
      <c r="N694" s="13"/>
      <c r="O694" s="13"/>
    </row>
    <row r="695" spans="1:15">
      <c r="A695" s="22" t="s">
        <v>877</v>
      </c>
      <c r="B695" s="8">
        <v>9</v>
      </c>
      <c r="C695" s="8">
        <v>320</v>
      </c>
      <c r="D695" s="8">
        <v>50</v>
      </c>
      <c r="E695" s="8">
        <v>1.48</v>
      </c>
      <c r="F695" s="9">
        <v>702</v>
      </c>
      <c r="G695" s="8" t="s">
        <v>372</v>
      </c>
      <c r="H695" s="10" t="s">
        <v>83</v>
      </c>
      <c r="I695" s="10">
        <v>145</v>
      </c>
      <c r="J695" s="10">
        <v>29</v>
      </c>
      <c r="K695" s="10">
        <v>16</v>
      </c>
      <c r="L695" s="11" t="s">
        <v>440</v>
      </c>
      <c r="M695" s="12">
        <v>2</v>
      </c>
      <c r="N695" s="13"/>
      <c r="O695" s="13"/>
    </row>
    <row r="696" spans="1:15">
      <c r="A696" s="22" t="s">
        <v>878</v>
      </c>
      <c r="B696" s="8">
        <v>9</v>
      </c>
      <c r="C696" s="8">
        <v>329</v>
      </c>
      <c r="D696" s="8">
        <v>50</v>
      </c>
      <c r="E696" s="8">
        <v>1.48</v>
      </c>
      <c r="F696" s="9">
        <v>703</v>
      </c>
      <c r="G696" s="8" t="s">
        <v>372</v>
      </c>
      <c r="H696" s="10" t="s">
        <v>83</v>
      </c>
      <c r="I696" s="10">
        <v>145</v>
      </c>
      <c r="J696" s="10">
        <v>29</v>
      </c>
      <c r="K696" s="10">
        <v>16</v>
      </c>
      <c r="L696" s="11" t="s">
        <v>84</v>
      </c>
      <c r="M696" s="12">
        <v>0</v>
      </c>
      <c r="N696" s="13"/>
      <c r="O696" s="13"/>
    </row>
    <row r="697" spans="1:15">
      <c r="A697" s="22" t="s">
        <v>879</v>
      </c>
      <c r="B697" s="8">
        <v>9</v>
      </c>
      <c r="C697" s="8">
        <v>75</v>
      </c>
      <c r="D697" s="8">
        <v>50</v>
      </c>
      <c r="E697" s="8">
        <v>0.6</v>
      </c>
      <c r="F697" s="9">
        <v>704</v>
      </c>
      <c r="G697" s="8" t="s">
        <v>16</v>
      </c>
      <c r="H697" s="10" t="s">
        <v>17</v>
      </c>
      <c r="I697" s="10">
        <v>122</v>
      </c>
      <c r="J697" s="10">
        <v>15</v>
      </c>
      <c r="K697" s="10">
        <v>10</v>
      </c>
      <c r="L697" s="11" t="s">
        <v>92</v>
      </c>
      <c r="M697" s="12">
        <v>0</v>
      </c>
      <c r="N697" s="13"/>
      <c r="O697" s="13"/>
    </row>
    <row r="698" spans="1:15">
      <c r="A698" s="22" t="s">
        <v>880</v>
      </c>
      <c r="B698" s="8">
        <v>9</v>
      </c>
      <c r="C698" s="8">
        <v>82</v>
      </c>
      <c r="D698" s="8">
        <v>50</v>
      </c>
      <c r="E698" s="8">
        <v>0.6</v>
      </c>
      <c r="F698" s="9">
        <v>705</v>
      </c>
      <c r="G698" s="8" t="s">
        <v>16</v>
      </c>
      <c r="H698" s="10" t="s">
        <v>17</v>
      </c>
      <c r="I698" s="10">
        <v>122</v>
      </c>
      <c r="J698" s="10">
        <v>15</v>
      </c>
      <c r="K698" s="10">
        <v>10</v>
      </c>
      <c r="L698" s="11" t="s">
        <v>69</v>
      </c>
      <c r="M698" s="12">
        <v>77</v>
      </c>
      <c r="N698" s="13"/>
      <c r="O698" s="13"/>
    </row>
    <row r="699" spans="1:15">
      <c r="A699" s="22" t="s">
        <v>881</v>
      </c>
      <c r="B699" s="8">
        <v>9</v>
      </c>
      <c r="C699" s="8">
        <v>81</v>
      </c>
      <c r="D699" s="8">
        <v>50</v>
      </c>
      <c r="E699" s="8">
        <v>0.6</v>
      </c>
      <c r="F699" s="9">
        <v>706</v>
      </c>
      <c r="G699" s="8" t="s">
        <v>16</v>
      </c>
      <c r="H699" s="10" t="s">
        <v>17</v>
      </c>
      <c r="I699" s="10">
        <v>122</v>
      </c>
      <c r="J699" s="10">
        <v>15</v>
      </c>
      <c r="K699" s="10">
        <v>10</v>
      </c>
      <c r="L699" s="11" t="s">
        <v>600</v>
      </c>
      <c r="M699" s="12">
        <v>167</v>
      </c>
      <c r="N699" s="13"/>
      <c r="O699" s="13"/>
    </row>
    <row r="700" spans="1:15">
      <c r="A700" s="22" t="s">
        <v>882</v>
      </c>
      <c r="B700" s="8">
        <v>9</v>
      </c>
      <c r="C700" s="8">
        <v>78</v>
      </c>
      <c r="D700" s="8">
        <v>50</v>
      </c>
      <c r="E700" s="8">
        <v>0.6</v>
      </c>
      <c r="F700" s="9">
        <v>707</v>
      </c>
      <c r="G700" s="8" t="s">
        <v>16</v>
      </c>
      <c r="H700" s="10" t="s">
        <v>17</v>
      </c>
      <c r="I700" s="10">
        <v>122</v>
      </c>
      <c r="J700" s="10">
        <v>15</v>
      </c>
      <c r="K700" s="10">
        <v>10</v>
      </c>
      <c r="L700" s="11" t="s">
        <v>66</v>
      </c>
      <c r="M700" s="12">
        <v>108</v>
      </c>
      <c r="N700" s="13"/>
      <c r="O700" s="13"/>
    </row>
    <row r="701" spans="1:15">
      <c r="A701" s="22" t="s">
        <v>883</v>
      </c>
      <c r="B701" s="8">
        <v>9</v>
      </c>
      <c r="C701" s="8">
        <v>78</v>
      </c>
      <c r="D701" s="8">
        <v>50</v>
      </c>
      <c r="E701" s="8">
        <v>0.6</v>
      </c>
      <c r="F701" s="9">
        <v>708</v>
      </c>
      <c r="G701" s="8" t="s">
        <v>16</v>
      </c>
      <c r="H701" s="10" t="s">
        <v>17</v>
      </c>
      <c r="I701" s="10">
        <v>122</v>
      </c>
      <c r="J701" s="10">
        <v>15</v>
      </c>
      <c r="K701" s="10">
        <v>10</v>
      </c>
      <c r="L701" s="11" t="s">
        <v>66</v>
      </c>
      <c r="M701" s="12">
        <v>236</v>
      </c>
      <c r="N701" s="13"/>
      <c r="O701" s="13"/>
    </row>
    <row r="702" spans="1:15">
      <c r="A702" s="22" t="s">
        <v>884</v>
      </c>
      <c r="B702" s="8">
        <v>9</v>
      </c>
      <c r="C702" s="8">
        <v>68</v>
      </c>
      <c r="D702" s="8">
        <v>50</v>
      </c>
      <c r="E702" s="8">
        <v>0.6</v>
      </c>
      <c r="F702" s="9">
        <v>709</v>
      </c>
      <c r="G702" s="8" t="s">
        <v>16</v>
      </c>
      <c r="H702" s="10" t="s">
        <v>17</v>
      </c>
      <c r="I702" s="10">
        <v>122</v>
      </c>
      <c r="J702" s="10">
        <v>15</v>
      </c>
      <c r="K702" s="10">
        <v>10</v>
      </c>
      <c r="L702" s="11" t="s">
        <v>118</v>
      </c>
      <c r="M702" s="12">
        <v>49</v>
      </c>
      <c r="N702" s="13"/>
      <c r="O702" s="13"/>
    </row>
    <row r="703" spans="1:15">
      <c r="A703" s="22" t="s">
        <v>885</v>
      </c>
      <c r="B703" s="8">
        <v>9</v>
      </c>
      <c r="C703" s="8">
        <v>76</v>
      </c>
      <c r="D703" s="8">
        <v>50</v>
      </c>
      <c r="E703" s="8">
        <v>0.6</v>
      </c>
      <c r="F703" s="9">
        <v>710</v>
      </c>
      <c r="G703" s="8" t="s">
        <v>16</v>
      </c>
      <c r="H703" s="10" t="s">
        <v>17</v>
      </c>
      <c r="I703" s="10">
        <v>122</v>
      </c>
      <c r="J703" s="10">
        <v>15</v>
      </c>
      <c r="K703" s="10">
        <v>10</v>
      </c>
      <c r="L703" s="11" t="s">
        <v>131</v>
      </c>
      <c r="M703" s="12">
        <v>47</v>
      </c>
      <c r="N703" s="13"/>
      <c r="O703" s="13"/>
    </row>
    <row r="704" spans="1:15">
      <c r="A704" s="22" t="s">
        <v>886</v>
      </c>
      <c r="B704" s="8">
        <v>9</v>
      </c>
      <c r="C704" s="8">
        <v>69</v>
      </c>
      <c r="D704" s="8">
        <v>50</v>
      </c>
      <c r="E704" s="8">
        <v>0.6</v>
      </c>
      <c r="F704" s="9">
        <v>711</v>
      </c>
      <c r="G704" s="8" t="s">
        <v>16</v>
      </c>
      <c r="H704" s="10" t="s">
        <v>17</v>
      </c>
      <c r="I704" s="10">
        <v>122</v>
      </c>
      <c r="J704" s="10">
        <v>15</v>
      </c>
      <c r="K704" s="10">
        <v>10</v>
      </c>
      <c r="L704" s="11" t="s">
        <v>123</v>
      </c>
      <c r="M704" s="12">
        <v>27</v>
      </c>
      <c r="N704" s="13"/>
      <c r="O704" s="13"/>
    </row>
    <row r="705" spans="1:15">
      <c r="A705" s="22" t="s">
        <v>887</v>
      </c>
      <c r="B705" s="8">
        <v>9</v>
      </c>
      <c r="C705" s="8">
        <v>76</v>
      </c>
      <c r="D705" s="8">
        <v>50</v>
      </c>
      <c r="E705" s="8">
        <v>0.6</v>
      </c>
      <c r="F705" s="9">
        <v>712</v>
      </c>
      <c r="G705" s="8" t="s">
        <v>16</v>
      </c>
      <c r="H705" s="10" t="s">
        <v>17</v>
      </c>
      <c r="I705" s="10">
        <v>122</v>
      </c>
      <c r="J705" s="10">
        <v>15</v>
      </c>
      <c r="K705" s="10">
        <v>10</v>
      </c>
      <c r="L705" s="11" t="s">
        <v>131</v>
      </c>
      <c r="M705" s="12">
        <v>27</v>
      </c>
      <c r="N705" s="13"/>
      <c r="O705" s="13"/>
    </row>
    <row r="706" spans="1:15">
      <c r="A706" s="22" t="s">
        <v>888</v>
      </c>
      <c r="B706" s="8">
        <v>9</v>
      </c>
      <c r="C706" s="8">
        <v>326</v>
      </c>
      <c r="D706" s="8">
        <v>50</v>
      </c>
      <c r="E706" s="8">
        <v>1.48</v>
      </c>
      <c r="F706" s="9">
        <v>713</v>
      </c>
      <c r="G706" s="8" t="s">
        <v>372</v>
      </c>
      <c r="H706" s="10" t="s">
        <v>83</v>
      </c>
      <c r="I706" s="10">
        <v>145</v>
      </c>
      <c r="J706" s="10">
        <v>29</v>
      </c>
      <c r="K706" s="10">
        <v>16</v>
      </c>
      <c r="L706" s="11" t="s">
        <v>400</v>
      </c>
      <c r="M706" s="12">
        <v>2</v>
      </c>
      <c r="N706" s="13"/>
      <c r="O706" s="13"/>
    </row>
    <row r="707" spans="1:15">
      <c r="A707" s="22" t="s">
        <v>889</v>
      </c>
      <c r="B707" s="8">
        <v>9</v>
      </c>
      <c r="C707" s="8">
        <v>71</v>
      </c>
      <c r="D707" s="8">
        <v>50</v>
      </c>
      <c r="E707" s="8">
        <v>0.64</v>
      </c>
      <c r="F707" s="9">
        <v>714</v>
      </c>
      <c r="G707" s="8" t="s">
        <v>16</v>
      </c>
      <c r="H707" s="10" t="s">
        <v>104</v>
      </c>
      <c r="I707" s="10">
        <v>130</v>
      </c>
      <c r="J707" s="10">
        <v>15</v>
      </c>
      <c r="K707" s="10">
        <v>10</v>
      </c>
      <c r="L707" s="11" t="s">
        <v>235</v>
      </c>
      <c r="M707" s="12">
        <v>22</v>
      </c>
      <c r="N707" s="13"/>
      <c r="O707" s="13"/>
    </row>
    <row r="708" spans="1:15">
      <c r="A708" s="22" t="s">
        <v>890</v>
      </c>
      <c r="B708" s="8">
        <v>9</v>
      </c>
      <c r="C708" s="8">
        <v>88</v>
      </c>
      <c r="D708" s="8">
        <v>50</v>
      </c>
      <c r="E708" s="8">
        <v>0.6</v>
      </c>
      <c r="F708" s="9">
        <v>715</v>
      </c>
      <c r="G708" s="8" t="s">
        <v>16</v>
      </c>
      <c r="H708" s="10" t="s">
        <v>17</v>
      </c>
      <c r="I708" s="10">
        <v>122</v>
      </c>
      <c r="J708" s="10">
        <v>15</v>
      </c>
      <c r="K708" s="10">
        <v>10</v>
      </c>
      <c r="L708" s="11" t="s">
        <v>313</v>
      </c>
      <c r="M708" s="12">
        <v>41</v>
      </c>
      <c r="N708" s="13"/>
      <c r="O708" s="13"/>
    </row>
    <row r="709" spans="1:15">
      <c r="A709" s="22" t="s">
        <v>891</v>
      </c>
      <c r="B709" s="8">
        <v>9</v>
      </c>
      <c r="C709" s="8">
        <v>327</v>
      </c>
      <c r="D709" s="8">
        <v>50</v>
      </c>
      <c r="E709" s="8">
        <v>1.48</v>
      </c>
      <c r="F709" s="9">
        <v>716</v>
      </c>
      <c r="G709" s="8" t="s">
        <v>372</v>
      </c>
      <c r="H709" s="10" t="s">
        <v>83</v>
      </c>
      <c r="I709" s="10">
        <v>145</v>
      </c>
      <c r="J709" s="10">
        <v>29</v>
      </c>
      <c r="K709" s="10">
        <v>16</v>
      </c>
      <c r="L709" s="11" t="s">
        <v>892</v>
      </c>
      <c r="M709" s="12">
        <v>0</v>
      </c>
      <c r="N709" s="13"/>
      <c r="O709" s="13"/>
    </row>
    <row r="710" spans="1:15">
      <c r="A710" s="23" t="s">
        <v>893</v>
      </c>
      <c r="B710" s="20">
        <v>9</v>
      </c>
      <c r="C710" s="8">
        <v>342</v>
      </c>
      <c r="D710" s="8">
        <v>50</v>
      </c>
      <c r="E710" s="8">
        <v>1.48</v>
      </c>
      <c r="F710" s="9">
        <v>717</v>
      </c>
      <c r="G710" s="8" t="s">
        <v>372</v>
      </c>
      <c r="H710" s="10" t="s">
        <v>83</v>
      </c>
      <c r="I710" s="10">
        <v>145</v>
      </c>
      <c r="J710" s="10">
        <v>29</v>
      </c>
      <c r="K710" s="10">
        <v>16</v>
      </c>
      <c r="L710" s="11" t="s">
        <v>894</v>
      </c>
      <c r="M710" s="12">
        <v>0</v>
      </c>
      <c r="N710" s="13"/>
      <c r="O710" s="13"/>
    </row>
    <row r="711" spans="1:15">
      <c r="A711" s="22" t="s">
        <v>895</v>
      </c>
      <c r="B711" s="8">
        <v>9</v>
      </c>
      <c r="C711" s="8">
        <v>342</v>
      </c>
      <c r="D711" s="8">
        <v>50</v>
      </c>
      <c r="E711" s="8">
        <v>1.48</v>
      </c>
      <c r="F711" s="9">
        <v>718</v>
      </c>
      <c r="G711" s="8" t="s">
        <v>372</v>
      </c>
      <c r="H711" s="10" t="s">
        <v>83</v>
      </c>
      <c r="I711" s="10">
        <v>145</v>
      </c>
      <c r="J711" s="10">
        <v>29</v>
      </c>
      <c r="K711" s="10">
        <v>16</v>
      </c>
      <c r="L711" s="11" t="s">
        <v>894</v>
      </c>
      <c r="M711" s="12">
        <v>50</v>
      </c>
      <c r="N711" s="13"/>
      <c r="O711" s="13"/>
    </row>
    <row r="712" spans="1:15">
      <c r="A712" s="22" t="s">
        <v>896</v>
      </c>
      <c r="B712" s="8">
        <v>9</v>
      </c>
      <c r="C712" s="8">
        <v>312</v>
      </c>
      <c r="D712" s="8">
        <v>50</v>
      </c>
      <c r="E712" s="8">
        <v>1.48</v>
      </c>
      <c r="F712" s="9">
        <v>719</v>
      </c>
      <c r="G712" s="8" t="s">
        <v>897</v>
      </c>
      <c r="H712" s="10" t="s">
        <v>898</v>
      </c>
      <c r="I712" s="10">
        <v>145</v>
      </c>
      <c r="J712" s="10">
        <v>29</v>
      </c>
      <c r="K712" s="10">
        <v>16</v>
      </c>
      <c r="L712" s="11" t="s">
        <v>899</v>
      </c>
      <c r="M712" s="12">
        <v>0</v>
      </c>
      <c r="N712" s="13"/>
      <c r="O712" s="13"/>
    </row>
    <row r="713" spans="1:15">
      <c r="A713" s="22" t="s">
        <v>900</v>
      </c>
      <c r="B713" s="8">
        <v>9</v>
      </c>
      <c r="C713" s="8">
        <v>315</v>
      </c>
      <c r="D713" s="8">
        <v>50</v>
      </c>
      <c r="E713" s="8">
        <v>1.48</v>
      </c>
      <c r="F713" s="9">
        <v>720</v>
      </c>
      <c r="G713" s="8" t="s">
        <v>372</v>
      </c>
      <c r="H713" s="10" t="s">
        <v>83</v>
      </c>
      <c r="I713" s="10">
        <v>145</v>
      </c>
      <c r="J713" s="10">
        <v>29</v>
      </c>
      <c r="K713" s="10">
        <v>16</v>
      </c>
      <c r="L713" s="11" t="s">
        <v>403</v>
      </c>
      <c r="M713" s="12">
        <v>0</v>
      </c>
      <c r="N713" s="13"/>
      <c r="O713" s="13"/>
    </row>
    <row r="714" spans="1:15">
      <c r="A714" s="22" t="s">
        <v>901</v>
      </c>
      <c r="B714" s="8">
        <v>9</v>
      </c>
      <c r="C714" s="8">
        <v>143</v>
      </c>
      <c r="D714" s="8">
        <v>6</v>
      </c>
      <c r="E714" s="8">
        <v>0.2</v>
      </c>
      <c r="F714" s="9">
        <v>721</v>
      </c>
      <c r="G714" s="8" t="s">
        <v>902</v>
      </c>
      <c r="H714" s="10" t="s">
        <v>630</v>
      </c>
      <c r="I714" s="10">
        <v>45</v>
      </c>
      <c r="J714" s="10">
        <v>26</v>
      </c>
      <c r="K714" s="10">
        <v>8</v>
      </c>
      <c r="L714" s="11" t="s">
        <v>756</v>
      </c>
      <c r="M714" s="12">
        <v>0</v>
      </c>
      <c r="N714" s="13"/>
      <c r="O714" s="13"/>
    </row>
    <row r="715" spans="1:15">
      <c r="A715" s="22" t="s">
        <v>903</v>
      </c>
      <c r="B715" s="8">
        <v>9</v>
      </c>
      <c r="C715" s="8">
        <v>143</v>
      </c>
      <c r="D715" s="8">
        <v>6</v>
      </c>
      <c r="E715" s="8">
        <v>0.2</v>
      </c>
      <c r="F715" s="9">
        <v>722</v>
      </c>
      <c r="G715" s="8" t="s">
        <v>902</v>
      </c>
      <c r="H715" s="10" t="s">
        <v>630</v>
      </c>
      <c r="I715" s="10">
        <v>45</v>
      </c>
      <c r="J715" s="10">
        <v>26</v>
      </c>
      <c r="K715" s="10">
        <v>8</v>
      </c>
      <c r="L715" s="11" t="s">
        <v>756</v>
      </c>
      <c r="M715" s="12">
        <v>0</v>
      </c>
      <c r="N715" s="13"/>
      <c r="O715" s="13"/>
    </row>
    <row r="716" spans="1:15">
      <c r="A716" s="22" t="s">
        <v>904</v>
      </c>
      <c r="B716" s="8">
        <v>9</v>
      </c>
      <c r="C716" s="8">
        <v>65</v>
      </c>
      <c r="D716" s="8">
        <v>50</v>
      </c>
      <c r="E716" s="8">
        <v>0.6</v>
      </c>
      <c r="F716" s="9">
        <v>723</v>
      </c>
      <c r="G716" s="8" t="s">
        <v>16</v>
      </c>
      <c r="H716" s="10" t="s">
        <v>17</v>
      </c>
      <c r="I716" s="10">
        <v>122</v>
      </c>
      <c r="J716" s="10">
        <v>15</v>
      </c>
      <c r="K716" s="10">
        <v>10</v>
      </c>
      <c r="L716" s="11" t="s">
        <v>22</v>
      </c>
      <c r="M716" s="12">
        <v>893</v>
      </c>
      <c r="N716" s="13"/>
      <c r="O716" s="13"/>
    </row>
    <row r="717" spans="1:15">
      <c r="A717" s="22" t="s">
        <v>905</v>
      </c>
      <c r="B717" s="8">
        <v>9</v>
      </c>
      <c r="C717" s="8">
        <v>155</v>
      </c>
      <c r="D717" s="8">
        <v>6</v>
      </c>
      <c r="E717" s="8">
        <v>0.2</v>
      </c>
      <c r="F717" s="9">
        <v>724</v>
      </c>
      <c r="G717" s="8" t="s">
        <v>902</v>
      </c>
      <c r="H717" s="10" t="s">
        <v>630</v>
      </c>
      <c r="I717" s="10">
        <v>45</v>
      </c>
      <c r="J717" s="10">
        <v>26</v>
      </c>
      <c r="K717" s="10">
        <v>8</v>
      </c>
      <c r="L717" s="11" t="s">
        <v>631</v>
      </c>
      <c r="M717" s="12">
        <v>3</v>
      </c>
      <c r="N717" s="13"/>
      <c r="O717" s="13"/>
    </row>
    <row r="718" spans="1:15">
      <c r="A718" s="22" t="s">
        <v>906</v>
      </c>
      <c r="B718" s="8">
        <v>9</v>
      </c>
      <c r="C718" s="8">
        <v>327</v>
      </c>
      <c r="D718" s="8">
        <v>50</v>
      </c>
      <c r="E718" s="8">
        <v>1.48</v>
      </c>
      <c r="F718" s="9">
        <v>725</v>
      </c>
      <c r="G718" s="8" t="s">
        <v>372</v>
      </c>
      <c r="H718" s="10" t="s">
        <v>83</v>
      </c>
      <c r="I718" s="10">
        <v>145</v>
      </c>
      <c r="J718" s="10">
        <v>29</v>
      </c>
      <c r="K718" s="10">
        <v>16</v>
      </c>
      <c r="L718" s="11" t="s">
        <v>892</v>
      </c>
      <c r="M718" s="12">
        <v>0</v>
      </c>
      <c r="N718" s="13"/>
      <c r="O718" s="13"/>
    </row>
    <row r="719" spans="1:15">
      <c r="A719" s="22" t="s">
        <v>907</v>
      </c>
      <c r="B719" s="20">
        <v>9</v>
      </c>
      <c r="C719" s="8">
        <v>326</v>
      </c>
      <c r="D719" s="8">
        <v>50</v>
      </c>
      <c r="E719" s="8">
        <v>1.48</v>
      </c>
      <c r="F719" s="9">
        <v>726</v>
      </c>
      <c r="G719" s="8" t="s">
        <v>897</v>
      </c>
      <c r="H719" s="10" t="s">
        <v>898</v>
      </c>
      <c r="I719" s="10">
        <v>145</v>
      </c>
      <c r="J719" s="10">
        <v>29</v>
      </c>
      <c r="K719" s="10">
        <v>16</v>
      </c>
      <c r="L719" s="11" t="s">
        <v>400</v>
      </c>
      <c r="M719" s="12">
        <v>26</v>
      </c>
      <c r="N719" s="13"/>
      <c r="O719" s="13"/>
    </row>
    <row r="720" spans="1:15">
      <c r="A720" s="22" t="s">
        <v>908</v>
      </c>
      <c r="B720" s="8">
        <v>9</v>
      </c>
      <c r="C720" s="8">
        <v>315</v>
      </c>
      <c r="D720" s="8">
        <v>50</v>
      </c>
      <c r="E720" s="8">
        <v>1.48</v>
      </c>
      <c r="F720" s="9">
        <v>727</v>
      </c>
      <c r="G720" s="8" t="s">
        <v>372</v>
      </c>
      <c r="H720" s="10" t="s">
        <v>83</v>
      </c>
      <c r="I720" s="10">
        <v>145</v>
      </c>
      <c r="J720" s="10">
        <v>29</v>
      </c>
      <c r="K720" s="10">
        <v>16</v>
      </c>
      <c r="L720" s="11" t="s">
        <v>403</v>
      </c>
      <c r="M720" s="12">
        <v>0</v>
      </c>
      <c r="N720" s="13"/>
      <c r="O720" s="13"/>
    </row>
    <row r="721" spans="1:15">
      <c r="A721" s="22" t="s">
        <v>909</v>
      </c>
      <c r="B721" s="8">
        <v>9</v>
      </c>
      <c r="C721" s="8">
        <v>339</v>
      </c>
      <c r="D721" s="8">
        <v>50</v>
      </c>
      <c r="E721" s="8">
        <v>1.48</v>
      </c>
      <c r="F721" s="9">
        <v>728</v>
      </c>
      <c r="G721" s="8" t="s">
        <v>372</v>
      </c>
      <c r="H721" s="10" t="s">
        <v>83</v>
      </c>
      <c r="I721" s="10">
        <v>145</v>
      </c>
      <c r="J721" s="10">
        <v>29</v>
      </c>
      <c r="K721" s="10">
        <v>16</v>
      </c>
      <c r="L721" s="11" t="s">
        <v>86</v>
      </c>
      <c r="M721" s="12">
        <v>0</v>
      </c>
      <c r="N721" s="13"/>
      <c r="O721" s="13"/>
    </row>
    <row r="722" spans="1:15">
      <c r="A722" s="22" t="s">
        <v>910</v>
      </c>
      <c r="B722" s="8">
        <v>9</v>
      </c>
      <c r="C722" s="8">
        <v>332</v>
      </c>
      <c r="D722" s="8">
        <v>50</v>
      </c>
      <c r="E722" s="8">
        <v>1.48</v>
      </c>
      <c r="F722" s="9">
        <v>729</v>
      </c>
      <c r="G722" s="8" t="s">
        <v>372</v>
      </c>
      <c r="H722" s="10" t="s">
        <v>83</v>
      </c>
      <c r="I722" s="10">
        <v>145</v>
      </c>
      <c r="J722" s="10">
        <v>29</v>
      </c>
      <c r="K722" s="10">
        <v>16</v>
      </c>
      <c r="L722" s="11" t="s">
        <v>405</v>
      </c>
      <c r="M722" s="12">
        <v>0</v>
      </c>
      <c r="N722" s="13"/>
      <c r="O722" s="13"/>
    </row>
    <row r="723" spans="1:15">
      <c r="A723" s="23" t="s">
        <v>911</v>
      </c>
      <c r="B723" s="23">
        <v>9</v>
      </c>
      <c r="C723" s="20">
        <v>65</v>
      </c>
      <c r="D723" s="20">
        <v>50</v>
      </c>
      <c r="E723" s="20">
        <v>0.6</v>
      </c>
      <c r="F723" s="9">
        <v>730</v>
      </c>
      <c r="G723" s="20" t="s">
        <v>16</v>
      </c>
      <c r="H723" s="22" t="s">
        <v>17</v>
      </c>
      <c r="I723" s="22">
        <v>122</v>
      </c>
      <c r="J723" s="22">
        <v>15</v>
      </c>
      <c r="K723" s="22">
        <v>10</v>
      </c>
      <c r="L723" s="27" t="s">
        <v>22</v>
      </c>
      <c r="M723" s="12" t="e">
        <v>#N/A</v>
      </c>
      <c r="N723" s="13"/>
      <c r="O723" s="13"/>
    </row>
    <row r="724" spans="1:15">
      <c r="A724" s="22" t="s">
        <v>912</v>
      </c>
      <c r="B724" s="8">
        <v>9</v>
      </c>
      <c r="C724" s="8">
        <v>73</v>
      </c>
      <c r="D724" s="8">
        <v>50</v>
      </c>
      <c r="E724" s="8">
        <v>0.6</v>
      </c>
      <c r="F724" s="9">
        <v>731</v>
      </c>
      <c r="G724" s="8" t="s">
        <v>16</v>
      </c>
      <c r="H724" s="10" t="s">
        <v>17</v>
      </c>
      <c r="I724" s="10">
        <v>122</v>
      </c>
      <c r="J724" s="10">
        <v>15</v>
      </c>
      <c r="K724" s="10">
        <v>10</v>
      </c>
      <c r="L724" s="11" t="s">
        <v>90</v>
      </c>
      <c r="M724" s="12">
        <v>8</v>
      </c>
      <c r="N724" s="13"/>
      <c r="O724" s="13"/>
    </row>
    <row r="725" spans="1:15">
      <c r="A725" s="10" t="s">
        <v>913</v>
      </c>
      <c r="B725" s="8">
        <v>9</v>
      </c>
      <c r="C725" s="8">
        <v>79</v>
      </c>
      <c r="D725" s="8">
        <v>50</v>
      </c>
      <c r="E725" s="8">
        <v>0.6</v>
      </c>
      <c r="F725" s="9">
        <v>732</v>
      </c>
      <c r="G725" s="8" t="s">
        <v>914</v>
      </c>
      <c r="H725" s="10" t="s">
        <v>17</v>
      </c>
      <c r="I725" s="10">
        <v>122</v>
      </c>
      <c r="J725" s="10">
        <v>15</v>
      </c>
      <c r="K725" s="10">
        <v>10</v>
      </c>
      <c r="L725" s="11" t="s">
        <v>146</v>
      </c>
      <c r="M725" s="12">
        <v>83</v>
      </c>
      <c r="N725" s="13"/>
      <c r="O725" s="13"/>
    </row>
    <row r="726" spans="1:15">
      <c r="A726" s="10" t="s">
        <v>915</v>
      </c>
      <c r="B726" s="8">
        <v>9</v>
      </c>
      <c r="C726" s="8">
        <v>76</v>
      </c>
      <c r="D726" s="8">
        <v>50</v>
      </c>
      <c r="E726" s="8">
        <v>0.6</v>
      </c>
      <c r="F726" s="9">
        <v>733</v>
      </c>
      <c r="G726" s="8" t="s">
        <v>914</v>
      </c>
      <c r="H726" s="10" t="s">
        <v>17</v>
      </c>
      <c r="I726" s="10">
        <v>122</v>
      </c>
      <c r="J726" s="10">
        <v>15</v>
      </c>
      <c r="K726" s="10">
        <v>10</v>
      </c>
      <c r="L726" s="11" t="s">
        <v>131</v>
      </c>
      <c r="M726" s="12">
        <v>248</v>
      </c>
      <c r="N726" s="13"/>
      <c r="O726" s="13"/>
    </row>
    <row r="727" spans="1:15">
      <c r="A727" s="22" t="s">
        <v>916</v>
      </c>
      <c r="B727" s="8">
        <v>9</v>
      </c>
      <c r="C727" s="8">
        <v>327</v>
      </c>
      <c r="D727" s="20">
        <v>50</v>
      </c>
      <c r="E727" s="8">
        <v>1.48</v>
      </c>
      <c r="F727" s="9">
        <v>734</v>
      </c>
      <c r="G727" s="20" t="s">
        <v>372</v>
      </c>
      <c r="H727" s="10" t="s">
        <v>83</v>
      </c>
      <c r="I727" s="10">
        <v>145</v>
      </c>
      <c r="J727" s="10">
        <v>29</v>
      </c>
      <c r="K727" s="10">
        <v>16</v>
      </c>
      <c r="L727" s="11" t="s">
        <v>892</v>
      </c>
      <c r="M727" s="12">
        <v>200</v>
      </c>
      <c r="N727" s="13"/>
      <c r="O727" s="13"/>
    </row>
    <row r="728" spans="1:15">
      <c r="A728" s="22" t="s">
        <v>917</v>
      </c>
      <c r="B728" s="20">
        <v>9</v>
      </c>
      <c r="C728" s="8">
        <v>323</v>
      </c>
      <c r="D728" s="8">
        <v>50</v>
      </c>
      <c r="E728" s="8">
        <v>1.48</v>
      </c>
      <c r="F728" s="9">
        <v>735</v>
      </c>
      <c r="G728" s="8" t="s">
        <v>897</v>
      </c>
      <c r="H728" s="10" t="s">
        <v>83</v>
      </c>
      <c r="I728" s="10">
        <v>145</v>
      </c>
      <c r="J728" s="10">
        <v>29</v>
      </c>
      <c r="K728" s="10">
        <v>16</v>
      </c>
      <c r="L728" s="11" t="s">
        <v>571</v>
      </c>
      <c r="M728" s="12">
        <v>6</v>
      </c>
      <c r="N728" s="13"/>
      <c r="O728" s="13"/>
    </row>
    <row r="729" spans="1:15">
      <c r="A729" s="22" t="s">
        <v>918</v>
      </c>
      <c r="B729" s="20">
        <v>9</v>
      </c>
      <c r="C729" s="8">
        <v>328</v>
      </c>
      <c r="D729" s="8">
        <v>50</v>
      </c>
      <c r="E729" s="8">
        <v>1.48</v>
      </c>
      <c r="F729" s="9">
        <v>736</v>
      </c>
      <c r="G729" s="8" t="s">
        <v>897</v>
      </c>
      <c r="H729" s="10" t="s">
        <v>83</v>
      </c>
      <c r="I729" s="10">
        <v>145</v>
      </c>
      <c r="J729" s="10">
        <v>29</v>
      </c>
      <c r="K729" s="10">
        <v>16</v>
      </c>
      <c r="L729" s="11" t="s">
        <v>593</v>
      </c>
      <c r="M729" s="12">
        <v>8</v>
      </c>
      <c r="N729" s="13"/>
      <c r="O729" s="13"/>
    </row>
    <row r="730" spans="1:15">
      <c r="A730" s="10" t="s">
        <v>919</v>
      </c>
      <c r="B730" s="8">
        <v>9</v>
      </c>
      <c r="C730" s="8">
        <v>82</v>
      </c>
      <c r="D730" s="8">
        <v>50</v>
      </c>
      <c r="E730" s="8">
        <v>0.6</v>
      </c>
      <c r="F730" s="9">
        <v>737</v>
      </c>
      <c r="G730" s="8" t="s">
        <v>914</v>
      </c>
      <c r="H730" s="10" t="s">
        <v>17</v>
      </c>
      <c r="I730" s="10">
        <v>122</v>
      </c>
      <c r="J730" s="10">
        <v>15</v>
      </c>
      <c r="K730" s="10">
        <v>10</v>
      </c>
      <c r="L730" s="11" t="s">
        <v>139</v>
      </c>
      <c r="M730" s="12">
        <v>2</v>
      </c>
      <c r="N730" s="13"/>
      <c r="O730" s="13"/>
    </row>
    <row r="731" spans="1:15">
      <c r="A731" s="10" t="s">
        <v>920</v>
      </c>
      <c r="B731" s="8">
        <v>9</v>
      </c>
      <c r="C731" s="8">
        <v>82</v>
      </c>
      <c r="D731" s="8">
        <v>50</v>
      </c>
      <c r="E731" s="8">
        <v>0.6</v>
      </c>
      <c r="F731" s="9">
        <v>738</v>
      </c>
      <c r="G731" s="8" t="s">
        <v>914</v>
      </c>
      <c r="H731" s="10" t="s">
        <v>17</v>
      </c>
      <c r="I731" s="10">
        <v>122</v>
      </c>
      <c r="J731" s="10">
        <v>15</v>
      </c>
      <c r="K731" s="10">
        <v>10</v>
      </c>
      <c r="L731" s="11" t="s">
        <v>139</v>
      </c>
      <c r="M731" s="12">
        <v>0</v>
      </c>
      <c r="N731" s="13"/>
      <c r="O731" s="13"/>
    </row>
    <row r="732" spans="1:15">
      <c r="A732" s="23" t="s">
        <v>921</v>
      </c>
      <c r="B732" s="20">
        <v>9</v>
      </c>
      <c r="C732" s="8">
        <v>68</v>
      </c>
      <c r="D732" s="20">
        <v>50</v>
      </c>
      <c r="E732" s="20">
        <v>0.6</v>
      </c>
      <c r="F732" s="9">
        <v>739</v>
      </c>
      <c r="G732" s="8" t="s">
        <v>16</v>
      </c>
      <c r="H732" s="10" t="s">
        <v>17</v>
      </c>
      <c r="I732" s="10">
        <v>122</v>
      </c>
      <c r="J732" s="10">
        <v>15</v>
      </c>
      <c r="K732" s="10">
        <v>10</v>
      </c>
      <c r="L732" s="11" t="s">
        <v>118</v>
      </c>
      <c r="M732" s="12">
        <v>3</v>
      </c>
      <c r="N732" s="13"/>
      <c r="O732" s="13"/>
    </row>
    <row r="733" spans="1:15">
      <c r="A733" s="23" t="s">
        <v>922</v>
      </c>
      <c r="B733" s="20">
        <v>9</v>
      </c>
      <c r="C733" s="8">
        <v>67</v>
      </c>
      <c r="D733" s="20">
        <v>50</v>
      </c>
      <c r="E733" s="20">
        <v>0.6</v>
      </c>
      <c r="F733" s="9">
        <v>740</v>
      </c>
      <c r="G733" s="8" t="s">
        <v>16</v>
      </c>
      <c r="H733" s="10" t="s">
        <v>17</v>
      </c>
      <c r="I733" s="10">
        <v>122</v>
      </c>
      <c r="J733" s="10">
        <v>15</v>
      </c>
      <c r="K733" s="10">
        <v>10</v>
      </c>
      <c r="L733" s="11" t="s">
        <v>96</v>
      </c>
      <c r="M733" s="12">
        <v>21</v>
      </c>
      <c r="N733" s="13"/>
      <c r="O733" s="13"/>
    </row>
    <row r="734" spans="1:15">
      <c r="A734" s="22" t="s">
        <v>923</v>
      </c>
      <c r="B734" s="8">
        <v>9</v>
      </c>
      <c r="C734" s="8">
        <v>327</v>
      </c>
      <c r="D734" s="20">
        <v>50</v>
      </c>
      <c r="E734" s="8">
        <v>1.48</v>
      </c>
      <c r="F734" s="9">
        <v>741</v>
      </c>
      <c r="G734" s="20" t="s">
        <v>372</v>
      </c>
      <c r="H734" s="10" t="s">
        <v>83</v>
      </c>
      <c r="I734" s="10">
        <v>145</v>
      </c>
      <c r="J734" s="10">
        <v>29</v>
      </c>
      <c r="K734" s="10">
        <v>16</v>
      </c>
      <c r="L734" s="11" t="s">
        <v>892</v>
      </c>
      <c r="M734" s="12">
        <v>0</v>
      </c>
      <c r="N734" s="13"/>
      <c r="O734" s="13"/>
    </row>
    <row r="735" spans="1:15">
      <c r="A735" s="23" t="s">
        <v>924</v>
      </c>
      <c r="B735" s="20">
        <v>9</v>
      </c>
      <c r="C735" s="8">
        <v>71</v>
      </c>
      <c r="D735" s="20">
        <v>50</v>
      </c>
      <c r="E735" s="20">
        <v>0.64</v>
      </c>
      <c r="F735" s="9">
        <v>742</v>
      </c>
      <c r="G735" s="8" t="s">
        <v>16</v>
      </c>
      <c r="H735" s="10" t="s">
        <v>104</v>
      </c>
      <c r="I735" s="10">
        <v>130</v>
      </c>
      <c r="J735" s="10">
        <v>15</v>
      </c>
      <c r="K735" s="10">
        <v>10</v>
      </c>
      <c r="L735" s="11" t="s">
        <v>235</v>
      </c>
      <c r="M735" s="12">
        <v>23</v>
      </c>
      <c r="N735" s="13"/>
      <c r="O735" s="13"/>
    </row>
    <row r="736" spans="1:15">
      <c r="A736" s="22" t="s">
        <v>925</v>
      </c>
      <c r="B736" s="8">
        <v>9</v>
      </c>
      <c r="C736" s="8">
        <v>68</v>
      </c>
      <c r="D736" s="8">
        <v>50</v>
      </c>
      <c r="E736" s="8">
        <v>0.6</v>
      </c>
      <c r="F736" s="9">
        <v>743</v>
      </c>
      <c r="G736" s="8" t="s">
        <v>914</v>
      </c>
      <c r="H736" s="10" t="s">
        <v>17</v>
      </c>
      <c r="I736" s="10">
        <v>122</v>
      </c>
      <c r="J736" s="10">
        <v>15</v>
      </c>
      <c r="K736" s="10">
        <v>10</v>
      </c>
      <c r="L736" s="11" t="s">
        <v>118</v>
      </c>
      <c r="M736" s="12">
        <v>0</v>
      </c>
      <c r="N736" s="13"/>
      <c r="O736" s="13"/>
    </row>
    <row r="737" spans="1:15">
      <c r="A737" s="22" t="s">
        <v>926</v>
      </c>
      <c r="B737" s="8">
        <v>9</v>
      </c>
      <c r="C737" s="8">
        <v>79</v>
      </c>
      <c r="D737" s="8">
        <v>50</v>
      </c>
      <c r="E737" s="8">
        <v>0.6</v>
      </c>
      <c r="F737" s="9">
        <v>744</v>
      </c>
      <c r="G737" s="8" t="s">
        <v>914</v>
      </c>
      <c r="H737" s="10" t="s">
        <v>17</v>
      </c>
      <c r="I737" s="10">
        <v>122</v>
      </c>
      <c r="J737" s="10">
        <v>15</v>
      </c>
      <c r="K737" s="10">
        <v>10</v>
      </c>
      <c r="L737" s="11" t="s">
        <v>146</v>
      </c>
      <c r="M737" s="12">
        <v>55</v>
      </c>
      <c r="N737" s="13"/>
      <c r="O737" s="13"/>
    </row>
    <row r="738" spans="1:15">
      <c r="A738" s="22" t="s">
        <v>927</v>
      </c>
      <c r="B738" s="20">
        <v>9</v>
      </c>
      <c r="C738" s="8">
        <v>60</v>
      </c>
      <c r="D738" s="8">
        <v>50</v>
      </c>
      <c r="E738" s="8">
        <v>0.6</v>
      </c>
      <c r="F738" s="9">
        <v>745</v>
      </c>
      <c r="G738" s="8" t="s">
        <v>914</v>
      </c>
      <c r="H738" s="10" t="s">
        <v>17</v>
      </c>
      <c r="I738" s="10">
        <v>122</v>
      </c>
      <c r="J738" s="10">
        <v>15</v>
      </c>
      <c r="K738" s="10">
        <v>10</v>
      </c>
      <c r="L738" s="11" t="e">
        <v>#N/A</v>
      </c>
      <c r="M738" s="12">
        <v>9</v>
      </c>
      <c r="N738" s="13" t="s">
        <v>18</v>
      </c>
      <c r="O738" s="13" t="s">
        <v>18</v>
      </c>
    </row>
    <row r="739" spans="1:15">
      <c r="A739" s="22" t="s">
        <v>928</v>
      </c>
      <c r="B739" s="8">
        <v>9</v>
      </c>
      <c r="C739" s="8">
        <v>77</v>
      </c>
      <c r="D739" s="8">
        <v>50</v>
      </c>
      <c r="E739" s="8">
        <v>0.64</v>
      </c>
      <c r="F739" s="9">
        <v>746</v>
      </c>
      <c r="G739" s="8" t="s">
        <v>914</v>
      </c>
      <c r="H739" s="10" t="s">
        <v>104</v>
      </c>
      <c r="I739" s="10">
        <v>130</v>
      </c>
      <c r="J739" s="10">
        <v>15</v>
      </c>
      <c r="K739" s="10">
        <v>10</v>
      </c>
      <c r="L739" s="11" t="s">
        <v>56</v>
      </c>
      <c r="M739" s="12">
        <v>0</v>
      </c>
      <c r="N739" s="13"/>
      <c r="O739" s="13"/>
    </row>
    <row r="740" spans="1:15">
      <c r="A740" s="22" t="s">
        <v>929</v>
      </c>
      <c r="B740" s="8">
        <v>9</v>
      </c>
      <c r="C740" s="8">
        <v>77</v>
      </c>
      <c r="D740" s="8">
        <v>50</v>
      </c>
      <c r="E740" s="8">
        <v>0.64</v>
      </c>
      <c r="F740" s="9">
        <v>747</v>
      </c>
      <c r="G740" s="8" t="s">
        <v>914</v>
      </c>
      <c r="H740" s="10" t="s">
        <v>104</v>
      </c>
      <c r="I740" s="10">
        <v>130</v>
      </c>
      <c r="J740" s="10">
        <v>15</v>
      </c>
      <c r="K740" s="10">
        <v>10</v>
      </c>
      <c r="L740" s="11" t="s">
        <v>56</v>
      </c>
      <c r="M740" s="12">
        <v>36</v>
      </c>
      <c r="N740" s="13"/>
      <c r="O740" s="13"/>
    </row>
    <row r="741" spans="1:15">
      <c r="A741" s="22" t="s">
        <v>930</v>
      </c>
      <c r="B741" s="8">
        <v>9</v>
      </c>
      <c r="C741" s="8">
        <v>79</v>
      </c>
      <c r="D741" s="8">
        <v>50</v>
      </c>
      <c r="E741" s="8">
        <v>0.6</v>
      </c>
      <c r="F741" s="9">
        <v>748</v>
      </c>
      <c r="G741" s="8" t="s">
        <v>914</v>
      </c>
      <c r="H741" s="10" t="s">
        <v>17</v>
      </c>
      <c r="I741" s="10">
        <v>122</v>
      </c>
      <c r="J741" s="10">
        <v>15</v>
      </c>
      <c r="K741" s="10">
        <v>10</v>
      </c>
      <c r="L741" s="11" t="s">
        <v>146</v>
      </c>
      <c r="M741" s="12">
        <v>174</v>
      </c>
      <c r="N741" s="13"/>
      <c r="O741" s="13"/>
    </row>
    <row r="742" spans="1:15">
      <c r="A742" s="22" t="s">
        <v>931</v>
      </c>
      <c r="B742" s="8">
        <v>9</v>
      </c>
      <c r="C742" s="8">
        <v>350</v>
      </c>
      <c r="D742" s="8">
        <v>50</v>
      </c>
      <c r="E742" s="8">
        <v>1.48</v>
      </c>
      <c r="F742" s="9">
        <v>749</v>
      </c>
      <c r="G742" s="8" t="s">
        <v>372</v>
      </c>
      <c r="H742" s="10" t="s">
        <v>898</v>
      </c>
      <c r="I742" s="10">
        <v>145</v>
      </c>
      <c r="J742" s="10">
        <v>29</v>
      </c>
      <c r="K742" s="10">
        <v>16</v>
      </c>
      <c r="L742" s="11" t="e">
        <v>#N/A</v>
      </c>
      <c r="M742" s="12">
        <v>1</v>
      </c>
      <c r="N742" s="13"/>
      <c r="O742" s="13"/>
    </row>
    <row r="743" spans="1:15">
      <c r="A743" s="22" t="s">
        <v>932</v>
      </c>
      <c r="B743" s="8">
        <v>9</v>
      </c>
      <c r="C743" s="8">
        <v>350</v>
      </c>
      <c r="D743" s="8">
        <v>50</v>
      </c>
      <c r="E743" s="8">
        <v>1.48</v>
      </c>
      <c r="F743" s="9">
        <v>750</v>
      </c>
      <c r="G743" s="8" t="s">
        <v>372</v>
      </c>
      <c r="H743" s="10" t="s">
        <v>898</v>
      </c>
      <c r="I743" s="10">
        <v>145</v>
      </c>
      <c r="J743" s="10">
        <v>29</v>
      </c>
      <c r="K743" s="10">
        <v>16</v>
      </c>
      <c r="L743" s="11" t="e">
        <v>#N/A</v>
      </c>
      <c r="M743" s="12">
        <v>12</v>
      </c>
      <c r="N743" s="13"/>
      <c r="O743" s="13"/>
    </row>
    <row r="744" spans="1:15">
      <c r="A744" s="22" t="s">
        <v>933</v>
      </c>
      <c r="B744" s="8">
        <v>9</v>
      </c>
      <c r="C744" s="8">
        <v>350</v>
      </c>
      <c r="D744" s="8">
        <v>50</v>
      </c>
      <c r="E744" s="8">
        <v>1.48</v>
      </c>
      <c r="F744" s="9">
        <v>751</v>
      </c>
      <c r="G744" s="8" t="s">
        <v>372</v>
      </c>
      <c r="H744" s="10" t="s">
        <v>898</v>
      </c>
      <c r="I744" s="10">
        <v>145</v>
      </c>
      <c r="J744" s="10">
        <v>29</v>
      </c>
      <c r="K744" s="10">
        <v>16</v>
      </c>
      <c r="L744" s="11" t="e">
        <v>#N/A</v>
      </c>
      <c r="M744" s="12">
        <v>0</v>
      </c>
      <c r="N744" s="13"/>
      <c r="O744" s="13"/>
    </row>
    <row r="745" spans="1:15">
      <c r="A745" s="22" t="s">
        <v>934</v>
      </c>
      <c r="B745" s="8">
        <v>9</v>
      </c>
      <c r="C745" s="8">
        <v>350</v>
      </c>
      <c r="D745" s="8">
        <v>50</v>
      </c>
      <c r="E745" s="8">
        <v>1.48</v>
      </c>
      <c r="F745" s="9">
        <v>752</v>
      </c>
      <c r="G745" s="8" t="s">
        <v>372</v>
      </c>
      <c r="H745" s="10" t="s">
        <v>898</v>
      </c>
      <c r="I745" s="10">
        <v>145</v>
      </c>
      <c r="J745" s="10">
        <v>29</v>
      </c>
      <c r="K745" s="10">
        <v>16</v>
      </c>
      <c r="L745" s="11" t="e">
        <v>#N/A</v>
      </c>
      <c r="M745" s="12">
        <v>0</v>
      </c>
      <c r="N745" s="13"/>
      <c r="O745" s="13"/>
    </row>
    <row r="746" spans="1:15">
      <c r="A746" s="22" t="s">
        <v>935</v>
      </c>
      <c r="B746" s="8">
        <v>9</v>
      </c>
      <c r="C746" s="8">
        <v>350</v>
      </c>
      <c r="D746" s="8">
        <v>50</v>
      </c>
      <c r="E746" s="8">
        <v>1.48</v>
      </c>
      <c r="F746" s="9">
        <v>753</v>
      </c>
      <c r="G746" s="8" t="s">
        <v>372</v>
      </c>
      <c r="H746" s="10" t="s">
        <v>898</v>
      </c>
      <c r="I746" s="10">
        <v>145</v>
      </c>
      <c r="J746" s="10">
        <v>29</v>
      </c>
      <c r="K746" s="10">
        <v>16</v>
      </c>
      <c r="L746" s="11" t="e">
        <v>#N/A</v>
      </c>
      <c r="M746" s="12">
        <v>13</v>
      </c>
      <c r="N746" s="13"/>
      <c r="O746" s="13"/>
    </row>
    <row r="747" spans="1:15">
      <c r="A747" s="22" t="s">
        <v>936</v>
      </c>
      <c r="B747" s="8">
        <v>9</v>
      </c>
      <c r="C747" s="8">
        <v>320</v>
      </c>
      <c r="D747" s="8">
        <v>50</v>
      </c>
      <c r="E747" s="8">
        <v>1.48</v>
      </c>
      <c r="F747" s="9">
        <v>754</v>
      </c>
      <c r="G747" s="8" t="s">
        <v>372</v>
      </c>
      <c r="H747" s="10" t="s">
        <v>83</v>
      </c>
      <c r="I747" s="10">
        <v>145</v>
      </c>
      <c r="J747" s="10">
        <v>29</v>
      </c>
      <c r="K747" s="10">
        <v>16</v>
      </c>
      <c r="L747" s="11" t="s">
        <v>440</v>
      </c>
      <c r="M747" s="12">
        <v>1</v>
      </c>
      <c r="N747" s="13"/>
      <c r="O747" s="13"/>
    </row>
    <row r="748" spans="1:15">
      <c r="A748" s="22" t="s">
        <v>937</v>
      </c>
      <c r="B748" s="8">
        <v>9</v>
      </c>
      <c r="C748" s="8">
        <v>326</v>
      </c>
      <c r="D748" s="8">
        <v>50</v>
      </c>
      <c r="E748" s="8">
        <v>1.48</v>
      </c>
      <c r="F748" s="9">
        <v>755</v>
      </c>
      <c r="G748" s="8" t="s">
        <v>372</v>
      </c>
      <c r="H748" s="10" t="s">
        <v>83</v>
      </c>
      <c r="I748" s="10">
        <v>145</v>
      </c>
      <c r="J748" s="10">
        <v>29</v>
      </c>
      <c r="K748" s="10">
        <v>16</v>
      </c>
      <c r="L748" s="11" t="s">
        <v>400</v>
      </c>
      <c r="M748" s="12">
        <v>8</v>
      </c>
      <c r="N748" s="13"/>
      <c r="O748" s="13"/>
    </row>
    <row r="749" spans="1:15">
      <c r="A749" s="22" t="s">
        <v>938</v>
      </c>
      <c r="B749" s="8">
        <v>9</v>
      </c>
      <c r="C749" s="8">
        <v>326</v>
      </c>
      <c r="D749" s="8">
        <v>50</v>
      </c>
      <c r="E749" s="8">
        <v>1.48</v>
      </c>
      <c r="F749" s="9">
        <v>756</v>
      </c>
      <c r="G749" s="8" t="s">
        <v>372</v>
      </c>
      <c r="H749" s="10" t="s">
        <v>83</v>
      </c>
      <c r="I749" s="10">
        <v>145</v>
      </c>
      <c r="J749" s="10">
        <v>29</v>
      </c>
      <c r="K749" s="10">
        <v>16</v>
      </c>
      <c r="L749" s="11" t="s">
        <v>400</v>
      </c>
      <c r="M749" s="12">
        <v>21</v>
      </c>
      <c r="N749" s="13"/>
      <c r="O749" s="13"/>
    </row>
    <row r="750" spans="1:15">
      <c r="A750" s="22" t="s">
        <v>939</v>
      </c>
      <c r="B750" s="8">
        <v>9</v>
      </c>
      <c r="C750" s="8">
        <v>311</v>
      </c>
      <c r="D750" s="8">
        <v>50</v>
      </c>
      <c r="E750" s="8">
        <v>1.48</v>
      </c>
      <c r="F750" s="9">
        <v>757</v>
      </c>
      <c r="G750" s="8" t="s">
        <v>372</v>
      </c>
      <c r="H750" s="10" t="s">
        <v>83</v>
      </c>
      <c r="I750" s="10">
        <v>145</v>
      </c>
      <c r="J750" s="10">
        <v>29</v>
      </c>
      <c r="K750" s="10">
        <v>16</v>
      </c>
      <c r="L750" s="11" t="s">
        <v>940</v>
      </c>
      <c r="M750" s="12">
        <v>1</v>
      </c>
      <c r="N750" s="13"/>
      <c r="O750" s="13"/>
    </row>
    <row r="751" spans="1:15">
      <c r="A751" s="22" t="s">
        <v>941</v>
      </c>
      <c r="B751" s="8">
        <v>9</v>
      </c>
      <c r="C751" s="8">
        <v>80</v>
      </c>
      <c r="D751" s="8">
        <v>50</v>
      </c>
      <c r="E751" s="8">
        <v>0.6</v>
      </c>
      <c r="F751" s="9">
        <v>758</v>
      </c>
      <c r="G751" s="8" t="s">
        <v>914</v>
      </c>
      <c r="H751" s="10" t="s">
        <v>17</v>
      </c>
      <c r="I751" s="10">
        <v>122</v>
      </c>
      <c r="J751" s="10">
        <v>15</v>
      </c>
      <c r="K751" s="10">
        <v>10</v>
      </c>
      <c r="L751" s="11" t="s">
        <v>942</v>
      </c>
      <c r="M751" s="12">
        <v>162</v>
      </c>
      <c r="N751" s="13"/>
      <c r="O751" s="13"/>
    </row>
    <row r="752" spans="1:15">
      <c r="A752" s="22" t="s">
        <v>943</v>
      </c>
      <c r="B752" s="8">
        <v>9</v>
      </c>
      <c r="C752" s="8">
        <v>500</v>
      </c>
      <c r="D752" s="8">
        <v>1</v>
      </c>
      <c r="E752" s="8">
        <v>0.5</v>
      </c>
      <c r="F752" s="9">
        <v>759</v>
      </c>
      <c r="G752" s="8" t="s">
        <v>442</v>
      </c>
      <c r="H752" s="10" t="s">
        <v>443</v>
      </c>
      <c r="I752" s="10">
        <v>89</v>
      </c>
      <c r="J752" s="10">
        <v>14</v>
      </c>
      <c r="K752" s="10">
        <v>9</v>
      </c>
      <c r="L752" s="11" t="e">
        <v>#N/A</v>
      </c>
      <c r="M752" s="12">
        <v>0</v>
      </c>
      <c r="N752" s="13" t="s">
        <v>18</v>
      </c>
      <c r="O752" s="13"/>
    </row>
    <row r="753" spans="1:15">
      <c r="A753" s="23" t="s">
        <v>944</v>
      </c>
      <c r="B753" s="20">
        <v>9</v>
      </c>
      <c r="C753" s="8">
        <v>327</v>
      </c>
      <c r="D753" s="8">
        <v>50</v>
      </c>
      <c r="E753" s="8">
        <v>1.48</v>
      </c>
      <c r="F753" s="9">
        <v>760</v>
      </c>
      <c r="G753" s="8" t="s">
        <v>372</v>
      </c>
      <c r="H753" s="10" t="s">
        <v>83</v>
      </c>
      <c r="I753" s="10">
        <v>145</v>
      </c>
      <c r="J753" s="10">
        <v>29</v>
      </c>
      <c r="K753" s="10">
        <v>16</v>
      </c>
      <c r="L753" s="11" t="s">
        <v>892</v>
      </c>
      <c r="M753" s="12">
        <v>14</v>
      </c>
      <c r="N753" s="13"/>
      <c r="O753" s="13"/>
    </row>
    <row r="754" spans="1:15">
      <c r="A754" s="22" t="s">
        <v>945</v>
      </c>
      <c r="B754" s="8">
        <v>9</v>
      </c>
      <c r="C754" s="8">
        <v>327</v>
      </c>
      <c r="D754" s="8">
        <v>50</v>
      </c>
      <c r="E754" s="8">
        <v>1.48</v>
      </c>
      <c r="F754" s="9">
        <v>761</v>
      </c>
      <c r="G754" s="8" t="s">
        <v>897</v>
      </c>
      <c r="H754" s="10" t="s">
        <v>898</v>
      </c>
      <c r="I754" s="10">
        <v>145</v>
      </c>
      <c r="J754" s="10">
        <v>29</v>
      </c>
      <c r="K754" s="10">
        <v>16</v>
      </c>
      <c r="L754" s="11" t="s">
        <v>892</v>
      </c>
      <c r="M754" s="12">
        <v>14</v>
      </c>
      <c r="N754" s="13"/>
      <c r="O754" s="13"/>
    </row>
    <row r="755" spans="1:15">
      <c r="A755" s="23" t="s">
        <v>946</v>
      </c>
      <c r="B755" s="20">
        <v>9</v>
      </c>
      <c r="C755" s="8">
        <v>327</v>
      </c>
      <c r="D755" s="8">
        <v>50</v>
      </c>
      <c r="E755" s="8">
        <v>1.48</v>
      </c>
      <c r="F755" s="9">
        <v>762</v>
      </c>
      <c r="G755" s="8" t="s">
        <v>372</v>
      </c>
      <c r="H755" s="10" t="s">
        <v>83</v>
      </c>
      <c r="I755" s="10">
        <v>145</v>
      </c>
      <c r="J755" s="10">
        <v>29</v>
      </c>
      <c r="K755" s="10">
        <v>16</v>
      </c>
      <c r="L755" s="11" t="s">
        <v>892</v>
      </c>
      <c r="M755" s="12">
        <v>51</v>
      </c>
      <c r="N755" s="13"/>
      <c r="O755" s="13"/>
    </row>
    <row r="756" spans="1:15">
      <c r="A756" s="22" t="s">
        <v>947</v>
      </c>
      <c r="B756" s="8">
        <v>9</v>
      </c>
      <c r="C756" s="8">
        <v>327</v>
      </c>
      <c r="D756" s="8">
        <v>50</v>
      </c>
      <c r="E756" s="8">
        <v>1.48</v>
      </c>
      <c r="F756" s="9">
        <v>763</v>
      </c>
      <c r="G756" s="8" t="s">
        <v>897</v>
      </c>
      <c r="H756" s="10" t="s">
        <v>898</v>
      </c>
      <c r="I756" s="10">
        <v>145</v>
      </c>
      <c r="J756" s="10">
        <v>29</v>
      </c>
      <c r="K756" s="10">
        <v>16</v>
      </c>
      <c r="L756" s="11" t="s">
        <v>892</v>
      </c>
      <c r="M756" s="12">
        <v>31</v>
      </c>
      <c r="N756" s="13"/>
      <c r="O756" s="13"/>
    </row>
    <row r="757" spans="1:15">
      <c r="A757" s="22" t="s">
        <v>948</v>
      </c>
      <c r="B757" s="8">
        <v>9</v>
      </c>
      <c r="C757" s="8">
        <v>69</v>
      </c>
      <c r="D757" s="20">
        <v>50</v>
      </c>
      <c r="E757" s="8">
        <v>0.6</v>
      </c>
      <c r="F757" s="9">
        <v>764</v>
      </c>
      <c r="G757" s="20" t="s">
        <v>16</v>
      </c>
      <c r="H757" s="10" t="s">
        <v>17</v>
      </c>
      <c r="I757" s="10">
        <v>122</v>
      </c>
      <c r="J757" s="10">
        <v>15</v>
      </c>
      <c r="K757" s="10">
        <v>10</v>
      </c>
      <c r="L757" s="11" t="s">
        <v>123</v>
      </c>
      <c r="M757" s="12">
        <v>9</v>
      </c>
      <c r="N757" s="13"/>
      <c r="O757" s="13"/>
    </row>
    <row r="758" spans="1:15">
      <c r="A758" s="22" t="s">
        <v>949</v>
      </c>
      <c r="B758" s="8">
        <v>9</v>
      </c>
      <c r="C758" s="8">
        <v>72</v>
      </c>
      <c r="D758" s="20">
        <v>50</v>
      </c>
      <c r="E758" s="8">
        <v>0.6</v>
      </c>
      <c r="F758" s="9">
        <v>765</v>
      </c>
      <c r="G758" s="20" t="s">
        <v>16</v>
      </c>
      <c r="H758" s="10" t="s">
        <v>17</v>
      </c>
      <c r="I758" s="10">
        <v>122</v>
      </c>
      <c r="J758" s="10">
        <v>15</v>
      </c>
      <c r="K758" s="10">
        <v>10</v>
      </c>
      <c r="L758" s="11" t="s">
        <v>107</v>
      </c>
      <c r="M758" s="12">
        <v>32</v>
      </c>
      <c r="N758" s="13"/>
      <c r="O758" s="13"/>
    </row>
    <row r="759" spans="1:15">
      <c r="A759" s="23" t="s">
        <v>950</v>
      </c>
      <c r="B759" s="20">
        <v>9</v>
      </c>
      <c r="C759" s="8">
        <v>380</v>
      </c>
      <c r="D759" s="8">
        <v>50</v>
      </c>
      <c r="E759" s="8">
        <v>1.48</v>
      </c>
      <c r="F759" s="9">
        <v>766</v>
      </c>
      <c r="G759" s="8" t="s">
        <v>372</v>
      </c>
      <c r="H759" s="10" t="s">
        <v>83</v>
      </c>
      <c r="I759" s="10">
        <v>145</v>
      </c>
      <c r="J759" s="10">
        <v>29</v>
      </c>
      <c r="K759" s="10">
        <v>16</v>
      </c>
      <c r="L759" s="11" t="e">
        <v>#N/A</v>
      </c>
      <c r="M759" s="12">
        <v>0</v>
      </c>
      <c r="N759" s="13" t="s">
        <v>18</v>
      </c>
      <c r="O759" s="13"/>
    </row>
    <row r="760" spans="1:15">
      <c r="A760" s="23" t="s">
        <v>951</v>
      </c>
      <c r="B760" s="20">
        <v>9</v>
      </c>
      <c r="C760" s="8">
        <v>380</v>
      </c>
      <c r="D760" s="8">
        <v>50</v>
      </c>
      <c r="E760" s="8">
        <v>1.48</v>
      </c>
      <c r="F760" s="9">
        <v>767</v>
      </c>
      <c r="G760" s="8" t="s">
        <v>372</v>
      </c>
      <c r="H760" s="10" t="s">
        <v>83</v>
      </c>
      <c r="I760" s="10">
        <v>145</v>
      </c>
      <c r="J760" s="10">
        <v>29</v>
      </c>
      <c r="K760" s="10">
        <v>16</v>
      </c>
      <c r="L760" s="11" t="e">
        <v>#N/A</v>
      </c>
      <c r="M760" s="12">
        <v>0</v>
      </c>
      <c r="N760" s="13" t="s">
        <v>18</v>
      </c>
      <c r="O760" s="13"/>
    </row>
    <row r="761" spans="1:15">
      <c r="A761" s="23" t="s">
        <v>952</v>
      </c>
      <c r="B761" s="20">
        <v>9</v>
      </c>
      <c r="C761" s="8">
        <v>380</v>
      </c>
      <c r="D761" s="8">
        <v>50</v>
      </c>
      <c r="E761" s="8">
        <v>1.48</v>
      </c>
      <c r="F761" s="9">
        <v>768</v>
      </c>
      <c r="G761" s="8" t="s">
        <v>372</v>
      </c>
      <c r="H761" s="10" t="s">
        <v>83</v>
      </c>
      <c r="I761" s="10">
        <v>145</v>
      </c>
      <c r="J761" s="10">
        <v>29</v>
      </c>
      <c r="K761" s="10">
        <v>16</v>
      </c>
      <c r="L761" s="11" t="e">
        <v>#N/A</v>
      </c>
      <c r="M761" s="12">
        <v>0</v>
      </c>
      <c r="N761" s="13" t="s">
        <v>18</v>
      </c>
      <c r="O761" s="13"/>
    </row>
    <row r="762" spans="1:15">
      <c r="A762" s="22" t="s">
        <v>953</v>
      </c>
      <c r="B762" s="8">
        <v>9</v>
      </c>
      <c r="C762" s="8">
        <v>67</v>
      </c>
      <c r="D762" s="20">
        <v>50</v>
      </c>
      <c r="E762" s="8">
        <v>0.6</v>
      </c>
      <c r="F762" s="9">
        <v>769</v>
      </c>
      <c r="G762" s="20" t="s">
        <v>16</v>
      </c>
      <c r="H762" s="10" t="s">
        <v>17</v>
      </c>
      <c r="I762" s="10">
        <v>122</v>
      </c>
      <c r="J762" s="10">
        <v>15</v>
      </c>
      <c r="K762" s="10">
        <v>10</v>
      </c>
      <c r="L762" s="11" t="s">
        <v>96</v>
      </c>
      <c r="M762" s="12">
        <v>588</v>
      </c>
      <c r="N762" s="13"/>
      <c r="O762" s="13"/>
    </row>
    <row r="763" spans="1:15">
      <c r="A763" s="22" t="s">
        <v>954</v>
      </c>
      <c r="B763" s="8">
        <v>9</v>
      </c>
      <c r="C763" s="8">
        <v>70</v>
      </c>
      <c r="D763" s="20">
        <v>50</v>
      </c>
      <c r="E763" s="8">
        <v>0.6</v>
      </c>
      <c r="F763" s="9">
        <v>770</v>
      </c>
      <c r="G763" s="20" t="s">
        <v>16</v>
      </c>
      <c r="H763" s="10" t="s">
        <v>17</v>
      </c>
      <c r="I763" s="10">
        <v>122</v>
      </c>
      <c r="J763" s="10">
        <v>15</v>
      </c>
      <c r="K763" s="10">
        <v>10</v>
      </c>
      <c r="L763" s="11" t="s">
        <v>121</v>
      </c>
      <c r="M763" s="12">
        <v>79</v>
      </c>
      <c r="N763" s="13"/>
      <c r="O763" s="13"/>
    </row>
    <row r="764" spans="1:15">
      <c r="A764" s="22" t="s">
        <v>955</v>
      </c>
      <c r="B764" s="8">
        <v>9</v>
      </c>
      <c r="C764" s="8">
        <v>67</v>
      </c>
      <c r="D764" s="20">
        <v>50</v>
      </c>
      <c r="E764" s="8">
        <v>0.6</v>
      </c>
      <c r="F764" s="9">
        <v>771</v>
      </c>
      <c r="G764" s="20" t="s">
        <v>16</v>
      </c>
      <c r="H764" s="10" t="s">
        <v>17</v>
      </c>
      <c r="I764" s="10">
        <v>122</v>
      </c>
      <c r="J764" s="10">
        <v>15</v>
      </c>
      <c r="K764" s="10">
        <v>10</v>
      </c>
      <c r="L764" s="11" t="s">
        <v>96</v>
      </c>
      <c r="M764" s="12">
        <v>8</v>
      </c>
      <c r="N764" s="13"/>
      <c r="O764" s="13"/>
    </row>
    <row r="765" spans="1:15">
      <c r="A765" s="23" t="s">
        <v>956</v>
      </c>
      <c r="B765" s="20">
        <v>9</v>
      </c>
      <c r="C765" s="8">
        <v>360</v>
      </c>
      <c r="D765" s="8">
        <v>50</v>
      </c>
      <c r="E765" s="8">
        <v>1.48</v>
      </c>
      <c r="F765" s="9">
        <v>772</v>
      </c>
      <c r="G765" s="8" t="s">
        <v>372</v>
      </c>
      <c r="H765" s="10" t="s">
        <v>83</v>
      </c>
      <c r="I765" s="10">
        <v>145</v>
      </c>
      <c r="J765" s="10">
        <v>29</v>
      </c>
      <c r="K765" s="10">
        <v>16</v>
      </c>
      <c r="L765" s="11" t="e">
        <v>#N/A</v>
      </c>
      <c r="M765" s="12">
        <v>0</v>
      </c>
      <c r="N765" s="13" t="s">
        <v>18</v>
      </c>
      <c r="O765" s="13"/>
    </row>
    <row r="766" spans="1:15">
      <c r="A766" s="22" t="s">
        <v>957</v>
      </c>
      <c r="B766" s="8">
        <v>9</v>
      </c>
      <c r="C766" s="8">
        <v>360</v>
      </c>
      <c r="D766" s="8">
        <v>50</v>
      </c>
      <c r="E766" s="8">
        <v>1.48</v>
      </c>
      <c r="F766" s="9">
        <v>773</v>
      </c>
      <c r="G766" s="8" t="s">
        <v>897</v>
      </c>
      <c r="H766" s="10" t="s">
        <v>898</v>
      </c>
      <c r="I766" s="10">
        <v>145</v>
      </c>
      <c r="J766" s="10">
        <v>29</v>
      </c>
      <c r="K766" s="10">
        <v>16</v>
      </c>
      <c r="L766" s="11" t="e">
        <v>#N/A</v>
      </c>
      <c r="M766" s="12">
        <v>0</v>
      </c>
      <c r="N766" s="13" t="s">
        <v>18</v>
      </c>
      <c r="O766" s="13"/>
    </row>
    <row r="767" spans="1:15">
      <c r="A767" s="22" t="s">
        <v>958</v>
      </c>
      <c r="B767" s="8">
        <v>9</v>
      </c>
      <c r="C767" s="8">
        <v>320</v>
      </c>
      <c r="D767" s="8">
        <v>50</v>
      </c>
      <c r="E767" s="8">
        <v>1.48</v>
      </c>
      <c r="F767" s="9">
        <v>774</v>
      </c>
      <c r="G767" s="8" t="s">
        <v>897</v>
      </c>
      <c r="H767" s="10" t="s">
        <v>898</v>
      </c>
      <c r="I767" s="10">
        <v>145</v>
      </c>
      <c r="J767" s="10">
        <v>29</v>
      </c>
      <c r="K767" s="10">
        <v>16</v>
      </c>
      <c r="L767" s="11" t="e">
        <v>#N/A</v>
      </c>
      <c r="M767" s="12">
        <v>0</v>
      </c>
      <c r="N767" s="13" t="s">
        <v>18</v>
      </c>
      <c r="O767" s="13"/>
    </row>
    <row r="768" spans="1:15">
      <c r="A768" s="23" t="s">
        <v>959</v>
      </c>
      <c r="B768" s="20">
        <v>9</v>
      </c>
      <c r="C768" s="8">
        <v>360</v>
      </c>
      <c r="D768" s="8">
        <v>50</v>
      </c>
      <c r="E768" s="8">
        <v>1.48</v>
      </c>
      <c r="F768" s="9">
        <v>775</v>
      </c>
      <c r="G768" s="8" t="s">
        <v>372</v>
      </c>
      <c r="H768" s="10" t="s">
        <v>83</v>
      </c>
      <c r="I768" s="10">
        <v>145</v>
      </c>
      <c r="J768" s="10">
        <v>29</v>
      </c>
      <c r="K768" s="10">
        <v>16</v>
      </c>
      <c r="L768" s="11" t="e">
        <v>#N/A</v>
      </c>
      <c r="M768" s="12">
        <v>0</v>
      </c>
      <c r="N768" s="13" t="s">
        <v>18</v>
      </c>
      <c r="O768" s="13"/>
    </row>
    <row r="769" spans="1:15">
      <c r="A769" s="23" t="s">
        <v>960</v>
      </c>
      <c r="B769" s="20">
        <v>9</v>
      </c>
      <c r="C769" s="8">
        <v>342</v>
      </c>
      <c r="D769" s="8">
        <v>50</v>
      </c>
      <c r="E769" s="8">
        <v>1.48</v>
      </c>
      <c r="F769" s="9">
        <v>776</v>
      </c>
      <c r="G769" s="8" t="s">
        <v>372</v>
      </c>
      <c r="H769" s="10" t="s">
        <v>83</v>
      </c>
      <c r="I769" s="10">
        <v>145</v>
      </c>
      <c r="J769" s="10">
        <v>29</v>
      </c>
      <c r="K769" s="10">
        <v>16</v>
      </c>
      <c r="L769" s="11" t="s">
        <v>894</v>
      </c>
      <c r="M769" s="12">
        <v>0</v>
      </c>
      <c r="N769" s="13"/>
      <c r="O769" s="13"/>
    </row>
    <row r="770" spans="1:15">
      <c r="A770" s="22" t="s">
        <v>961</v>
      </c>
      <c r="B770" s="8">
        <v>9</v>
      </c>
      <c r="C770" s="8">
        <v>342</v>
      </c>
      <c r="D770" s="8">
        <v>50</v>
      </c>
      <c r="E770" s="8">
        <v>1.48</v>
      </c>
      <c r="F770" s="9">
        <v>777</v>
      </c>
      <c r="G770" s="8" t="s">
        <v>897</v>
      </c>
      <c r="H770" s="10" t="s">
        <v>898</v>
      </c>
      <c r="I770" s="10">
        <v>145</v>
      </c>
      <c r="J770" s="10">
        <v>29</v>
      </c>
      <c r="K770" s="10">
        <v>16</v>
      </c>
      <c r="L770" s="11" t="s">
        <v>894</v>
      </c>
      <c r="M770" s="12">
        <v>0</v>
      </c>
      <c r="N770" s="13"/>
      <c r="O770" s="13"/>
    </row>
    <row r="771" spans="1:15">
      <c r="A771" s="23" t="s">
        <v>962</v>
      </c>
      <c r="B771" s="20">
        <v>9</v>
      </c>
      <c r="C771" s="8">
        <v>145</v>
      </c>
      <c r="D771" s="20">
        <v>6</v>
      </c>
      <c r="E771" s="20">
        <v>0.2</v>
      </c>
      <c r="F771" s="9">
        <v>778</v>
      </c>
      <c r="G771" s="8" t="s">
        <v>902</v>
      </c>
      <c r="H771" s="10" t="s">
        <v>630</v>
      </c>
      <c r="I771" s="10">
        <v>45</v>
      </c>
      <c r="J771" s="10">
        <v>26</v>
      </c>
      <c r="K771" s="10">
        <v>8</v>
      </c>
      <c r="L771" s="11" t="s">
        <v>762</v>
      </c>
      <c r="M771" s="12">
        <v>0</v>
      </c>
      <c r="N771" s="13"/>
      <c r="O771" s="13"/>
    </row>
    <row r="772" spans="1:15">
      <c r="A772" s="23" t="s">
        <v>963</v>
      </c>
      <c r="B772" s="20">
        <v>9</v>
      </c>
      <c r="C772" s="8">
        <v>145</v>
      </c>
      <c r="D772" s="20">
        <v>6</v>
      </c>
      <c r="E772" s="20">
        <v>0.2</v>
      </c>
      <c r="F772" s="9">
        <v>779</v>
      </c>
      <c r="G772" s="8" t="s">
        <v>902</v>
      </c>
      <c r="H772" s="10" t="s">
        <v>630</v>
      </c>
      <c r="I772" s="10">
        <v>45</v>
      </c>
      <c r="J772" s="10">
        <v>26</v>
      </c>
      <c r="K772" s="10">
        <v>8</v>
      </c>
      <c r="L772" s="11" t="s">
        <v>762</v>
      </c>
      <c r="M772" s="12">
        <v>0</v>
      </c>
      <c r="N772" s="13"/>
      <c r="O772" s="13"/>
    </row>
    <row r="773" spans="1:15">
      <c r="A773" s="23" t="s">
        <v>964</v>
      </c>
      <c r="B773" s="20">
        <v>9</v>
      </c>
      <c r="C773" s="24">
        <v>349.99</v>
      </c>
      <c r="D773" s="8">
        <v>50</v>
      </c>
      <c r="E773" s="8">
        <v>1.48</v>
      </c>
      <c r="F773" s="9">
        <v>780</v>
      </c>
      <c r="G773" s="8" t="s">
        <v>372</v>
      </c>
      <c r="H773" s="10" t="s">
        <v>83</v>
      </c>
      <c r="I773" s="10">
        <v>145</v>
      </c>
      <c r="J773" s="10">
        <v>29</v>
      </c>
      <c r="K773" s="10">
        <v>16</v>
      </c>
      <c r="L773" s="11" t="e">
        <v>#N/A</v>
      </c>
      <c r="M773" s="12" t="e">
        <v>#N/A</v>
      </c>
      <c r="N773" s="13" t="s">
        <v>18</v>
      </c>
      <c r="O773" s="13"/>
    </row>
    <row r="774" spans="1:15">
      <c r="A774" s="10" t="s">
        <v>965</v>
      </c>
      <c r="B774" s="8">
        <v>9</v>
      </c>
      <c r="C774" s="8">
        <v>312</v>
      </c>
      <c r="D774" s="8">
        <v>50</v>
      </c>
      <c r="E774" s="8">
        <v>1.48</v>
      </c>
      <c r="F774" s="9">
        <v>781</v>
      </c>
      <c r="G774" s="8" t="s">
        <v>897</v>
      </c>
      <c r="H774" s="10" t="s">
        <v>898</v>
      </c>
      <c r="I774" s="10">
        <v>145</v>
      </c>
      <c r="J774" s="10">
        <v>29</v>
      </c>
      <c r="K774" s="10">
        <v>16</v>
      </c>
      <c r="L774" s="11" t="s">
        <v>899</v>
      </c>
      <c r="M774" s="12">
        <v>0</v>
      </c>
      <c r="N774" s="13"/>
      <c r="O774" s="13"/>
    </row>
    <row r="775" spans="1:15">
      <c r="A775" s="10" t="s">
        <v>966</v>
      </c>
      <c r="B775" s="8">
        <v>9</v>
      </c>
      <c r="C775" s="8">
        <v>360</v>
      </c>
      <c r="D775" s="8">
        <v>50</v>
      </c>
      <c r="E775" s="8">
        <v>1.48</v>
      </c>
      <c r="F775" s="9">
        <v>782</v>
      </c>
      <c r="G775" s="8" t="s">
        <v>897</v>
      </c>
      <c r="H775" s="10" t="s">
        <v>898</v>
      </c>
      <c r="I775" s="10">
        <v>145</v>
      </c>
      <c r="J775" s="10">
        <v>29</v>
      </c>
      <c r="K775" s="10">
        <v>16</v>
      </c>
      <c r="L775" s="11" t="e">
        <v>#N/A</v>
      </c>
      <c r="M775" s="12">
        <v>0</v>
      </c>
      <c r="N775" s="13" t="s">
        <v>18</v>
      </c>
      <c r="O775" s="13" t="s">
        <v>18</v>
      </c>
    </row>
    <row r="776" spans="1:15">
      <c r="A776" s="22" t="s">
        <v>967</v>
      </c>
      <c r="B776" s="8">
        <v>9</v>
      </c>
      <c r="C776" s="8">
        <v>342</v>
      </c>
      <c r="D776" s="8">
        <v>1</v>
      </c>
      <c r="E776" s="8">
        <v>0.5</v>
      </c>
      <c r="F776" s="9">
        <v>783</v>
      </c>
      <c r="G776" s="8" t="s">
        <v>446</v>
      </c>
      <c r="H776" s="10" t="s">
        <v>443</v>
      </c>
      <c r="I776" s="10">
        <v>89</v>
      </c>
      <c r="J776" s="10">
        <v>14</v>
      </c>
      <c r="K776" s="10">
        <v>9</v>
      </c>
      <c r="L776" s="11" t="s">
        <v>968</v>
      </c>
      <c r="M776" s="12">
        <v>1</v>
      </c>
      <c r="N776" s="12" t="e">
        <f>VLOOKUP(A:A,[2]成品数据统计表!$C$1:$E$65536,3,0)</f>
        <v>#REF!</v>
      </c>
      <c r="O776" s="13"/>
    </row>
    <row r="777" spans="1:15">
      <c r="A777" s="23" t="s">
        <v>969</v>
      </c>
      <c r="B777" s="20">
        <v>9</v>
      </c>
      <c r="C777" s="8">
        <v>72</v>
      </c>
      <c r="D777" s="20">
        <v>50</v>
      </c>
      <c r="E777" s="20">
        <v>0.6</v>
      </c>
      <c r="F777" s="9">
        <v>784</v>
      </c>
      <c r="G777" s="8" t="s">
        <v>16</v>
      </c>
      <c r="H777" s="10" t="s">
        <v>17</v>
      </c>
      <c r="I777" s="10">
        <v>122</v>
      </c>
      <c r="J777" s="10">
        <v>15</v>
      </c>
      <c r="K777" s="10">
        <v>10</v>
      </c>
      <c r="L777" s="11" t="s">
        <v>107</v>
      </c>
      <c r="M777" s="12">
        <v>0</v>
      </c>
      <c r="N777" s="13"/>
      <c r="O777" s="13"/>
    </row>
    <row r="778" spans="1:15">
      <c r="A778" s="23" t="s">
        <v>970</v>
      </c>
      <c r="B778" s="20">
        <v>9</v>
      </c>
      <c r="C778" s="8">
        <v>70</v>
      </c>
      <c r="D778" s="20">
        <v>50</v>
      </c>
      <c r="E778" s="20">
        <v>0.6</v>
      </c>
      <c r="F778" s="9">
        <v>785</v>
      </c>
      <c r="G778" s="8" t="s">
        <v>16</v>
      </c>
      <c r="H778" s="10" t="s">
        <v>17</v>
      </c>
      <c r="I778" s="10">
        <v>122</v>
      </c>
      <c r="J778" s="10">
        <v>15</v>
      </c>
      <c r="K778" s="10">
        <v>10</v>
      </c>
      <c r="L778" s="11" t="s">
        <v>121</v>
      </c>
      <c r="M778" s="12">
        <v>71</v>
      </c>
      <c r="N778" s="13"/>
      <c r="O778" s="13"/>
    </row>
    <row r="779" spans="1:15">
      <c r="A779" s="22" t="s">
        <v>971</v>
      </c>
      <c r="B779" s="8">
        <v>9</v>
      </c>
      <c r="C779" s="8">
        <v>345</v>
      </c>
      <c r="D779" s="8">
        <v>50</v>
      </c>
      <c r="E779" s="8">
        <v>1.48</v>
      </c>
      <c r="F779" s="9">
        <v>786</v>
      </c>
      <c r="G779" s="8" t="s">
        <v>897</v>
      </c>
      <c r="H779" s="10" t="s">
        <v>83</v>
      </c>
      <c r="I779" s="10">
        <v>145</v>
      </c>
      <c r="J779" s="10">
        <v>29</v>
      </c>
      <c r="K779" s="10">
        <v>16</v>
      </c>
      <c r="L779" s="11" t="s">
        <v>972</v>
      </c>
      <c r="M779" s="12">
        <v>0</v>
      </c>
      <c r="N779" s="13"/>
      <c r="O779" s="13"/>
    </row>
    <row r="780" spans="1:15">
      <c r="A780" s="22" t="s">
        <v>973</v>
      </c>
      <c r="B780" s="8">
        <v>9</v>
      </c>
      <c r="C780" s="8">
        <v>364</v>
      </c>
      <c r="D780" s="8">
        <v>50</v>
      </c>
      <c r="E780" s="8">
        <v>1.48</v>
      </c>
      <c r="F780" s="9">
        <v>787</v>
      </c>
      <c r="G780" s="8" t="s">
        <v>897</v>
      </c>
      <c r="H780" s="10" t="s">
        <v>83</v>
      </c>
      <c r="I780" s="10">
        <v>145</v>
      </c>
      <c r="J780" s="10">
        <v>29</v>
      </c>
      <c r="K780" s="10">
        <v>16</v>
      </c>
      <c r="L780" s="11" t="s">
        <v>88</v>
      </c>
      <c r="M780" s="12">
        <v>0</v>
      </c>
      <c r="N780" s="13"/>
      <c r="O780" s="13"/>
    </row>
    <row r="781" spans="1:15">
      <c r="A781" s="22" t="s">
        <v>974</v>
      </c>
      <c r="B781" s="8">
        <v>9</v>
      </c>
      <c r="C781" s="8">
        <v>350</v>
      </c>
      <c r="D781" s="8">
        <v>50</v>
      </c>
      <c r="E781" s="8">
        <v>1.48</v>
      </c>
      <c r="F781" s="9">
        <v>788</v>
      </c>
      <c r="G781" s="8" t="s">
        <v>372</v>
      </c>
      <c r="H781" s="10" t="s">
        <v>898</v>
      </c>
      <c r="I781" s="10">
        <v>145</v>
      </c>
      <c r="J781" s="10">
        <v>29</v>
      </c>
      <c r="K781" s="10">
        <v>16</v>
      </c>
      <c r="L781" s="11" t="e">
        <v>#N/A</v>
      </c>
      <c r="M781" s="12">
        <v>0</v>
      </c>
      <c r="N781" s="13" t="s">
        <v>183</v>
      </c>
      <c r="O781" s="13"/>
    </row>
    <row r="782" spans="1:15">
      <c r="A782" s="23" t="s">
        <v>975</v>
      </c>
      <c r="B782" s="20">
        <v>9</v>
      </c>
      <c r="C782" s="20">
        <v>77</v>
      </c>
      <c r="D782" s="20">
        <v>50</v>
      </c>
      <c r="E782" s="20">
        <v>0.64</v>
      </c>
      <c r="F782" s="9">
        <v>789</v>
      </c>
      <c r="G782" s="20" t="s">
        <v>914</v>
      </c>
      <c r="H782" s="10" t="s">
        <v>104</v>
      </c>
      <c r="I782" s="10">
        <v>130</v>
      </c>
      <c r="J782" s="10">
        <v>15</v>
      </c>
      <c r="K782" s="10">
        <v>10</v>
      </c>
      <c r="L782" s="11" t="s">
        <v>56</v>
      </c>
      <c r="M782" s="12">
        <v>81</v>
      </c>
      <c r="N782" s="13"/>
      <c r="O782" s="13"/>
    </row>
    <row r="783" spans="1:15">
      <c r="A783" s="23" t="s">
        <v>976</v>
      </c>
      <c r="B783" s="20">
        <v>9</v>
      </c>
      <c r="C783" s="20">
        <v>78</v>
      </c>
      <c r="D783" s="20">
        <v>50</v>
      </c>
      <c r="E783" s="20">
        <v>0.64</v>
      </c>
      <c r="F783" s="9">
        <v>790</v>
      </c>
      <c r="G783" s="20" t="s">
        <v>914</v>
      </c>
      <c r="H783" s="10" t="s">
        <v>104</v>
      </c>
      <c r="I783" s="10">
        <v>130</v>
      </c>
      <c r="J783" s="10">
        <v>15</v>
      </c>
      <c r="K783" s="10">
        <v>10</v>
      </c>
      <c r="L783" s="11" t="s">
        <v>129</v>
      </c>
      <c r="M783" s="12">
        <v>2</v>
      </c>
      <c r="N783" s="13"/>
      <c r="O783" s="13"/>
    </row>
    <row r="784" spans="1:15">
      <c r="A784" s="23" t="s">
        <v>977</v>
      </c>
      <c r="B784" s="20">
        <v>9</v>
      </c>
      <c r="C784" s="20">
        <v>150</v>
      </c>
      <c r="D784" s="20">
        <v>6</v>
      </c>
      <c r="E784" s="20">
        <v>0.2</v>
      </c>
      <c r="F784" s="9">
        <v>791</v>
      </c>
      <c r="G784" s="20" t="s">
        <v>629</v>
      </c>
      <c r="H784" s="10" t="s">
        <v>630</v>
      </c>
      <c r="I784" s="10">
        <v>45</v>
      </c>
      <c r="J784" s="10">
        <v>26</v>
      </c>
      <c r="K784" s="10">
        <v>8</v>
      </c>
      <c r="L784" s="11" t="s">
        <v>978</v>
      </c>
      <c r="M784" s="12">
        <v>15</v>
      </c>
      <c r="N784" s="13"/>
      <c r="O784" s="13"/>
    </row>
    <row r="785" spans="1:15">
      <c r="A785" s="23" t="s">
        <v>979</v>
      </c>
      <c r="B785" s="20">
        <v>9</v>
      </c>
      <c r="C785" s="20">
        <v>150</v>
      </c>
      <c r="D785" s="20">
        <v>6</v>
      </c>
      <c r="E785" s="20">
        <v>0.2</v>
      </c>
      <c r="F785" s="9">
        <v>792</v>
      </c>
      <c r="G785" s="20" t="s">
        <v>629</v>
      </c>
      <c r="H785" s="10" t="s">
        <v>630</v>
      </c>
      <c r="I785" s="10">
        <v>45</v>
      </c>
      <c r="J785" s="10">
        <v>26</v>
      </c>
      <c r="K785" s="10">
        <v>8</v>
      </c>
      <c r="L785" s="11" t="s">
        <v>978</v>
      </c>
      <c r="M785" s="12">
        <v>15</v>
      </c>
      <c r="N785" s="13"/>
      <c r="O785" s="13"/>
    </row>
    <row r="786" spans="1:15">
      <c r="A786" s="23" t="s">
        <v>980</v>
      </c>
      <c r="B786" s="20">
        <v>9</v>
      </c>
      <c r="C786" s="20">
        <v>150</v>
      </c>
      <c r="D786" s="20">
        <v>6</v>
      </c>
      <c r="E786" s="20">
        <v>0.2</v>
      </c>
      <c r="F786" s="9">
        <v>793</v>
      </c>
      <c r="G786" s="20" t="s">
        <v>629</v>
      </c>
      <c r="H786" s="10" t="s">
        <v>630</v>
      </c>
      <c r="I786" s="10">
        <v>45</v>
      </c>
      <c r="J786" s="10">
        <v>26</v>
      </c>
      <c r="K786" s="10">
        <v>8</v>
      </c>
      <c r="L786" s="11" t="s">
        <v>978</v>
      </c>
      <c r="M786" s="12">
        <v>2</v>
      </c>
      <c r="N786" s="13"/>
      <c r="O786" s="13"/>
    </row>
    <row r="787" spans="1:15">
      <c r="A787" s="23" t="s">
        <v>981</v>
      </c>
      <c r="B787" s="20">
        <v>9</v>
      </c>
      <c r="C787" s="20">
        <v>150</v>
      </c>
      <c r="D787" s="20">
        <v>6</v>
      </c>
      <c r="E787" s="20">
        <v>0.2</v>
      </c>
      <c r="F787" s="9">
        <v>794</v>
      </c>
      <c r="G787" s="20" t="s">
        <v>629</v>
      </c>
      <c r="H787" s="10" t="s">
        <v>630</v>
      </c>
      <c r="I787" s="10">
        <v>45</v>
      </c>
      <c r="J787" s="10">
        <v>26</v>
      </c>
      <c r="K787" s="10">
        <v>8</v>
      </c>
      <c r="L787" s="11" t="s">
        <v>978</v>
      </c>
      <c r="M787" s="12">
        <v>2</v>
      </c>
      <c r="N787" s="13"/>
      <c r="O787" s="13"/>
    </row>
    <row r="788" spans="1:15">
      <c r="A788" s="23" t="s">
        <v>982</v>
      </c>
      <c r="B788" s="20">
        <v>9</v>
      </c>
      <c r="C788" s="20">
        <v>60</v>
      </c>
      <c r="D788" s="20">
        <v>50</v>
      </c>
      <c r="E788" s="20">
        <v>0.6</v>
      </c>
      <c r="F788" s="9">
        <v>795</v>
      </c>
      <c r="G788" s="20" t="s">
        <v>914</v>
      </c>
      <c r="H788" s="10" t="s">
        <v>17</v>
      </c>
      <c r="I788" s="10">
        <v>122</v>
      </c>
      <c r="J788" s="10">
        <v>15</v>
      </c>
      <c r="K788" s="10">
        <v>10</v>
      </c>
      <c r="L788" s="11" t="s">
        <v>113</v>
      </c>
      <c r="M788" s="12">
        <v>50</v>
      </c>
      <c r="N788" s="13"/>
      <c r="O788" s="13"/>
    </row>
    <row r="789" spans="1:15">
      <c r="A789" s="22" t="s">
        <v>983</v>
      </c>
      <c r="B789" s="20">
        <v>9</v>
      </c>
      <c r="C789" s="20">
        <v>326</v>
      </c>
      <c r="D789" s="20">
        <v>50</v>
      </c>
      <c r="E789" s="8">
        <v>1.48</v>
      </c>
      <c r="F789" s="9">
        <v>796</v>
      </c>
      <c r="G789" s="8" t="s">
        <v>897</v>
      </c>
      <c r="H789" s="10" t="s">
        <v>83</v>
      </c>
      <c r="I789" s="10">
        <v>145</v>
      </c>
      <c r="J789" s="10">
        <v>29</v>
      </c>
      <c r="K789" s="10">
        <v>16</v>
      </c>
      <c r="L789" s="11" t="s">
        <v>400</v>
      </c>
      <c r="M789" s="12">
        <v>29</v>
      </c>
      <c r="N789" s="13"/>
      <c r="O789" s="13"/>
    </row>
    <row r="790" spans="1:15">
      <c r="A790" s="23" t="s">
        <v>984</v>
      </c>
      <c r="B790" s="20">
        <v>9</v>
      </c>
      <c r="C790" s="8">
        <v>340</v>
      </c>
      <c r="D790" s="8">
        <v>50</v>
      </c>
      <c r="E790" s="8">
        <v>1.48</v>
      </c>
      <c r="F790" s="9">
        <v>797</v>
      </c>
      <c r="G790" s="8" t="s">
        <v>372</v>
      </c>
      <c r="H790" s="10" t="s">
        <v>83</v>
      </c>
      <c r="I790" s="10">
        <v>145</v>
      </c>
      <c r="J790" s="10">
        <v>29</v>
      </c>
      <c r="K790" s="10">
        <v>16</v>
      </c>
      <c r="L790" s="11" t="e">
        <v>#N/A</v>
      </c>
      <c r="M790" s="12">
        <v>0</v>
      </c>
      <c r="N790" s="13" t="s">
        <v>18</v>
      </c>
      <c r="O790" s="13"/>
    </row>
    <row r="791" spans="1:15">
      <c r="A791" s="23" t="s">
        <v>985</v>
      </c>
      <c r="B791" s="20">
        <v>9</v>
      </c>
      <c r="C791" s="8">
        <v>319</v>
      </c>
      <c r="D791" s="8">
        <v>50</v>
      </c>
      <c r="E791" s="8">
        <v>1.48</v>
      </c>
      <c r="F791" s="9">
        <v>798</v>
      </c>
      <c r="G791" s="8" t="s">
        <v>372</v>
      </c>
      <c r="H791" s="10" t="s">
        <v>83</v>
      </c>
      <c r="I791" s="10">
        <v>145</v>
      </c>
      <c r="J791" s="10">
        <v>29</v>
      </c>
      <c r="K791" s="10">
        <v>16</v>
      </c>
      <c r="L791" s="11" t="s">
        <v>986</v>
      </c>
      <c r="M791" s="12">
        <v>0</v>
      </c>
      <c r="N791" s="13"/>
      <c r="O791" s="13"/>
    </row>
    <row r="792" spans="1:15">
      <c r="A792" s="23" t="s">
        <v>987</v>
      </c>
      <c r="B792" s="20">
        <v>9</v>
      </c>
      <c r="C792" s="8">
        <v>319</v>
      </c>
      <c r="D792" s="8">
        <v>50</v>
      </c>
      <c r="E792" s="8">
        <v>1.48</v>
      </c>
      <c r="F792" s="9">
        <v>799</v>
      </c>
      <c r="G792" s="8" t="s">
        <v>372</v>
      </c>
      <c r="H792" s="10" t="s">
        <v>83</v>
      </c>
      <c r="I792" s="10">
        <v>145</v>
      </c>
      <c r="J792" s="10">
        <v>29</v>
      </c>
      <c r="K792" s="10">
        <v>16</v>
      </c>
      <c r="L792" s="11" t="s">
        <v>986</v>
      </c>
      <c r="M792" s="12">
        <v>0</v>
      </c>
      <c r="N792" s="13"/>
      <c r="O792" s="13"/>
    </row>
    <row r="793" spans="1:15">
      <c r="A793" s="23" t="s">
        <v>988</v>
      </c>
      <c r="B793" s="20">
        <v>9</v>
      </c>
      <c r="C793" s="8">
        <v>327</v>
      </c>
      <c r="D793" s="8">
        <v>50</v>
      </c>
      <c r="E793" s="8">
        <v>1.48</v>
      </c>
      <c r="F793" s="9">
        <v>800</v>
      </c>
      <c r="G793" s="8" t="s">
        <v>372</v>
      </c>
      <c r="H793" s="10" t="s">
        <v>83</v>
      </c>
      <c r="I793" s="10">
        <v>145</v>
      </c>
      <c r="J793" s="10">
        <v>29</v>
      </c>
      <c r="K793" s="10">
        <v>16</v>
      </c>
      <c r="L793" s="11" t="s">
        <v>892</v>
      </c>
      <c r="M793" s="12">
        <v>9</v>
      </c>
      <c r="N793" s="13"/>
      <c r="O793" s="13"/>
    </row>
    <row r="794" spans="1:15">
      <c r="A794" s="22" t="s">
        <v>989</v>
      </c>
      <c r="B794" s="8">
        <v>9</v>
      </c>
      <c r="C794" s="8">
        <v>332</v>
      </c>
      <c r="D794" s="8">
        <v>1</v>
      </c>
      <c r="E794" s="8">
        <v>0.5</v>
      </c>
      <c r="F794" s="9">
        <v>801</v>
      </c>
      <c r="G794" s="8" t="s">
        <v>446</v>
      </c>
      <c r="H794" s="10" t="s">
        <v>443</v>
      </c>
      <c r="I794" s="10">
        <v>89</v>
      </c>
      <c r="J794" s="10">
        <v>14</v>
      </c>
      <c r="K794" s="10">
        <v>9</v>
      </c>
      <c r="L794" s="11" t="s">
        <v>990</v>
      </c>
      <c r="M794" s="12">
        <v>3</v>
      </c>
      <c r="N794" s="13"/>
      <c r="O794" s="13"/>
    </row>
    <row r="795" spans="1:15">
      <c r="A795" s="23" t="s">
        <v>991</v>
      </c>
      <c r="B795" s="20">
        <v>9</v>
      </c>
      <c r="C795" s="8">
        <v>340</v>
      </c>
      <c r="D795" s="8">
        <v>50</v>
      </c>
      <c r="E795" s="8">
        <v>1.48</v>
      </c>
      <c r="F795" s="9">
        <v>802</v>
      </c>
      <c r="G795" s="8" t="s">
        <v>372</v>
      </c>
      <c r="H795" s="10" t="s">
        <v>83</v>
      </c>
      <c r="I795" s="10">
        <v>145</v>
      </c>
      <c r="J795" s="10">
        <v>29</v>
      </c>
      <c r="K795" s="10">
        <v>16</v>
      </c>
      <c r="L795" s="11" t="e">
        <v>#N/A</v>
      </c>
      <c r="M795" s="12">
        <v>50</v>
      </c>
      <c r="N795" s="13" t="s">
        <v>18</v>
      </c>
      <c r="O795" s="13"/>
    </row>
    <row r="796" spans="1:15">
      <c r="A796" s="23" t="s">
        <v>992</v>
      </c>
      <c r="B796" s="20">
        <v>9</v>
      </c>
      <c r="C796" s="8">
        <v>320</v>
      </c>
      <c r="D796" s="8">
        <v>50</v>
      </c>
      <c r="E796" s="8">
        <v>1.48</v>
      </c>
      <c r="F796" s="9">
        <v>803</v>
      </c>
      <c r="G796" s="8" t="s">
        <v>372</v>
      </c>
      <c r="H796" s="10" t="s">
        <v>83</v>
      </c>
      <c r="I796" s="10">
        <v>145</v>
      </c>
      <c r="J796" s="10">
        <v>29</v>
      </c>
      <c r="K796" s="10">
        <v>16</v>
      </c>
      <c r="L796" s="11" t="e">
        <v>#N/A</v>
      </c>
      <c r="M796" s="12">
        <v>7</v>
      </c>
      <c r="N796" s="13" t="s">
        <v>18</v>
      </c>
      <c r="O796" s="13"/>
    </row>
    <row r="797" spans="1:15">
      <c r="A797" s="23" t="s">
        <v>993</v>
      </c>
      <c r="B797" s="20">
        <v>9</v>
      </c>
      <c r="C797" s="8">
        <v>310</v>
      </c>
      <c r="D797" s="8">
        <v>50</v>
      </c>
      <c r="E797" s="8">
        <v>1.48</v>
      </c>
      <c r="F797" s="9">
        <v>804</v>
      </c>
      <c r="G797" s="8" t="s">
        <v>372</v>
      </c>
      <c r="H797" s="10" t="s">
        <v>83</v>
      </c>
      <c r="I797" s="10">
        <v>145</v>
      </c>
      <c r="J797" s="10">
        <v>29</v>
      </c>
      <c r="K797" s="10">
        <v>16</v>
      </c>
      <c r="L797" s="11" t="s">
        <v>994</v>
      </c>
      <c r="M797" s="12">
        <v>0</v>
      </c>
      <c r="N797" s="13"/>
      <c r="O797" s="13"/>
    </row>
    <row r="798" spans="1:15">
      <c r="A798" s="23" t="s">
        <v>995</v>
      </c>
      <c r="B798" s="20">
        <v>9</v>
      </c>
      <c r="C798" s="8">
        <v>63</v>
      </c>
      <c r="D798" s="20">
        <v>50</v>
      </c>
      <c r="E798" s="20">
        <v>0.6</v>
      </c>
      <c r="F798" s="9">
        <v>805</v>
      </c>
      <c r="G798" s="8" t="s">
        <v>16</v>
      </c>
      <c r="H798" s="10" t="s">
        <v>17</v>
      </c>
      <c r="I798" s="10">
        <v>122</v>
      </c>
      <c r="J798" s="10">
        <v>15</v>
      </c>
      <c r="K798" s="10">
        <v>10</v>
      </c>
      <c r="L798" s="11" t="s">
        <v>287</v>
      </c>
      <c r="M798" s="12">
        <v>0</v>
      </c>
      <c r="N798" s="13"/>
      <c r="O798" s="13"/>
    </row>
    <row r="799" spans="1:15">
      <c r="A799" s="23" t="s">
        <v>996</v>
      </c>
      <c r="B799" s="23">
        <v>9</v>
      </c>
      <c r="C799" s="20">
        <v>68</v>
      </c>
      <c r="D799" s="20">
        <v>50</v>
      </c>
      <c r="E799" s="20">
        <v>0.6</v>
      </c>
      <c r="F799" s="9">
        <v>806</v>
      </c>
      <c r="G799" s="20" t="s">
        <v>16</v>
      </c>
      <c r="H799" s="22" t="s">
        <v>997</v>
      </c>
      <c r="I799" s="22">
        <v>122</v>
      </c>
      <c r="J799" s="22">
        <v>15</v>
      </c>
      <c r="K799" s="22">
        <v>10</v>
      </c>
      <c r="L799" s="27" t="s">
        <v>118</v>
      </c>
      <c r="M799" s="12">
        <v>41</v>
      </c>
      <c r="N799" s="13"/>
      <c r="O799" s="13"/>
    </row>
    <row r="800" spans="1:15">
      <c r="A800" s="23" t="s">
        <v>998</v>
      </c>
      <c r="B800" s="23">
        <v>9</v>
      </c>
      <c r="C800" s="8">
        <v>326</v>
      </c>
      <c r="D800" s="20">
        <v>50</v>
      </c>
      <c r="E800" s="20">
        <v>1.48</v>
      </c>
      <c r="F800" s="9">
        <v>807</v>
      </c>
      <c r="G800" s="20" t="s">
        <v>372</v>
      </c>
      <c r="H800" s="22" t="s">
        <v>999</v>
      </c>
      <c r="I800" s="22">
        <v>145</v>
      </c>
      <c r="J800" s="22">
        <v>29</v>
      </c>
      <c r="K800" s="22">
        <v>16</v>
      </c>
      <c r="L800" s="11" t="s">
        <v>400</v>
      </c>
      <c r="M800" s="12">
        <v>0</v>
      </c>
      <c r="N800" s="13"/>
      <c r="O800" s="13"/>
    </row>
    <row r="801" spans="1:15">
      <c r="A801" s="23" t="s">
        <v>1000</v>
      </c>
      <c r="B801" s="23">
        <v>9</v>
      </c>
      <c r="C801" s="20">
        <v>250</v>
      </c>
      <c r="D801" s="20">
        <v>50</v>
      </c>
      <c r="E801" s="8">
        <v>1.48</v>
      </c>
      <c r="F801" s="9">
        <v>808</v>
      </c>
      <c r="G801" s="20" t="s">
        <v>372</v>
      </c>
      <c r="H801" s="22" t="s">
        <v>83</v>
      </c>
      <c r="I801" s="22">
        <v>145</v>
      </c>
      <c r="J801" s="22">
        <v>29</v>
      </c>
      <c r="K801" s="22">
        <v>16</v>
      </c>
      <c r="L801" s="11" t="s">
        <v>1001</v>
      </c>
      <c r="M801" s="12">
        <v>0</v>
      </c>
      <c r="N801" s="13"/>
      <c r="O801" s="13"/>
    </row>
    <row r="802" spans="1:15">
      <c r="A802" s="23" t="s">
        <v>1002</v>
      </c>
      <c r="B802" s="23">
        <v>9</v>
      </c>
      <c r="C802" s="8">
        <v>66</v>
      </c>
      <c r="D802" s="20">
        <v>50</v>
      </c>
      <c r="E802" s="20">
        <v>0.6</v>
      </c>
      <c r="F802" s="9">
        <v>809</v>
      </c>
      <c r="G802" s="20" t="s">
        <v>16</v>
      </c>
      <c r="H802" s="22" t="s">
        <v>997</v>
      </c>
      <c r="I802" s="22">
        <v>122</v>
      </c>
      <c r="J802" s="22">
        <v>15</v>
      </c>
      <c r="K802" s="22">
        <v>10</v>
      </c>
      <c r="L802" s="27" t="s">
        <v>173</v>
      </c>
      <c r="M802" s="12">
        <v>0</v>
      </c>
      <c r="N802" s="13"/>
      <c r="O802" s="13"/>
    </row>
    <row r="803" spans="1:15">
      <c r="A803" s="23" t="s">
        <v>1003</v>
      </c>
      <c r="B803" s="23">
        <v>9</v>
      </c>
      <c r="C803" s="8">
        <v>69</v>
      </c>
      <c r="D803" s="20">
        <v>50</v>
      </c>
      <c r="E803" s="20">
        <v>0.64</v>
      </c>
      <c r="F803" s="9">
        <v>810</v>
      </c>
      <c r="G803" s="20" t="s">
        <v>16</v>
      </c>
      <c r="H803" s="10" t="s">
        <v>104</v>
      </c>
      <c r="I803" s="10">
        <v>130</v>
      </c>
      <c r="J803" s="10">
        <v>15</v>
      </c>
      <c r="K803" s="10">
        <v>10</v>
      </c>
      <c r="L803" s="27" t="s">
        <v>123</v>
      </c>
      <c r="M803" s="12">
        <v>61</v>
      </c>
      <c r="N803" s="13"/>
      <c r="O803" s="13"/>
    </row>
    <row r="804" spans="1:15">
      <c r="A804" s="23" t="s">
        <v>1004</v>
      </c>
      <c r="B804" s="23">
        <v>9</v>
      </c>
      <c r="C804" s="8">
        <v>410</v>
      </c>
      <c r="D804" s="20">
        <v>50</v>
      </c>
      <c r="E804" s="20">
        <v>1.48</v>
      </c>
      <c r="F804" s="9">
        <v>811</v>
      </c>
      <c r="G804" s="20" t="s">
        <v>372</v>
      </c>
      <c r="H804" s="22" t="s">
        <v>83</v>
      </c>
      <c r="I804" s="22">
        <v>145</v>
      </c>
      <c r="J804" s="22">
        <v>29</v>
      </c>
      <c r="K804" s="22">
        <v>16</v>
      </c>
      <c r="L804" s="11" t="e">
        <v>#N/A</v>
      </c>
      <c r="M804" s="12">
        <v>0</v>
      </c>
      <c r="N804" s="13" t="s">
        <v>18</v>
      </c>
      <c r="O804" s="13"/>
    </row>
    <row r="805" spans="1:15">
      <c r="A805" s="23" t="s">
        <v>1005</v>
      </c>
      <c r="B805" s="23">
        <v>9</v>
      </c>
      <c r="C805" s="8">
        <v>410</v>
      </c>
      <c r="D805" s="20">
        <v>50</v>
      </c>
      <c r="E805" s="20">
        <v>1.48</v>
      </c>
      <c r="F805" s="9">
        <v>812</v>
      </c>
      <c r="G805" s="20" t="s">
        <v>372</v>
      </c>
      <c r="H805" s="22" t="s">
        <v>83</v>
      </c>
      <c r="I805" s="22">
        <v>145</v>
      </c>
      <c r="J805" s="22">
        <v>29</v>
      </c>
      <c r="K805" s="22">
        <v>16</v>
      </c>
      <c r="L805" s="11" t="e">
        <v>#N/A</v>
      </c>
      <c r="M805" s="12">
        <v>0</v>
      </c>
      <c r="N805" s="13" t="s">
        <v>18</v>
      </c>
      <c r="O805" s="13"/>
    </row>
    <row r="806" spans="1:15">
      <c r="A806" s="23" t="s">
        <v>1006</v>
      </c>
      <c r="B806" s="23">
        <v>9</v>
      </c>
      <c r="C806" s="8">
        <v>340</v>
      </c>
      <c r="D806" s="20">
        <v>50</v>
      </c>
      <c r="E806" s="20">
        <v>1.48</v>
      </c>
      <c r="F806" s="9">
        <v>813</v>
      </c>
      <c r="G806" s="20" t="s">
        <v>372</v>
      </c>
      <c r="H806" s="22" t="s">
        <v>83</v>
      </c>
      <c r="I806" s="22">
        <v>145</v>
      </c>
      <c r="J806" s="22">
        <v>29</v>
      </c>
      <c r="K806" s="22">
        <v>16</v>
      </c>
      <c r="L806" s="11" t="e">
        <v>#N/A</v>
      </c>
      <c r="M806" s="12">
        <v>0</v>
      </c>
      <c r="N806" s="13" t="s">
        <v>18</v>
      </c>
      <c r="O806" s="13"/>
    </row>
    <row r="807" spans="1:15">
      <c r="A807" s="23" t="s">
        <v>1007</v>
      </c>
      <c r="B807" s="23">
        <v>9</v>
      </c>
      <c r="C807" s="20">
        <v>327</v>
      </c>
      <c r="D807" s="20">
        <v>50</v>
      </c>
      <c r="E807" s="20">
        <v>1.48</v>
      </c>
      <c r="F807" s="9">
        <v>814</v>
      </c>
      <c r="G807" s="20" t="s">
        <v>372</v>
      </c>
      <c r="H807" s="22" t="s">
        <v>83</v>
      </c>
      <c r="I807" s="22">
        <v>145</v>
      </c>
      <c r="J807" s="22">
        <v>29</v>
      </c>
      <c r="K807" s="22">
        <v>16</v>
      </c>
      <c r="L807" s="11" t="s">
        <v>892</v>
      </c>
      <c r="M807" s="12">
        <v>0</v>
      </c>
      <c r="N807" s="13"/>
      <c r="O807" s="13"/>
    </row>
    <row r="808" spans="1:15">
      <c r="A808" s="23" t="s">
        <v>1008</v>
      </c>
      <c r="B808" s="23">
        <v>9</v>
      </c>
      <c r="C808" s="20">
        <v>327</v>
      </c>
      <c r="D808" s="20">
        <v>50</v>
      </c>
      <c r="E808" s="20">
        <v>1.48</v>
      </c>
      <c r="F808" s="9">
        <v>816</v>
      </c>
      <c r="G808" s="20" t="s">
        <v>372</v>
      </c>
      <c r="H808" s="22" t="s">
        <v>83</v>
      </c>
      <c r="I808" s="22">
        <v>145</v>
      </c>
      <c r="J808" s="22">
        <v>29</v>
      </c>
      <c r="K808" s="22">
        <v>16</v>
      </c>
      <c r="L808" s="11" t="s">
        <v>892</v>
      </c>
      <c r="M808" s="12">
        <v>0</v>
      </c>
      <c r="N808" s="13"/>
      <c r="O808" s="13"/>
    </row>
    <row r="809" spans="1:15">
      <c r="A809" s="23" t="s">
        <v>1009</v>
      </c>
      <c r="B809" s="23">
        <v>9</v>
      </c>
      <c r="C809" s="8">
        <v>360</v>
      </c>
      <c r="D809" s="8">
        <v>50</v>
      </c>
      <c r="E809" s="8">
        <v>1.48</v>
      </c>
      <c r="F809" s="9">
        <v>817</v>
      </c>
      <c r="G809" s="8" t="s">
        <v>372</v>
      </c>
      <c r="H809" s="22" t="s">
        <v>83</v>
      </c>
      <c r="I809" s="22">
        <v>145</v>
      </c>
      <c r="J809" s="22">
        <v>29</v>
      </c>
      <c r="K809" s="22">
        <v>16</v>
      </c>
      <c r="L809" s="11" t="e">
        <v>#N/A</v>
      </c>
      <c r="M809" s="12">
        <v>0</v>
      </c>
      <c r="N809" s="13" t="s">
        <v>18</v>
      </c>
      <c r="O809" s="13"/>
    </row>
    <row r="810" spans="1:15">
      <c r="A810" s="23" t="s">
        <v>1010</v>
      </c>
      <c r="B810" s="23">
        <v>9</v>
      </c>
      <c r="C810" s="8">
        <v>73</v>
      </c>
      <c r="D810" s="20">
        <v>50</v>
      </c>
      <c r="E810" s="20">
        <v>0.6</v>
      </c>
      <c r="F810" s="9">
        <v>818</v>
      </c>
      <c r="G810" s="20" t="s">
        <v>16</v>
      </c>
      <c r="H810" s="22" t="s">
        <v>997</v>
      </c>
      <c r="I810" s="22">
        <v>122</v>
      </c>
      <c r="J810" s="22">
        <v>15</v>
      </c>
      <c r="K810" s="22">
        <v>10</v>
      </c>
      <c r="L810" s="27" t="s">
        <v>90</v>
      </c>
      <c r="M810" s="12">
        <v>37</v>
      </c>
      <c r="N810" s="13"/>
      <c r="O810" s="13"/>
    </row>
    <row r="811" spans="1:15">
      <c r="A811" s="23" t="s">
        <v>1011</v>
      </c>
      <c r="B811" s="23">
        <v>9</v>
      </c>
      <c r="C811" s="8">
        <v>285</v>
      </c>
      <c r="D811" s="8">
        <v>50</v>
      </c>
      <c r="E811" s="8">
        <v>1.48</v>
      </c>
      <c r="F811" s="9">
        <v>819</v>
      </c>
      <c r="G811" s="8" t="s">
        <v>372</v>
      </c>
      <c r="H811" s="22" t="s">
        <v>83</v>
      </c>
      <c r="I811" s="22">
        <v>145</v>
      </c>
      <c r="J811" s="22">
        <v>29</v>
      </c>
      <c r="K811" s="22">
        <v>16</v>
      </c>
      <c r="L811" s="11" t="s">
        <v>1012</v>
      </c>
      <c r="M811" s="12">
        <v>0</v>
      </c>
      <c r="N811" s="13"/>
      <c r="O811" s="13"/>
    </row>
    <row r="812" spans="1:15">
      <c r="A812" s="23" t="s">
        <v>1013</v>
      </c>
      <c r="B812" s="23">
        <v>9</v>
      </c>
      <c r="C812" s="20">
        <v>310</v>
      </c>
      <c r="D812" s="20">
        <v>50</v>
      </c>
      <c r="E812" s="20">
        <v>1.48</v>
      </c>
      <c r="F812" s="9">
        <v>820</v>
      </c>
      <c r="G812" s="20" t="s">
        <v>372</v>
      </c>
      <c r="H812" s="22" t="s">
        <v>83</v>
      </c>
      <c r="I812" s="22">
        <v>145</v>
      </c>
      <c r="J812" s="22">
        <v>29</v>
      </c>
      <c r="K812" s="22">
        <v>16</v>
      </c>
      <c r="L812" s="11" t="s">
        <v>994</v>
      </c>
      <c r="M812" s="12">
        <v>0</v>
      </c>
      <c r="N812" s="13"/>
      <c r="O812" s="13"/>
    </row>
    <row r="813" spans="1:15">
      <c r="A813" s="23" t="s">
        <v>1014</v>
      </c>
      <c r="B813" s="23">
        <v>9</v>
      </c>
      <c r="C813" s="8">
        <v>327</v>
      </c>
      <c r="D813" s="8">
        <v>50</v>
      </c>
      <c r="E813" s="8">
        <v>1.48</v>
      </c>
      <c r="F813" s="9">
        <v>821</v>
      </c>
      <c r="G813" s="8" t="s">
        <v>372</v>
      </c>
      <c r="H813" s="22" t="s">
        <v>83</v>
      </c>
      <c r="I813" s="22">
        <v>145</v>
      </c>
      <c r="J813" s="22">
        <v>29</v>
      </c>
      <c r="K813" s="22">
        <v>16</v>
      </c>
      <c r="L813" s="11" t="s">
        <v>892</v>
      </c>
      <c r="M813" s="12">
        <v>0</v>
      </c>
      <c r="N813" s="13"/>
      <c r="O813" s="13"/>
    </row>
    <row r="814" spans="1:15">
      <c r="A814" s="23" t="s">
        <v>1015</v>
      </c>
      <c r="B814" s="23">
        <v>9</v>
      </c>
      <c r="C814" s="8">
        <v>340</v>
      </c>
      <c r="D814" s="20">
        <v>50</v>
      </c>
      <c r="E814" s="20">
        <v>1.48</v>
      </c>
      <c r="F814" s="9">
        <v>822</v>
      </c>
      <c r="G814" s="20" t="s">
        <v>372</v>
      </c>
      <c r="H814" s="22" t="s">
        <v>83</v>
      </c>
      <c r="I814" s="22">
        <v>145</v>
      </c>
      <c r="J814" s="22">
        <v>29</v>
      </c>
      <c r="K814" s="22">
        <v>16</v>
      </c>
      <c r="L814" s="11" t="e">
        <v>#N/A</v>
      </c>
      <c r="M814" s="12">
        <v>0</v>
      </c>
      <c r="N814" s="13" t="s">
        <v>18</v>
      </c>
      <c r="O814" s="13" t="s">
        <v>183</v>
      </c>
    </row>
    <row r="815" spans="1:15">
      <c r="A815" s="23" t="s">
        <v>1016</v>
      </c>
      <c r="B815" s="23">
        <v>9</v>
      </c>
      <c r="C815" s="8">
        <v>325</v>
      </c>
      <c r="D815" s="8">
        <v>50</v>
      </c>
      <c r="E815" s="8">
        <v>1.48</v>
      </c>
      <c r="F815" s="9">
        <v>823</v>
      </c>
      <c r="G815" s="8" t="s">
        <v>372</v>
      </c>
      <c r="H815" s="22" t="s">
        <v>83</v>
      </c>
      <c r="I815" s="22">
        <v>145</v>
      </c>
      <c r="J815" s="22">
        <v>29</v>
      </c>
      <c r="K815" s="22">
        <v>16</v>
      </c>
      <c r="L815" s="11" t="s">
        <v>1017</v>
      </c>
      <c r="M815" s="12">
        <v>0</v>
      </c>
      <c r="N815" s="13"/>
      <c r="O815" s="13"/>
    </row>
    <row r="816" spans="1:15">
      <c r="A816" s="22" t="s">
        <v>1018</v>
      </c>
      <c r="B816" s="23">
        <v>9</v>
      </c>
      <c r="C816" s="28">
        <v>150</v>
      </c>
      <c r="D816" s="8">
        <v>6</v>
      </c>
      <c r="E816" s="8">
        <v>0.2</v>
      </c>
      <c r="F816" s="9">
        <v>824</v>
      </c>
      <c r="G816" s="8" t="s">
        <v>902</v>
      </c>
      <c r="H816" s="10" t="s">
        <v>630</v>
      </c>
      <c r="I816" s="10">
        <v>45</v>
      </c>
      <c r="J816" s="10">
        <v>26</v>
      </c>
      <c r="K816" s="10">
        <v>8</v>
      </c>
      <c r="L816" s="11" t="s">
        <v>978</v>
      </c>
      <c r="M816" s="12">
        <v>1</v>
      </c>
      <c r="N816" s="13"/>
      <c r="O816" s="13"/>
    </row>
    <row r="817" spans="1:15">
      <c r="A817" s="22" t="s">
        <v>1019</v>
      </c>
      <c r="B817" s="23">
        <v>9</v>
      </c>
      <c r="C817" s="28">
        <v>150</v>
      </c>
      <c r="D817" s="8">
        <v>6</v>
      </c>
      <c r="E817" s="8">
        <v>0.2</v>
      </c>
      <c r="F817" s="9">
        <v>825</v>
      </c>
      <c r="G817" s="8" t="s">
        <v>902</v>
      </c>
      <c r="H817" s="10" t="s">
        <v>630</v>
      </c>
      <c r="I817" s="10">
        <v>45</v>
      </c>
      <c r="J817" s="10">
        <v>26</v>
      </c>
      <c r="K817" s="10">
        <v>8</v>
      </c>
      <c r="L817" s="11" t="s">
        <v>978</v>
      </c>
      <c r="M817" s="12">
        <v>0</v>
      </c>
      <c r="N817" s="13"/>
      <c r="O817" s="13"/>
    </row>
    <row r="818" spans="1:15">
      <c r="A818" s="22" t="s">
        <v>1020</v>
      </c>
      <c r="B818" s="23">
        <v>9</v>
      </c>
      <c r="C818" s="8">
        <v>360</v>
      </c>
      <c r="D818" s="8">
        <v>50</v>
      </c>
      <c r="E818" s="8">
        <v>1.48</v>
      </c>
      <c r="F818" s="9">
        <v>826</v>
      </c>
      <c r="G818" s="8" t="s">
        <v>372</v>
      </c>
      <c r="H818" s="22" t="s">
        <v>83</v>
      </c>
      <c r="I818" s="22">
        <v>145</v>
      </c>
      <c r="J818" s="22">
        <v>29</v>
      </c>
      <c r="K818" s="22">
        <v>16</v>
      </c>
      <c r="L818" s="11" t="e">
        <v>#N/A</v>
      </c>
      <c r="M818" s="12">
        <v>0</v>
      </c>
      <c r="N818" s="13" t="s">
        <v>18</v>
      </c>
      <c r="O818" s="13" t="s">
        <v>183</v>
      </c>
    </row>
    <row r="819" spans="1:15">
      <c r="A819" s="22" t="s">
        <v>1021</v>
      </c>
      <c r="B819" s="23">
        <v>9</v>
      </c>
      <c r="C819" s="8">
        <v>327</v>
      </c>
      <c r="D819" s="8">
        <v>50</v>
      </c>
      <c r="E819" s="8">
        <v>1.48</v>
      </c>
      <c r="F819" s="9">
        <v>827</v>
      </c>
      <c r="G819" s="8" t="s">
        <v>372</v>
      </c>
      <c r="H819" s="22" t="s">
        <v>83</v>
      </c>
      <c r="I819" s="22">
        <v>145</v>
      </c>
      <c r="J819" s="22">
        <v>29</v>
      </c>
      <c r="K819" s="22">
        <v>16</v>
      </c>
      <c r="L819" s="11" t="s">
        <v>892</v>
      </c>
      <c r="M819" s="12">
        <v>0</v>
      </c>
      <c r="N819" s="13"/>
      <c r="O819" s="13"/>
    </row>
    <row r="820" spans="1:15">
      <c r="A820" s="22" t="s">
        <v>1022</v>
      </c>
      <c r="B820" s="23">
        <v>9</v>
      </c>
      <c r="C820" s="8">
        <v>380</v>
      </c>
      <c r="D820" s="8">
        <v>50</v>
      </c>
      <c r="E820" s="8">
        <v>1.48</v>
      </c>
      <c r="F820" s="9">
        <v>828</v>
      </c>
      <c r="G820" s="8" t="s">
        <v>372</v>
      </c>
      <c r="H820" s="22" t="s">
        <v>83</v>
      </c>
      <c r="I820" s="22">
        <v>145</v>
      </c>
      <c r="J820" s="22">
        <v>29</v>
      </c>
      <c r="K820" s="22">
        <v>16</v>
      </c>
      <c r="L820" s="11" t="e">
        <v>#N/A</v>
      </c>
      <c r="M820" s="12">
        <v>0</v>
      </c>
      <c r="N820" s="13" t="s">
        <v>18</v>
      </c>
      <c r="O820" s="13"/>
    </row>
    <row r="821" spans="1:15">
      <c r="A821" s="22" t="s">
        <v>1023</v>
      </c>
      <c r="B821" s="23">
        <v>9</v>
      </c>
      <c r="C821" s="8">
        <v>360</v>
      </c>
      <c r="D821" s="8">
        <v>50</v>
      </c>
      <c r="E821" s="8">
        <v>1.48</v>
      </c>
      <c r="F821" s="9">
        <v>829</v>
      </c>
      <c r="G821" s="8" t="s">
        <v>372</v>
      </c>
      <c r="H821" s="22" t="s">
        <v>83</v>
      </c>
      <c r="I821" s="22">
        <v>145</v>
      </c>
      <c r="J821" s="22">
        <v>29</v>
      </c>
      <c r="K821" s="22">
        <v>16</v>
      </c>
      <c r="L821" s="11" t="e">
        <v>#N/A</v>
      </c>
      <c r="M821" s="12">
        <v>0</v>
      </c>
      <c r="N821" s="13" t="s">
        <v>18</v>
      </c>
      <c r="O821" s="13"/>
    </row>
    <row r="822" spans="1:15">
      <c r="A822" s="22" t="s">
        <v>1024</v>
      </c>
      <c r="B822" s="23">
        <v>9</v>
      </c>
      <c r="C822" s="8">
        <v>72</v>
      </c>
      <c r="D822" s="8">
        <v>50</v>
      </c>
      <c r="E822" s="8">
        <v>0.6</v>
      </c>
      <c r="F822" s="9">
        <v>830</v>
      </c>
      <c r="G822" s="8" t="s">
        <v>16</v>
      </c>
      <c r="H822" s="22" t="s">
        <v>997</v>
      </c>
      <c r="I822" s="22">
        <v>122</v>
      </c>
      <c r="J822" s="22">
        <v>15</v>
      </c>
      <c r="K822" s="22">
        <v>10</v>
      </c>
      <c r="L822" s="27" t="s">
        <v>107</v>
      </c>
      <c r="M822" s="12">
        <v>91</v>
      </c>
      <c r="N822" s="13"/>
      <c r="O822" s="13"/>
    </row>
    <row r="823" spans="1:15">
      <c r="A823" s="22" t="s">
        <v>1025</v>
      </c>
      <c r="B823" s="23">
        <v>9</v>
      </c>
      <c r="C823" s="8">
        <v>80</v>
      </c>
      <c r="D823" s="8">
        <v>50</v>
      </c>
      <c r="E823" s="8">
        <v>0.6</v>
      </c>
      <c r="F823" s="9">
        <v>831</v>
      </c>
      <c r="G823" s="8" t="s">
        <v>16</v>
      </c>
      <c r="H823" s="22" t="s">
        <v>997</v>
      </c>
      <c r="I823" s="22">
        <v>122</v>
      </c>
      <c r="J823" s="22">
        <v>15</v>
      </c>
      <c r="K823" s="22">
        <v>10</v>
      </c>
      <c r="L823" s="27" t="s">
        <v>1026</v>
      </c>
      <c r="M823" s="12">
        <v>4</v>
      </c>
      <c r="N823" s="13"/>
      <c r="O823" s="13"/>
    </row>
    <row r="824" spans="1:15">
      <c r="A824" s="22" t="s">
        <v>1027</v>
      </c>
      <c r="B824" s="23">
        <v>9</v>
      </c>
      <c r="C824" s="8">
        <v>342</v>
      </c>
      <c r="D824" s="8">
        <v>50</v>
      </c>
      <c r="E824" s="8">
        <v>1.48</v>
      </c>
      <c r="F824" s="9">
        <v>832</v>
      </c>
      <c r="G824" s="8" t="s">
        <v>372</v>
      </c>
      <c r="H824" s="22" t="s">
        <v>83</v>
      </c>
      <c r="I824" s="22">
        <v>145</v>
      </c>
      <c r="J824" s="22">
        <v>29</v>
      </c>
      <c r="K824" s="22">
        <v>16</v>
      </c>
      <c r="L824" s="11" t="s">
        <v>894</v>
      </c>
      <c r="M824" s="12">
        <v>0</v>
      </c>
      <c r="N824" s="13"/>
      <c r="O824" s="13"/>
    </row>
    <row r="825" spans="1:15">
      <c r="A825" s="22" t="s">
        <v>1028</v>
      </c>
      <c r="B825" s="23">
        <v>9</v>
      </c>
      <c r="C825" s="8">
        <v>76</v>
      </c>
      <c r="D825" s="8">
        <v>50</v>
      </c>
      <c r="E825" s="8">
        <v>0.6</v>
      </c>
      <c r="F825" s="9">
        <v>833</v>
      </c>
      <c r="G825" s="8" t="s">
        <v>16</v>
      </c>
      <c r="H825" s="22" t="s">
        <v>997</v>
      </c>
      <c r="I825" s="22">
        <v>122</v>
      </c>
      <c r="J825" s="22">
        <v>15</v>
      </c>
      <c r="K825" s="22">
        <v>10</v>
      </c>
      <c r="L825" s="27" t="s">
        <v>131</v>
      </c>
      <c r="M825" s="12">
        <v>29</v>
      </c>
      <c r="N825" s="13"/>
      <c r="O825" s="13"/>
    </row>
    <row r="826" spans="1:15">
      <c r="A826" s="23" t="s">
        <v>1029</v>
      </c>
      <c r="B826" s="23">
        <v>9</v>
      </c>
      <c r="C826" s="8">
        <v>81</v>
      </c>
      <c r="D826" s="8">
        <v>50</v>
      </c>
      <c r="E826" s="8">
        <v>0.6</v>
      </c>
      <c r="F826" s="9">
        <v>834</v>
      </c>
      <c r="G826" s="8" t="s">
        <v>16</v>
      </c>
      <c r="H826" s="22" t="s">
        <v>997</v>
      </c>
      <c r="I826" s="22">
        <v>122</v>
      </c>
      <c r="J826" s="22">
        <v>15</v>
      </c>
      <c r="K826" s="22">
        <v>10</v>
      </c>
      <c r="L826" s="27" t="s">
        <v>330</v>
      </c>
      <c r="M826" s="12">
        <v>12</v>
      </c>
      <c r="N826" s="13"/>
      <c r="O826" s="13"/>
    </row>
    <row r="827" spans="1:15">
      <c r="A827" s="23" t="s">
        <v>1030</v>
      </c>
      <c r="B827" s="23">
        <v>9</v>
      </c>
      <c r="C827" s="8">
        <v>67</v>
      </c>
      <c r="D827" s="8">
        <v>50</v>
      </c>
      <c r="E827" s="8">
        <v>0.6</v>
      </c>
      <c r="F827" s="9">
        <v>835</v>
      </c>
      <c r="G827" s="8" t="s">
        <v>16</v>
      </c>
      <c r="H827" s="22" t="s">
        <v>997</v>
      </c>
      <c r="I827" s="22">
        <v>122</v>
      </c>
      <c r="J827" s="22">
        <v>15</v>
      </c>
      <c r="K827" s="22">
        <v>10</v>
      </c>
      <c r="L827" s="27" t="s">
        <v>96</v>
      </c>
      <c r="M827" s="12">
        <v>0</v>
      </c>
      <c r="N827" s="13"/>
      <c r="O827" s="13"/>
    </row>
    <row r="828" spans="1:15">
      <c r="A828" s="23" t="s">
        <v>1031</v>
      </c>
      <c r="B828" s="23">
        <v>9</v>
      </c>
      <c r="C828" s="8">
        <v>70</v>
      </c>
      <c r="D828" s="8">
        <v>50</v>
      </c>
      <c r="E828" s="8">
        <v>0.6</v>
      </c>
      <c r="F828" s="9">
        <v>836</v>
      </c>
      <c r="G828" s="8" t="s">
        <v>16</v>
      </c>
      <c r="H828" s="22" t="s">
        <v>997</v>
      </c>
      <c r="I828" s="22">
        <v>122</v>
      </c>
      <c r="J828" s="22">
        <v>15</v>
      </c>
      <c r="K828" s="22">
        <v>10</v>
      </c>
      <c r="L828" s="27" t="s">
        <v>1032</v>
      </c>
      <c r="M828" s="12">
        <v>0</v>
      </c>
      <c r="N828" s="13"/>
      <c r="O828" s="13"/>
    </row>
    <row r="829" spans="1:15">
      <c r="A829" s="23" t="s">
        <v>1033</v>
      </c>
      <c r="B829" s="23">
        <v>9</v>
      </c>
      <c r="C829" s="24">
        <v>70</v>
      </c>
      <c r="D829" s="8">
        <v>50</v>
      </c>
      <c r="E829" s="8">
        <v>0.6</v>
      </c>
      <c r="F829" s="9">
        <v>837</v>
      </c>
      <c r="G829" s="8" t="s">
        <v>16</v>
      </c>
      <c r="H829" s="22" t="s">
        <v>997</v>
      </c>
      <c r="I829" s="22">
        <v>122</v>
      </c>
      <c r="J829" s="22">
        <v>15</v>
      </c>
      <c r="K829" s="22">
        <v>10</v>
      </c>
      <c r="L829" s="11" t="e">
        <v>#N/A</v>
      </c>
      <c r="M829" s="12">
        <v>10</v>
      </c>
      <c r="N829" s="13" t="s">
        <v>18</v>
      </c>
      <c r="O829" s="13" t="s">
        <v>183</v>
      </c>
    </row>
    <row r="830" spans="1:15">
      <c r="A830" s="23" t="s">
        <v>1034</v>
      </c>
      <c r="B830" s="23">
        <v>9</v>
      </c>
      <c r="C830" s="8">
        <v>70</v>
      </c>
      <c r="D830" s="8">
        <v>50</v>
      </c>
      <c r="E830" s="8">
        <v>0.6</v>
      </c>
      <c r="F830" s="9">
        <v>838</v>
      </c>
      <c r="G830" s="8" t="s">
        <v>16</v>
      </c>
      <c r="H830" s="22" t="s">
        <v>997</v>
      </c>
      <c r="I830" s="22">
        <v>122</v>
      </c>
      <c r="J830" s="22">
        <v>15</v>
      </c>
      <c r="K830" s="22">
        <v>10</v>
      </c>
      <c r="L830" s="27" t="s">
        <v>1032</v>
      </c>
      <c r="M830" s="12">
        <v>0</v>
      </c>
      <c r="N830" s="13"/>
      <c r="O830" s="13"/>
    </row>
    <row r="831" spans="1:15">
      <c r="A831" s="23" t="s">
        <v>1035</v>
      </c>
      <c r="B831" s="23">
        <v>9</v>
      </c>
      <c r="C831" s="8">
        <v>74</v>
      </c>
      <c r="D831" s="8">
        <v>50</v>
      </c>
      <c r="E831" s="8">
        <v>0.6</v>
      </c>
      <c r="F831" s="9">
        <v>839</v>
      </c>
      <c r="G831" s="8" t="s">
        <v>16</v>
      </c>
      <c r="H831" s="22" t="s">
        <v>997</v>
      </c>
      <c r="I831" s="22">
        <v>122</v>
      </c>
      <c r="J831" s="22">
        <v>15</v>
      </c>
      <c r="K831" s="22">
        <v>10</v>
      </c>
      <c r="L831" s="27" t="s">
        <v>155</v>
      </c>
      <c r="M831" s="12">
        <v>9</v>
      </c>
      <c r="N831" s="13"/>
      <c r="O831" s="13"/>
    </row>
    <row r="832" spans="1:15">
      <c r="A832" s="23" t="s">
        <v>1036</v>
      </c>
      <c r="B832" s="23">
        <v>9</v>
      </c>
      <c r="C832" s="20">
        <v>342</v>
      </c>
      <c r="D832" s="8">
        <v>50</v>
      </c>
      <c r="E832" s="8">
        <v>1.48</v>
      </c>
      <c r="F832" s="9">
        <v>840</v>
      </c>
      <c r="G832" s="8" t="s">
        <v>372</v>
      </c>
      <c r="H832" s="22" t="s">
        <v>83</v>
      </c>
      <c r="I832" s="22">
        <v>145</v>
      </c>
      <c r="J832" s="22">
        <v>29</v>
      </c>
      <c r="K832" s="22">
        <v>16</v>
      </c>
      <c r="L832" s="11" t="s">
        <v>894</v>
      </c>
      <c r="M832" s="12">
        <v>0</v>
      </c>
      <c r="N832" s="13"/>
      <c r="O832" s="13"/>
    </row>
    <row r="833" spans="1:15">
      <c r="A833" s="23" t="s">
        <v>1037</v>
      </c>
      <c r="B833" s="23">
        <v>9</v>
      </c>
      <c r="C833" s="20">
        <v>75</v>
      </c>
      <c r="D833" s="8">
        <v>50</v>
      </c>
      <c r="E833" s="8">
        <v>0.6</v>
      </c>
      <c r="F833" s="9">
        <v>841</v>
      </c>
      <c r="G833" s="8" t="s">
        <v>16</v>
      </c>
      <c r="H833" s="22" t="s">
        <v>997</v>
      </c>
      <c r="I833" s="22">
        <v>122</v>
      </c>
      <c r="J833" s="22">
        <v>15</v>
      </c>
      <c r="K833" s="22">
        <v>10</v>
      </c>
      <c r="L833" s="27" t="s">
        <v>92</v>
      </c>
      <c r="M833" s="12">
        <v>121</v>
      </c>
      <c r="N833" s="13"/>
      <c r="O833" s="13"/>
    </row>
    <row r="834" spans="1:15">
      <c r="A834" s="23" t="s">
        <v>1038</v>
      </c>
      <c r="B834" s="23">
        <v>9</v>
      </c>
      <c r="C834" s="20">
        <v>69</v>
      </c>
      <c r="D834" s="8">
        <v>50</v>
      </c>
      <c r="E834" s="8">
        <v>0.6</v>
      </c>
      <c r="F834" s="9">
        <v>842</v>
      </c>
      <c r="G834" s="8" t="s">
        <v>16</v>
      </c>
      <c r="H834" s="22" t="s">
        <v>997</v>
      </c>
      <c r="I834" s="22">
        <v>122</v>
      </c>
      <c r="J834" s="22">
        <v>15</v>
      </c>
      <c r="K834" s="22">
        <v>10</v>
      </c>
      <c r="L834" s="27" t="s">
        <v>123</v>
      </c>
      <c r="M834" s="12">
        <v>47</v>
      </c>
      <c r="N834" s="13"/>
      <c r="O834" s="13"/>
    </row>
    <row r="835" spans="1:15">
      <c r="A835" s="23" t="s">
        <v>1039</v>
      </c>
      <c r="B835" s="23">
        <v>9</v>
      </c>
      <c r="C835" s="20">
        <v>320</v>
      </c>
      <c r="D835" s="8">
        <v>50</v>
      </c>
      <c r="E835" s="8">
        <v>1.48</v>
      </c>
      <c r="F835" s="9">
        <v>843</v>
      </c>
      <c r="G835" s="8" t="s">
        <v>372</v>
      </c>
      <c r="H835" s="22" t="s">
        <v>83</v>
      </c>
      <c r="I835" s="22">
        <v>145</v>
      </c>
      <c r="J835" s="22">
        <v>29</v>
      </c>
      <c r="K835" s="22">
        <v>16</v>
      </c>
      <c r="L835" s="11" t="s">
        <v>994</v>
      </c>
      <c r="M835" s="12">
        <v>0</v>
      </c>
      <c r="N835" s="13"/>
      <c r="O835" s="13"/>
    </row>
    <row r="836" spans="1:15">
      <c r="A836" s="23" t="s">
        <v>1040</v>
      </c>
      <c r="B836" s="23">
        <v>9</v>
      </c>
      <c r="C836" s="29">
        <v>390</v>
      </c>
      <c r="D836" s="8">
        <v>50</v>
      </c>
      <c r="E836" s="8">
        <v>1.48</v>
      </c>
      <c r="F836" s="9">
        <v>844</v>
      </c>
      <c r="G836" s="8" t="s">
        <v>372</v>
      </c>
      <c r="H836" s="22" t="s">
        <v>83</v>
      </c>
      <c r="I836" s="22">
        <v>145</v>
      </c>
      <c r="J836" s="22">
        <v>29</v>
      </c>
      <c r="K836" s="22">
        <v>16</v>
      </c>
      <c r="L836" s="11" t="e">
        <v>#N/A</v>
      </c>
      <c r="M836" s="12" t="e">
        <v>#N/A</v>
      </c>
      <c r="N836" s="13" t="s">
        <v>18</v>
      </c>
      <c r="O836" s="13"/>
    </row>
    <row r="837" spans="1:15">
      <c r="A837" s="23" t="s">
        <v>1041</v>
      </c>
      <c r="B837" s="23">
        <v>9</v>
      </c>
      <c r="C837" s="20">
        <v>342</v>
      </c>
      <c r="D837" s="8">
        <v>50</v>
      </c>
      <c r="E837" s="8">
        <v>1.48</v>
      </c>
      <c r="F837" s="9">
        <v>845</v>
      </c>
      <c r="G837" s="8" t="s">
        <v>372</v>
      </c>
      <c r="H837" s="22" t="s">
        <v>83</v>
      </c>
      <c r="I837" s="22">
        <v>145</v>
      </c>
      <c r="J837" s="22">
        <v>29</v>
      </c>
      <c r="K837" s="22">
        <v>16</v>
      </c>
      <c r="L837" s="11" t="s">
        <v>894</v>
      </c>
      <c r="M837" s="12">
        <v>0</v>
      </c>
      <c r="N837" s="13"/>
      <c r="O837" s="13"/>
    </row>
    <row r="838" spans="1:15">
      <c r="A838" s="23" t="s">
        <v>1042</v>
      </c>
      <c r="B838" s="23">
        <v>9</v>
      </c>
      <c r="C838" s="29">
        <v>390</v>
      </c>
      <c r="D838" s="8">
        <v>50</v>
      </c>
      <c r="E838" s="8">
        <v>1.48</v>
      </c>
      <c r="F838" s="9">
        <v>846</v>
      </c>
      <c r="G838" s="8" t="s">
        <v>372</v>
      </c>
      <c r="H838" s="22" t="s">
        <v>83</v>
      </c>
      <c r="I838" s="22">
        <v>145</v>
      </c>
      <c r="J838" s="22">
        <v>29</v>
      </c>
      <c r="K838" s="22">
        <v>16</v>
      </c>
      <c r="L838" s="11" t="e">
        <v>#N/A</v>
      </c>
      <c r="M838" s="12">
        <v>0</v>
      </c>
      <c r="N838" s="13" t="s">
        <v>18</v>
      </c>
      <c r="O838" s="13"/>
    </row>
    <row r="839" spans="1:15">
      <c r="A839" s="23" t="s">
        <v>1043</v>
      </c>
      <c r="B839" s="23">
        <v>9</v>
      </c>
      <c r="C839" s="20">
        <v>67</v>
      </c>
      <c r="D839" s="8">
        <v>50</v>
      </c>
      <c r="E839" s="8">
        <v>0.6</v>
      </c>
      <c r="F839" s="9">
        <v>847</v>
      </c>
      <c r="G839" s="8" t="s">
        <v>16</v>
      </c>
      <c r="H839" s="22" t="s">
        <v>997</v>
      </c>
      <c r="I839" s="22">
        <v>122</v>
      </c>
      <c r="J839" s="22">
        <v>15</v>
      </c>
      <c r="K839" s="22">
        <v>10</v>
      </c>
      <c r="L839" s="27" t="s">
        <v>96</v>
      </c>
      <c r="M839" s="12">
        <v>101</v>
      </c>
      <c r="N839" s="13"/>
      <c r="O839" s="13"/>
    </row>
    <row r="840" spans="1:15">
      <c r="A840" s="23" t="s">
        <v>1044</v>
      </c>
      <c r="B840" s="23">
        <v>9</v>
      </c>
      <c r="C840" s="20">
        <v>69</v>
      </c>
      <c r="D840" s="8">
        <v>50</v>
      </c>
      <c r="E840" s="8">
        <v>0.6</v>
      </c>
      <c r="F840" s="9">
        <v>848</v>
      </c>
      <c r="G840" s="8" t="s">
        <v>16</v>
      </c>
      <c r="H840" s="22" t="s">
        <v>997</v>
      </c>
      <c r="I840" s="22">
        <v>122</v>
      </c>
      <c r="J840" s="22">
        <v>15</v>
      </c>
      <c r="K840" s="22">
        <v>10</v>
      </c>
      <c r="L840" s="27" t="s">
        <v>123</v>
      </c>
      <c r="M840" s="12">
        <v>2</v>
      </c>
      <c r="N840" s="13"/>
      <c r="O840" s="13"/>
    </row>
    <row r="841" spans="1:15">
      <c r="A841" s="23" t="s">
        <v>1045</v>
      </c>
      <c r="B841" s="23">
        <v>9</v>
      </c>
      <c r="C841" s="29">
        <v>57</v>
      </c>
      <c r="D841" s="8">
        <v>50</v>
      </c>
      <c r="E841" s="8">
        <v>0.6</v>
      </c>
      <c r="F841" s="9">
        <v>849</v>
      </c>
      <c r="G841" s="8" t="s">
        <v>16</v>
      </c>
      <c r="H841" s="22" t="s">
        <v>997</v>
      </c>
      <c r="I841" s="22">
        <v>122</v>
      </c>
      <c r="J841" s="22">
        <v>15</v>
      </c>
      <c r="K841" s="22">
        <v>10</v>
      </c>
      <c r="L841" s="27" t="s">
        <v>1046</v>
      </c>
      <c r="M841" s="12">
        <v>40</v>
      </c>
      <c r="N841" s="13"/>
      <c r="O841" s="13"/>
    </row>
    <row r="842" spans="1:15">
      <c r="A842" s="23" t="s">
        <v>1047</v>
      </c>
      <c r="B842" s="23">
        <v>9</v>
      </c>
      <c r="C842" s="20">
        <v>66</v>
      </c>
      <c r="D842" s="8">
        <v>50</v>
      </c>
      <c r="E842" s="8">
        <v>0.6</v>
      </c>
      <c r="F842" s="9">
        <v>850</v>
      </c>
      <c r="G842" s="8" t="s">
        <v>16</v>
      </c>
      <c r="H842" s="22" t="s">
        <v>997</v>
      </c>
      <c r="I842" s="22">
        <v>122</v>
      </c>
      <c r="J842" s="22">
        <v>15</v>
      </c>
      <c r="K842" s="22">
        <v>10</v>
      </c>
      <c r="L842" s="27" t="s">
        <v>173</v>
      </c>
      <c r="M842" s="12">
        <v>0</v>
      </c>
      <c r="N842" s="13"/>
      <c r="O842" s="13"/>
    </row>
    <row r="843" spans="1:15">
      <c r="A843" s="23" t="s">
        <v>1048</v>
      </c>
      <c r="B843" s="23">
        <v>9</v>
      </c>
      <c r="C843" s="20">
        <v>68</v>
      </c>
      <c r="D843" s="8">
        <v>50</v>
      </c>
      <c r="E843" s="8">
        <v>0.6</v>
      </c>
      <c r="F843" s="9">
        <v>851</v>
      </c>
      <c r="G843" s="8" t="s">
        <v>16</v>
      </c>
      <c r="H843" s="22" t="s">
        <v>997</v>
      </c>
      <c r="I843" s="22">
        <v>122</v>
      </c>
      <c r="J843" s="22">
        <v>15</v>
      </c>
      <c r="K843" s="22">
        <v>10</v>
      </c>
      <c r="L843" s="27" t="s">
        <v>118</v>
      </c>
      <c r="M843" s="12">
        <v>0</v>
      </c>
      <c r="N843" s="13"/>
      <c r="O843" s="13"/>
    </row>
    <row r="844" spans="1:15">
      <c r="A844" s="23" t="s">
        <v>1049</v>
      </c>
      <c r="B844" s="23">
        <v>9</v>
      </c>
      <c r="C844" s="20">
        <v>67</v>
      </c>
      <c r="D844" s="8">
        <v>50</v>
      </c>
      <c r="E844" s="8">
        <v>0.6</v>
      </c>
      <c r="F844" s="9">
        <v>852</v>
      </c>
      <c r="G844" s="8" t="s">
        <v>16</v>
      </c>
      <c r="H844" s="22" t="s">
        <v>997</v>
      </c>
      <c r="I844" s="22">
        <v>122</v>
      </c>
      <c r="J844" s="22">
        <v>15</v>
      </c>
      <c r="K844" s="22">
        <v>10</v>
      </c>
      <c r="L844" s="27" t="s">
        <v>96</v>
      </c>
      <c r="M844" s="12">
        <v>0</v>
      </c>
      <c r="N844" s="13"/>
      <c r="O844" s="13"/>
    </row>
    <row r="845" spans="1:15">
      <c r="A845" s="23" t="s">
        <v>1050</v>
      </c>
      <c r="B845" s="23">
        <v>9</v>
      </c>
      <c r="C845" s="20">
        <v>70</v>
      </c>
      <c r="D845" s="8">
        <v>50</v>
      </c>
      <c r="E845" s="8">
        <v>0.6</v>
      </c>
      <c r="F845" s="9">
        <v>853</v>
      </c>
      <c r="G845" s="8" t="s">
        <v>16</v>
      </c>
      <c r="H845" s="22" t="s">
        <v>997</v>
      </c>
      <c r="I845" s="22">
        <v>122</v>
      </c>
      <c r="J845" s="22">
        <v>15</v>
      </c>
      <c r="K845" s="22">
        <v>10</v>
      </c>
      <c r="L845" s="27" t="s">
        <v>121</v>
      </c>
      <c r="M845" s="12">
        <v>12</v>
      </c>
      <c r="N845" s="13"/>
      <c r="O845" s="13"/>
    </row>
    <row r="846" spans="1:15">
      <c r="A846" s="23" t="s">
        <v>1051</v>
      </c>
      <c r="B846" s="23">
        <v>9</v>
      </c>
      <c r="C846" s="20">
        <v>65</v>
      </c>
      <c r="D846" s="8">
        <v>50</v>
      </c>
      <c r="E846" s="8">
        <v>0.6</v>
      </c>
      <c r="F846" s="9">
        <v>854</v>
      </c>
      <c r="G846" s="8" t="s">
        <v>16</v>
      </c>
      <c r="H846" s="22" t="s">
        <v>997</v>
      </c>
      <c r="I846" s="22">
        <v>122</v>
      </c>
      <c r="J846" s="22">
        <v>15</v>
      </c>
      <c r="K846" s="22">
        <v>10</v>
      </c>
      <c r="L846" s="27" t="s">
        <v>22</v>
      </c>
      <c r="M846" s="12">
        <v>10</v>
      </c>
      <c r="N846" s="13"/>
      <c r="O846" s="13"/>
    </row>
    <row r="847" spans="1:15">
      <c r="A847" s="23" t="s">
        <v>1052</v>
      </c>
      <c r="B847" s="23">
        <v>9</v>
      </c>
      <c r="C847" s="20">
        <v>340</v>
      </c>
      <c r="D847" s="8">
        <v>50</v>
      </c>
      <c r="E847" s="8">
        <v>1.48</v>
      </c>
      <c r="F847" s="9">
        <v>855</v>
      </c>
      <c r="G847" s="8" t="s">
        <v>372</v>
      </c>
      <c r="H847" s="22" t="s">
        <v>83</v>
      </c>
      <c r="I847" s="22">
        <v>145</v>
      </c>
      <c r="J847" s="22">
        <v>29</v>
      </c>
      <c r="K847" s="22">
        <v>16</v>
      </c>
      <c r="L847" s="11" t="e">
        <v>#N/A</v>
      </c>
      <c r="M847" s="12">
        <v>2</v>
      </c>
      <c r="N847" s="13" t="s">
        <v>18</v>
      </c>
      <c r="O847" s="13"/>
    </row>
    <row r="848" spans="1:15">
      <c r="A848" s="23" t="s">
        <v>1053</v>
      </c>
      <c r="B848" s="23">
        <v>9</v>
      </c>
      <c r="C848" s="29">
        <v>67</v>
      </c>
      <c r="D848" s="8">
        <v>50</v>
      </c>
      <c r="E848" s="8">
        <v>0.6</v>
      </c>
      <c r="F848" s="9">
        <v>856</v>
      </c>
      <c r="G848" s="8" t="s">
        <v>16</v>
      </c>
      <c r="H848" s="22" t="s">
        <v>997</v>
      </c>
      <c r="I848" s="22">
        <v>122</v>
      </c>
      <c r="J848" s="22">
        <v>15</v>
      </c>
      <c r="K848" s="22">
        <v>10</v>
      </c>
      <c r="L848" s="27" t="s">
        <v>96</v>
      </c>
      <c r="M848" s="12">
        <v>0</v>
      </c>
      <c r="N848" s="13"/>
      <c r="O848" s="13"/>
    </row>
    <row r="849" spans="1:15">
      <c r="A849" s="23" t="s">
        <v>1054</v>
      </c>
      <c r="B849" s="23">
        <v>9</v>
      </c>
      <c r="C849" s="20">
        <v>79</v>
      </c>
      <c r="D849" s="8">
        <v>50</v>
      </c>
      <c r="E849" s="8">
        <v>0.6</v>
      </c>
      <c r="F849" s="9">
        <v>857</v>
      </c>
      <c r="G849" s="8" t="s">
        <v>16</v>
      </c>
      <c r="H849" s="22" t="s">
        <v>17</v>
      </c>
      <c r="I849" s="22">
        <v>122</v>
      </c>
      <c r="J849" s="22">
        <v>15</v>
      </c>
      <c r="K849" s="22">
        <v>10</v>
      </c>
      <c r="L849" s="27" t="s">
        <v>285</v>
      </c>
      <c r="M849" s="12">
        <v>151</v>
      </c>
      <c r="N849" s="13"/>
      <c r="O849" s="13"/>
    </row>
    <row r="850" spans="1:15">
      <c r="A850" s="23" t="s">
        <v>1055</v>
      </c>
      <c r="B850" s="23">
        <v>9</v>
      </c>
      <c r="C850" s="20">
        <v>79</v>
      </c>
      <c r="D850" s="8">
        <v>50</v>
      </c>
      <c r="E850" s="8">
        <v>0.6</v>
      </c>
      <c r="F850" s="9">
        <v>858</v>
      </c>
      <c r="G850" s="8" t="s">
        <v>16</v>
      </c>
      <c r="H850" s="22" t="s">
        <v>17</v>
      </c>
      <c r="I850" s="22">
        <v>122</v>
      </c>
      <c r="J850" s="22">
        <v>15</v>
      </c>
      <c r="K850" s="22">
        <v>10</v>
      </c>
      <c r="L850" s="27" t="s">
        <v>285</v>
      </c>
      <c r="M850" s="12">
        <v>0</v>
      </c>
      <c r="N850" s="13"/>
      <c r="O850" s="13"/>
    </row>
    <row r="851" spans="1:15">
      <c r="A851" s="23" t="s">
        <v>1056</v>
      </c>
      <c r="B851" s="23">
        <v>9</v>
      </c>
      <c r="C851" s="20">
        <v>79</v>
      </c>
      <c r="D851" s="8">
        <v>50</v>
      </c>
      <c r="E851" s="8">
        <v>0.6</v>
      </c>
      <c r="F851" s="9">
        <v>859</v>
      </c>
      <c r="G851" s="8" t="s">
        <v>16</v>
      </c>
      <c r="H851" s="22" t="s">
        <v>17</v>
      </c>
      <c r="I851" s="22">
        <v>122</v>
      </c>
      <c r="J851" s="22">
        <v>15</v>
      </c>
      <c r="K851" s="22">
        <v>10</v>
      </c>
      <c r="L851" s="27" t="s">
        <v>285</v>
      </c>
      <c r="M851" s="12">
        <v>84</v>
      </c>
      <c r="N851" s="13"/>
      <c r="O851" s="13"/>
    </row>
    <row r="852" spans="1:15">
      <c r="A852" s="23" t="s">
        <v>1057</v>
      </c>
      <c r="B852" s="23">
        <v>9</v>
      </c>
      <c r="C852" s="30">
        <v>483</v>
      </c>
      <c r="D852" s="8">
        <v>25</v>
      </c>
      <c r="E852" s="8">
        <v>1.6</v>
      </c>
      <c r="F852" s="9">
        <v>860</v>
      </c>
      <c r="G852" s="8" t="s">
        <v>722</v>
      </c>
      <c r="H852" s="10" t="s">
        <v>73</v>
      </c>
      <c r="I852" s="10">
        <v>183</v>
      </c>
      <c r="J852" s="10">
        <v>29</v>
      </c>
      <c r="K852" s="10">
        <v>16</v>
      </c>
      <c r="L852" s="11" t="s">
        <v>1058</v>
      </c>
      <c r="M852" s="12">
        <v>0</v>
      </c>
      <c r="N852" s="13"/>
      <c r="O852" s="13"/>
    </row>
    <row r="853" spans="1:15">
      <c r="A853" s="23" t="s">
        <v>1059</v>
      </c>
      <c r="B853" s="23">
        <v>9</v>
      </c>
      <c r="C853" s="20">
        <v>84</v>
      </c>
      <c r="D853" s="8">
        <v>50</v>
      </c>
      <c r="E853" s="8">
        <v>0.6</v>
      </c>
      <c r="F853" s="9">
        <v>861</v>
      </c>
      <c r="G853" s="8" t="s">
        <v>16</v>
      </c>
      <c r="H853" s="22" t="s">
        <v>17</v>
      </c>
      <c r="I853" s="22">
        <v>122</v>
      </c>
      <c r="J853" s="22">
        <v>15</v>
      </c>
      <c r="K853" s="22">
        <v>10</v>
      </c>
      <c r="L853" s="27" t="s">
        <v>299</v>
      </c>
      <c r="M853" s="12">
        <v>4</v>
      </c>
      <c r="N853" s="13"/>
      <c r="O853" s="13"/>
    </row>
    <row r="854" spans="1:15">
      <c r="A854" s="23" t="s">
        <v>1060</v>
      </c>
      <c r="B854" s="23">
        <v>9</v>
      </c>
      <c r="C854" s="20">
        <v>340</v>
      </c>
      <c r="D854" s="8">
        <v>50</v>
      </c>
      <c r="E854" s="8">
        <v>1.48</v>
      </c>
      <c r="F854" s="9">
        <v>862</v>
      </c>
      <c r="G854" s="8" t="s">
        <v>372</v>
      </c>
      <c r="H854" s="22" t="s">
        <v>83</v>
      </c>
      <c r="I854" s="22">
        <v>145</v>
      </c>
      <c r="J854" s="22">
        <v>29</v>
      </c>
      <c r="K854" s="22">
        <v>16</v>
      </c>
      <c r="L854" s="11" t="e">
        <v>#N/A</v>
      </c>
      <c r="M854" s="12">
        <v>0</v>
      </c>
      <c r="N854" s="13" t="s">
        <v>18</v>
      </c>
      <c r="O854" s="13"/>
    </row>
    <row r="855" spans="1:15">
      <c r="A855" s="23" t="s">
        <v>1061</v>
      </c>
      <c r="B855" s="23">
        <v>9</v>
      </c>
      <c r="C855" s="20">
        <v>52</v>
      </c>
      <c r="D855" s="8">
        <v>50</v>
      </c>
      <c r="E855" s="8">
        <v>0.6</v>
      </c>
      <c r="F855" s="9">
        <v>863</v>
      </c>
      <c r="G855" s="8" t="s">
        <v>16</v>
      </c>
      <c r="H855" s="22" t="s">
        <v>997</v>
      </c>
      <c r="I855" s="22">
        <v>122</v>
      </c>
      <c r="J855" s="22">
        <v>15</v>
      </c>
      <c r="K855" s="22">
        <v>10</v>
      </c>
      <c r="L855" s="27" t="s">
        <v>1062</v>
      </c>
      <c r="M855" s="12">
        <v>2</v>
      </c>
      <c r="N855" s="13"/>
      <c r="O855" s="13"/>
    </row>
    <row r="856" spans="1:15">
      <c r="A856" s="23" t="s">
        <v>1063</v>
      </c>
      <c r="B856" s="23">
        <v>9</v>
      </c>
      <c r="C856" s="20">
        <v>81</v>
      </c>
      <c r="D856" s="8">
        <v>50</v>
      </c>
      <c r="E856" s="8">
        <v>0.6</v>
      </c>
      <c r="F856" s="9">
        <v>864</v>
      </c>
      <c r="G856" s="8" t="s">
        <v>16</v>
      </c>
      <c r="H856" s="22" t="s">
        <v>997</v>
      </c>
      <c r="I856" s="22">
        <v>122</v>
      </c>
      <c r="J856" s="22">
        <v>15</v>
      </c>
      <c r="K856" s="22">
        <v>10</v>
      </c>
      <c r="L856" s="27" t="s">
        <v>136</v>
      </c>
      <c r="M856" s="12">
        <v>89</v>
      </c>
      <c r="N856" s="13"/>
      <c r="O856" s="13"/>
    </row>
    <row r="857" spans="1:15">
      <c r="A857" s="23" t="s">
        <v>1064</v>
      </c>
      <c r="B857" s="23">
        <v>9</v>
      </c>
      <c r="C857" s="20">
        <v>81</v>
      </c>
      <c r="D857" s="8">
        <v>50</v>
      </c>
      <c r="E857" s="8">
        <v>0.6</v>
      </c>
      <c r="F857" s="9">
        <v>865</v>
      </c>
      <c r="G857" s="8" t="s">
        <v>16</v>
      </c>
      <c r="H857" s="22" t="s">
        <v>997</v>
      </c>
      <c r="I857" s="22">
        <v>122</v>
      </c>
      <c r="J857" s="22">
        <v>15</v>
      </c>
      <c r="K857" s="22">
        <v>10</v>
      </c>
      <c r="L857" s="27" t="s">
        <v>330</v>
      </c>
      <c r="M857" s="12">
        <v>141</v>
      </c>
      <c r="N857" s="13"/>
      <c r="O857" s="13"/>
    </row>
    <row r="858" spans="1:15">
      <c r="A858" s="23" t="s">
        <v>1065</v>
      </c>
      <c r="B858" s="23">
        <v>9</v>
      </c>
      <c r="C858" s="20">
        <v>70</v>
      </c>
      <c r="D858" s="8">
        <v>50</v>
      </c>
      <c r="E858" s="8">
        <v>0.6</v>
      </c>
      <c r="F858" s="9">
        <v>866</v>
      </c>
      <c r="G858" s="8" t="s">
        <v>16</v>
      </c>
      <c r="H858" s="22" t="s">
        <v>997</v>
      </c>
      <c r="I858" s="22">
        <v>122</v>
      </c>
      <c r="J858" s="22">
        <v>15</v>
      </c>
      <c r="K858" s="22">
        <v>10</v>
      </c>
      <c r="L858" s="27" t="s">
        <v>121</v>
      </c>
      <c r="M858" s="12">
        <v>22</v>
      </c>
      <c r="N858" s="13"/>
      <c r="O858" s="13"/>
    </row>
    <row r="859" spans="1:15">
      <c r="A859" s="23" t="s">
        <v>1066</v>
      </c>
      <c r="B859" s="23">
        <v>9</v>
      </c>
      <c r="C859" s="20">
        <v>71</v>
      </c>
      <c r="D859" s="8">
        <v>50</v>
      </c>
      <c r="E859" s="8">
        <v>0.6</v>
      </c>
      <c r="F859" s="9">
        <v>867</v>
      </c>
      <c r="G859" s="8" t="s">
        <v>16</v>
      </c>
      <c r="H859" s="22" t="s">
        <v>997</v>
      </c>
      <c r="I859" s="22">
        <v>122</v>
      </c>
      <c r="J859" s="22">
        <v>15</v>
      </c>
      <c r="K859" s="22">
        <v>10</v>
      </c>
      <c r="L859" s="27" t="s">
        <v>235</v>
      </c>
      <c r="M859" s="12">
        <v>81</v>
      </c>
      <c r="N859" s="13"/>
      <c r="O859" s="13"/>
    </row>
    <row r="860" spans="1:15">
      <c r="A860" s="23" t="s">
        <v>1067</v>
      </c>
      <c r="B860" s="23">
        <v>9</v>
      </c>
      <c r="C860" s="20">
        <v>80</v>
      </c>
      <c r="D860" s="8">
        <v>50</v>
      </c>
      <c r="E860" s="8">
        <v>0.6</v>
      </c>
      <c r="F860" s="9">
        <v>868</v>
      </c>
      <c r="G860" s="8" t="s">
        <v>16</v>
      </c>
      <c r="H860" s="22" t="s">
        <v>997</v>
      </c>
      <c r="I860" s="22">
        <v>122</v>
      </c>
      <c r="J860" s="22">
        <v>15</v>
      </c>
      <c r="K860" s="22">
        <v>10</v>
      </c>
      <c r="L860" s="27" t="s">
        <v>1026</v>
      </c>
      <c r="M860" s="12">
        <v>6</v>
      </c>
      <c r="N860" s="13"/>
      <c r="O860" s="13"/>
    </row>
    <row r="861" spans="1:15">
      <c r="A861" s="23" t="s">
        <v>1068</v>
      </c>
      <c r="B861" s="23">
        <v>9</v>
      </c>
      <c r="C861" s="20">
        <v>342</v>
      </c>
      <c r="D861" s="8">
        <v>50</v>
      </c>
      <c r="E861" s="8">
        <v>1.48</v>
      </c>
      <c r="F861" s="9">
        <v>869</v>
      </c>
      <c r="G861" s="8" t="s">
        <v>372</v>
      </c>
      <c r="H861" s="22" t="s">
        <v>83</v>
      </c>
      <c r="I861" s="22">
        <v>145</v>
      </c>
      <c r="J861" s="22">
        <v>29</v>
      </c>
      <c r="K861" s="22">
        <v>16</v>
      </c>
      <c r="L861" s="11" t="s">
        <v>894</v>
      </c>
      <c r="M861" s="12" t="e">
        <v>#N/A</v>
      </c>
      <c r="N861" s="13"/>
      <c r="O861" s="13"/>
    </row>
    <row r="862" spans="1:15">
      <c r="A862" s="23" t="s">
        <v>1069</v>
      </c>
      <c r="B862" s="23">
        <v>9</v>
      </c>
      <c r="C862" s="20">
        <v>296</v>
      </c>
      <c r="D862" s="8">
        <v>50</v>
      </c>
      <c r="E862" s="8">
        <v>1.48</v>
      </c>
      <c r="F862" s="9">
        <v>870</v>
      </c>
      <c r="G862" s="8" t="s">
        <v>372</v>
      </c>
      <c r="H862" s="22" t="s">
        <v>83</v>
      </c>
      <c r="I862" s="22">
        <v>145</v>
      </c>
      <c r="J862" s="22">
        <v>29</v>
      </c>
      <c r="K862" s="22">
        <v>16</v>
      </c>
      <c r="L862" s="11" t="s">
        <v>1070</v>
      </c>
      <c r="M862" s="12">
        <v>0</v>
      </c>
      <c r="N862" s="13"/>
      <c r="O862" s="13"/>
    </row>
    <row r="863" spans="1:15">
      <c r="A863" s="23" t="s">
        <v>1071</v>
      </c>
      <c r="B863" s="23">
        <v>9</v>
      </c>
      <c r="C863" s="20">
        <v>325</v>
      </c>
      <c r="D863" s="8">
        <v>50</v>
      </c>
      <c r="E863" s="8">
        <v>1.48</v>
      </c>
      <c r="F863" s="9">
        <v>871</v>
      </c>
      <c r="G863" s="8" t="s">
        <v>372</v>
      </c>
      <c r="H863" s="22" t="s">
        <v>83</v>
      </c>
      <c r="I863" s="22">
        <v>145</v>
      </c>
      <c r="J863" s="22">
        <v>29</v>
      </c>
      <c r="K863" s="22">
        <v>16</v>
      </c>
      <c r="L863" s="11" t="s">
        <v>1017</v>
      </c>
      <c r="M863" s="12">
        <v>0</v>
      </c>
      <c r="N863" s="13"/>
      <c r="O863" s="13"/>
    </row>
    <row r="864" spans="1:15">
      <c r="A864" s="23" t="s">
        <v>1072</v>
      </c>
      <c r="B864" s="23">
        <v>9</v>
      </c>
      <c r="C864" s="20">
        <v>111</v>
      </c>
      <c r="D864" s="8">
        <v>50</v>
      </c>
      <c r="E864" s="8">
        <v>0.6</v>
      </c>
      <c r="F864" s="9">
        <v>872</v>
      </c>
      <c r="G864" s="8" t="s">
        <v>16</v>
      </c>
      <c r="H864" s="22" t="s">
        <v>997</v>
      </c>
      <c r="I864" s="22">
        <v>122</v>
      </c>
      <c r="J864" s="22">
        <v>15</v>
      </c>
      <c r="K864" s="22">
        <v>10</v>
      </c>
      <c r="L864" s="27" t="s">
        <v>790</v>
      </c>
      <c r="M864" s="12">
        <v>55</v>
      </c>
      <c r="N864" s="13"/>
      <c r="O864" s="13"/>
    </row>
    <row r="865" spans="1:15">
      <c r="A865" s="23" t="s">
        <v>1073</v>
      </c>
      <c r="B865" s="23">
        <v>9</v>
      </c>
      <c r="C865" s="20">
        <v>340</v>
      </c>
      <c r="D865" s="8">
        <v>50</v>
      </c>
      <c r="E865" s="8">
        <v>1.48</v>
      </c>
      <c r="F865" s="9">
        <v>873</v>
      </c>
      <c r="G865" s="8" t="s">
        <v>372</v>
      </c>
      <c r="H865" s="22" t="s">
        <v>83</v>
      </c>
      <c r="I865" s="22">
        <v>145</v>
      </c>
      <c r="J865" s="22">
        <v>29</v>
      </c>
      <c r="K865" s="22">
        <v>16</v>
      </c>
      <c r="L865" s="11" t="e">
        <v>#N/A</v>
      </c>
      <c r="M865" s="12">
        <v>0</v>
      </c>
      <c r="N865" s="13" t="s">
        <v>18</v>
      </c>
      <c r="O865" s="13"/>
    </row>
    <row r="866" spans="1:15">
      <c r="A866" s="23" t="s">
        <v>1074</v>
      </c>
      <c r="B866" s="23">
        <v>9</v>
      </c>
      <c r="C866" s="20">
        <v>106</v>
      </c>
      <c r="D866" s="8">
        <v>50</v>
      </c>
      <c r="E866" s="8">
        <v>0.6</v>
      </c>
      <c r="F866" s="9">
        <v>874</v>
      </c>
      <c r="G866" s="8" t="s">
        <v>16</v>
      </c>
      <c r="H866" s="22" t="s">
        <v>997</v>
      </c>
      <c r="I866" s="22">
        <v>122</v>
      </c>
      <c r="J866" s="22">
        <v>15</v>
      </c>
      <c r="K866" s="22">
        <v>10</v>
      </c>
      <c r="L866" s="27" t="s">
        <v>1075</v>
      </c>
      <c r="M866" s="12">
        <v>9</v>
      </c>
      <c r="N866" s="13"/>
      <c r="O866" s="13"/>
    </row>
    <row r="867" spans="1:15">
      <c r="A867" s="23" t="s">
        <v>1076</v>
      </c>
      <c r="B867" s="23">
        <v>9</v>
      </c>
      <c r="C867" s="30">
        <v>64</v>
      </c>
      <c r="D867" s="8">
        <v>50</v>
      </c>
      <c r="E867" s="8">
        <v>0.6</v>
      </c>
      <c r="F867" s="9">
        <v>875</v>
      </c>
      <c r="G867" s="8" t="s">
        <v>16</v>
      </c>
      <c r="H867" s="22" t="s">
        <v>997</v>
      </c>
      <c r="I867" s="22">
        <v>122</v>
      </c>
      <c r="J867" s="22">
        <v>15</v>
      </c>
      <c r="K867" s="22">
        <v>10</v>
      </c>
      <c r="L867" s="27" t="s">
        <v>64</v>
      </c>
      <c r="M867" s="12">
        <v>0</v>
      </c>
      <c r="N867" s="13"/>
      <c r="O867" s="13"/>
    </row>
    <row r="868" spans="1:15">
      <c r="A868" s="23" t="s">
        <v>1077</v>
      </c>
      <c r="B868" s="23">
        <v>9</v>
      </c>
      <c r="C868" s="30">
        <v>76</v>
      </c>
      <c r="D868" s="8">
        <v>50</v>
      </c>
      <c r="E868" s="8">
        <v>0.6</v>
      </c>
      <c r="F868" s="9">
        <v>876</v>
      </c>
      <c r="G868" s="8" t="s">
        <v>16</v>
      </c>
      <c r="H868" s="22" t="s">
        <v>997</v>
      </c>
      <c r="I868" s="22">
        <v>122</v>
      </c>
      <c r="J868" s="22">
        <v>15</v>
      </c>
      <c r="K868" s="22">
        <v>10</v>
      </c>
      <c r="L868" s="27" t="s">
        <v>131</v>
      </c>
      <c r="M868" s="12">
        <v>1</v>
      </c>
      <c r="N868" s="13"/>
      <c r="O868" s="13"/>
    </row>
    <row r="869" spans="1:15">
      <c r="A869" s="23" t="s">
        <v>1078</v>
      </c>
      <c r="B869" s="23">
        <v>9</v>
      </c>
      <c r="C869" s="30">
        <v>67</v>
      </c>
      <c r="D869" s="8">
        <v>50</v>
      </c>
      <c r="E869" s="8">
        <v>0.6</v>
      </c>
      <c r="F869" s="9">
        <v>877</v>
      </c>
      <c r="G869" s="8" t="s">
        <v>16</v>
      </c>
      <c r="H869" s="22" t="s">
        <v>997</v>
      </c>
      <c r="I869" s="22">
        <v>122</v>
      </c>
      <c r="J869" s="22">
        <v>15</v>
      </c>
      <c r="K869" s="22">
        <v>10</v>
      </c>
      <c r="L869" s="27" t="s">
        <v>96</v>
      </c>
      <c r="M869" s="12">
        <v>2</v>
      </c>
      <c r="N869" s="13"/>
      <c r="O869" s="13"/>
    </row>
    <row r="870" spans="1:15">
      <c r="A870" s="23" t="s">
        <v>1079</v>
      </c>
      <c r="B870" s="23">
        <v>9</v>
      </c>
      <c r="C870" s="30">
        <v>69</v>
      </c>
      <c r="D870" s="8">
        <v>50</v>
      </c>
      <c r="E870" s="8">
        <v>0.6</v>
      </c>
      <c r="F870" s="9">
        <v>878</v>
      </c>
      <c r="G870" s="8" t="s">
        <v>16</v>
      </c>
      <c r="H870" s="22" t="s">
        <v>997</v>
      </c>
      <c r="I870" s="22">
        <v>122</v>
      </c>
      <c r="J870" s="22">
        <v>15</v>
      </c>
      <c r="K870" s="22">
        <v>10</v>
      </c>
      <c r="L870" s="27" t="s">
        <v>123</v>
      </c>
      <c r="M870" s="12">
        <v>0</v>
      </c>
      <c r="N870" s="13"/>
      <c r="O870" s="13"/>
    </row>
    <row r="871" spans="1:15">
      <c r="A871" s="23" t="s">
        <v>1080</v>
      </c>
      <c r="B871" s="23">
        <v>9</v>
      </c>
      <c r="C871" s="30">
        <v>68</v>
      </c>
      <c r="D871" s="8">
        <v>50</v>
      </c>
      <c r="E871" s="8">
        <v>0.6</v>
      </c>
      <c r="F871" s="9">
        <v>879</v>
      </c>
      <c r="G871" s="8" t="s">
        <v>16</v>
      </c>
      <c r="H871" s="22" t="s">
        <v>997</v>
      </c>
      <c r="I871" s="22">
        <v>122</v>
      </c>
      <c r="J871" s="22">
        <v>15</v>
      </c>
      <c r="K871" s="22">
        <v>10</v>
      </c>
      <c r="L871" s="27" t="s">
        <v>118</v>
      </c>
      <c r="M871" s="12">
        <v>0</v>
      </c>
      <c r="N871" s="13"/>
      <c r="O871" s="13"/>
    </row>
    <row r="872" spans="1:15">
      <c r="A872" s="23" t="s">
        <v>1081</v>
      </c>
      <c r="B872" s="23">
        <v>9</v>
      </c>
      <c r="C872" s="30">
        <v>70</v>
      </c>
      <c r="D872" s="8">
        <v>50</v>
      </c>
      <c r="E872" s="8">
        <v>0.6</v>
      </c>
      <c r="F872" s="9">
        <v>880</v>
      </c>
      <c r="G872" s="8" t="s">
        <v>16</v>
      </c>
      <c r="H872" s="22" t="s">
        <v>997</v>
      </c>
      <c r="I872" s="22">
        <v>122</v>
      </c>
      <c r="J872" s="22">
        <v>15</v>
      </c>
      <c r="K872" s="22">
        <v>10</v>
      </c>
      <c r="L872" s="27" t="s">
        <v>121</v>
      </c>
      <c r="M872" s="12">
        <v>0</v>
      </c>
      <c r="N872" s="13"/>
      <c r="O872" s="13"/>
    </row>
    <row r="873" spans="1:15">
      <c r="A873" s="23" t="s">
        <v>1082</v>
      </c>
      <c r="B873" s="23">
        <v>9</v>
      </c>
      <c r="C873" s="30">
        <v>65</v>
      </c>
      <c r="D873" s="8">
        <v>50</v>
      </c>
      <c r="E873" s="8">
        <v>0.6</v>
      </c>
      <c r="F873" s="9">
        <v>881</v>
      </c>
      <c r="G873" s="8" t="s">
        <v>16</v>
      </c>
      <c r="H873" s="22" t="s">
        <v>997</v>
      </c>
      <c r="I873" s="22">
        <v>122</v>
      </c>
      <c r="J873" s="22">
        <v>15</v>
      </c>
      <c r="K873" s="22">
        <v>10</v>
      </c>
      <c r="L873" s="27" t="s">
        <v>22</v>
      </c>
      <c r="M873" s="12">
        <v>2</v>
      </c>
      <c r="N873" s="13"/>
      <c r="O873" s="13"/>
    </row>
    <row r="874" spans="1:15">
      <c r="A874" s="23" t="s">
        <v>1083</v>
      </c>
      <c r="B874" s="23">
        <v>9</v>
      </c>
      <c r="C874" s="30">
        <v>67</v>
      </c>
      <c r="D874" s="8">
        <v>50</v>
      </c>
      <c r="E874" s="8">
        <v>0.6</v>
      </c>
      <c r="F874" s="9">
        <v>882</v>
      </c>
      <c r="G874" s="8" t="s">
        <v>16</v>
      </c>
      <c r="H874" s="22" t="s">
        <v>997</v>
      </c>
      <c r="I874" s="22">
        <v>122</v>
      </c>
      <c r="J874" s="22">
        <v>15</v>
      </c>
      <c r="K874" s="22">
        <v>10</v>
      </c>
      <c r="L874" s="27" t="s">
        <v>96</v>
      </c>
      <c r="M874" s="12">
        <v>526</v>
      </c>
      <c r="N874" s="13"/>
      <c r="O874" s="13"/>
    </row>
    <row r="875" spans="1:15">
      <c r="A875" s="23" t="s">
        <v>1084</v>
      </c>
      <c r="B875" s="23">
        <v>9</v>
      </c>
      <c r="C875" s="30">
        <v>69</v>
      </c>
      <c r="D875" s="8">
        <v>50</v>
      </c>
      <c r="E875" s="8">
        <v>0.6</v>
      </c>
      <c r="F875" s="9">
        <v>883</v>
      </c>
      <c r="G875" s="8" t="s">
        <v>16</v>
      </c>
      <c r="H875" s="22" t="s">
        <v>997</v>
      </c>
      <c r="I875" s="22">
        <v>122</v>
      </c>
      <c r="J875" s="22">
        <v>15</v>
      </c>
      <c r="K875" s="22">
        <v>10</v>
      </c>
      <c r="L875" s="27" t="s">
        <v>123</v>
      </c>
      <c r="M875" s="12">
        <v>668</v>
      </c>
      <c r="N875" s="13"/>
      <c r="O875" s="13"/>
    </row>
    <row r="876" spans="1:15">
      <c r="A876" s="23" t="s">
        <v>1085</v>
      </c>
      <c r="B876" s="23">
        <v>9</v>
      </c>
      <c r="C876" s="20">
        <v>327</v>
      </c>
      <c r="D876" s="8">
        <v>50</v>
      </c>
      <c r="E876" s="8">
        <v>1.48</v>
      </c>
      <c r="F876" s="9">
        <v>884</v>
      </c>
      <c r="G876" s="8" t="s">
        <v>372</v>
      </c>
      <c r="H876" s="22" t="s">
        <v>83</v>
      </c>
      <c r="I876" s="22">
        <v>145</v>
      </c>
      <c r="J876" s="22">
        <v>29</v>
      </c>
      <c r="K876" s="22">
        <v>16</v>
      </c>
      <c r="L876" s="11" t="s">
        <v>892</v>
      </c>
      <c r="M876" s="12">
        <v>0</v>
      </c>
      <c r="N876" s="13"/>
      <c r="O876" s="13"/>
    </row>
    <row r="877" spans="1:15">
      <c r="A877" s="23" t="s">
        <v>1086</v>
      </c>
      <c r="B877" s="23">
        <v>9</v>
      </c>
      <c r="C877" s="30">
        <v>69</v>
      </c>
      <c r="D877" s="8">
        <v>50</v>
      </c>
      <c r="E877" s="31">
        <v>0.64</v>
      </c>
      <c r="F877" s="9">
        <v>885</v>
      </c>
      <c r="G877" s="8" t="s">
        <v>16</v>
      </c>
      <c r="H877" s="10" t="s">
        <v>104</v>
      </c>
      <c r="I877" s="10">
        <v>130</v>
      </c>
      <c r="J877" s="10">
        <v>15</v>
      </c>
      <c r="K877" s="10">
        <v>10</v>
      </c>
      <c r="L877" s="27" t="s">
        <v>123</v>
      </c>
      <c r="M877" s="12">
        <v>44</v>
      </c>
      <c r="N877" s="13"/>
      <c r="O877" s="13"/>
    </row>
    <row r="878" spans="1:15">
      <c r="A878" s="23" t="s">
        <v>1087</v>
      </c>
      <c r="B878" s="23">
        <v>9</v>
      </c>
      <c r="C878" s="29">
        <v>155</v>
      </c>
      <c r="D878" s="8">
        <v>6</v>
      </c>
      <c r="E878" s="8">
        <v>0.2</v>
      </c>
      <c r="F878" s="9">
        <v>886</v>
      </c>
      <c r="G878" s="8" t="s">
        <v>902</v>
      </c>
      <c r="H878" s="10" t="s">
        <v>630</v>
      </c>
      <c r="I878" s="10">
        <v>45</v>
      </c>
      <c r="J878" s="10">
        <v>26</v>
      </c>
      <c r="K878" s="10">
        <v>8</v>
      </c>
      <c r="L878" s="11" t="s">
        <v>631</v>
      </c>
      <c r="M878" s="12">
        <v>0</v>
      </c>
      <c r="N878" s="13"/>
      <c r="O878" s="13"/>
    </row>
    <row r="879" spans="1:15">
      <c r="A879" s="23" t="s">
        <v>1088</v>
      </c>
      <c r="B879" s="23">
        <v>9</v>
      </c>
      <c r="C879" s="29">
        <v>155</v>
      </c>
      <c r="D879" s="8">
        <v>6</v>
      </c>
      <c r="E879" s="8">
        <v>0.2</v>
      </c>
      <c r="F879" s="9">
        <v>887</v>
      </c>
      <c r="G879" s="8" t="s">
        <v>902</v>
      </c>
      <c r="H879" s="10" t="s">
        <v>630</v>
      </c>
      <c r="I879" s="10">
        <v>45</v>
      </c>
      <c r="J879" s="10">
        <v>26</v>
      </c>
      <c r="K879" s="10">
        <v>8</v>
      </c>
      <c r="L879" s="11" t="s">
        <v>631</v>
      </c>
      <c r="M879" s="12">
        <v>0</v>
      </c>
      <c r="N879" s="13"/>
      <c r="O879" s="13"/>
    </row>
    <row r="880" spans="1:15">
      <c r="A880" s="23" t="s">
        <v>1089</v>
      </c>
      <c r="B880" s="23">
        <v>9</v>
      </c>
      <c r="C880" s="30">
        <v>475</v>
      </c>
      <c r="D880" s="8">
        <v>25</v>
      </c>
      <c r="E880" s="8">
        <v>1.6</v>
      </c>
      <c r="F880" s="9">
        <v>888</v>
      </c>
      <c r="G880" s="8" t="s">
        <v>722</v>
      </c>
      <c r="H880" s="10" t="s">
        <v>73</v>
      </c>
      <c r="I880" s="10">
        <v>183</v>
      </c>
      <c r="J880" s="10">
        <v>29</v>
      </c>
      <c r="K880" s="10">
        <v>16</v>
      </c>
      <c r="L880" s="11" t="s">
        <v>440</v>
      </c>
      <c r="M880" s="12">
        <v>20</v>
      </c>
      <c r="N880" s="13"/>
      <c r="O880" s="13"/>
    </row>
    <row r="881" spans="1:15">
      <c r="A881" s="23" t="s">
        <v>1090</v>
      </c>
      <c r="B881" s="23">
        <v>9</v>
      </c>
      <c r="C881" s="30">
        <v>475</v>
      </c>
      <c r="D881" s="8">
        <v>25</v>
      </c>
      <c r="E881" s="8">
        <v>1.6</v>
      </c>
      <c r="F881" s="9">
        <v>889</v>
      </c>
      <c r="G881" s="8" t="s">
        <v>722</v>
      </c>
      <c r="H881" s="10" t="s">
        <v>73</v>
      </c>
      <c r="I881" s="10">
        <v>183</v>
      </c>
      <c r="J881" s="10">
        <v>29</v>
      </c>
      <c r="K881" s="10">
        <v>16</v>
      </c>
      <c r="L881" s="11" t="s">
        <v>440</v>
      </c>
      <c r="M881" s="12">
        <v>23</v>
      </c>
      <c r="N881" s="13"/>
      <c r="O881" s="13"/>
    </row>
    <row r="882" spans="1:15">
      <c r="A882" s="23" t="s">
        <v>1091</v>
      </c>
      <c r="B882" s="23">
        <v>9</v>
      </c>
      <c r="C882" s="30">
        <v>505</v>
      </c>
      <c r="D882" s="8">
        <v>25</v>
      </c>
      <c r="E882" s="8">
        <v>1.6</v>
      </c>
      <c r="F882" s="9">
        <v>890</v>
      </c>
      <c r="G882" s="8" t="s">
        <v>722</v>
      </c>
      <c r="H882" s="10" t="s">
        <v>73</v>
      </c>
      <c r="I882" s="10">
        <v>183</v>
      </c>
      <c r="J882" s="10">
        <v>29</v>
      </c>
      <c r="K882" s="10">
        <v>16</v>
      </c>
      <c r="L882" s="11" t="s">
        <v>1092</v>
      </c>
      <c r="M882" s="12">
        <v>0</v>
      </c>
      <c r="N882" s="13"/>
      <c r="O882" s="13"/>
    </row>
    <row r="883" spans="1:15">
      <c r="A883" s="23" t="s">
        <v>1093</v>
      </c>
      <c r="B883" s="23">
        <v>9</v>
      </c>
      <c r="C883" s="30">
        <v>505</v>
      </c>
      <c r="D883" s="8">
        <v>25</v>
      </c>
      <c r="E883" s="8">
        <v>1.6</v>
      </c>
      <c r="F883" s="9">
        <v>891</v>
      </c>
      <c r="G883" s="8" t="s">
        <v>722</v>
      </c>
      <c r="H883" s="10" t="s">
        <v>73</v>
      </c>
      <c r="I883" s="10">
        <v>183</v>
      </c>
      <c r="J883" s="10">
        <v>29</v>
      </c>
      <c r="K883" s="10">
        <v>16</v>
      </c>
      <c r="L883" s="11" t="s">
        <v>1092</v>
      </c>
      <c r="M883" s="12">
        <v>0</v>
      </c>
      <c r="N883" s="13"/>
      <c r="O883" s="13"/>
    </row>
    <row r="884" spans="1:15">
      <c r="A884" s="23" t="s">
        <v>1094</v>
      </c>
      <c r="B884" s="23">
        <v>9</v>
      </c>
      <c r="C884" s="30">
        <v>475</v>
      </c>
      <c r="D884" s="8">
        <v>25</v>
      </c>
      <c r="E884" s="8">
        <v>1.6</v>
      </c>
      <c r="F884" s="9">
        <v>892</v>
      </c>
      <c r="G884" s="8" t="s">
        <v>722</v>
      </c>
      <c r="H884" s="10" t="s">
        <v>73</v>
      </c>
      <c r="I884" s="10">
        <v>183</v>
      </c>
      <c r="J884" s="10">
        <v>29</v>
      </c>
      <c r="K884" s="10">
        <v>16</v>
      </c>
      <c r="L884" s="11" t="s">
        <v>440</v>
      </c>
      <c r="M884" s="12">
        <v>22</v>
      </c>
      <c r="N884" s="13"/>
      <c r="O884" s="13"/>
    </row>
    <row r="885" spans="1:15">
      <c r="A885" s="23" t="s">
        <v>1095</v>
      </c>
      <c r="B885" s="23">
        <v>9</v>
      </c>
      <c r="C885" s="30">
        <v>475</v>
      </c>
      <c r="D885" s="8">
        <v>25</v>
      </c>
      <c r="E885" s="8">
        <v>1.6</v>
      </c>
      <c r="F885" s="9">
        <v>893</v>
      </c>
      <c r="G885" s="8" t="s">
        <v>722</v>
      </c>
      <c r="H885" s="10" t="s">
        <v>73</v>
      </c>
      <c r="I885" s="10">
        <v>183</v>
      </c>
      <c r="J885" s="10">
        <v>29</v>
      </c>
      <c r="K885" s="10">
        <v>16</v>
      </c>
      <c r="L885" s="11" t="s">
        <v>440</v>
      </c>
      <c r="M885" s="12">
        <v>24</v>
      </c>
      <c r="N885" s="13"/>
      <c r="O885" s="13"/>
    </row>
    <row r="886" spans="1:15">
      <c r="A886" s="23" t="s">
        <v>1096</v>
      </c>
      <c r="B886" s="23">
        <v>9</v>
      </c>
      <c r="C886" s="30">
        <v>505</v>
      </c>
      <c r="D886" s="8">
        <v>25</v>
      </c>
      <c r="E886" s="8">
        <v>1.6</v>
      </c>
      <c r="F886" s="9">
        <v>894</v>
      </c>
      <c r="G886" s="8" t="s">
        <v>722</v>
      </c>
      <c r="H886" s="10" t="s">
        <v>73</v>
      </c>
      <c r="I886" s="10">
        <v>183</v>
      </c>
      <c r="J886" s="10">
        <v>29</v>
      </c>
      <c r="K886" s="10">
        <v>16</v>
      </c>
      <c r="L886" s="11" t="s">
        <v>1092</v>
      </c>
      <c r="M886" s="12">
        <v>22</v>
      </c>
      <c r="N886" s="13"/>
      <c r="O886" s="13"/>
    </row>
    <row r="887" spans="1:15">
      <c r="A887" s="23" t="s">
        <v>1097</v>
      </c>
      <c r="B887" s="23">
        <v>9</v>
      </c>
      <c r="C887" s="30">
        <v>505</v>
      </c>
      <c r="D887" s="8">
        <v>25</v>
      </c>
      <c r="E887" s="8">
        <v>1.6</v>
      </c>
      <c r="F887" s="9">
        <v>895</v>
      </c>
      <c r="G887" s="8" t="s">
        <v>722</v>
      </c>
      <c r="H887" s="10" t="s">
        <v>73</v>
      </c>
      <c r="I887" s="10">
        <v>183</v>
      </c>
      <c r="J887" s="10">
        <v>29</v>
      </c>
      <c r="K887" s="10">
        <v>16</v>
      </c>
      <c r="L887" s="11" t="s">
        <v>1092</v>
      </c>
      <c r="M887" s="12">
        <v>61</v>
      </c>
      <c r="N887" s="13"/>
      <c r="O887" s="13"/>
    </row>
    <row r="888" spans="1:15">
      <c r="A888" s="23" t="s">
        <v>1098</v>
      </c>
      <c r="B888" s="23">
        <v>9</v>
      </c>
      <c r="C888" s="30">
        <v>475</v>
      </c>
      <c r="D888" s="8">
        <v>25</v>
      </c>
      <c r="E888" s="8">
        <v>1.6</v>
      </c>
      <c r="F888" s="9">
        <v>896</v>
      </c>
      <c r="G888" s="8" t="s">
        <v>722</v>
      </c>
      <c r="H888" s="10" t="s">
        <v>73</v>
      </c>
      <c r="I888" s="10">
        <v>183</v>
      </c>
      <c r="J888" s="10">
        <v>29</v>
      </c>
      <c r="K888" s="10">
        <v>16</v>
      </c>
      <c r="L888" s="11" t="s">
        <v>440</v>
      </c>
      <c r="M888" s="12">
        <v>12</v>
      </c>
      <c r="N888" s="13"/>
      <c r="O888" s="13"/>
    </row>
    <row r="889" spans="1:15">
      <c r="A889" s="23" t="s">
        <v>1099</v>
      </c>
      <c r="B889" s="23">
        <v>9</v>
      </c>
      <c r="C889" s="30">
        <v>475</v>
      </c>
      <c r="D889" s="8">
        <v>25</v>
      </c>
      <c r="E889" s="8">
        <v>1.6</v>
      </c>
      <c r="F889" s="9">
        <v>897</v>
      </c>
      <c r="G889" s="8" t="s">
        <v>722</v>
      </c>
      <c r="H889" s="10" t="s">
        <v>73</v>
      </c>
      <c r="I889" s="10">
        <v>183</v>
      </c>
      <c r="J889" s="10">
        <v>29</v>
      </c>
      <c r="K889" s="10">
        <v>16</v>
      </c>
      <c r="L889" s="11" t="s">
        <v>440</v>
      </c>
      <c r="M889" s="12">
        <v>23</v>
      </c>
      <c r="N889" s="13"/>
      <c r="O889" s="13"/>
    </row>
    <row r="890" spans="1:15">
      <c r="A890" s="23" t="s">
        <v>1100</v>
      </c>
      <c r="B890" s="23">
        <v>9</v>
      </c>
      <c r="C890" s="30">
        <v>505</v>
      </c>
      <c r="D890" s="8">
        <v>25</v>
      </c>
      <c r="E890" s="8">
        <v>1.6</v>
      </c>
      <c r="F890" s="9">
        <v>898</v>
      </c>
      <c r="G890" s="8" t="s">
        <v>722</v>
      </c>
      <c r="H890" s="10" t="s">
        <v>73</v>
      </c>
      <c r="I890" s="10">
        <v>183</v>
      </c>
      <c r="J890" s="10">
        <v>29</v>
      </c>
      <c r="K890" s="10">
        <v>16</v>
      </c>
      <c r="L890" s="11" t="s">
        <v>1092</v>
      </c>
      <c r="M890" s="12">
        <v>0</v>
      </c>
      <c r="N890" s="13"/>
      <c r="O890" s="13"/>
    </row>
    <row r="891" spans="1:15">
      <c r="A891" s="23" t="s">
        <v>1101</v>
      </c>
      <c r="B891" s="23">
        <v>9</v>
      </c>
      <c r="C891" s="30">
        <v>505</v>
      </c>
      <c r="D891" s="8">
        <v>25</v>
      </c>
      <c r="E891" s="8">
        <v>1.6</v>
      </c>
      <c r="F891" s="9">
        <v>899</v>
      </c>
      <c r="G891" s="8" t="s">
        <v>722</v>
      </c>
      <c r="H891" s="10" t="s">
        <v>73</v>
      </c>
      <c r="I891" s="10">
        <v>183</v>
      </c>
      <c r="J891" s="10">
        <v>29</v>
      </c>
      <c r="K891" s="10">
        <v>16</v>
      </c>
      <c r="L891" s="11" t="s">
        <v>1092</v>
      </c>
      <c r="M891" s="12">
        <v>0</v>
      </c>
      <c r="N891" s="13"/>
      <c r="O891" s="13"/>
    </row>
    <row r="892" spans="1:15">
      <c r="A892" s="23" t="s">
        <v>1102</v>
      </c>
      <c r="B892" s="23">
        <v>9</v>
      </c>
      <c r="C892" s="30">
        <v>475</v>
      </c>
      <c r="D892" s="8">
        <v>25</v>
      </c>
      <c r="E892" s="8">
        <v>1.6</v>
      </c>
      <c r="F892" s="9">
        <v>900</v>
      </c>
      <c r="G892" s="8" t="s">
        <v>722</v>
      </c>
      <c r="H892" s="10" t="s">
        <v>73</v>
      </c>
      <c r="I892" s="10">
        <v>183</v>
      </c>
      <c r="J892" s="10">
        <v>29</v>
      </c>
      <c r="K892" s="10">
        <v>16</v>
      </c>
      <c r="L892" s="11" t="s">
        <v>440</v>
      </c>
      <c r="M892" s="12">
        <v>43</v>
      </c>
      <c r="N892" s="13"/>
      <c r="O892" s="13"/>
    </row>
    <row r="893" spans="1:15">
      <c r="A893" s="23" t="s">
        <v>1103</v>
      </c>
      <c r="B893" s="23">
        <v>9</v>
      </c>
      <c r="C893" s="30">
        <v>475</v>
      </c>
      <c r="D893" s="8">
        <v>25</v>
      </c>
      <c r="E893" s="8">
        <v>1.6</v>
      </c>
      <c r="F893" s="9">
        <v>901</v>
      </c>
      <c r="G893" s="8" t="s">
        <v>722</v>
      </c>
      <c r="H893" s="10" t="s">
        <v>73</v>
      </c>
      <c r="I893" s="10">
        <v>183</v>
      </c>
      <c r="J893" s="10">
        <v>29</v>
      </c>
      <c r="K893" s="10">
        <v>16</v>
      </c>
      <c r="L893" s="11" t="s">
        <v>440</v>
      </c>
      <c r="M893" s="12">
        <v>22</v>
      </c>
      <c r="N893" s="13"/>
      <c r="O893" s="13"/>
    </row>
    <row r="894" spans="1:15">
      <c r="A894" s="23" t="s">
        <v>1104</v>
      </c>
      <c r="B894" s="23">
        <v>9</v>
      </c>
      <c r="C894" s="30">
        <v>505</v>
      </c>
      <c r="D894" s="8">
        <v>25</v>
      </c>
      <c r="E894" s="8">
        <v>1.6</v>
      </c>
      <c r="F894" s="9">
        <v>902</v>
      </c>
      <c r="G894" s="8" t="s">
        <v>722</v>
      </c>
      <c r="H894" s="10" t="s">
        <v>73</v>
      </c>
      <c r="I894" s="10">
        <v>183</v>
      </c>
      <c r="J894" s="10">
        <v>29</v>
      </c>
      <c r="K894" s="10">
        <v>16</v>
      </c>
      <c r="L894" s="11" t="s">
        <v>1092</v>
      </c>
      <c r="M894" s="12">
        <v>1</v>
      </c>
      <c r="N894" s="13"/>
      <c r="O894" s="13"/>
    </row>
    <row r="895" spans="1:15">
      <c r="A895" s="23" t="s">
        <v>1105</v>
      </c>
      <c r="B895" s="23">
        <v>9</v>
      </c>
      <c r="C895" s="30">
        <v>505</v>
      </c>
      <c r="D895" s="8">
        <v>25</v>
      </c>
      <c r="E895" s="8">
        <v>1.6</v>
      </c>
      <c r="F895" s="9">
        <v>903</v>
      </c>
      <c r="G895" s="8" t="s">
        <v>722</v>
      </c>
      <c r="H895" s="10" t="s">
        <v>73</v>
      </c>
      <c r="I895" s="10">
        <v>183</v>
      </c>
      <c r="J895" s="10">
        <v>29</v>
      </c>
      <c r="K895" s="10">
        <v>16</v>
      </c>
      <c r="L895" s="11" t="s">
        <v>1092</v>
      </c>
      <c r="M895" s="12">
        <v>12</v>
      </c>
      <c r="N895" s="13"/>
      <c r="O895" s="13"/>
    </row>
    <row r="896" spans="1:15">
      <c r="A896" s="23" t="s">
        <v>1106</v>
      </c>
      <c r="B896" s="23">
        <v>9</v>
      </c>
      <c r="C896" s="30">
        <v>72</v>
      </c>
      <c r="D896" s="8">
        <v>50</v>
      </c>
      <c r="E896" s="8">
        <v>0.6</v>
      </c>
      <c r="F896" s="9">
        <v>904</v>
      </c>
      <c r="G896" s="8" t="s">
        <v>16</v>
      </c>
      <c r="H896" s="22" t="s">
        <v>997</v>
      </c>
      <c r="I896" s="22">
        <v>122</v>
      </c>
      <c r="J896" s="22">
        <v>15</v>
      </c>
      <c r="K896" s="22">
        <v>10</v>
      </c>
      <c r="L896" s="27" t="s">
        <v>107</v>
      </c>
      <c r="M896" s="12">
        <v>218</v>
      </c>
      <c r="N896" s="13"/>
      <c r="O896" s="13"/>
    </row>
    <row r="897" spans="1:15">
      <c r="A897" s="23" t="s">
        <v>1107</v>
      </c>
      <c r="B897" s="23">
        <v>9</v>
      </c>
      <c r="C897" s="32">
        <v>340</v>
      </c>
      <c r="D897" s="8">
        <v>50</v>
      </c>
      <c r="E897" s="8">
        <v>1.48</v>
      </c>
      <c r="F897" s="9">
        <v>905</v>
      </c>
      <c r="G897" s="8" t="s">
        <v>372</v>
      </c>
      <c r="H897" s="22" t="s">
        <v>83</v>
      </c>
      <c r="I897" s="22">
        <v>145</v>
      </c>
      <c r="J897" s="22">
        <v>29</v>
      </c>
      <c r="K897" s="22">
        <v>16</v>
      </c>
      <c r="L897" s="11" t="e">
        <v>#N/A</v>
      </c>
      <c r="M897" s="12">
        <v>0</v>
      </c>
      <c r="N897" s="13" t="s">
        <v>18</v>
      </c>
      <c r="O897" s="13" t="s">
        <v>183</v>
      </c>
    </row>
    <row r="898" spans="1:15">
      <c r="A898" s="23" t="s">
        <v>1108</v>
      </c>
      <c r="B898" s="23">
        <v>9</v>
      </c>
      <c r="C898" s="30">
        <v>68</v>
      </c>
      <c r="D898" s="8">
        <v>50</v>
      </c>
      <c r="E898" s="8">
        <v>0.6</v>
      </c>
      <c r="F898" s="9">
        <v>906</v>
      </c>
      <c r="G898" s="8" t="s">
        <v>16</v>
      </c>
      <c r="H898" s="22" t="s">
        <v>997</v>
      </c>
      <c r="I898" s="22">
        <v>122</v>
      </c>
      <c r="J898" s="22">
        <v>15</v>
      </c>
      <c r="K898" s="22">
        <v>10</v>
      </c>
      <c r="L898" s="27" t="s">
        <v>118</v>
      </c>
      <c r="M898" s="12">
        <v>23</v>
      </c>
      <c r="N898" s="13"/>
      <c r="O898" s="13"/>
    </row>
    <row r="899" spans="1:15">
      <c r="A899" s="23" t="s">
        <v>1109</v>
      </c>
      <c r="B899" s="23">
        <v>9</v>
      </c>
      <c r="C899" s="30">
        <v>68</v>
      </c>
      <c r="D899" s="8">
        <v>50</v>
      </c>
      <c r="E899" s="8">
        <v>0.6</v>
      </c>
      <c r="F899" s="9">
        <v>907</v>
      </c>
      <c r="G899" s="8" t="s">
        <v>16</v>
      </c>
      <c r="H899" s="22" t="s">
        <v>997</v>
      </c>
      <c r="I899" s="22">
        <v>122</v>
      </c>
      <c r="J899" s="22">
        <v>15</v>
      </c>
      <c r="K899" s="22">
        <v>10</v>
      </c>
      <c r="L899" s="27" t="s">
        <v>118</v>
      </c>
      <c r="M899" s="12">
        <v>30</v>
      </c>
      <c r="N899" s="13"/>
      <c r="O899" s="13"/>
    </row>
    <row r="900" spans="1:15">
      <c r="A900" s="23" t="s">
        <v>1110</v>
      </c>
      <c r="B900" s="23">
        <v>9</v>
      </c>
      <c r="C900" s="30">
        <v>473</v>
      </c>
      <c r="D900" s="8">
        <v>25</v>
      </c>
      <c r="E900" s="8">
        <v>1.6</v>
      </c>
      <c r="F900" s="9">
        <v>908</v>
      </c>
      <c r="G900" s="8" t="s">
        <v>722</v>
      </c>
      <c r="H900" s="22" t="s">
        <v>73</v>
      </c>
      <c r="I900" s="22">
        <v>183</v>
      </c>
      <c r="J900" s="22">
        <v>29</v>
      </c>
      <c r="K900" s="22">
        <v>16</v>
      </c>
      <c r="L900" s="11" t="s">
        <v>1058</v>
      </c>
      <c r="M900" s="12">
        <v>0</v>
      </c>
      <c r="N900" s="13"/>
      <c r="O900" s="13"/>
    </row>
    <row r="901" spans="1:15">
      <c r="A901" s="23" t="s">
        <v>1111</v>
      </c>
      <c r="B901" s="23">
        <v>9</v>
      </c>
      <c r="C901" s="30">
        <v>70</v>
      </c>
      <c r="D901" s="8">
        <v>50</v>
      </c>
      <c r="E901" s="8">
        <v>0.6</v>
      </c>
      <c r="F901" s="9">
        <v>909</v>
      </c>
      <c r="G901" s="8" t="s">
        <v>16</v>
      </c>
      <c r="H901" s="22" t="s">
        <v>997</v>
      </c>
      <c r="I901" s="22">
        <v>122</v>
      </c>
      <c r="J901" s="22">
        <v>15</v>
      </c>
      <c r="K901" s="22">
        <v>10</v>
      </c>
      <c r="L901" s="27" t="s">
        <v>1112</v>
      </c>
      <c r="M901" s="12">
        <v>36</v>
      </c>
      <c r="N901" s="13"/>
      <c r="O901" s="13"/>
    </row>
    <row r="902" spans="1:15">
      <c r="A902" s="23" t="s">
        <v>1113</v>
      </c>
      <c r="B902" s="23">
        <v>9</v>
      </c>
      <c r="C902" s="30">
        <v>80</v>
      </c>
      <c r="D902" s="8">
        <v>50</v>
      </c>
      <c r="E902" s="8">
        <v>0.6</v>
      </c>
      <c r="F902" s="9">
        <v>910</v>
      </c>
      <c r="G902" s="8" t="s">
        <v>16</v>
      </c>
      <c r="H902" s="22" t="s">
        <v>997</v>
      </c>
      <c r="I902" s="22">
        <v>122</v>
      </c>
      <c r="J902" s="22">
        <v>15</v>
      </c>
      <c r="K902" s="22">
        <v>10</v>
      </c>
      <c r="L902" s="27" t="s">
        <v>1026</v>
      </c>
      <c r="M902" s="12">
        <v>56</v>
      </c>
      <c r="N902" s="13"/>
      <c r="O902" s="13"/>
    </row>
    <row r="903" spans="1:15">
      <c r="A903" s="23" t="s">
        <v>1114</v>
      </c>
      <c r="B903" s="23">
        <v>9</v>
      </c>
      <c r="C903" s="30">
        <v>81</v>
      </c>
      <c r="D903" s="8">
        <v>50</v>
      </c>
      <c r="E903" s="8">
        <v>0.6</v>
      </c>
      <c r="F903" s="9">
        <v>911</v>
      </c>
      <c r="G903" s="8" t="s">
        <v>16</v>
      </c>
      <c r="H903" s="22" t="s">
        <v>997</v>
      </c>
      <c r="I903" s="22">
        <v>122</v>
      </c>
      <c r="J903" s="22">
        <v>15</v>
      </c>
      <c r="K903" s="22">
        <v>10</v>
      </c>
      <c r="L903" s="27" t="s">
        <v>330</v>
      </c>
      <c r="M903" s="12">
        <v>37</v>
      </c>
      <c r="N903" s="13"/>
      <c r="O903" s="13"/>
    </row>
    <row r="904" spans="1:15">
      <c r="A904" s="23" t="s">
        <v>1115</v>
      </c>
      <c r="B904" s="23">
        <v>9</v>
      </c>
      <c r="C904" s="30">
        <v>68</v>
      </c>
      <c r="D904" s="8">
        <v>50</v>
      </c>
      <c r="E904" s="8">
        <v>0.6</v>
      </c>
      <c r="F904" s="9">
        <v>912</v>
      </c>
      <c r="G904" s="8" t="s">
        <v>16</v>
      </c>
      <c r="H904" s="22" t="s">
        <v>997</v>
      </c>
      <c r="I904" s="22">
        <v>122</v>
      </c>
      <c r="J904" s="22">
        <v>15</v>
      </c>
      <c r="K904" s="22">
        <v>10</v>
      </c>
      <c r="L904" s="27" t="s">
        <v>118</v>
      </c>
      <c r="M904" s="12">
        <v>48</v>
      </c>
      <c r="N904" s="13"/>
      <c r="O904" s="13"/>
    </row>
    <row r="905" spans="1:15">
      <c r="A905" s="23" t="s">
        <v>1116</v>
      </c>
      <c r="B905" s="23">
        <v>9</v>
      </c>
      <c r="C905" s="30">
        <v>71</v>
      </c>
      <c r="D905" s="8">
        <v>50</v>
      </c>
      <c r="E905" s="8">
        <v>0.6</v>
      </c>
      <c r="F905" s="9">
        <v>913</v>
      </c>
      <c r="G905" s="8" t="s">
        <v>16</v>
      </c>
      <c r="H905" s="22" t="s">
        <v>997</v>
      </c>
      <c r="I905" s="22">
        <v>122</v>
      </c>
      <c r="J905" s="22">
        <v>15</v>
      </c>
      <c r="K905" s="22">
        <v>10</v>
      </c>
      <c r="L905" s="27" t="s">
        <v>235</v>
      </c>
      <c r="M905" s="12">
        <v>62</v>
      </c>
      <c r="N905" s="13"/>
      <c r="O905" s="13"/>
    </row>
    <row r="906" spans="1:15">
      <c r="A906" s="23" t="s">
        <v>1117</v>
      </c>
      <c r="B906" s="23">
        <v>9</v>
      </c>
      <c r="C906" s="32">
        <v>80</v>
      </c>
      <c r="D906" s="8">
        <v>50</v>
      </c>
      <c r="E906" s="8">
        <v>0.6</v>
      </c>
      <c r="F906" s="9">
        <v>914</v>
      </c>
      <c r="G906" s="8" t="s">
        <v>16</v>
      </c>
      <c r="H906" s="22" t="s">
        <v>997</v>
      </c>
      <c r="I906" s="22">
        <v>122</v>
      </c>
      <c r="J906" s="22">
        <v>15</v>
      </c>
      <c r="K906" s="22">
        <v>10</v>
      </c>
      <c r="L906" s="27" t="e">
        <v>#N/A</v>
      </c>
      <c r="M906" s="12">
        <v>0</v>
      </c>
      <c r="N906" s="13" t="s">
        <v>18</v>
      </c>
      <c r="O906" s="13" t="s">
        <v>183</v>
      </c>
    </row>
    <row r="907" spans="1:15">
      <c r="A907" s="23" t="s">
        <v>1118</v>
      </c>
      <c r="B907" s="23">
        <v>9</v>
      </c>
      <c r="C907" s="32">
        <v>80</v>
      </c>
      <c r="D907" s="8">
        <v>50</v>
      </c>
      <c r="E907" s="8">
        <v>0.6</v>
      </c>
      <c r="F907" s="9">
        <v>915</v>
      </c>
      <c r="G907" s="8" t="s">
        <v>16</v>
      </c>
      <c r="H907" s="22" t="s">
        <v>997</v>
      </c>
      <c r="I907" s="22">
        <v>122</v>
      </c>
      <c r="J907" s="22">
        <v>15</v>
      </c>
      <c r="K907" s="22">
        <v>10</v>
      </c>
      <c r="L907" s="27" t="e">
        <v>#N/A</v>
      </c>
      <c r="M907" s="12">
        <v>2</v>
      </c>
      <c r="N907" s="13" t="s">
        <v>18</v>
      </c>
      <c r="O907" s="13"/>
    </row>
    <row r="908" spans="1:15">
      <c r="A908" s="22" t="s">
        <v>1119</v>
      </c>
      <c r="B908" s="8">
        <v>9</v>
      </c>
      <c r="C908" s="8">
        <v>87</v>
      </c>
      <c r="D908" s="8">
        <v>50</v>
      </c>
      <c r="E908" s="8">
        <v>0.6</v>
      </c>
      <c r="F908" s="9">
        <v>916</v>
      </c>
      <c r="G908" s="8" t="s">
        <v>16</v>
      </c>
      <c r="H908" s="10" t="s">
        <v>17</v>
      </c>
      <c r="I908" s="10">
        <v>122</v>
      </c>
      <c r="J908" s="10">
        <v>15</v>
      </c>
      <c r="K908" s="10">
        <v>10</v>
      </c>
      <c r="L908" s="11" t="s">
        <v>1120</v>
      </c>
      <c r="M908" s="12">
        <v>1</v>
      </c>
      <c r="N908" s="13"/>
      <c r="O908" s="13"/>
    </row>
    <row r="909" spans="1:15">
      <c r="A909" s="23" t="s">
        <v>1121</v>
      </c>
      <c r="B909" s="23">
        <v>9</v>
      </c>
      <c r="C909" s="32">
        <v>80</v>
      </c>
      <c r="D909" s="8">
        <v>50</v>
      </c>
      <c r="E909" s="8">
        <v>0.6</v>
      </c>
      <c r="F909" s="9">
        <v>917</v>
      </c>
      <c r="G909" s="8" t="s">
        <v>16</v>
      </c>
      <c r="H909" s="22" t="s">
        <v>17</v>
      </c>
      <c r="I909" s="22">
        <v>122</v>
      </c>
      <c r="J909" s="22">
        <v>15</v>
      </c>
      <c r="K909" s="22">
        <v>10</v>
      </c>
      <c r="L909" s="27" t="e">
        <v>#N/A</v>
      </c>
      <c r="M909" s="12">
        <v>20</v>
      </c>
      <c r="N909" s="13" t="s">
        <v>18</v>
      </c>
      <c r="O909" s="13"/>
    </row>
    <row r="910" spans="1:15">
      <c r="A910" s="23" t="s">
        <v>1122</v>
      </c>
      <c r="B910" s="23">
        <v>9</v>
      </c>
      <c r="C910" s="32">
        <v>80</v>
      </c>
      <c r="D910" s="8">
        <v>50</v>
      </c>
      <c r="E910" s="8">
        <v>0.6</v>
      </c>
      <c r="F910" s="9">
        <v>918</v>
      </c>
      <c r="G910" s="8" t="s">
        <v>16</v>
      </c>
      <c r="H910" s="22" t="s">
        <v>17</v>
      </c>
      <c r="I910" s="22">
        <v>122</v>
      </c>
      <c r="J910" s="22">
        <v>15</v>
      </c>
      <c r="K910" s="22">
        <v>10</v>
      </c>
      <c r="L910" s="27" t="e">
        <v>#N/A</v>
      </c>
      <c r="M910" s="12">
        <v>0</v>
      </c>
      <c r="N910" s="13" t="s">
        <v>18</v>
      </c>
      <c r="O910" s="13"/>
    </row>
    <row r="911" spans="1:15">
      <c r="A911" s="23" t="s">
        <v>1123</v>
      </c>
      <c r="B911" s="23">
        <v>9</v>
      </c>
      <c r="C911" s="29">
        <v>155</v>
      </c>
      <c r="D911" s="8">
        <v>160</v>
      </c>
      <c r="E911" s="8">
        <v>1.7</v>
      </c>
      <c r="F911" s="9">
        <v>919</v>
      </c>
      <c r="G911" s="8" t="s">
        <v>902</v>
      </c>
      <c r="H911" s="22" t="s">
        <v>653</v>
      </c>
      <c r="I911" s="22">
        <v>72</v>
      </c>
      <c r="J911" s="22">
        <v>52</v>
      </c>
      <c r="K911" s="22">
        <v>32</v>
      </c>
      <c r="L911" s="27" t="s">
        <v>631</v>
      </c>
      <c r="M911" s="12">
        <v>40</v>
      </c>
      <c r="N911" s="13"/>
      <c r="O911" s="13"/>
    </row>
    <row r="912" spans="1:15">
      <c r="A912" s="23" t="s">
        <v>1124</v>
      </c>
      <c r="B912" s="23">
        <v>9</v>
      </c>
      <c r="C912" s="29">
        <v>155</v>
      </c>
      <c r="D912" s="8">
        <v>160</v>
      </c>
      <c r="E912" s="8">
        <v>1.7</v>
      </c>
      <c r="F912" s="9">
        <v>920</v>
      </c>
      <c r="G912" s="8" t="s">
        <v>902</v>
      </c>
      <c r="H912" s="22" t="s">
        <v>653</v>
      </c>
      <c r="I912" s="22">
        <v>72</v>
      </c>
      <c r="J912" s="22">
        <v>52</v>
      </c>
      <c r="K912" s="22">
        <v>32</v>
      </c>
      <c r="L912" s="27" t="s">
        <v>631</v>
      </c>
      <c r="M912" s="12">
        <v>51</v>
      </c>
      <c r="N912" s="13"/>
      <c r="O912" s="13"/>
    </row>
    <row r="913" spans="1:15">
      <c r="A913" s="23" t="s">
        <v>1125</v>
      </c>
      <c r="B913" s="23">
        <v>9</v>
      </c>
      <c r="C913" s="29">
        <v>347</v>
      </c>
      <c r="D913" s="8">
        <v>50</v>
      </c>
      <c r="E913" s="8">
        <v>1.6</v>
      </c>
      <c r="F913" s="9">
        <v>921</v>
      </c>
      <c r="G913" s="8" t="s">
        <v>372</v>
      </c>
      <c r="H913" s="22" t="s">
        <v>73</v>
      </c>
      <c r="I913" s="22">
        <v>183</v>
      </c>
      <c r="J913" s="22">
        <v>29</v>
      </c>
      <c r="K913" s="22">
        <v>16</v>
      </c>
      <c r="L913" s="27" t="s">
        <v>1126</v>
      </c>
      <c r="M913" s="12">
        <v>1</v>
      </c>
      <c r="N913" s="13"/>
      <c r="O913" s="13"/>
    </row>
    <row r="914" spans="1:15">
      <c r="A914" s="23" t="s">
        <v>1127</v>
      </c>
      <c r="B914" s="23">
        <v>9</v>
      </c>
      <c r="C914" s="29">
        <v>347</v>
      </c>
      <c r="D914" s="8">
        <v>50</v>
      </c>
      <c r="E914" s="8">
        <v>1.6</v>
      </c>
      <c r="F914" s="9">
        <v>922</v>
      </c>
      <c r="G914" s="8" t="s">
        <v>372</v>
      </c>
      <c r="H914" s="22" t="s">
        <v>73</v>
      </c>
      <c r="I914" s="22">
        <v>183</v>
      </c>
      <c r="J914" s="22">
        <v>29</v>
      </c>
      <c r="K914" s="22">
        <v>16</v>
      </c>
      <c r="L914" s="27" t="s">
        <v>1126</v>
      </c>
      <c r="M914" s="12">
        <v>11</v>
      </c>
      <c r="N914" s="13"/>
      <c r="O914" s="13"/>
    </row>
    <row r="915" spans="1:15">
      <c r="A915" s="23" t="s">
        <v>1128</v>
      </c>
      <c r="B915" s="23">
        <v>9</v>
      </c>
      <c r="C915" s="29">
        <v>382</v>
      </c>
      <c r="D915" s="8">
        <v>1</v>
      </c>
      <c r="E915" s="8">
        <v>0.5</v>
      </c>
      <c r="F915" s="9">
        <v>923</v>
      </c>
      <c r="G915" s="8" t="s">
        <v>446</v>
      </c>
      <c r="H915" s="22" t="s">
        <v>443</v>
      </c>
      <c r="I915" s="22">
        <v>89</v>
      </c>
      <c r="J915" s="22">
        <v>14</v>
      </c>
      <c r="K915" s="22">
        <v>9</v>
      </c>
      <c r="L915" s="27" t="s">
        <v>745</v>
      </c>
      <c r="M915" s="12">
        <v>2</v>
      </c>
      <c r="N915" s="12" t="e">
        <f>VLOOKUP(A:A,[2]成品数据统计表!$C$1:$E$65536,3,0)</f>
        <v>#REF!</v>
      </c>
      <c r="O915" s="13"/>
    </row>
    <row r="916" spans="1:15">
      <c r="A916" s="23" t="s">
        <v>1129</v>
      </c>
      <c r="B916" s="23">
        <v>9</v>
      </c>
      <c r="C916" s="32">
        <v>400</v>
      </c>
      <c r="D916" s="8">
        <v>25</v>
      </c>
      <c r="E916" s="8">
        <v>2.54</v>
      </c>
      <c r="F916" s="9">
        <v>924</v>
      </c>
      <c r="G916" s="8" t="s">
        <v>446</v>
      </c>
      <c r="H916" s="22" t="s">
        <v>523</v>
      </c>
      <c r="I916" s="22">
        <v>77</v>
      </c>
      <c r="J916" s="22">
        <v>52</v>
      </c>
      <c r="K916" s="22">
        <v>32</v>
      </c>
      <c r="L916" s="27" t="e">
        <v>#N/A</v>
      </c>
      <c r="M916" s="12">
        <v>0</v>
      </c>
      <c r="N916" s="13" t="s">
        <v>18</v>
      </c>
      <c r="O916" s="13"/>
    </row>
    <row r="917" spans="1:15">
      <c r="A917" s="23" t="s">
        <v>1130</v>
      </c>
      <c r="B917" s="23">
        <v>9</v>
      </c>
      <c r="C917" s="29">
        <v>347</v>
      </c>
      <c r="D917" s="8">
        <v>50</v>
      </c>
      <c r="E917" s="8">
        <v>1.6</v>
      </c>
      <c r="F917" s="9">
        <v>925</v>
      </c>
      <c r="G917" s="8" t="s">
        <v>372</v>
      </c>
      <c r="H917" s="22" t="s">
        <v>73</v>
      </c>
      <c r="I917" s="22">
        <v>183</v>
      </c>
      <c r="J917" s="22">
        <v>29</v>
      </c>
      <c r="K917" s="22">
        <v>16</v>
      </c>
      <c r="L917" s="27" t="s">
        <v>1126</v>
      </c>
      <c r="M917" s="12">
        <v>10</v>
      </c>
      <c r="N917" s="13"/>
      <c r="O917" s="13"/>
    </row>
    <row r="918" spans="1:15">
      <c r="A918" s="23" t="s">
        <v>1131</v>
      </c>
      <c r="B918" s="23">
        <v>9</v>
      </c>
      <c r="C918" s="29">
        <v>347</v>
      </c>
      <c r="D918" s="8">
        <v>50</v>
      </c>
      <c r="E918" s="8">
        <v>1.6</v>
      </c>
      <c r="F918" s="9">
        <v>926</v>
      </c>
      <c r="G918" s="8" t="s">
        <v>372</v>
      </c>
      <c r="H918" s="22" t="s">
        <v>73</v>
      </c>
      <c r="I918" s="22">
        <v>183</v>
      </c>
      <c r="J918" s="22">
        <v>29</v>
      </c>
      <c r="K918" s="22">
        <v>16</v>
      </c>
      <c r="L918" s="27" t="s">
        <v>1126</v>
      </c>
      <c r="M918" s="12">
        <v>3</v>
      </c>
      <c r="N918" s="13"/>
      <c r="O918" s="13"/>
    </row>
    <row r="919" spans="1:15">
      <c r="A919" s="23" t="s">
        <v>1132</v>
      </c>
      <c r="B919" s="23">
        <v>9</v>
      </c>
      <c r="C919" s="29">
        <v>290</v>
      </c>
      <c r="D919" s="8">
        <v>50</v>
      </c>
      <c r="E919" s="8">
        <v>1.48</v>
      </c>
      <c r="F919" s="9">
        <v>927</v>
      </c>
      <c r="G919" s="8" t="s">
        <v>372</v>
      </c>
      <c r="H919" s="22" t="s">
        <v>83</v>
      </c>
      <c r="I919" s="22">
        <v>145</v>
      </c>
      <c r="J919" s="22">
        <v>29</v>
      </c>
      <c r="K919" s="22">
        <v>16</v>
      </c>
      <c r="L919" s="27" t="s">
        <v>1133</v>
      </c>
      <c r="M919" s="12">
        <v>0</v>
      </c>
      <c r="N919" s="13"/>
      <c r="O919" s="13"/>
    </row>
    <row r="920" spans="1:15">
      <c r="A920" s="23" t="s">
        <v>1134</v>
      </c>
      <c r="B920" s="23">
        <v>9</v>
      </c>
      <c r="C920" s="29">
        <v>290</v>
      </c>
      <c r="D920" s="8">
        <v>50</v>
      </c>
      <c r="E920" s="8">
        <v>1.48</v>
      </c>
      <c r="F920" s="9">
        <v>928</v>
      </c>
      <c r="G920" s="8" t="s">
        <v>372</v>
      </c>
      <c r="H920" s="22" t="s">
        <v>83</v>
      </c>
      <c r="I920" s="22">
        <v>145</v>
      </c>
      <c r="J920" s="22">
        <v>29</v>
      </c>
      <c r="K920" s="22">
        <v>16</v>
      </c>
      <c r="L920" s="27" t="s">
        <v>1133</v>
      </c>
      <c r="M920" s="12">
        <v>0</v>
      </c>
      <c r="N920" s="13"/>
      <c r="O920" s="13"/>
    </row>
    <row r="921" spans="1:15">
      <c r="A921" s="23" t="s">
        <v>1135</v>
      </c>
      <c r="B921" s="23">
        <v>9</v>
      </c>
      <c r="C921" s="29">
        <v>290</v>
      </c>
      <c r="D921" s="8">
        <v>50</v>
      </c>
      <c r="E921" s="8">
        <v>1.48</v>
      </c>
      <c r="F921" s="9">
        <v>929</v>
      </c>
      <c r="G921" s="8" t="s">
        <v>372</v>
      </c>
      <c r="H921" s="22" t="s">
        <v>83</v>
      </c>
      <c r="I921" s="22">
        <v>145</v>
      </c>
      <c r="J921" s="22">
        <v>29</v>
      </c>
      <c r="K921" s="22">
        <v>16</v>
      </c>
      <c r="L921" s="27" t="s">
        <v>1133</v>
      </c>
      <c r="M921" s="12">
        <v>11</v>
      </c>
      <c r="N921" s="13"/>
      <c r="O921" s="13"/>
    </row>
    <row r="922" spans="1:15">
      <c r="A922" s="22" t="s">
        <v>1136</v>
      </c>
      <c r="B922" s="8">
        <v>9</v>
      </c>
      <c r="C922" s="8">
        <v>76</v>
      </c>
      <c r="D922" s="8">
        <v>50</v>
      </c>
      <c r="E922" s="8">
        <v>0.6</v>
      </c>
      <c r="F922" s="9">
        <v>930</v>
      </c>
      <c r="G922" s="8" t="s">
        <v>16</v>
      </c>
      <c r="H922" s="10" t="s">
        <v>17</v>
      </c>
      <c r="I922" s="10">
        <v>122</v>
      </c>
      <c r="J922" s="10">
        <v>15</v>
      </c>
      <c r="K922" s="10">
        <v>10</v>
      </c>
      <c r="L922" s="11" t="s">
        <v>131</v>
      </c>
      <c r="M922" s="12">
        <v>98</v>
      </c>
      <c r="N922" s="13"/>
      <c r="O922" s="13"/>
    </row>
    <row r="923" spans="1:15">
      <c r="A923" s="23" t="s">
        <v>1137</v>
      </c>
      <c r="B923" s="23">
        <v>9</v>
      </c>
      <c r="C923" s="29">
        <v>290</v>
      </c>
      <c r="D923" s="8">
        <v>50</v>
      </c>
      <c r="E923" s="8">
        <v>1.48</v>
      </c>
      <c r="F923" s="9">
        <v>931</v>
      </c>
      <c r="G923" s="8" t="s">
        <v>372</v>
      </c>
      <c r="H923" s="22" t="s">
        <v>83</v>
      </c>
      <c r="I923" s="22">
        <v>145</v>
      </c>
      <c r="J923" s="22">
        <v>29</v>
      </c>
      <c r="K923" s="22">
        <v>16</v>
      </c>
      <c r="L923" s="27" t="s">
        <v>1133</v>
      </c>
      <c r="M923" s="12">
        <v>50</v>
      </c>
      <c r="N923" s="13"/>
      <c r="O923" s="13"/>
    </row>
    <row r="924" spans="1:15">
      <c r="A924" s="23" t="s">
        <v>1138</v>
      </c>
      <c r="B924" s="23">
        <v>9</v>
      </c>
      <c r="C924" s="20">
        <v>106</v>
      </c>
      <c r="D924" s="8">
        <v>50</v>
      </c>
      <c r="E924" s="8">
        <v>0.6</v>
      </c>
      <c r="F924" s="9">
        <v>932</v>
      </c>
      <c r="G924" s="8" t="s">
        <v>16</v>
      </c>
      <c r="H924" s="22" t="s">
        <v>17</v>
      </c>
      <c r="I924" s="22">
        <v>122</v>
      </c>
      <c r="J924" s="22">
        <v>15</v>
      </c>
      <c r="K924" s="22">
        <v>10</v>
      </c>
      <c r="L924" s="27" t="s">
        <v>1075</v>
      </c>
      <c r="M924" s="12">
        <v>5</v>
      </c>
      <c r="N924" s="13"/>
      <c r="O924" s="13"/>
    </row>
    <row r="925" spans="1:15">
      <c r="A925" s="23" t="s">
        <v>1139</v>
      </c>
      <c r="B925" s="23">
        <v>9</v>
      </c>
      <c r="C925" s="20">
        <v>111</v>
      </c>
      <c r="D925" s="8">
        <v>50</v>
      </c>
      <c r="E925" s="8">
        <v>0.6</v>
      </c>
      <c r="F925" s="9">
        <v>933</v>
      </c>
      <c r="G925" s="8" t="s">
        <v>16</v>
      </c>
      <c r="H925" s="22" t="s">
        <v>17</v>
      </c>
      <c r="I925" s="22">
        <v>122</v>
      </c>
      <c r="J925" s="22">
        <v>15</v>
      </c>
      <c r="K925" s="22">
        <v>10</v>
      </c>
      <c r="L925" s="27" t="s">
        <v>790</v>
      </c>
      <c r="M925" s="12">
        <v>0</v>
      </c>
      <c r="N925" s="13"/>
      <c r="O925" s="13"/>
    </row>
    <row r="926" spans="1:15">
      <c r="A926" s="23" t="s">
        <v>1140</v>
      </c>
      <c r="B926" s="23">
        <v>9</v>
      </c>
      <c r="C926" s="20">
        <v>483</v>
      </c>
      <c r="D926" s="8">
        <v>25</v>
      </c>
      <c r="E926" s="8">
        <v>1.6</v>
      </c>
      <c r="F926" s="9">
        <v>934</v>
      </c>
      <c r="G926" s="8" t="s">
        <v>722</v>
      </c>
      <c r="H926" s="22" t="s">
        <v>73</v>
      </c>
      <c r="I926" s="22">
        <v>183</v>
      </c>
      <c r="J926" s="22">
        <v>29</v>
      </c>
      <c r="K926" s="22">
        <v>16</v>
      </c>
      <c r="L926" s="27" t="s">
        <v>1058</v>
      </c>
      <c r="M926" s="12">
        <v>0</v>
      </c>
      <c r="N926" s="13"/>
      <c r="O926" s="13"/>
    </row>
    <row r="927" spans="1:15">
      <c r="A927" s="23" t="s">
        <v>1141</v>
      </c>
      <c r="B927" s="23">
        <v>9</v>
      </c>
      <c r="C927" s="20">
        <v>483</v>
      </c>
      <c r="D927" s="8">
        <v>25</v>
      </c>
      <c r="E927" s="8">
        <v>1.6</v>
      </c>
      <c r="F927" s="9">
        <v>935</v>
      </c>
      <c r="G927" s="8" t="s">
        <v>722</v>
      </c>
      <c r="H927" s="22" t="s">
        <v>73</v>
      </c>
      <c r="I927" s="22">
        <v>183</v>
      </c>
      <c r="J927" s="22">
        <v>29</v>
      </c>
      <c r="K927" s="22">
        <v>16</v>
      </c>
      <c r="L927" s="27" t="s">
        <v>1058</v>
      </c>
      <c r="M927" s="12">
        <v>0</v>
      </c>
      <c r="N927" s="13"/>
      <c r="O927" s="13"/>
    </row>
    <row r="928" spans="1:15">
      <c r="A928" s="23" t="s">
        <v>1142</v>
      </c>
      <c r="B928" s="23">
        <v>9</v>
      </c>
      <c r="C928" s="20">
        <v>515</v>
      </c>
      <c r="D928" s="8">
        <v>1</v>
      </c>
      <c r="E928" s="8">
        <v>0.5</v>
      </c>
      <c r="F928" s="9">
        <v>936</v>
      </c>
      <c r="G928" s="8" t="s">
        <v>442</v>
      </c>
      <c r="H928" s="22" t="s">
        <v>443</v>
      </c>
      <c r="I928" s="22">
        <v>89</v>
      </c>
      <c r="J928" s="22">
        <v>14</v>
      </c>
      <c r="K928" s="22">
        <v>9</v>
      </c>
      <c r="L928" s="27" t="s">
        <v>1143</v>
      </c>
      <c r="M928" s="12">
        <v>1</v>
      </c>
      <c r="N928" s="12" t="e">
        <f>VLOOKUP(A:A,[2]成品数据统计表!$C$1:$E$65536,3,0)</f>
        <v>#REF!</v>
      </c>
      <c r="O928" s="13"/>
    </row>
    <row r="929" spans="1:15">
      <c r="A929" s="23" t="s">
        <v>1144</v>
      </c>
      <c r="B929" s="23">
        <v>9</v>
      </c>
      <c r="C929" s="20">
        <v>71</v>
      </c>
      <c r="D929" s="8">
        <v>50</v>
      </c>
      <c r="E929" s="8">
        <v>0.6</v>
      </c>
      <c r="F929" s="9">
        <v>937</v>
      </c>
      <c r="G929" s="8" t="s">
        <v>16</v>
      </c>
      <c r="H929" s="22" t="s">
        <v>17</v>
      </c>
      <c r="I929" s="22">
        <v>122</v>
      </c>
      <c r="J929" s="22">
        <v>15</v>
      </c>
      <c r="K929" s="22">
        <v>10</v>
      </c>
      <c r="L929" s="27" t="s">
        <v>235</v>
      </c>
      <c r="M929" s="12">
        <v>922</v>
      </c>
      <c r="N929" s="13"/>
      <c r="O929" s="13"/>
    </row>
    <row r="930" spans="1:15">
      <c r="A930" s="23" t="s">
        <v>1145</v>
      </c>
      <c r="B930" s="23">
        <v>9</v>
      </c>
      <c r="C930" s="32">
        <v>70</v>
      </c>
      <c r="D930" s="8">
        <v>50</v>
      </c>
      <c r="E930" s="8">
        <v>0.6</v>
      </c>
      <c r="F930" s="9">
        <v>938</v>
      </c>
      <c r="G930" s="8" t="s">
        <v>16</v>
      </c>
      <c r="H930" s="22" t="s">
        <v>17</v>
      </c>
      <c r="I930" s="22">
        <v>122</v>
      </c>
      <c r="J930" s="22">
        <v>15</v>
      </c>
      <c r="K930" s="22">
        <v>10</v>
      </c>
      <c r="L930" s="27" t="e">
        <v>#N/A</v>
      </c>
      <c r="M930" s="12">
        <v>0</v>
      </c>
      <c r="N930" s="13" t="s">
        <v>18</v>
      </c>
      <c r="O930" s="13" t="s">
        <v>183</v>
      </c>
    </row>
    <row r="931" spans="1:15">
      <c r="A931" s="23" t="s">
        <v>1146</v>
      </c>
      <c r="B931" s="23">
        <v>9</v>
      </c>
      <c r="C931" s="20">
        <v>290</v>
      </c>
      <c r="D931" s="8">
        <v>50</v>
      </c>
      <c r="E931" s="8">
        <v>1.48</v>
      </c>
      <c r="F931" s="9">
        <v>939</v>
      </c>
      <c r="G931" s="8" t="s">
        <v>372</v>
      </c>
      <c r="H931" s="22" t="s">
        <v>83</v>
      </c>
      <c r="I931" s="22">
        <v>145</v>
      </c>
      <c r="J931" s="22">
        <v>29</v>
      </c>
      <c r="K931" s="22">
        <v>16</v>
      </c>
      <c r="L931" s="27" t="s">
        <v>1133</v>
      </c>
      <c r="M931" s="12">
        <v>0</v>
      </c>
      <c r="N931" s="13"/>
      <c r="O931" s="13"/>
    </row>
    <row r="932" spans="1:15">
      <c r="A932" s="23" t="s">
        <v>1147</v>
      </c>
      <c r="B932" s="23">
        <v>9</v>
      </c>
      <c r="C932" s="20">
        <v>290</v>
      </c>
      <c r="D932" s="8">
        <v>50</v>
      </c>
      <c r="E932" s="8">
        <v>1.48</v>
      </c>
      <c r="F932" s="9">
        <v>940</v>
      </c>
      <c r="G932" s="8" t="s">
        <v>372</v>
      </c>
      <c r="H932" s="22" t="s">
        <v>83</v>
      </c>
      <c r="I932" s="22">
        <v>145</v>
      </c>
      <c r="J932" s="22">
        <v>29</v>
      </c>
      <c r="K932" s="22">
        <v>16</v>
      </c>
      <c r="L932" s="27" t="s">
        <v>1133</v>
      </c>
      <c r="M932" s="12">
        <v>2</v>
      </c>
      <c r="N932" s="13"/>
      <c r="O932" s="13"/>
    </row>
    <row r="933" spans="1:15">
      <c r="A933" s="23" t="s">
        <v>1148</v>
      </c>
      <c r="B933" s="23">
        <v>9</v>
      </c>
      <c r="C933" s="20">
        <v>290</v>
      </c>
      <c r="D933" s="8">
        <v>50</v>
      </c>
      <c r="E933" s="8">
        <v>1.48</v>
      </c>
      <c r="F933" s="9">
        <v>941</v>
      </c>
      <c r="G933" s="8" t="s">
        <v>372</v>
      </c>
      <c r="H933" s="22" t="s">
        <v>83</v>
      </c>
      <c r="I933" s="22">
        <v>145</v>
      </c>
      <c r="J933" s="22">
        <v>29</v>
      </c>
      <c r="K933" s="22">
        <v>16</v>
      </c>
      <c r="L933" s="27" t="s">
        <v>1133</v>
      </c>
      <c r="M933" s="12">
        <v>3</v>
      </c>
      <c r="N933" s="13"/>
      <c r="O933" s="13"/>
    </row>
    <row r="934" spans="1:15">
      <c r="A934" s="23" t="s">
        <v>1149</v>
      </c>
      <c r="B934" s="23">
        <v>9</v>
      </c>
      <c r="C934" s="20">
        <v>505</v>
      </c>
      <c r="D934" s="8">
        <v>25</v>
      </c>
      <c r="E934" s="8">
        <v>1.6</v>
      </c>
      <c r="F934" s="9">
        <v>942</v>
      </c>
      <c r="G934" s="8" t="s">
        <v>722</v>
      </c>
      <c r="H934" s="22" t="s">
        <v>73</v>
      </c>
      <c r="I934" s="22">
        <v>183</v>
      </c>
      <c r="J934" s="22">
        <v>29</v>
      </c>
      <c r="K934" s="22">
        <v>16</v>
      </c>
      <c r="L934" s="27" t="s">
        <v>1092</v>
      </c>
      <c r="M934" s="12">
        <v>3</v>
      </c>
      <c r="N934" s="13"/>
      <c r="O934" s="13"/>
    </row>
    <row r="935" spans="1:15">
      <c r="A935" s="23" t="s">
        <v>1150</v>
      </c>
      <c r="B935" s="23">
        <v>9</v>
      </c>
      <c r="C935" s="20">
        <v>505</v>
      </c>
      <c r="D935" s="8">
        <v>25</v>
      </c>
      <c r="E935" s="8">
        <v>1.6</v>
      </c>
      <c r="F935" s="9">
        <v>943</v>
      </c>
      <c r="G935" s="8" t="s">
        <v>722</v>
      </c>
      <c r="H935" s="22" t="s">
        <v>73</v>
      </c>
      <c r="I935" s="22">
        <v>183</v>
      </c>
      <c r="J935" s="22">
        <v>29</v>
      </c>
      <c r="K935" s="22">
        <v>16</v>
      </c>
      <c r="L935" s="27" t="s">
        <v>1092</v>
      </c>
      <c r="M935" s="12">
        <v>0</v>
      </c>
      <c r="N935" s="13"/>
      <c r="O935" s="13"/>
    </row>
    <row r="936" spans="1:15">
      <c r="A936" s="23" t="s">
        <v>1151</v>
      </c>
      <c r="B936" s="23">
        <v>9</v>
      </c>
      <c r="C936" s="20">
        <v>505</v>
      </c>
      <c r="D936" s="8">
        <v>25</v>
      </c>
      <c r="E936" s="8">
        <v>1.6</v>
      </c>
      <c r="F936" s="9">
        <v>944</v>
      </c>
      <c r="G936" s="8" t="s">
        <v>722</v>
      </c>
      <c r="H936" s="22" t="s">
        <v>73</v>
      </c>
      <c r="I936" s="22">
        <v>183</v>
      </c>
      <c r="J936" s="22">
        <v>29</v>
      </c>
      <c r="K936" s="22">
        <v>16</v>
      </c>
      <c r="L936" s="27" t="s">
        <v>1092</v>
      </c>
      <c r="M936" s="12">
        <v>0</v>
      </c>
      <c r="N936" s="13"/>
      <c r="O936" s="13"/>
    </row>
    <row r="937" spans="1:15">
      <c r="A937" s="23" t="s">
        <v>1152</v>
      </c>
      <c r="B937" s="23">
        <v>9</v>
      </c>
      <c r="C937" s="20">
        <v>495</v>
      </c>
      <c r="D937" s="8">
        <v>1</v>
      </c>
      <c r="E937" s="8">
        <v>0.5</v>
      </c>
      <c r="F937" s="9">
        <v>945</v>
      </c>
      <c r="G937" s="8" t="s">
        <v>446</v>
      </c>
      <c r="H937" s="22" t="s">
        <v>443</v>
      </c>
      <c r="I937" s="22">
        <v>89</v>
      </c>
      <c r="J937" s="22">
        <v>14</v>
      </c>
      <c r="K937" s="22">
        <v>9</v>
      </c>
      <c r="L937" s="27" t="s">
        <v>1153</v>
      </c>
      <c r="M937" s="12">
        <v>1</v>
      </c>
      <c r="N937" s="13"/>
      <c r="O937" s="13"/>
    </row>
    <row r="938" spans="1:15">
      <c r="A938" s="23" t="s">
        <v>1154</v>
      </c>
      <c r="B938" s="23">
        <v>9</v>
      </c>
      <c r="C938" s="20">
        <v>505</v>
      </c>
      <c r="D938" s="8">
        <v>25</v>
      </c>
      <c r="E938" s="8">
        <v>1.6</v>
      </c>
      <c r="F938" s="9">
        <v>946</v>
      </c>
      <c r="G938" s="8" t="s">
        <v>722</v>
      </c>
      <c r="H938" s="22" t="s">
        <v>73</v>
      </c>
      <c r="I938" s="22">
        <v>183</v>
      </c>
      <c r="J938" s="22">
        <v>29</v>
      </c>
      <c r="K938" s="22">
        <v>16</v>
      </c>
      <c r="L938" s="27" t="s">
        <v>1092</v>
      </c>
      <c r="M938" s="12">
        <v>1</v>
      </c>
      <c r="N938" s="13"/>
      <c r="O938" s="13"/>
    </row>
    <row r="939" spans="1:15">
      <c r="A939" s="23" t="s">
        <v>1155</v>
      </c>
      <c r="B939" s="23">
        <v>9</v>
      </c>
      <c r="C939" s="20">
        <v>505</v>
      </c>
      <c r="D939" s="8">
        <v>25</v>
      </c>
      <c r="E939" s="8">
        <v>1.6</v>
      </c>
      <c r="F939" s="9">
        <v>947</v>
      </c>
      <c r="G939" s="8" t="s">
        <v>722</v>
      </c>
      <c r="H939" s="22" t="s">
        <v>73</v>
      </c>
      <c r="I939" s="22">
        <v>183</v>
      </c>
      <c r="J939" s="22">
        <v>29</v>
      </c>
      <c r="K939" s="22">
        <v>16</v>
      </c>
      <c r="L939" s="27" t="s">
        <v>1092</v>
      </c>
      <c r="M939" s="12">
        <v>0</v>
      </c>
      <c r="N939" s="13"/>
      <c r="O939" s="13"/>
    </row>
    <row r="940" spans="1:15">
      <c r="A940" s="23" t="s">
        <v>1156</v>
      </c>
      <c r="B940" s="23">
        <v>9</v>
      </c>
      <c r="C940" s="20">
        <v>505</v>
      </c>
      <c r="D940" s="8">
        <v>25</v>
      </c>
      <c r="E940" s="8">
        <v>1.6</v>
      </c>
      <c r="F940" s="9">
        <v>948</v>
      </c>
      <c r="G940" s="8" t="s">
        <v>722</v>
      </c>
      <c r="H940" s="22" t="s">
        <v>73</v>
      </c>
      <c r="I940" s="22">
        <v>183</v>
      </c>
      <c r="J940" s="22">
        <v>29</v>
      </c>
      <c r="K940" s="22">
        <v>16</v>
      </c>
      <c r="L940" s="27" t="s">
        <v>1092</v>
      </c>
      <c r="M940" s="12">
        <v>0</v>
      </c>
      <c r="N940" s="13"/>
      <c r="O940" s="13"/>
    </row>
    <row r="941" spans="1:15">
      <c r="A941" s="23" t="s">
        <v>1157</v>
      </c>
      <c r="B941" s="23">
        <v>9</v>
      </c>
      <c r="C941" s="20">
        <v>505</v>
      </c>
      <c r="D941" s="8">
        <v>25</v>
      </c>
      <c r="E941" s="8">
        <v>1.6</v>
      </c>
      <c r="F941" s="9">
        <v>949</v>
      </c>
      <c r="G941" s="8" t="s">
        <v>722</v>
      </c>
      <c r="H941" s="22" t="s">
        <v>73</v>
      </c>
      <c r="I941" s="22">
        <v>183</v>
      </c>
      <c r="J941" s="22">
        <v>29</v>
      </c>
      <c r="K941" s="22">
        <v>16</v>
      </c>
      <c r="L941" s="27" t="s">
        <v>1092</v>
      </c>
      <c r="M941" s="12">
        <v>0</v>
      </c>
      <c r="N941" s="13"/>
      <c r="O941" s="13"/>
    </row>
    <row r="942" spans="1:15">
      <c r="A942" s="23" t="s">
        <v>1158</v>
      </c>
      <c r="B942" s="23">
        <v>9</v>
      </c>
      <c r="C942" s="20">
        <v>505</v>
      </c>
      <c r="D942" s="8">
        <v>25</v>
      </c>
      <c r="E942" s="8">
        <v>1.6</v>
      </c>
      <c r="F942" s="9">
        <v>950</v>
      </c>
      <c r="G942" s="8" t="s">
        <v>722</v>
      </c>
      <c r="H942" s="22" t="s">
        <v>73</v>
      </c>
      <c r="I942" s="22">
        <v>183</v>
      </c>
      <c r="J942" s="22">
        <v>29</v>
      </c>
      <c r="K942" s="22">
        <v>16</v>
      </c>
      <c r="L942" s="27" t="s">
        <v>1092</v>
      </c>
      <c r="M942" s="12">
        <v>0</v>
      </c>
      <c r="N942" s="13"/>
      <c r="O942" s="13"/>
    </row>
    <row r="943" spans="1:15">
      <c r="A943" s="23" t="s">
        <v>1159</v>
      </c>
      <c r="B943" s="23">
        <v>9</v>
      </c>
      <c r="C943" s="13">
        <v>72</v>
      </c>
      <c r="D943" s="8">
        <v>50</v>
      </c>
      <c r="E943" s="8">
        <v>0.6</v>
      </c>
      <c r="F943" s="9">
        <v>951</v>
      </c>
      <c r="G943" s="8" t="s">
        <v>16</v>
      </c>
      <c r="H943" s="22" t="s">
        <v>17</v>
      </c>
      <c r="I943" s="22">
        <v>122</v>
      </c>
      <c r="J943" s="22">
        <v>15</v>
      </c>
      <c r="K943" s="22">
        <v>10</v>
      </c>
      <c r="L943" s="27" t="s">
        <v>107</v>
      </c>
      <c r="M943" s="12">
        <v>544</v>
      </c>
      <c r="N943" s="13"/>
      <c r="O943" s="13"/>
    </row>
    <row r="944" spans="1:15">
      <c r="A944" s="23" t="s">
        <v>1160</v>
      </c>
      <c r="B944" s="23">
        <v>9</v>
      </c>
      <c r="C944" s="13">
        <v>68</v>
      </c>
      <c r="D944" s="8">
        <v>50</v>
      </c>
      <c r="E944" s="8">
        <v>0.6</v>
      </c>
      <c r="F944" s="9">
        <v>952</v>
      </c>
      <c r="G944" s="8" t="s">
        <v>16</v>
      </c>
      <c r="H944" s="22" t="s">
        <v>17</v>
      </c>
      <c r="I944" s="22">
        <v>122</v>
      </c>
      <c r="J944" s="22">
        <v>15</v>
      </c>
      <c r="K944" s="22">
        <v>10</v>
      </c>
      <c r="L944" s="27" t="s">
        <v>118</v>
      </c>
      <c r="M944" s="12">
        <v>277</v>
      </c>
      <c r="N944" s="13"/>
      <c r="O944" s="13"/>
    </row>
    <row r="945" spans="1:15">
      <c r="A945" s="23" t="s">
        <v>1161</v>
      </c>
      <c r="B945" s="23">
        <v>9</v>
      </c>
      <c r="C945" s="20">
        <v>475</v>
      </c>
      <c r="D945" s="8">
        <v>25</v>
      </c>
      <c r="E945" s="8">
        <v>1.6</v>
      </c>
      <c r="F945" s="9">
        <v>953</v>
      </c>
      <c r="G945" s="8" t="s">
        <v>722</v>
      </c>
      <c r="H945" s="22" t="s">
        <v>73</v>
      </c>
      <c r="I945" s="22">
        <v>183</v>
      </c>
      <c r="J945" s="22">
        <v>29</v>
      </c>
      <c r="K945" s="22">
        <v>16</v>
      </c>
      <c r="L945" s="27" t="s">
        <v>440</v>
      </c>
      <c r="M945" s="12">
        <v>1</v>
      </c>
      <c r="N945" s="13"/>
      <c r="O945" s="13"/>
    </row>
    <row r="946" spans="1:15">
      <c r="A946" s="23" t="s">
        <v>1162</v>
      </c>
      <c r="B946" s="23">
        <v>9</v>
      </c>
      <c r="C946" s="20">
        <v>475</v>
      </c>
      <c r="D946" s="8">
        <v>25</v>
      </c>
      <c r="E946" s="8">
        <v>1.6</v>
      </c>
      <c r="F946" s="9">
        <v>954</v>
      </c>
      <c r="G946" s="8" t="s">
        <v>722</v>
      </c>
      <c r="H946" s="22" t="s">
        <v>73</v>
      </c>
      <c r="I946" s="22">
        <v>183</v>
      </c>
      <c r="J946" s="22">
        <v>29</v>
      </c>
      <c r="K946" s="22">
        <v>16</v>
      </c>
      <c r="L946" s="27" t="s">
        <v>440</v>
      </c>
      <c r="M946" s="12">
        <v>0</v>
      </c>
      <c r="N946" s="13"/>
      <c r="O946" s="13"/>
    </row>
    <row r="947" spans="1:15">
      <c r="A947" s="23" t="s">
        <v>1163</v>
      </c>
      <c r="B947" s="23">
        <v>9</v>
      </c>
      <c r="C947" s="20">
        <v>475</v>
      </c>
      <c r="D947" s="8">
        <v>25</v>
      </c>
      <c r="E947" s="8">
        <v>1.6</v>
      </c>
      <c r="F947" s="9">
        <v>955</v>
      </c>
      <c r="G947" s="8" t="s">
        <v>722</v>
      </c>
      <c r="H947" s="22" t="s">
        <v>73</v>
      </c>
      <c r="I947" s="22">
        <v>183</v>
      </c>
      <c r="J947" s="22">
        <v>29</v>
      </c>
      <c r="K947" s="22">
        <v>16</v>
      </c>
      <c r="L947" s="27" t="s">
        <v>440</v>
      </c>
      <c r="M947" s="12">
        <v>1</v>
      </c>
      <c r="N947" s="13"/>
      <c r="O947" s="13"/>
    </row>
    <row r="948" spans="1:15">
      <c r="A948" s="23" t="s">
        <v>1164</v>
      </c>
      <c r="B948" s="23">
        <v>9</v>
      </c>
      <c r="C948" s="20">
        <v>475</v>
      </c>
      <c r="D948" s="8">
        <v>25</v>
      </c>
      <c r="E948" s="8">
        <v>1.6</v>
      </c>
      <c r="F948" s="9">
        <v>956</v>
      </c>
      <c r="G948" s="8" t="s">
        <v>722</v>
      </c>
      <c r="H948" s="22" t="s">
        <v>73</v>
      </c>
      <c r="I948" s="22">
        <v>183</v>
      </c>
      <c r="J948" s="22">
        <v>29</v>
      </c>
      <c r="K948" s="22">
        <v>16</v>
      </c>
      <c r="L948" s="27" t="s">
        <v>440</v>
      </c>
      <c r="M948" s="12">
        <v>1</v>
      </c>
      <c r="N948" s="13"/>
      <c r="O948" s="13"/>
    </row>
    <row r="949" spans="1:15">
      <c r="A949" s="23" t="s">
        <v>1165</v>
      </c>
      <c r="B949" s="23">
        <v>9</v>
      </c>
      <c r="C949" s="20">
        <v>475</v>
      </c>
      <c r="D949" s="8">
        <v>25</v>
      </c>
      <c r="E949" s="8">
        <v>1.6</v>
      </c>
      <c r="F949" s="9">
        <v>957</v>
      </c>
      <c r="G949" s="8" t="s">
        <v>722</v>
      </c>
      <c r="H949" s="22" t="s">
        <v>73</v>
      </c>
      <c r="I949" s="22">
        <v>183</v>
      </c>
      <c r="J949" s="22">
        <v>29</v>
      </c>
      <c r="K949" s="22">
        <v>16</v>
      </c>
      <c r="L949" s="27" t="s">
        <v>440</v>
      </c>
      <c r="M949" s="12">
        <v>2</v>
      </c>
      <c r="N949" s="13"/>
      <c r="O949" s="13"/>
    </row>
    <row r="950" spans="1:15">
      <c r="A950" s="23" t="s">
        <v>1166</v>
      </c>
      <c r="B950" s="23">
        <v>9</v>
      </c>
      <c r="C950" s="20">
        <v>475</v>
      </c>
      <c r="D950" s="8">
        <v>25</v>
      </c>
      <c r="E950" s="8">
        <v>1.6</v>
      </c>
      <c r="F950" s="9">
        <v>958</v>
      </c>
      <c r="G950" s="8" t="s">
        <v>722</v>
      </c>
      <c r="H950" s="22" t="s">
        <v>73</v>
      </c>
      <c r="I950" s="22">
        <v>183</v>
      </c>
      <c r="J950" s="22">
        <v>29</v>
      </c>
      <c r="K950" s="22">
        <v>16</v>
      </c>
      <c r="L950" s="27" t="s">
        <v>440</v>
      </c>
      <c r="M950" s="12">
        <v>1</v>
      </c>
      <c r="N950" s="13"/>
      <c r="O950" s="13"/>
    </row>
    <row r="951" spans="1:15">
      <c r="A951" s="23" t="s">
        <v>1167</v>
      </c>
      <c r="B951" s="23">
        <v>9</v>
      </c>
      <c r="C951" s="20">
        <v>475</v>
      </c>
      <c r="D951" s="8">
        <v>25</v>
      </c>
      <c r="E951" s="8">
        <v>1.6</v>
      </c>
      <c r="F951" s="9">
        <v>959</v>
      </c>
      <c r="G951" s="8" t="s">
        <v>722</v>
      </c>
      <c r="H951" s="22" t="s">
        <v>73</v>
      </c>
      <c r="I951" s="22">
        <v>183</v>
      </c>
      <c r="J951" s="22">
        <v>29</v>
      </c>
      <c r="K951" s="22">
        <v>16</v>
      </c>
      <c r="L951" s="27" t="s">
        <v>440</v>
      </c>
      <c r="M951" s="12">
        <v>0</v>
      </c>
      <c r="N951" s="13"/>
      <c r="O951" s="13"/>
    </row>
    <row r="952" spans="1:15">
      <c r="A952" s="23" t="s">
        <v>1168</v>
      </c>
      <c r="B952" s="23">
        <v>9</v>
      </c>
      <c r="C952" s="20">
        <v>475</v>
      </c>
      <c r="D952" s="8">
        <v>25</v>
      </c>
      <c r="E952" s="8">
        <v>1.6</v>
      </c>
      <c r="F952" s="9">
        <v>960</v>
      </c>
      <c r="G952" s="8" t="s">
        <v>722</v>
      </c>
      <c r="H952" s="22" t="s">
        <v>73</v>
      </c>
      <c r="I952" s="22">
        <v>183</v>
      </c>
      <c r="J952" s="22">
        <v>29</v>
      </c>
      <c r="K952" s="22">
        <v>16</v>
      </c>
      <c r="L952" s="27" t="s">
        <v>440</v>
      </c>
      <c r="M952" s="12">
        <v>0</v>
      </c>
      <c r="N952" s="13"/>
      <c r="O952" s="13"/>
    </row>
    <row r="953" spans="1:15">
      <c r="A953" s="23" t="s">
        <v>1169</v>
      </c>
      <c r="B953" s="23">
        <v>9</v>
      </c>
      <c r="C953" s="20">
        <v>475</v>
      </c>
      <c r="D953" s="8">
        <v>25</v>
      </c>
      <c r="E953" s="8">
        <v>1.6</v>
      </c>
      <c r="F953" s="9">
        <v>961</v>
      </c>
      <c r="G953" s="8" t="s">
        <v>722</v>
      </c>
      <c r="H953" s="22" t="s">
        <v>73</v>
      </c>
      <c r="I953" s="22">
        <v>183</v>
      </c>
      <c r="J953" s="22">
        <v>29</v>
      </c>
      <c r="K953" s="22">
        <v>16</v>
      </c>
      <c r="L953" s="27" t="s">
        <v>440</v>
      </c>
      <c r="M953" s="12">
        <v>18</v>
      </c>
      <c r="N953" s="13"/>
      <c r="O953" s="13"/>
    </row>
    <row r="954" spans="1:15">
      <c r="A954" s="23" t="s">
        <v>1170</v>
      </c>
      <c r="B954" s="23">
        <v>9</v>
      </c>
      <c r="C954" s="20">
        <v>475</v>
      </c>
      <c r="D954" s="8">
        <v>25</v>
      </c>
      <c r="E954" s="8">
        <v>1.6</v>
      </c>
      <c r="F954" s="9">
        <v>962</v>
      </c>
      <c r="G954" s="8" t="s">
        <v>722</v>
      </c>
      <c r="H954" s="22" t="s">
        <v>73</v>
      </c>
      <c r="I954" s="22">
        <v>183</v>
      </c>
      <c r="J954" s="22">
        <v>29</v>
      </c>
      <c r="K954" s="22">
        <v>16</v>
      </c>
      <c r="L954" s="27" t="s">
        <v>440</v>
      </c>
      <c r="M954" s="12">
        <v>0</v>
      </c>
      <c r="N954" s="13"/>
      <c r="O954" s="13"/>
    </row>
    <row r="955" spans="1:15">
      <c r="A955" s="23" t="s">
        <v>1171</v>
      </c>
      <c r="B955" s="23">
        <v>9</v>
      </c>
      <c r="C955" s="20">
        <v>505</v>
      </c>
      <c r="D955" s="8">
        <v>25</v>
      </c>
      <c r="E955" s="8">
        <v>1.6</v>
      </c>
      <c r="F955" s="9">
        <v>963</v>
      </c>
      <c r="G955" s="8" t="s">
        <v>722</v>
      </c>
      <c r="H955" s="22" t="s">
        <v>73</v>
      </c>
      <c r="I955" s="22">
        <v>183</v>
      </c>
      <c r="J955" s="22">
        <v>29</v>
      </c>
      <c r="K955" s="22">
        <v>16</v>
      </c>
      <c r="L955" s="27" t="s">
        <v>1092</v>
      </c>
      <c r="M955" s="12">
        <v>0</v>
      </c>
      <c r="N955" s="13"/>
      <c r="O955" s="13"/>
    </row>
    <row r="956" spans="1:15">
      <c r="A956" s="23" t="s">
        <v>1172</v>
      </c>
      <c r="B956" s="23">
        <v>9</v>
      </c>
      <c r="C956" s="20">
        <v>505</v>
      </c>
      <c r="D956" s="8">
        <v>25</v>
      </c>
      <c r="E956" s="8">
        <v>1.6</v>
      </c>
      <c r="F956" s="9">
        <v>964</v>
      </c>
      <c r="G956" s="8" t="s">
        <v>722</v>
      </c>
      <c r="H956" s="22" t="s">
        <v>73</v>
      </c>
      <c r="I956" s="22">
        <v>183</v>
      </c>
      <c r="J956" s="22">
        <v>29</v>
      </c>
      <c r="K956" s="22">
        <v>16</v>
      </c>
      <c r="L956" s="27" t="s">
        <v>1092</v>
      </c>
      <c r="M956" s="12">
        <v>25</v>
      </c>
      <c r="N956" s="13"/>
      <c r="O956" s="13"/>
    </row>
    <row r="957" spans="1:15">
      <c r="A957" s="23" t="s">
        <v>1173</v>
      </c>
      <c r="B957" s="23">
        <v>9</v>
      </c>
      <c r="C957" s="20">
        <v>505</v>
      </c>
      <c r="D957" s="8">
        <v>25</v>
      </c>
      <c r="E957" s="8">
        <v>1.6</v>
      </c>
      <c r="F957" s="9">
        <v>965</v>
      </c>
      <c r="G957" s="8" t="s">
        <v>722</v>
      </c>
      <c r="H957" s="22" t="s">
        <v>73</v>
      </c>
      <c r="I957" s="22">
        <v>183</v>
      </c>
      <c r="J957" s="22">
        <v>29</v>
      </c>
      <c r="K957" s="22">
        <v>16</v>
      </c>
      <c r="L957" s="27" t="s">
        <v>1092</v>
      </c>
      <c r="M957" s="12">
        <v>3</v>
      </c>
      <c r="N957" s="13"/>
      <c r="O957" s="13"/>
    </row>
    <row r="958" spans="1:15">
      <c r="A958" s="23" t="s">
        <v>1174</v>
      </c>
      <c r="B958" s="23">
        <v>9</v>
      </c>
      <c r="C958" s="20">
        <v>505</v>
      </c>
      <c r="D958" s="8">
        <v>25</v>
      </c>
      <c r="E958" s="8">
        <v>1.6</v>
      </c>
      <c r="F958" s="9">
        <v>966</v>
      </c>
      <c r="G958" s="8" t="s">
        <v>722</v>
      </c>
      <c r="H958" s="22" t="s">
        <v>73</v>
      </c>
      <c r="I958" s="22">
        <v>183</v>
      </c>
      <c r="J958" s="22">
        <v>29</v>
      </c>
      <c r="K958" s="22">
        <v>16</v>
      </c>
      <c r="L958" s="27" t="s">
        <v>1092</v>
      </c>
      <c r="M958" s="12">
        <v>3</v>
      </c>
      <c r="N958" s="13"/>
      <c r="O958" s="13"/>
    </row>
    <row r="959" spans="1:15">
      <c r="A959" s="23" t="s">
        <v>1175</v>
      </c>
      <c r="B959" s="23">
        <v>9</v>
      </c>
      <c r="C959" s="20">
        <v>475</v>
      </c>
      <c r="D959" s="8">
        <v>25</v>
      </c>
      <c r="E959" s="8">
        <v>1.6</v>
      </c>
      <c r="F959" s="9">
        <v>967</v>
      </c>
      <c r="G959" s="8" t="s">
        <v>722</v>
      </c>
      <c r="H959" s="22" t="s">
        <v>73</v>
      </c>
      <c r="I959" s="22">
        <v>183</v>
      </c>
      <c r="J959" s="22">
        <v>29</v>
      </c>
      <c r="K959" s="22">
        <v>16</v>
      </c>
      <c r="L959" s="27" t="s">
        <v>440</v>
      </c>
      <c r="M959" s="12">
        <v>2</v>
      </c>
      <c r="N959" s="13"/>
      <c r="O959" s="13"/>
    </row>
    <row r="960" spans="1:15">
      <c r="A960" s="23" t="s">
        <v>1176</v>
      </c>
      <c r="B960" s="23">
        <v>9</v>
      </c>
      <c r="C960" s="20">
        <v>475</v>
      </c>
      <c r="D960" s="8">
        <v>25</v>
      </c>
      <c r="E960" s="8">
        <v>1.6</v>
      </c>
      <c r="F960" s="9">
        <v>968</v>
      </c>
      <c r="G960" s="8" t="s">
        <v>722</v>
      </c>
      <c r="H960" s="22" t="s">
        <v>73</v>
      </c>
      <c r="I960" s="22">
        <v>183</v>
      </c>
      <c r="J960" s="22">
        <v>29</v>
      </c>
      <c r="K960" s="22">
        <v>16</v>
      </c>
      <c r="L960" s="27" t="s">
        <v>440</v>
      </c>
      <c r="M960" s="12">
        <v>23</v>
      </c>
      <c r="N960" s="13"/>
      <c r="O960" s="13"/>
    </row>
    <row r="961" spans="1:15">
      <c r="A961" s="23" t="s">
        <v>1177</v>
      </c>
      <c r="B961" s="23">
        <v>9</v>
      </c>
      <c r="C961" s="20">
        <v>505</v>
      </c>
      <c r="D961" s="8">
        <v>25</v>
      </c>
      <c r="E961" s="8">
        <v>1.6</v>
      </c>
      <c r="F961" s="9">
        <v>969</v>
      </c>
      <c r="G961" s="8" t="s">
        <v>722</v>
      </c>
      <c r="H961" s="22" t="s">
        <v>73</v>
      </c>
      <c r="I961" s="22">
        <v>183</v>
      </c>
      <c r="J961" s="22">
        <v>29</v>
      </c>
      <c r="K961" s="22">
        <v>16</v>
      </c>
      <c r="L961" s="27" t="s">
        <v>1092</v>
      </c>
      <c r="M961" s="12">
        <v>0</v>
      </c>
      <c r="N961" s="13"/>
      <c r="O961" s="13"/>
    </row>
    <row r="962" spans="1:15">
      <c r="A962" s="23" t="s">
        <v>1178</v>
      </c>
      <c r="B962" s="23">
        <v>9</v>
      </c>
      <c r="C962" s="20">
        <v>505</v>
      </c>
      <c r="D962" s="8">
        <v>25</v>
      </c>
      <c r="E962" s="8">
        <v>1.6</v>
      </c>
      <c r="F962" s="9">
        <v>970</v>
      </c>
      <c r="G962" s="8" t="s">
        <v>722</v>
      </c>
      <c r="H962" s="22" t="s">
        <v>73</v>
      </c>
      <c r="I962" s="22">
        <v>183</v>
      </c>
      <c r="J962" s="22">
        <v>29</v>
      </c>
      <c r="K962" s="22">
        <v>16</v>
      </c>
      <c r="L962" s="27" t="s">
        <v>1092</v>
      </c>
      <c r="M962" s="12">
        <v>26</v>
      </c>
      <c r="N962" s="13"/>
      <c r="O962" s="13"/>
    </row>
    <row r="963" spans="1:15">
      <c r="A963" s="23" t="s">
        <v>1179</v>
      </c>
      <c r="B963" s="23">
        <v>9</v>
      </c>
      <c r="C963" s="20">
        <v>505</v>
      </c>
      <c r="D963" s="8">
        <v>25</v>
      </c>
      <c r="E963" s="8">
        <v>1.6</v>
      </c>
      <c r="F963" s="9">
        <v>971</v>
      </c>
      <c r="G963" s="8" t="s">
        <v>722</v>
      </c>
      <c r="H963" s="22" t="s">
        <v>73</v>
      </c>
      <c r="I963" s="22">
        <v>183</v>
      </c>
      <c r="J963" s="22">
        <v>29</v>
      </c>
      <c r="K963" s="22">
        <v>16</v>
      </c>
      <c r="L963" s="27" t="s">
        <v>1092</v>
      </c>
      <c r="M963" s="12">
        <v>21</v>
      </c>
      <c r="N963" s="13"/>
      <c r="O963" s="13"/>
    </row>
    <row r="964" spans="1:15">
      <c r="A964" s="23" t="s">
        <v>1180</v>
      </c>
      <c r="B964" s="23">
        <v>9</v>
      </c>
      <c r="C964" s="20">
        <v>505</v>
      </c>
      <c r="D964" s="8">
        <v>25</v>
      </c>
      <c r="E964" s="8">
        <v>1.6</v>
      </c>
      <c r="F964" s="9">
        <v>972</v>
      </c>
      <c r="G964" s="8" t="s">
        <v>722</v>
      </c>
      <c r="H964" s="22" t="s">
        <v>73</v>
      </c>
      <c r="I964" s="22">
        <v>183</v>
      </c>
      <c r="J964" s="22">
        <v>29</v>
      </c>
      <c r="K964" s="22">
        <v>16</v>
      </c>
      <c r="L964" s="27" t="s">
        <v>1092</v>
      </c>
      <c r="M964" s="12">
        <v>1</v>
      </c>
      <c r="N964" s="13"/>
      <c r="O964" s="13"/>
    </row>
    <row r="965" spans="1:15">
      <c r="A965" s="23" t="s">
        <v>1181</v>
      </c>
      <c r="B965" s="23">
        <v>9</v>
      </c>
      <c r="C965" s="20">
        <v>475</v>
      </c>
      <c r="D965" s="8">
        <v>25</v>
      </c>
      <c r="E965" s="8">
        <v>1.6</v>
      </c>
      <c r="F965" s="9">
        <v>973</v>
      </c>
      <c r="G965" s="8" t="s">
        <v>722</v>
      </c>
      <c r="H965" s="22" t="s">
        <v>73</v>
      </c>
      <c r="I965" s="22">
        <v>183</v>
      </c>
      <c r="J965" s="22">
        <v>29</v>
      </c>
      <c r="K965" s="22">
        <v>16</v>
      </c>
      <c r="L965" s="27" t="s">
        <v>440</v>
      </c>
      <c r="M965" s="12">
        <v>0</v>
      </c>
      <c r="N965" s="13"/>
      <c r="O965" s="13"/>
    </row>
    <row r="966" spans="1:15">
      <c r="A966" s="23" t="s">
        <v>1182</v>
      </c>
      <c r="B966" s="23">
        <v>9</v>
      </c>
      <c r="C966" s="20">
        <v>475</v>
      </c>
      <c r="D966" s="8">
        <v>25</v>
      </c>
      <c r="E966" s="8">
        <v>1.6</v>
      </c>
      <c r="F966" s="9">
        <v>974</v>
      </c>
      <c r="G966" s="8" t="s">
        <v>722</v>
      </c>
      <c r="H966" s="22" t="s">
        <v>73</v>
      </c>
      <c r="I966" s="22">
        <v>183</v>
      </c>
      <c r="J966" s="22">
        <v>29</v>
      </c>
      <c r="K966" s="22">
        <v>16</v>
      </c>
      <c r="L966" s="27" t="s">
        <v>440</v>
      </c>
      <c r="M966" s="12">
        <v>0</v>
      </c>
      <c r="N966" s="13"/>
      <c r="O966" s="13"/>
    </row>
    <row r="967" spans="1:15">
      <c r="A967" s="23" t="s">
        <v>1183</v>
      </c>
      <c r="B967" s="23">
        <v>9</v>
      </c>
      <c r="C967" s="20">
        <v>505</v>
      </c>
      <c r="D967" s="8">
        <v>25</v>
      </c>
      <c r="E967" s="8">
        <v>1.6</v>
      </c>
      <c r="F967" s="9">
        <v>975</v>
      </c>
      <c r="G967" s="8" t="s">
        <v>722</v>
      </c>
      <c r="H967" s="22" t="s">
        <v>73</v>
      </c>
      <c r="I967" s="22">
        <v>183</v>
      </c>
      <c r="J967" s="22">
        <v>29</v>
      </c>
      <c r="K967" s="22">
        <v>16</v>
      </c>
      <c r="L967" s="27" t="s">
        <v>1092</v>
      </c>
      <c r="M967" s="12">
        <v>0</v>
      </c>
      <c r="N967" s="13"/>
      <c r="O967" s="13"/>
    </row>
    <row r="968" spans="1:15">
      <c r="A968" s="23" t="s">
        <v>1184</v>
      </c>
      <c r="B968" s="23">
        <v>9</v>
      </c>
      <c r="C968" s="20">
        <v>505</v>
      </c>
      <c r="D968" s="8">
        <v>25</v>
      </c>
      <c r="E968" s="8">
        <v>1.6</v>
      </c>
      <c r="F968" s="9">
        <v>976</v>
      </c>
      <c r="G968" s="8" t="s">
        <v>722</v>
      </c>
      <c r="H968" s="22" t="s">
        <v>73</v>
      </c>
      <c r="I968" s="22">
        <v>183</v>
      </c>
      <c r="J968" s="22">
        <v>29</v>
      </c>
      <c r="K968" s="22">
        <v>16</v>
      </c>
      <c r="L968" s="27" t="s">
        <v>1092</v>
      </c>
      <c r="M968" s="12">
        <v>23</v>
      </c>
      <c r="N968" s="13"/>
      <c r="O968" s="13"/>
    </row>
    <row r="969" spans="1:15">
      <c r="A969" s="23" t="s">
        <v>1185</v>
      </c>
      <c r="B969" s="23">
        <v>9</v>
      </c>
      <c r="C969" s="20">
        <v>505</v>
      </c>
      <c r="D969" s="8">
        <v>25</v>
      </c>
      <c r="E969" s="8">
        <v>1.6</v>
      </c>
      <c r="F969" s="9">
        <v>977</v>
      </c>
      <c r="G969" s="8" t="s">
        <v>722</v>
      </c>
      <c r="H969" s="22" t="s">
        <v>73</v>
      </c>
      <c r="I969" s="22">
        <v>183</v>
      </c>
      <c r="J969" s="22">
        <v>29</v>
      </c>
      <c r="K969" s="22">
        <v>16</v>
      </c>
      <c r="L969" s="27" t="s">
        <v>1092</v>
      </c>
      <c r="M969" s="12">
        <v>20</v>
      </c>
      <c r="N969" s="13"/>
      <c r="O969" s="13"/>
    </row>
    <row r="970" spans="1:15">
      <c r="A970" s="23" t="s">
        <v>1186</v>
      </c>
      <c r="B970" s="23">
        <v>9</v>
      </c>
      <c r="C970" s="20">
        <v>505</v>
      </c>
      <c r="D970" s="8">
        <v>25</v>
      </c>
      <c r="E970" s="8">
        <v>1.6</v>
      </c>
      <c r="F970" s="9">
        <v>978</v>
      </c>
      <c r="G970" s="8" t="s">
        <v>722</v>
      </c>
      <c r="H970" s="22" t="s">
        <v>73</v>
      </c>
      <c r="I970" s="22">
        <v>183</v>
      </c>
      <c r="J970" s="22">
        <v>29</v>
      </c>
      <c r="K970" s="22">
        <v>16</v>
      </c>
      <c r="L970" s="27" t="s">
        <v>1092</v>
      </c>
      <c r="M970" s="12">
        <v>2</v>
      </c>
      <c r="N970" s="13"/>
      <c r="O970" s="13"/>
    </row>
    <row r="971" spans="1:15">
      <c r="A971" s="23" t="s">
        <v>1187</v>
      </c>
      <c r="B971" s="23">
        <v>9</v>
      </c>
      <c r="C971" s="20">
        <v>475</v>
      </c>
      <c r="D971" s="8">
        <v>25</v>
      </c>
      <c r="E971" s="8">
        <v>1.6</v>
      </c>
      <c r="F971" s="9">
        <v>979</v>
      </c>
      <c r="G971" s="8" t="s">
        <v>722</v>
      </c>
      <c r="H971" s="22" t="s">
        <v>73</v>
      </c>
      <c r="I971" s="22">
        <v>183</v>
      </c>
      <c r="J971" s="22">
        <v>29</v>
      </c>
      <c r="K971" s="22">
        <v>16</v>
      </c>
      <c r="L971" s="27" t="s">
        <v>440</v>
      </c>
      <c r="M971" s="12">
        <v>0</v>
      </c>
      <c r="N971" s="13"/>
      <c r="O971" s="13"/>
    </row>
    <row r="972" spans="1:15">
      <c r="A972" s="23" t="s">
        <v>1188</v>
      </c>
      <c r="B972" s="23">
        <v>9</v>
      </c>
      <c r="C972" s="20">
        <v>475</v>
      </c>
      <c r="D972" s="8">
        <v>25</v>
      </c>
      <c r="E972" s="8">
        <v>1.6</v>
      </c>
      <c r="F972" s="9">
        <v>980</v>
      </c>
      <c r="G972" s="8" t="s">
        <v>722</v>
      </c>
      <c r="H972" s="22" t="s">
        <v>73</v>
      </c>
      <c r="I972" s="22">
        <v>183</v>
      </c>
      <c r="J972" s="22">
        <v>29</v>
      </c>
      <c r="K972" s="22">
        <v>16</v>
      </c>
      <c r="L972" s="27" t="s">
        <v>440</v>
      </c>
      <c r="M972" s="12">
        <v>2</v>
      </c>
      <c r="N972" s="13"/>
      <c r="O972" s="13"/>
    </row>
    <row r="973" spans="1:15">
      <c r="A973" s="23" t="s">
        <v>1189</v>
      </c>
      <c r="B973" s="23">
        <v>9</v>
      </c>
      <c r="C973" s="20">
        <v>505</v>
      </c>
      <c r="D973" s="8">
        <v>25</v>
      </c>
      <c r="E973" s="8">
        <v>1.6</v>
      </c>
      <c r="F973" s="9">
        <v>981</v>
      </c>
      <c r="G973" s="8" t="s">
        <v>722</v>
      </c>
      <c r="H973" s="22" t="s">
        <v>73</v>
      </c>
      <c r="I973" s="22">
        <v>183</v>
      </c>
      <c r="J973" s="22">
        <v>29</v>
      </c>
      <c r="K973" s="22">
        <v>16</v>
      </c>
      <c r="L973" s="27" t="s">
        <v>1092</v>
      </c>
      <c r="M973" s="12">
        <v>12</v>
      </c>
      <c r="N973" s="13"/>
      <c r="O973" s="13"/>
    </row>
    <row r="974" spans="1:15">
      <c r="A974" s="23" t="s">
        <v>1190</v>
      </c>
      <c r="B974" s="23">
        <v>9</v>
      </c>
      <c r="C974" s="20">
        <v>505</v>
      </c>
      <c r="D974" s="8">
        <v>25</v>
      </c>
      <c r="E974" s="8">
        <v>1.6</v>
      </c>
      <c r="F974" s="9">
        <v>982</v>
      </c>
      <c r="G974" s="8" t="s">
        <v>722</v>
      </c>
      <c r="H974" s="22" t="s">
        <v>73</v>
      </c>
      <c r="I974" s="22">
        <v>183</v>
      </c>
      <c r="J974" s="22">
        <v>29</v>
      </c>
      <c r="K974" s="22">
        <v>16</v>
      </c>
      <c r="L974" s="27" t="s">
        <v>1092</v>
      </c>
      <c r="M974" s="12">
        <v>0</v>
      </c>
      <c r="N974" s="13"/>
      <c r="O974" s="13"/>
    </row>
    <row r="975" spans="1:15">
      <c r="A975" s="23" t="s">
        <v>1191</v>
      </c>
      <c r="B975" s="23">
        <v>9</v>
      </c>
      <c r="C975" s="20">
        <v>505</v>
      </c>
      <c r="D975" s="8">
        <v>25</v>
      </c>
      <c r="E975" s="8">
        <v>1.6</v>
      </c>
      <c r="F975" s="9">
        <v>983</v>
      </c>
      <c r="G975" s="8" t="s">
        <v>722</v>
      </c>
      <c r="H975" s="22" t="s">
        <v>73</v>
      </c>
      <c r="I975" s="22">
        <v>183</v>
      </c>
      <c r="J975" s="22">
        <v>29</v>
      </c>
      <c r="K975" s="22">
        <v>16</v>
      </c>
      <c r="L975" s="27" t="s">
        <v>1092</v>
      </c>
      <c r="M975" s="12">
        <v>20</v>
      </c>
      <c r="N975" s="13"/>
      <c r="O975" s="13"/>
    </row>
    <row r="976" spans="1:15">
      <c r="A976" s="23" t="s">
        <v>1192</v>
      </c>
      <c r="B976" s="23">
        <v>9</v>
      </c>
      <c r="C976" s="20">
        <v>505</v>
      </c>
      <c r="D976" s="8">
        <v>25</v>
      </c>
      <c r="E976" s="8">
        <v>1.6</v>
      </c>
      <c r="F976" s="9">
        <v>984</v>
      </c>
      <c r="G976" s="8" t="s">
        <v>722</v>
      </c>
      <c r="H976" s="22" t="s">
        <v>73</v>
      </c>
      <c r="I976" s="22">
        <v>183</v>
      </c>
      <c r="J976" s="22">
        <v>29</v>
      </c>
      <c r="K976" s="22">
        <v>16</v>
      </c>
      <c r="L976" s="27" t="s">
        <v>1092</v>
      </c>
      <c r="M976" s="12">
        <v>0</v>
      </c>
      <c r="N976" s="13"/>
      <c r="O976" s="13"/>
    </row>
    <row r="977" spans="1:15">
      <c r="A977" s="22" t="s">
        <v>1193</v>
      </c>
      <c r="B977" s="8">
        <v>9</v>
      </c>
      <c r="C977" s="8">
        <v>69</v>
      </c>
      <c r="D977" s="8">
        <v>50</v>
      </c>
      <c r="E977" s="8">
        <v>0.6</v>
      </c>
      <c r="F977" s="9">
        <v>985</v>
      </c>
      <c r="G977" s="8" t="s">
        <v>16</v>
      </c>
      <c r="H977" s="10" t="s">
        <v>17</v>
      </c>
      <c r="I977" s="10">
        <v>122</v>
      </c>
      <c r="J977" s="10">
        <v>15</v>
      </c>
      <c r="K977" s="10">
        <v>10</v>
      </c>
      <c r="L977" s="11" t="s">
        <v>123</v>
      </c>
      <c r="M977" s="12">
        <v>111</v>
      </c>
      <c r="N977" s="13"/>
      <c r="O977" s="13"/>
    </row>
    <row r="978" spans="1:15">
      <c r="A978" s="23" t="s">
        <v>1194</v>
      </c>
      <c r="B978" s="23">
        <v>9</v>
      </c>
      <c r="C978" s="13">
        <v>475</v>
      </c>
      <c r="D978" s="8">
        <v>1</v>
      </c>
      <c r="E978" s="8">
        <v>0.5</v>
      </c>
      <c r="F978" s="9">
        <v>986</v>
      </c>
      <c r="G978" s="8" t="s">
        <v>446</v>
      </c>
      <c r="H978" s="22" t="s">
        <v>1195</v>
      </c>
      <c r="I978" s="22">
        <v>89</v>
      </c>
      <c r="J978" s="22">
        <v>14</v>
      </c>
      <c r="K978" s="22">
        <v>9</v>
      </c>
      <c r="L978" s="27" t="s">
        <v>1196</v>
      </c>
      <c r="M978" s="12">
        <v>0</v>
      </c>
      <c r="N978" s="12" t="e">
        <f>VLOOKUP(A:A,[2]成品数据统计表!$C$1:$E$65536,3,0)</f>
        <v>#REF!</v>
      </c>
      <c r="O978" s="13"/>
    </row>
    <row r="979" spans="1:15">
      <c r="A979" s="23" t="s">
        <v>1197</v>
      </c>
      <c r="B979" s="23">
        <v>9</v>
      </c>
      <c r="C979" s="20">
        <v>475</v>
      </c>
      <c r="D979" s="8">
        <v>25</v>
      </c>
      <c r="E979" s="8">
        <v>1.6</v>
      </c>
      <c r="F979" s="9">
        <v>987</v>
      </c>
      <c r="G979" s="8" t="s">
        <v>722</v>
      </c>
      <c r="H979" s="22" t="s">
        <v>1198</v>
      </c>
      <c r="I979" s="22">
        <v>183</v>
      </c>
      <c r="J979" s="22">
        <v>29</v>
      </c>
      <c r="K979" s="22">
        <v>16</v>
      </c>
      <c r="L979" s="27" t="s">
        <v>440</v>
      </c>
      <c r="M979" s="12">
        <v>9</v>
      </c>
      <c r="N979" s="13"/>
      <c r="O979" s="13"/>
    </row>
    <row r="980" spans="1:15">
      <c r="A980" s="23" t="s">
        <v>1199</v>
      </c>
      <c r="B980" s="23">
        <v>9</v>
      </c>
      <c r="C980" s="20">
        <v>475</v>
      </c>
      <c r="D980" s="8">
        <v>25</v>
      </c>
      <c r="E980" s="8">
        <v>1.6</v>
      </c>
      <c r="F980" s="9">
        <v>988</v>
      </c>
      <c r="G980" s="8" t="s">
        <v>722</v>
      </c>
      <c r="H980" s="22" t="s">
        <v>1198</v>
      </c>
      <c r="I980" s="22">
        <v>183</v>
      </c>
      <c r="J980" s="22">
        <v>29</v>
      </c>
      <c r="K980" s="22">
        <v>16</v>
      </c>
      <c r="L980" s="27" t="s">
        <v>440</v>
      </c>
      <c r="M980" s="12">
        <v>1</v>
      </c>
      <c r="N980" s="13"/>
      <c r="O980" s="13"/>
    </row>
    <row r="981" spans="1:15">
      <c r="A981" s="23" t="s">
        <v>1200</v>
      </c>
      <c r="B981" s="23">
        <v>9</v>
      </c>
      <c r="C981" s="20">
        <v>475</v>
      </c>
      <c r="D981" s="8">
        <v>25</v>
      </c>
      <c r="E981" s="8">
        <v>1.6</v>
      </c>
      <c r="F981" s="9">
        <v>989</v>
      </c>
      <c r="G981" s="8" t="s">
        <v>722</v>
      </c>
      <c r="H981" s="22" t="s">
        <v>1198</v>
      </c>
      <c r="I981" s="22">
        <v>183</v>
      </c>
      <c r="J981" s="22">
        <v>29</v>
      </c>
      <c r="K981" s="22">
        <v>16</v>
      </c>
      <c r="L981" s="27" t="s">
        <v>440</v>
      </c>
      <c r="M981" s="12">
        <v>1</v>
      </c>
      <c r="N981" s="13"/>
      <c r="O981" s="13"/>
    </row>
    <row r="982" spans="1:15">
      <c r="A982" s="23" t="s">
        <v>1201</v>
      </c>
      <c r="B982" s="23">
        <v>9</v>
      </c>
      <c r="C982" s="20">
        <v>475</v>
      </c>
      <c r="D982" s="8">
        <v>25</v>
      </c>
      <c r="E982" s="8">
        <v>1.6</v>
      </c>
      <c r="F982" s="9">
        <v>990</v>
      </c>
      <c r="G982" s="8" t="s">
        <v>722</v>
      </c>
      <c r="H982" s="22" t="s">
        <v>1198</v>
      </c>
      <c r="I982" s="22">
        <v>183</v>
      </c>
      <c r="J982" s="22">
        <v>29</v>
      </c>
      <c r="K982" s="22">
        <v>16</v>
      </c>
      <c r="L982" s="27" t="s">
        <v>440</v>
      </c>
      <c r="M982" s="12">
        <v>0</v>
      </c>
      <c r="N982" s="13"/>
      <c r="O982" s="13"/>
    </row>
    <row r="983" spans="1:15">
      <c r="A983" s="23" t="s">
        <v>1202</v>
      </c>
      <c r="B983" s="23">
        <v>9</v>
      </c>
      <c r="C983" s="20">
        <v>475</v>
      </c>
      <c r="D983" s="8">
        <v>25</v>
      </c>
      <c r="E983" s="8">
        <v>1.6</v>
      </c>
      <c r="F983" s="9">
        <v>991</v>
      </c>
      <c r="G983" s="8" t="s">
        <v>722</v>
      </c>
      <c r="H983" s="22" t="s">
        <v>1198</v>
      </c>
      <c r="I983" s="22">
        <v>183</v>
      </c>
      <c r="J983" s="22">
        <v>29</v>
      </c>
      <c r="K983" s="22">
        <v>16</v>
      </c>
      <c r="L983" s="27" t="s">
        <v>440</v>
      </c>
      <c r="M983" s="12">
        <v>1</v>
      </c>
      <c r="N983" s="13"/>
      <c r="O983" s="13"/>
    </row>
    <row r="984" spans="1:15">
      <c r="A984" s="23" t="s">
        <v>1203</v>
      </c>
      <c r="B984" s="23">
        <v>9</v>
      </c>
      <c r="C984" s="20">
        <v>475</v>
      </c>
      <c r="D984" s="8">
        <v>25</v>
      </c>
      <c r="E984" s="8">
        <v>1.6</v>
      </c>
      <c r="F984" s="9">
        <v>992</v>
      </c>
      <c r="G984" s="8" t="s">
        <v>722</v>
      </c>
      <c r="H984" s="22" t="s">
        <v>1198</v>
      </c>
      <c r="I984" s="22">
        <v>183</v>
      </c>
      <c r="J984" s="22">
        <v>29</v>
      </c>
      <c r="K984" s="22">
        <v>16</v>
      </c>
      <c r="L984" s="27" t="s">
        <v>440</v>
      </c>
      <c r="M984" s="12">
        <v>0</v>
      </c>
      <c r="N984" s="13"/>
      <c r="O984" s="13"/>
    </row>
    <row r="985" spans="1:15">
      <c r="A985" s="23" t="s">
        <v>1204</v>
      </c>
      <c r="B985" s="23">
        <v>9</v>
      </c>
      <c r="C985" s="20">
        <v>475</v>
      </c>
      <c r="D985" s="8">
        <v>25</v>
      </c>
      <c r="E985" s="8">
        <v>1.6</v>
      </c>
      <c r="F985" s="9">
        <v>993</v>
      </c>
      <c r="G985" s="8" t="s">
        <v>722</v>
      </c>
      <c r="H985" s="22" t="s">
        <v>1198</v>
      </c>
      <c r="I985" s="22">
        <v>183</v>
      </c>
      <c r="J985" s="22">
        <v>29</v>
      </c>
      <c r="K985" s="22">
        <v>16</v>
      </c>
      <c r="L985" s="27" t="s">
        <v>440</v>
      </c>
      <c r="M985" s="12">
        <v>2</v>
      </c>
      <c r="N985" s="13"/>
      <c r="O985" s="13"/>
    </row>
    <row r="986" spans="1:15">
      <c r="A986" s="23" t="s">
        <v>1205</v>
      </c>
      <c r="B986" s="23">
        <v>9</v>
      </c>
      <c r="C986" s="20">
        <v>475</v>
      </c>
      <c r="D986" s="8">
        <v>25</v>
      </c>
      <c r="E986" s="8">
        <v>1.6</v>
      </c>
      <c r="F986" s="9">
        <v>994</v>
      </c>
      <c r="G986" s="8" t="s">
        <v>722</v>
      </c>
      <c r="H986" s="22" t="s">
        <v>73</v>
      </c>
      <c r="I986" s="22">
        <v>183</v>
      </c>
      <c r="J986" s="22">
        <v>29</v>
      </c>
      <c r="K986" s="22">
        <v>16</v>
      </c>
      <c r="L986" s="27" t="e">
        <v>#N/A</v>
      </c>
      <c r="M986" s="12">
        <v>1</v>
      </c>
      <c r="N986" s="13" t="s">
        <v>18</v>
      </c>
      <c r="O986" s="13"/>
    </row>
    <row r="987" spans="1:15">
      <c r="A987" s="23" t="s">
        <v>1206</v>
      </c>
      <c r="B987" s="23">
        <v>9</v>
      </c>
      <c r="C987" s="20">
        <v>145</v>
      </c>
      <c r="D987" s="8">
        <v>6</v>
      </c>
      <c r="E987" s="8">
        <v>0.2</v>
      </c>
      <c r="F987" s="9">
        <v>995</v>
      </c>
      <c r="G987" s="8" t="s">
        <v>902</v>
      </c>
      <c r="H987" s="10" t="s">
        <v>630</v>
      </c>
      <c r="I987" s="10">
        <v>45</v>
      </c>
      <c r="J987" s="10">
        <v>26</v>
      </c>
      <c r="K987" s="10">
        <v>8</v>
      </c>
      <c r="L987" s="27" t="s">
        <v>762</v>
      </c>
      <c r="M987" s="12">
        <v>0</v>
      </c>
      <c r="N987" s="13"/>
      <c r="O987" s="13"/>
    </row>
    <row r="988" spans="1:15">
      <c r="A988" s="23" t="s">
        <v>1207</v>
      </c>
      <c r="B988" s="23">
        <v>9</v>
      </c>
      <c r="C988" s="20">
        <v>155</v>
      </c>
      <c r="D988" s="8">
        <v>6</v>
      </c>
      <c r="E988" s="8">
        <v>0.2</v>
      </c>
      <c r="F988" s="9">
        <v>996</v>
      </c>
      <c r="G988" s="8" t="s">
        <v>902</v>
      </c>
      <c r="H988" s="10" t="s">
        <v>630</v>
      </c>
      <c r="I988" s="10">
        <v>45</v>
      </c>
      <c r="J988" s="10">
        <v>26</v>
      </c>
      <c r="K988" s="10">
        <v>8</v>
      </c>
      <c r="L988" s="27" t="s">
        <v>631</v>
      </c>
      <c r="M988" s="12">
        <v>14</v>
      </c>
      <c r="N988" s="13"/>
      <c r="O988" s="13"/>
    </row>
    <row r="989" spans="1:15">
      <c r="A989" s="23" t="s">
        <v>1208</v>
      </c>
      <c r="B989" s="23">
        <v>9</v>
      </c>
      <c r="C989" s="20">
        <v>145</v>
      </c>
      <c r="D989" s="8">
        <v>6</v>
      </c>
      <c r="E989" s="8">
        <v>0.2</v>
      </c>
      <c r="F989" s="9">
        <v>997</v>
      </c>
      <c r="G989" s="8" t="s">
        <v>902</v>
      </c>
      <c r="H989" s="10" t="s">
        <v>630</v>
      </c>
      <c r="I989" s="10">
        <v>45</v>
      </c>
      <c r="J989" s="10">
        <v>26</v>
      </c>
      <c r="K989" s="10">
        <v>8</v>
      </c>
      <c r="L989" s="27" t="s">
        <v>762</v>
      </c>
      <c r="M989" s="12">
        <v>0</v>
      </c>
      <c r="N989" s="13"/>
      <c r="O989" s="13"/>
    </row>
    <row r="990" spans="1:15">
      <c r="A990" s="23" t="s">
        <v>1209</v>
      </c>
      <c r="B990" s="23">
        <v>9</v>
      </c>
      <c r="C990" s="20">
        <v>155</v>
      </c>
      <c r="D990" s="8">
        <v>6</v>
      </c>
      <c r="E990" s="8">
        <v>0.2</v>
      </c>
      <c r="F990" s="9">
        <v>998</v>
      </c>
      <c r="G990" s="8" t="s">
        <v>902</v>
      </c>
      <c r="H990" s="10" t="s">
        <v>630</v>
      </c>
      <c r="I990" s="10">
        <v>45</v>
      </c>
      <c r="J990" s="10">
        <v>26</v>
      </c>
      <c r="K990" s="10">
        <v>8</v>
      </c>
      <c r="L990" s="27" t="s">
        <v>631</v>
      </c>
      <c r="M990" s="12">
        <v>26</v>
      </c>
      <c r="N990" s="13"/>
      <c r="O990" s="13"/>
    </row>
    <row r="991" spans="1:15">
      <c r="A991" s="23" t="s">
        <v>1210</v>
      </c>
      <c r="B991" s="23">
        <v>9</v>
      </c>
      <c r="C991" s="20">
        <v>155</v>
      </c>
      <c r="D991" s="8">
        <v>160</v>
      </c>
      <c r="E991" s="8">
        <v>1.7</v>
      </c>
      <c r="F991" s="9">
        <v>999</v>
      </c>
      <c r="G991" s="8" t="s">
        <v>902</v>
      </c>
      <c r="H991" s="22" t="s">
        <v>653</v>
      </c>
      <c r="I991" s="22">
        <v>72</v>
      </c>
      <c r="J991" s="22">
        <v>52</v>
      </c>
      <c r="K991" s="22">
        <v>32</v>
      </c>
      <c r="L991" s="27" t="s">
        <v>631</v>
      </c>
      <c r="M991" s="12">
        <v>130</v>
      </c>
      <c r="N991" s="13"/>
      <c r="O991" s="13"/>
    </row>
    <row r="992" spans="1:15">
      <c r="A992" s="23" t="s">
        <v>1211</v>
      </c>
      <c r="B992" s="23">
        <v>9</v>
      </c>
      <c r="C992" s="20">
        <v>155</v>
      </c>
      <c r="D992" s="8">
        <v>160</v>
      </c>
      <c r="E992" s="8">
        <v>1.7</v>
      </c>
      <c r="F992" s="9">
        <v>1000</v>
      </c>
      <c r="G992" s="8" t="s">
        <v>902</v>
      </c>
      <c r="H992" s="22" t="s">
        <v>653</v>
      </c>
      <c r="I992" s="22">
        <v>72</v>
      </c>
      <c r="J992" s="22">
        <v>52</v>
      </c>
      <c r="K992" s="22">
        <v>32</v>
      </c>
      <c r="L992" s="27" t="s">
        <v>631</v>
      </c>
      <c r="M992" s="12">
        <v>76</v>
      </c>
      <c r="N992" s="13"/>
      <c r="O992" s="13"/>
    </row>
    <row r="993" spans="1:15">
      <c r="A993" s="23" t="s">
        <v>1212</v>
      </c>
      <c r="B993" s="23">
        <v>9</v>
      </c>
      <c r="C993" s="20">
        <v>86</v>
      </c>
      <c r="D993" s="8">
        <v>50</v>
      </c>
      <c r="E993" s="8">
        <v>0.6</v>
      </c>
      <c r="F993" s="9">
        <v>1001</v>
      </c>
      <c r="G993" s="8" t="s">
        <v>16</v>
      </c>
      <c r="H993" s="22" t="s">
        <v>17</v>
      </c>
      <c r="I993" s="22">
        <v>122</v>
      </c>
      <c r="J993" s="22">
        <v>15</v>
      </c>
      <c r="K993" s="22">
        <v>10</v>
      </c>
      <c r="L993" s="27" t="s">
        <v>220</v>
      </c>
      <c r="M993" s="12">
        <v>65</v>
      </c>
      <c r="N993" s="13"/>
      <c r="O993" s="13"/>
    </row>
    <row r="994" spans="1:15">
      <c r="A994" s="23" t="s">
        <v>1213</v>
      </c>
      <c r="B994" s="23">
        <v>9</v>
      </c>
      <c r="C994" s="20">
        <v>301</v>
      </c>
      <c r="D994" s="8">
        <v>50</v>
      </c>
      <c r="E994" s="8">
        <v>1.48</v>
      </c>
      <c r="F994" s="9">
        <v>1002</v>
      </c>
      <c r="G994" s="8" t="s">
        <v>372</v>
      </c>
      <c r="H994" s="22" t="s">
        <v>83</v>
      </c>
      <c r="I994" s="22">
        <v>145</v>
      </c>
      <c r="J994" s="22">
        <v>29</v>
      </c>
      <c r="K994" s="22">
        <v>16</v>
      </c>
      <c r="L994" s="27" t="s">
        <v>472</v>
      </c>
      <c r="M994" s="12">
        <v>6</v>
      </c>
      <c r="N994" s="13"/>
      <c r="O994" s="13"/>
    </row>
    <row r="995" spans="1:15">
      <c r="A995" s="23" t="s">
        <v>1214</v>
      </c>
      <c r="B995" s="23">
        <v>9</v>
      </c>
      <c r="C995" s="20">
        <v>395</v>
      </c>
      <c r="D995" s="8">
        <v>35</v>
      </c>
      <c r="E995" s="8">
        <v>1.6</v>
      </c>
      <c r="F995" s="9">
        <v>1003</v>
      </c>
      <c r="G995" s="8" t="s">
        <v>722</v>
      </c>
      <c r="H995" s="22" t="s">
        <v>73</v>
      </c>
      <c r="I995" s="22">
        <v>183</v>
      </c>
      <c r="J995" s="22">
        <v>29</v>
      </c>
      <c r="K995" s="22">
        <v>16</v>
      </c>
      <c r="L995" s="27" t="s">
        <v>1215</v>
      </c>
      <c r="M995" s="12">
        <v>0</v>
      </c>
      <c r="N995" s="13"/>
      <c r="O995" s="13"/>
    </row>
    <row r="996" spans="1:15">
      <c r="A996" s="23" t="s">
        <v>1216</v>
      </c>
      <c r="B996" s="23">
        <v>9</v>
      </c>
      <c r="C996" s="20">
        <v>395</v>
      </c>
      <c r="D996" s="8">
        <v>35</v>
      </c>
      <c r="E996" s="8">
        <v>1.6</v>
      </c>
      <c r="F996" s="9">
        <v>1004</v>
      </c>
      <c r="G996" s="8" t="s">
        <v>722</v>
      </c>
      <c r="H996" s="22" t="s">
        <v>73</v>
      </c>
      <c r="I996" s="22">
        <v>183</v>
      </c>
      <c r="J996" s="22">
        <v>29</v>
      </c>
      <c r="K996" s="22">
        <v>16</v>
      </c>
      <c r="L996" s="27" t="s">
        <v>1215</v>
      </c>
      <c r="M996" s="12">
        <v>0</v>
      </c>
      <c r="N996" s="13"/>
      <c r="O996" s="13"/>
    </row>
    <row r="997" spans="1:15">
      <c r="A997" s="23" t="s">
        <v>1217</v>
      </c>
      <c r="B997" s="23">
        <v>9</v>
      </c>
      <c r="C997" s="20">
        <v>79</v>
      </c>
      <c r="D997" s="8">
        <v>50</v>
      </c>
      <c r="E997" s="8">
        <v>0.64</v>
      </c>
      <c r="F997" s="9">
        <v>1005</v>
      </c>
      <c r="G997" s="8" t="s">
        <v>16</v>
      </c>
      <c r="H997" s="22" t="s">
        <v>104</v>
      </c>
      <c r="I997" s="22">
        <v>130</v>
      </c>
      <c r="J997" s="22">
        <v>15</v>
      </c>
      <c r="K997" s="22">
        <v>10</v>
      </c>
      <c r="L997" s="27" t="s">
        <v>146</v>
      </c>
      <c r="M997" s="12">
        <v>35</v>
      </c>
      <c r="N997" s="13"/>
      <c r="O997" s="13"/>
    </row>
    <row r="998" spans="1:15">
      <c r="A998" s="23" t="s">
        <v>1218</v>
      </c>
      <c r="B998" s="23">
        <v>9</v>
      </c>
      <c r="C998" s="20">
        <v>67</v>
      </c>
      <c r="D998" s="8">
        <v>50</v>
      </c>
      <c r="E998" s="8">
        <v>0.6</v>
      </c>
      <c r="F998" s="9">
        <v>1006</v>
      </c>
      <c r="G998" s="8" t="s">
        <v>16</v>
      </c>
      <c r="H998" s="22" t="s">
        <v>17</v>
      </c>
      <c r="I998" s="22">
        <v>122</v>
      </c>
      <c r="J998" s="22">
        <v>15</v>
      </c>
      <c r="K998" s="22">
        <v>10</v>
      </c>
      <c r="L998" s="27" t="s">
        <v>96</v>
      </c>
      <c r="M998" s="12">
        <v>58</v>
      </c>
      <c r="N998" s="13"/>
      <c r="O998" s="13"/>
    </row>
    <row r="999" spans="1:15">
      <c r="A999" s="23" t="s">
        <v>1219</v>
      </c>
      <c r="B999" s="23">
        <v>9</v>
      </c>
      <c r="C999" s="20">
        <v>0</v>
      </c>
      <c r="D999" s="8">
        <v>0</v>
      </c>
      <c r="E999" s="8"/>
      <c r="F999" s="9">
        <v>1007</v>
      </c>
      <c r="G999" s="8" t="s">
        <v>487</v>
      </c>
      <c r="H999" s="22">
        <v>0</v>
      </c>
      <c r="I999" s="22">
        <v>0</v>
      </c>
      <c r="J999" s="22">
        <v>0</v>
      </c>
      <c r="K999" s="22">
        <v>0</v>
      </c>
      <c r="L999" s="11" t="e">
        <v>#N/A</v>
      </c>
      <c r="M999" s="12">
        <v>16</v>
      </c>
      <c r="N999" s="13"/>
      <c r="O999" s="13" t="s">
        <v>18</v>
      </c>
    </row>
    <row r="1000" spans="1:15">
      <c r="A1000" s="23" t="s">
        <v>1220</v>
      </c>
      <c r="B1000" s="23">
        <v>9</v>
      </c>
      <c r="C1000" s="20">
        <v>52</v>
      </c>
      <c r="D1000" s="8">
        <v>50</v>
      </c>
      <c r="E1000" s="8">
        <v>0.6</v>
      </c>
      <c r="F1000" s="9">
        <v>1008</v>
      </c>
      <c r="G1000" s="8" t="s">
        <v>16</v>
      </c>
      <c r="H1000" s="22" t="s">
        <v>17</v>
      </c>
      <c r="I1000" s="22">
        <v>122</v>
      </c>
      <c r="J1000" s="22">
        <v>15</v>
      </c>
      <c r="K1000" s="22">
        <v>10</v>
      </c>
      <c r="L1000" s="27" t="s">
        <v>1062</v>
      </c>
      <c r="M1000" s="12">
        <v>2</v>
      </c>
      <c r="N1000" s="13"/>
      <c r="O1000" s="13"/>
    </row>
    <row r="1001" spans="1:15">
      <c r="A1001" s="23" t="s">
        <v>1221</v>
      </c>
      <c r="B1001" s="23">
        <v>9</v>
      </c>
      <c r="C1001" s="32">
        <v>300</v>
      </c>
      <c r="D1001" s="8">
        <v>25</v>
      </c>
      <c r="E1001" s="8">
        <v>2.54</v>
      </c>
      <c r="F1001" s="9">
        <v>1009</v>
      </c>
      <c r="G1001" s="8" t="s">
        <v>446</v>
      </c>
      <c r="H1001" s="22" t="s">
        <v>523</v>
      </c>
      <c r="I1001" s="22">
        <v>77</v>
      </c>
      <c r="J1001" s="22">
        <v>52</v>
      </c>
      <c r="K1001" s="22">
        <v>32</v>
      </c>
      <c r="L1001" s="27" t="e">
        <v>#N/A</v>
      </c>
      <c r="M1001" s="12">
        <v>0</v>
      </c>
      <c r="N1001" s="13" t="s">
        <v>18</v>
      </c>
      <c r="O1001" s="13" t="s">
        <v>183</v>
      </c>
    </row>
    <row r="1002" spans="1:15">
      <c r="A1002" s="23" t="s">
        <v>1222</v>
      </c>
      <c r="B1002" s="23">
        <v>9</v>
      </c>
      <c r="C1002" s="20">
        <v>320</v>
      </c>
      <c r="D1002" s="8">
        <v>50</v>
      </c>
      <c r="E1002" s="8">
        <v>1.48</v>
      </c>
      <c r="F1002" s="9">
        <v>1010</v>
      </c>
      <c r="G1002" s="8" t="s">
        <v>372</v>
      </c>
      <c r="H1002" s="22" t="s">
        <v>83</v>
      </c>
      <c r="I1002" s="22">
        <v>145</v>
      </c>
      <c r="J1002" s="22">
        <v>29</v>
      </c>
      <c r="K1002" s="22">
        <v>16</v>
      </c>
      <c r="L1002" s="27" t="s">
        <v>440</v>
      </c>
      <c r="M1002" s="12">
        <v>0</v>
      </c>
      <c r="N1002" s="13"/>
      <c r="O1002" s="13"/>
    </row>
    <row r="1003" spans="1:15">
      <c r="A1003" s="23" t="s">
        <v>1223</v>
      </c>
      <c r="B1003" s="23">
        <v>9</v>
      </c>
      <c r="C1003" s="20">
        <v>320</v>
      </c>
      <c r="D1003" s="8">
        <v>50</v>
      </c>
      <c r="E1003" s="8">
        <v>1.48</v>
      </c>
      <c r="F1003" s="9">
        <v>1011</v>
      </c>
      <c r="G1003" s="8" t="s">
        <v>372</v>
      </c>
      <c r="H1003" s="22" t="s">
        <v>83</v>
      </c>
      <c r="I1003" s="22">
        <v>145</v>
      </c>
      <c r="J1003" s="22">
        <v>29</v>
      </c>
      <c r="K1003" s="22">
        <v>16</v>
      </c>
      <c r="L1003" s="27" t="s">
        <v>440</v>
      </c>
      <c r="M1003" s="12">
        <v>0</v>
      </c>
      <c r="N1003" s="13"/>
      <c r="O1003" s="13"/>
    </row>
    <row r="1004" spans="1:15">
      <c r="A1004" s="23" t="s">
        <v>1224</v>
      </c>
      <c r="B1004" s="23">
        <v>9</v>
      </c>
      <c r="C1004" s="20">
        <v>320</v>
      </c>
      <c r="D1004" s="8">
        <v>50</v>
      </c>
      <c r="E1004" s="8">
        <v>1.48</v>
      </c>
      <c r="F1004" s="9">
        <v>1012</v>
      </c>
      <c r="G1004" s="8" t="s">
        <v>372</v>
      </c>
      <c r="H1004" s="22" t="s">
        <v>83</v>
      </c>
      <c r="I1004" s="22">
        <v>145</v>
      </c>
      <c r="J1004" s="22">
        <v>29</v>
      </c>
      <c r="K1004" s="22">
        <v>16</v>
      </c>
      <c r="L1004" s="27" t="s">
        <v>440</v>
      </c>
      <c r="M1004" s="12">
        <v>100</v>
      </c>
      <c r="N1004" s="13"/>
      <c r="O1004" s="13"/>
    </row>
    <row r="1005" spans="1:15">
      <c r="A1005" s="23" t="s">
        <v>1225</v>
      </c>
      <c r="B1005" s="23">
        <v>9</v>
      </c>
      <c r="C1005" s="20">
        <v>320</v>
      </c>
      <c r="D1005" s="8">
        <v>50</v>
      </c>
      <c r="E1005" s="8">
        <v>1.48</v>
      </c>
      <c r="F1005" s="9">
        <v>1013</v>
      </c>
      <c r="G1005" s="8" t="s">
        <v>372</v>
      </c>
      <c r="H1005" s="22" t="s">
        <v>83</v>
      </c>
      <c r="I1005" s="22">
        <v>145</v>
      </c>
      <c r="J1005" s="22">
        <v>29</v>
      </c>
      <c r="K1005" s="22">
        <v>16</v>
      </c>
      <c r="L1005" s="27" t="s">
        <v>440</v>
      </c>
      <c r="M1005" s="12">
        <v>100</v>
      </c>
      <c r="N1005" s="13"/>
      <c r="O1005" s="13"/>
    </row>
    <row r="1006" spans="1:15">
      <c r="A1006" s="23" t="s">
        <v>1226</v>
      </c>
      <c r="B1006" s="23">
        <v>9</v>
      </c>
      <c r="C1006" s="20">
        <v>433</v>
      </c>
      <c r="D1006" s="8">
        <v>35</v>
      </c>
      <c r="E1006" s="8">
        <v>1.6</v>
      </c>
      <c r="F1006" s="9">
        <v>1014</v>
      </c>
      <c r="G1006" s="8" t="s">
        <v>722</v>
      </c>
      <c r="H1006" s="22" t="s">
        <v>73</v>
      </c>
      <c r="I1006" s="22">
        <v>183</v>
      </c>
      <c r="J1006" s="22">
        <v>29</v>
      </c>
      <c r="K1006" s="22">
        <v>16</v>
      </c>
      <c r="L1006" s="27" t="s">
        <v>1227</v>
      </c>
      <c r="M1006" s="12">
        <v>0</v>
      </c>
      <c r="N1006" s="13"/>
      <c r="O1006" s="13"/>
    </row>
    <row r="1007" spans="1:15">
      <c r="A1007" s="23" t="s">
        <v>1228</v>
      </c>
      <c r="B1007" s="23">
        <v>9</v>
      </c>
      <c r="C1007" s="20">
        <v>395</v>
      </c>
      <c r="D1007" s="8">
        <v>35</v>
      </c>
      <c r="E1007" s="8">
        <v>1.6</v>
      </c>
      <c r="F1007" s="9">
        <v>1015</v>
      </c>
      <c r="G1007" s="8" t="s">
        <v>722</v>
      </c>
      <c r="H1007" s="22" t="s">
        <v>73</v>
      </c>
      <c r="I1007" s="22">
        <v>183</v>
      </c>
      <c r="J1007" s="22">
        <v>29</v>
      </c>
      <c r="K1007" s="22">
        <v>16</v>
      </c>
      <c r="L1007" s="27" t="s">
        <v>1215</v>
      </c>
      <c r="M1007" s="12">
        <v>0</v>
      </c>
      <c r="N1007" s="13"/>
      <c r="O1007" s="13"/>
    </row>
    <row r="1008" spans="1:15">
      <c r="A1008" s="23" t="s">
        <v>1229</v>
      </c>
      <c r="B1008" s="23">
        <v>9</v>
      </c>
      <c r="C1008" s="20">
        <v>433</v>
      </c>
      <c r="D1008" s="8">
        <v>35</v>
      </c>
      <c r="E1008" s="8">
        <v>1.6</v>
      </c>
      <c r="F1008" s="9">
        <v>1016</v>
      </c>
      <c r="G1008" s="8" t="s">
        <v>722</v>
      </c>
      <c r="H1008" s="22" t="s">
        <v>73</v>
      </c>
      <c r="I1008" s="22">
        <v>183</v>
      </c>
      <c r="J1008" s="22">
        <v>29</v>
      </c>
      <c r="K1008" s="22">
        <v>16</v>
      </c>
      <c r="L1008" s="27" t="s">
        <v>1227</v>
      </c>
      <c r="M1008" s="12">
        <v>0</v>
      </c>
      <c r="N1008" s="13"/>
      <c r="O1008" s="13"/>
    </row>
    <row r="1009" spans="1:15">
      <c r="A1009" s="23" t="s">
        <v>1230</v>
      </c>
      <c r="B1009" s="23">
        <v>9</v>
      </c>
      <c r="C1009" s="20">
        <v>433</v>
      </c>
      <c r="D1009" s="8">
        <v>35</v>
      </c>
      <c r="E1009" s="8">
        <v>1.6</v>
      </c>
      <c r="F1009" s="9">
        <v>1017</v>
      </c>
      <c r="G1009" s="8" t="s">
        <v>722</v>
      </c>
      <c r="H1009" s="22" t="s">
        <v>73</v>
      </c>
      <c r="I1009" s="22">
        <v>183</v>
      </c>
      <c r="J1009" s="22">
        <v>29</v>
      </c>
      <c r="K1009" s="22">
        <v>16</v>
      </c>
      <c r="L1009" s="27" t="s">
        <v>1227</v>
      </c>
      <c r="M1009" s="12">
        <v>0</v>
      </c>
      <c r="N1009" s="13"/>
      <c r="O1009" s="13"/>
    </row>
    <row r="1010" spans="1:15">
      <c r="A1010" s="23" t="s">
        <v>1231</v>
      </c>
      <c r="B1010" s="23">
        <v>9</v>
      </c>
      <c r="C1010" s="20">
        <v>433</v>
      </c>
      <c r="D1010" s="8">
        <v>35</v>
      </c>
      <c r="E1010" s="8">
        <v>1.6</v>
      </c>
      <c r="F1010" s="9">
        <v>1018</v>
      </c>
      <c r="G1010" s="8" t="s">
        <v>722</v>
      </c>
      <c r="H1010" s="22" t="s">
        <v>73</v>
      </c>
      <c r="I1010" s="22">
        <v>183</v>
      </c>
      <c r="J1010" s="22">
        <v>29</v>
      </c>
      <c r="K1010" s="22">
        <v>16</v>
      </c>
      <c r="L1010" s="27" t="s">
        <v>1227</v>
      </c>
      <c r="M1010" s="12">
        <v>0</v>
      </c>
      <c r="N1010" s="13"/>
      <c r="O1010" s="13"/>
    </row>
    <row r="1011" spans="1:15">
      <c r="A1011" s="23" t="s">
        <v>1232</v>
      </c>
      <c r="B1011" s="23">
        <v>9</v>
      </c>
      <c r="C1011" s="20">
        <v>445</v>
      </c>
      <c r="D1011" s="8">
        <v>25</v>
      </c>
      <c r="E1011" s="8">
        <v>1.6</v>
      </c>
      <c r="F1011" s="9">
        <v>1019</v>
      </c>
      <c r="G1011" s="8" t="s">
        <v>722</v>
      </c>
      <c r="H1011" s="22" t="s">
        <v>73</v>
      </c>
      <c r="I1011" s="22">
        <v>183</v>
      </c>
      <c r="J1011" s="22">
        <v>29</v>
      </c>
      <c r="K1011" s="22">
        <v>16</v>
      </c>
      <c r="L1011" s="27" t="s">
        <v>1133</v>
      </c>
      <c r="M1011" s="12">
        <v>6</v>
      </c>
      <c r="N1011" s="13"/>
      <c r="O1011" s="13"/>
    </row>
    <row r="1012" spans="1:15">
      <c r="A1012" s="23" t="s">
        <v>1233</v>
      </c>
      <c r="B1012" s="23">
        <v>9</v>
      </c>
      <c r="C1012" s="20">
        <v>445</v>
      </c>
      <c r="D1012" s="8">
        <v>25</v>
      </c>
      <c r="E1012" s="8">
        <v>1.6</v>
      </c>
      <c r="F1012" s="9">
        <v>1020</v>
      </c>
      <c r="G1012" s="8" t="s">
        <v>722</v>
      </c>
      <c r="H1012" s="22" t="s">
        <v>73</v>
      </c>
      <c r="I1012" s="22">
        <v>183</v>
      </c>
      <c r="J1012" s="22">
        <v>29</v>
      </c>
      <c r="K1012" s="22">
        <v>16</v>
      </c>
      <c r="L1012" s="27" t="s">
        <v>1133</v>
      </c>
      <c r="M1012" s="12">
        <v>28</v>
      </c>
      <c r="N1012" s="13"/>
      <c r="O1012" s="13"/>
    </row>
    <row r="1013" spans="1:15">
      <c r="A1013" s="23" t="s">
        <v>1234</v>
      </c>
      <c r="B1013" s="23">
        <v>9</v>
      </c>
      <c r="C1013" s="20">
        <v>445</v>
      </c>
      <c r="D1013" s="8">
        <v>25</v>
      </c>
      <c r="E1013" s="8">
        <v>1.6</v>
      </c>
      <c r="F1013" s="9">
        <v>1021</v>
      </c>
      <c r="G1013" s="8" t="s">
        <v>722</v>
      </c>
      <c r="H1013" s="22" t="s">
        <v>73</v>
      </c>
      <c r="I1013" s="22">
        <v>183</v>
      </c>
      <c r="J1013" s="22">
        <v>29</v>
      </c>
      <c r="K1013" s="22">
        <v>16</v>
      </c>
      <c r="L1013" s="27" t="s">
        <v>1133</v>
      </c>
      <c r="M1013" s="12">
        <v>5</v>
      </c>
      <c r="N1013" s="13"/>
      <c r="O1013" s="13"/>
    </row>
    <row r="1014" spans="1:15">
      <c r="A1014" s="23" t="s">
        <v>1235</v>
      </c>
      <c r="B1014" s="23">
        <v>9</v>
      </c>
      <c r="C1014" s="20">
        <v>445</v>
      </c>
      <c r="D1014" s="8">
        <v>25</v>
      </c>
      <c r="E1014" s="8">
        <v>1.6</v>
      </c>
      <c r="F1014" s="9">
        <v>1022</v>
      </c>
      <c r="G1014" s="8" t="s">
        <v>722</v>
      </c>
      <c r="H1014" s="22" t="s">
        <v>73</v>
      </c>
      <c r="I1014" s="22">
        <v>183</v>
      </c>
      <c r="J1014" s="22">
        <v>29</v>
      </c>
      <c r="K1014" s="22">
        <v>16</v>
      </c>
      <c r="L1014" s="27" t="s">
        <v>1133</v>
      </c>
      <c r="M1014" s="12">
        <v>24</v>
      </c>
      <c r="N1014" s="13"/>
      <c r="O1014" s="13"/>
    </row>
    <row r="1015" spans="1:15">
      <c r="A1015" s="23" t="s">
        <v>1236</v>
      </c>
      <c r="B1015" s="23">
        <v>9</v>
      </c>
      <c r="C1015" s="20">
        <v>445</v>
      </c>
      <c r="D1015" s="8">
        <v>25</v>
      </c>
      <c r="E1015" s="8">
        <v>1.6</v>
      </c>
      <c r="F1015" s="9">
        <v>1023</v>
      </c>
      <c r="G1015" s="8" t="s">
        <v>722</v>
      </c>
      <c r="H1015" s="22" t="s">
        <v>73</v>
      </c>
      <c r="I1015" s="22">
        <v>183</v>
      </c>
      <c r="J1015" s="22">
        <v>29</v>
      </c>
      <c r="K1015" s="22">
        <v>16</v>
      </c>
      <c r="L1015" s="27" t="s">
        <v>1133</v>
      </c>
      <c r="M1015" s="12">
        <v>10</v>
      </c>
      <c r="N1015" s="13"/>
      <c r="O1015" s="13"/>
    </row>
    <row r="1016" spans="1:15">
      <c r="A1016" s="23" t="s">
        <v>1237</v>
      </c>
      <c r="B1016" s="23">
        <v>9</v>
      </c>
      <c r="C1016" s="20">
        <v>445</v>
      </c>
      <c r="D1016" s="8">
        <v>25</v>
      </c>
      <c r="E1016" s="8">
        <v>1.6</v>
      </c>
      <c r="F1016" s="9">
        <v>1024</v>
      </c>
      <c r="G1016" s="8" t="s">
        <v>722</v>
      </c>
      <c r="H1016" s="22" t="s">
        <v>73</v>
      </c>
      <c r="I1016" s="22">
        <v>183</v>
      </c>
      <c r="J1016" s="22">
        <v>29</v>
      </c>
      <c r="K1016" s="22">
        <v>16</v>
      </c>
      <c r="L1016" s="27" t="s">
        <v>1133</v>
      </c>
      <c r="M1016" s="12">
        <v>26</v>
      </c>
      <c r="N1016" s="13"/>
      <c r="O1016" s="13"/>
    </row>
    <row r="1017" spans="1:15">
      <c r="A1017" s="23" t="s">
        <v>1238</v>
      </c>
      <c r="B1017" s="23">
        <v>9</v>
      </c>
      <c r="C1017" s="20">
        <v>445</v>
      </c>
      <c r="D1017" s="8">
        <v>25</v>
      </c>
      <c r="E1017" s="8">
        <v>1.6</v>
      </c>
      <c r="F1017" s="9">
        <v>1025</v>
      </c>
      <c r="G1017" s="8" t="s">
        <v>722</v>
      </c>
      <c r="H1017" s="22" t="s">
        <v>73</v>
      </c>
      <c r="I1017" s="22">
        <v>183</v>
      </c>
      <c r="J1017" s="22">
        <v>29</v>
      </c>
      <c r="K1017" s="22">
        <v>16</v>
      </c>
      <c r="L1017" s="27" t="s">
        <v>1133</v>
      </c>
      <c r="M1017" s="12">
        <v>10</v>
      </c>
      <c r="N1017" s="13"/>
      <c r="O1017" s="13"/>
    </row>
    <row r="1018" spans="1:15">
      <c r="A1018" s="23" t="s">
        <v>1239</v>
      </c>
      <c r="B1018" s="23">
        <v>9</v>
      </c>
      <c r="C1018" s="20">
        <v>445</v>
      </c>
      <c r="D1018" s="8">
        <v>25</v>
      </c>
      <c r="E1018" s="8">
        <v>1.6</v>
      </c>
      <c r="F1018" s="9">
        <v>1026</v>
      </c>
      <c r="G1018" s="8" t="s">
        <v>722</v>
      </c>
      <c r="H1018" s="22" t="s">
        <v>73</v>
      </c>
      <c r="I1018" s="22">
        <v>183</v>
      </c>
      <c r="J1018" s="22">
        <v>29</v>
      </c>
      <c r="K1018" s="22">
        <v>16</v>
      </c>
      <c r="L1018" s="27" t="s">
        <v>1133</v>
      </c>
      <c r="M1018" s="12">
        <v>35</v>
      </c>
      <c r="N1018" s="13"/>
      <c r="O1018" s="13"/>
    </row>
    <row r="1019" spans="1:15">
      <c r="A1019" s="23" t="s">
        <v>1240</v>
      </c>
      <c r="B1019" s="23">
        <v>9</v>
      </c>
      <c r="C1019" s="20">
        <v>445</v>
      </c>
      <c r="D1019" s="8">
        <v>25</v>
      </c>
      <c r="E1019" s="8">
        <v>1.6</v>
      </c>
      <c r="F1019" s="9">
        <v>1027</v>
      </c>
      <c r="G1019" s="8" t="s">
        <v>722</v>
      </c>
      <c r="H1019" s="22" t="s">
        <v>73</v>
      </c>
      <c r="I1019" s="22">
        <v>183</v>
      </c>
      <c r="J1019" s="22">
        <v>29</v>
      </c>
      <c r="K1019" s="22">
        <v>16</v>
      </c>
      <c r="L1019" s="27" t="s">
        <v>1133</v>
      </c>
      <c r="M1019" s="12">
        <v>11</v>
      </c>
      <c r="N1019" s="13"/>
      <c r="O1019" s="13"/>
    </row>
    <row r="1020" spans="1:15">
      <c r="A1020" s="23" t="s">
        <v>1241</v>
      </c>
      <c r="B1020" s="23">
        <v>9</v>
      </c>
      <c r="C1020" s="20">
        <v>445</v>
      </c>
      <c r="D1020" s="8">
        <v>25</v>
      </c>
      <c r="E1020" s="8">
        <v>1.6</v>
      </c>
      <c r="F1020" s="9">
        <v>1028</v>
      </c>
      <c r="G1020" s="8" t="s">
        <v>722</v>
      </c>
      <c r="H1020" s="22" t="s">
        <v>73</v>
      </c>
      <c r="I1020" s="22">
        <v>183</v>
      </c>
      <c r="J1020" s="22">
        <v>29</v>
      </c>
      <c r="K1020" s="22">
        <v>16</v>
      </c>
      <c r="L1020" s="27" t="s">
        <v>1133</v>
      </c>
      <c r="M1020" s="12">
        <v>29</v>
      </c>
      <c r="N1020" s="13"/>
      <c r="O1020" s="13"/>
    </row>
    <row r="1021" spans="1:15">
      <c r="A1021" s="23" t="s">
        <v>1242</v>
      </c>
      <c r="B1021" s="23">
        <v>9</v>
      </c>
      <c r="C1021" s="20">
        <v>445</v>
      </c>
      <c r="D1021" s="8">
        <v>25</v>
      </c>
      <c r="E1021" s="8">
        <v>1.6</v>
      </c>
      <c r="F1021" s="9">
        <v>1029</v>
      </c>
      <c r="G1021" s="8" t="s">
        <v>722</v>
      </c>
      <c r="H1021" s="22" t="s">
        <v>73</v>
      </c>
      <c r="I1021" s="22">
        <v>183</v>
      </c>
      <c r="J1021" s="22">
        <v>29</v>
      </c>
      <c r="K1021" s="22">
        <v>16</v>
      </c>
      <c r="L1021" s="27" t="s">
        <v>1133</v>
      </c>
      <c r="M1021" s="12">
        <v>0</v>
      </c>
      <c r="N1021" s="13"/>
      <c r="O1021" s="13"/>
    </row>
    <row r="1022" spans="1:15">
      <c r="A1022" s="23" t="s">
        <v>1243</v>
      </c>
      <c r="B1022" s="23">
        <v>9</v>
      </c>
      <c r="C1022" s="20">
        <v>445</v>
      </c>
      <c r="D1022" s="8">
        <v>25</v>
      </c>
      <c r="E1022" s="8">
        <v>1.6</v>
      </c>
      <c r="F1022" s="9">
        <v>1030</v>
      </c>
      <c r="G1022" s="8" t="s">
        <v>722</v>
      </c>
      <c r="H1022" s="22" t="s">
        <v>73</v>
      </c>
      <c r="I1022" s="22">
        <v>183</v>
      </c>
      <c r="J1022" s="22">
        <v>29</v>
      </c>
      <c r="K1022" s="22">
        <v>16</v>
      </c>
      <c r="L1022" s="27" t="s">
        <v>1133</v>
      </c>
      <c r="M1022" s="12">
        <v>26</v>
      </c>
      <c r="N1022" s="13"/>
      <c r="O1022" s="13"/>
    </row>
    <row r="1023" spans="1:15">
      <c r="A1023" s="23" t="s">
        <v>1244</v>
      </c>
      <c r="B1023" s="23">
        <v>9</v>
      </c>
      <c r="C1023" s="20">
        <v>445</v>
      </c>
      <c r="D1023" s="8">
        <v>25</v>
      </c>
      <c r="E1023" s="8">
        <v>1.6</v>
      </c>
      <c r="F1023" s="9">
        <v>1031</v>
      </c>
      <c r="G1023" s="8" t="s">
        <v>722</v>
      </c>
      <c r="H1023" s="22" t="s">
        <v>73</v>
      </c>
      <c r="I1023" s="22">
        <v>183</v>
      </c>
      <c r="J1023" s="22">
        <v>29</v>
      </c>
      <c r="K1023" s="22">
        <v>16</v>
      </c>
      <c r="L1023" s="27" t="s">
        <v>1133</v>
      </c>
      <c r="M1023" s="12">
        <v>0</v>
      </c>
      <c r="N1023" s="13"/>
      <c r="O1023" s="13"/>
    </row>
    <row r="1024" spans="1:15">
      <c r="A1024" s="23" t="s">
        <v>1245</v>
      </c>
      <c r="B1024" s="23">
        <v>9</v>
      </c>
      <c r="C1024" s="20">
        <v>445</v>
      </c>
      <c r="D1024" s="8">
        <v>25</v>
      </c>
      <c r="E1024" s="8">
        <v>1.6</v>
      </c>
      <c r="F1024" s="9">
        <v>1032</v>
      </c>
      <c r="G1024" s="8" t="s">
        <v>722</v>
      </c>
      <c r="H1024" s="22" t="s">
        <v>73</v>
      </c>
      <c r="I1024" s="22">
        <v>183</v>
      </c>
      <c r="J1024" s="22">
        <v>29</v>
      </c>
      <c r="K1024" s="22">
        <v>16</v>
      </c>
      <c r="L1024" s="27" t="s">
        <v>1133</v>
      </c>
      <c r="M1024" s="12">
        <v>0</v>
      </c>
      <c r="N1024" s="13"/>
      <c r="O1024" s="13"/>
    </row>
    <row r="1025" spans="1:15">
      <c r="A1025" s="23" t="s">
        <v>1246</v>
      </c>
      <c r="B1025" s="23">
        <v>9</v>
      </c>
      <c r="C1025" s="20">
        <v>445</v>
      </c>
      <c r="D1025" s="8">
        <v>25</v>
      </c>
      <c r="E1025" s="8">
        <v>1.6</v>
      </c>
      <c r="F1025" s="9">
        <v>1033</v>
      </c>
      <c r="G1025" s="8" t="s">
        <v>722</v>
      </c>
      <c r="H1025" s="22" t="s">
        <v>73</v>
      </c>
      <c r="I1025" s="22">
        <v>183</v>
      </c>
      <c r="J1025" s="22">
        <v>29</v>
      </c>
      <c r="K1025" s="22">
        <v>16</v>
      </c>
      <c r="L1025" s="27" t="s">
        <v>1133</v>
      </c>
      <c r="M1025" s="12">
        <v>0</v>
      </c>
      <c r="N1025" s="13"/>
      <c r="O1025" s="13"/>
    </row>
    <row r="1026" spans="1:15">
      <c r="A1026" s="23" t="s">
        <v>1247</v>
      </c>
      <c r="B1026" s="23">
        <v>9</v>
      </c>
      <c r="C1026" s="20">
        <v>445</v>
      </c>
      <c r="D1026" s="8">
        <v>25</v>
      </c>
      <c r="E1026" s="8">
        <v>1.6</v>
      </c>
      <c r="F1026" s="9">
        <v>1034</v>
      </c>
      <c r="G1026" s="8" t="s">
        <v>722</v>
      </c>
      <c r="H1026" s="22" t="s">
        <v>73</v>
      </c>
      <c r="I1026" s="22">
        <v>183</v>
      </c>
      <c r="J1026" s="22">
        <v>29</v>
      </c>
      <c r="K1026" s="22">
        <v>16</v>
      </c>
      <c r="L1026" s="27" t="s">
        <v>1133</v>
      </c>
      <c r="M1026" s="12">
        <v>0</v>
      </c>
      <c r="N1026" s="13"/>
      <c r="O1026" s="13"/>
    </row>
    <row r="1027" spans="1:15">
      <c r="A1027" s="23" t="s">
        <v>1248</v>
      </c>
      <c r="B1027" s="23">
        <v>9</v>
      </c>
      <c r="C1027" s="20">
        <v>445</v>
      </c>
      <c r="D1027" s="8">
        <v>25</v>
      </c>
      <c r="E1027" s="8">
        <v>1.6</v>
      </c>
      <c r="F1027" s="9">
        <v>1035</v>
      </c>
      <c r="G1027" s="8" t="s">
        <v>722</v>
      </c>
      <c r="H1027" s="22" t="s">
        <v>73</v>
      </c>
      <c r="I1027" s="22">
        <v>183</v>
      </c>
      <c r="J1027" s="22">
        <v>29</v>
      </c>
      <c r="K1027" s="22">
        <v>16</v>
      </c>
      <c r="L1027" s="27" t="s">
        <v>1133</v>
      </c>
      <c r="M1027" s="12">
        <v>3</v>
      </c>
      <c r="N1027" s="13"/>
      <c r="O1027" s="13"/>
    </row>
    <row r="1028" spans="1:15">
      <c r="A1028" s="23" t="s">
        <v>1249</v>
      </c>
      <c r="B1028" s="23">
        <v>9</v>
      </c>
      <c r="C1028" s="20">
        <v>445</v>
      </c>
      <c r="D1028" s="8">
        <v>25</v>
      </c>
      <c r="E1028" s="8">
        <v>1.6</v>
      </c>
      <c r="F1028" s="9">
        <v>1036</v>
      </c>
      <c r="G1028" s="8" t="s">
        <v>722</v>
      </c>
      <c r="H1028" s="22" t="s">
        <v>73</v>
      </c>
      <c r="I1028" s="22">
        <v>183</v>
      </c>
      <c r="J1028" s="22">
        <v>29</v>
      </c>
      <c r="K1028" s="22">
        <v>16</v>
      </c>
      <c r="L1028" s="27" t="s">
        <v>1133</v>
      </c>
      <c r="M1028" s="12">
        <v>0</v>
      </c>
      <c r="N1028" s="13"/>
      <c r="O1028" s="13"/>
    </row>
    <row r="1029" spans="1:15">
      <c r="A1029" s="23" t="s">
        <v>1250</v>
      </c>
      <c r="B1029" s="23">
        <v>9</v>
      </c>
      <c r="C1029" s="20">
        <v>445</v>
      </c>
      <c r="D1029" s="8">
        <v>25</v>
      </c>
      <c r="E1029" s="8">
        <v>1.6</v>
      </c>
      <c r="F1029" s="9">
        <v>1037</v>
      </c>
      <c r="G1029" s="8" t="s">
        <v>722</v>
      </c>
      <c r="H1029" s="22" t="s">
        <v>73</v>
      </c>
      <c r="I1029" s="22">
        <v>183</v>
      </c>
      <c r="J1029" s="22">
        <v>29</v>
      </c>
      <c r="K1029" s="22">
        <v>16</v>
      </c>
      <c r="L1029" s="27" t="s">
        <v>1133</v>
      </c>
      <c r="M1029" s="12">
        <v>0</v>
      </c>
      <c r="N1029" s="13"/>
      <c r="O1029" s="13"/>
    </row>
    <row r="1030" spans="1:15">
      <c r="A1030" s="23" t="s">
        <v>1251</v>
      </c>
      <c r="B1030" s="23">
        <v>9</v>
      </c>
      <c r="C1030" s="20">
        <v>445</v>
      </c>
      <c r="D1030" s="8">
        <v>25</v>
      </c>
      <c r="E1030" s="8">
        <v>1.6</v>
      </c>
      <c r="F1030" s="9">
        <v>1038</v>
      </c>
      <c r="G1030" s="8" t="s">
        <v>722</v>
      </c>
      <c r="H1030" s="22" t="s">
        <v>73</v>
      </c>
      <c r="I1030" s="22">
        <v>183</v>
      </c>
      <c r="J1030" s="22">
        <v>29</v>
      </c>
      <c r="K1030" s="22">
        <v>16</v>
      </c>
      <c r="L1030" s="27" t="s">
        <v>1133</v>
      </c>
      <c r="M1030" s="12">
        <v>2</v>
      </c>
      <c r="N1030" s="13"/>
      <c r="O1030" s="13"/>
    </row>
    <row r="1031" spans="1:15">
      <c r="A1031" s="23" t="s">
        <v>1252</v>
      </c>
      <c r="B1031" s="23">
        <v>9</v>
      </c>
      <c r="C1031" s="20">
        <v>445</v>
      </c>
      <c r="D1031" s="8">
        <v>25</v>
      </c>
      <c r="E1031" s="8">
        <v>1.6</v>
      </c>
      <c r="F1031" s="9">
        <v>1039</v>
      </c>
      <c r="G1031" s="8" t="s">
        <v>722</v>
      </c>
      <c r="H1031" s="22" t="s">
        <v>73</v>
      </c>
      <c r="I1031" s="22">
        <v>183</v>
      </c>
      <c r="J1031" s="22">
        <v>29</v>
      </c>
      <c r="K1031" s="22">
        <v>16</v>
      </c>
      <c r="L1031" s="27" t="s">
        <v>1133</v>
      </c>
      <c r="M1031" s="12">
        <v>1</v>
      </c>
      <c r="N1031" s="13"/>
      <c r="O1031" s="13"/>
    </row>
    <row r="1032" spans="1:15">
      <c r="A1032" s="23" t="s">
        <v>1253</v>
      </c>
      <c r="B1032" s="23">
        <v>9</v>
      </c>
      <c r="C1032" s="20">
        <v>445</v>
      </c>
      <c r="D1032" s="8">
        <v>25</v>
      </c>
      <c r="E1032" s="8">
        <v>1.6</v>
      </c>
      <c r="F1032" s="9">
        <v>1040</v>
      </c>
      <c r="G1032" s="8" t="s">
        <v>722</v>
      </c>
      <c r="H1032" s="22" t="s">
        <v>73</v>
      </c>
      <c r="I1032" s="22">
        <v>183</v>
      </c>
      <c r="J1032" s="22">
        <v>29</v>
      </c>
      <c r="K1032" s="22">
        <v>16</v>
      </c>
      <c r="L1032" s="27" t="s">
        <v>1133</v>
      </c>
      <c r="M1032" s="12">
        <v>0</v>
      </c>
      <c r="N1032" s="13"/>
      <c r="O1032" s="13"/>
    </row>
    <row r="1033" spans="1:15">
      <c r="A1033" s="23" t="s">
        <v>1254</v>
      </c>
      <c r="B1033" s="23">
        <v>9</v>
      </c>
      <c r="C1033" s="20">
        <v>445</v>
      </c>
      <c r="D1033" s="8">
        <v>25</v>
      </c>
      <c r="E1033" s="8">
        <v>1.6</v>
      </c>
      <c r="F1033" s="9">
        <v>1041</v>
      </c>
      <c r="G1033" s="8" t="s">
        <v>722</v>
      </c>
      <c r="H1033" s="22" t="s">
        <v>73</v>
      </c>
      <c r="I1033" s="22">
        <v>183</v>
      </c>
      <c r="J1033" s="22">
        <v>29</v>
      </c>
      <c r="K1033" s="22">
        <v>16</v>
      </c>
      <c r="L1033" s="27" t="s">
        <v>1133</v>
      </c>
      <c r="M1033" s="12">
        <v>0</v>
      </c>
      <c r="N1033" s="13"/>
      <c r="O1033" s="13"/>
    </row>
    <row r="1034" spans="1:15">
      <c r="A1034" s="23" t="s">
        <v>1255</v>
      </c>
      <c r="B1034" s="23">
        <v>9</v>
      </c>
      <c r="C1034" s="20">
        <v>445</v>
      </c>
      <c r="D1034" s="8">
        <v>25</v>
      </c>
      <c r="E1034" s="8">
        <v>1.6</v>
      </c>
      <c r="F1034" s="9">
        <v>1042</v>
      </c>
      <c r="G1034" s="8" t="s">
        <v>722</v>
      </c>
      <c r="H1034" s="22" t="s">
        <v>73</v>
      </c>
      <c r="I1034" s="22">
        <v>183</v>
      </c>
      <c r="J1034" s="22">
        <v>29</v>
      </c>
      <c r="K1034" s="22">
        <v>16</v>
      </c>
      <c r="L1034" s="27" t="s">
        <v>1133</v>
      </c>
      <c r="M1034" s="12">
        <v>8</v>
      </c>
      <c r="N1034" s="13"/>
      <c r="O1034" s="13"/>
    </row>
    <row r="1035" spans="1:15">
      <c r="A1035" s="23" t="s">
        <v>1256</v>
      </c>
      <c r="B1035" s="23">
        <v>9</v>
      </c>
      <c r="C1035" s="20">
        <v>445</v>
      </c>
      <c r="D1035" s="8">
        <v>25</v>
      </c>
      <c r="E1035" s="8">
        <v>1.6</v>
      </c>
      <c r="F1035" s="9">
        <v>1043</v>
      </c>
      <c r="G1035" s="8" t="s">
        <v>722</v>
      </c>
      <c r="H1035" s="22" t="s">
        <v>73</v>
      </c>
      <c r="I1035" s="22">
        <v>183</v>
      </c>
      <c r="J1035" s="22">
        <v>29</v>
      </c>
      <c r="K1035" s="22">
        <v>16</v>
      </c>
      <c r="L1035" s="27" t="s">
        <v>1133</v>
      </c>
      <c r="M1035" s="12">
        <v>1</v>
      </c>
      <c r="N1035" s="13"/>
      <c r="O1035" s="13"/>
    </row>
    <row r="1036" spans="1:15">
      <c r="A1036" s="23" t="s">
        <v>1257</v>
      </c>
      <c r="B1036" s="23">
        <v>9</v>
      </c>
      <c r="C1036" s="20">
        <v>445</v>
      </c>
      <c r="D1036" s="8">
        <v>25</v>
      </c>
      <c r="E1036" s="8">
        <v>1.6</v>
      </c>
      <c r="F1036" s="9">
        <v>1044</v>
      </c>
      <c r="G1036" s="8" t="s">
        <v>722</v>
      </c>
      <c r="H1036" s="22" t="s">
        <v>73</v>
      </c>
      <c r="I1036" s="22">
        <v>183</v>
      </c>
      <c r="J1036" s="22">
        <v>29</v>
      </c>
      <c r="K1036" s="22">
        <v>16</v>
      </c>
      <c r="L1036" s="27" t="s">
        <v>1133</v>
      </c>
      <c r="M1036" s="12">
        <v>0</v>
      </c>
      <c r="N1036" s="13"/>
      <c r="O1036" s="13"/>
    </row>
    <row r="1037" spans="1:15">
      <c r="A1037" s="23" t="s">
        <v>1258</v>
      </c>
      <c r="B1037" s="23">
        <v>9</v>
      </c>
      <c r="C1037" s="20">
        <v>445</v>
      </c>
      <c r="D1037" s="8">
        <v>25</v>
      </c>
      <c r="E1037" s="8">
        <v>1.6</v>
      </c>
      <c r="F1037" s="9">
        <v>1045</v>
      </c>
      <c r="G1037" s="8" t="s">
        <v>722</v>
      </c>
      <c r="H1037" s="22" t="s">
        <v>73</v>
      </c>
      <c r="I1037" s="22">
        <v>183</v>
      </c>
      <c r="J1037" s="22">
        <v>29</v>
      </c>
      <c r="K1037" s="22">
        <v>16</v>
      </c>
      <c r="L1037" s="27" t="s">
        <v>1133</v>
      </c>
      <c r="M1037" s="12">
        <v>9</v>
      </c>
      <c r="N1037" s="13"/>
      <c r="O1037" s="13"/>
    </row>
    <row r="1038" spans="1:15">
      <c r="A1038" s="23" t="s">
        <v>1259</v>
      </c>
      <c r="B1038" s="23">
        <v>9</v>
      </c>
      <c r="C1038" s="20">
        <v>445</v>
      </c>
      <c r="D1038" s="8">
        <v>25</v>
      </c>
      <c r="E1038" s="8">
        <v>1.6</v>
      </c>
      <c r="F1038" s="9">
        <v>1046</v>
      </c>
      <c r="G1038" s="8" t="s">
        <v>722</v>
      </c>
      <c r="H1038" s="22" t="s">
        <v>73</v>
      </c>
      <c r="I1038" s="22">
        <v>183</v>
      </c>
      <c r="J1038" s="22">
        <v>29</v>
      </c>
      <c r="K1038" s="22">
        <v>16</v>
      </c>
      <c r="L1038" s="27" t="s">
        <v>1133</v>
      </c>
      <c r="M1038" s="12">
        <v>1</v>
      </c>
      <c r="N1038" s="13"/>
      <c r="O1038" s="13"/>
    </row>
    <row r="1039" spans="1:15">
      <c r="A1039" s="23" t="s">
        <v>1260</v>
      </c>
      <c r="B1039" s="23">
        <v>9</v>
      </c>
      <c r="C1039" s="20">
        <v>445</v>
      </c>
      <c r="D1039" s="8">
        <v>25</v>
      </c>
      <c r="E1039" s="8">
        <v>1.6</v>
      </c>
      <c r="F1039" s="9">
        <v>1047</v>
      </c>
      <c r="G1039" s="8" t="s">
        <v>722</v>
      </c>
      <c r="H1039" s="22" t="s">
        <v>73</v>
      </c>
      <c r="I1039" s="22">
        <v>183</v>
      </c>
      <c r="J1039" s="22">
        <v>29</v>
      </c>
      <c r="K1039" s="22">
        <v>16</v>
      </c>
      <c r="L1039" s="27" t="s">
        <v>1133</v>
      </c>
      <c r="M1039" s="12">
        <v>0</v>
      </c>
      <c r="N1039" s="13"/>
      <c r="O1039" s="13"/>
    </row>
    <row r="1040" spans="1:15">
      <c r="A1040" s="23" t="s">
        <v>1261</v>
      </c>
      <c r="B1040" s="23">
        <v>9</v>
      </c>
      <c r="C1040" s="20">
        <v>445</v>
      </c>
      <c r="D1040" s="8">
        <v>25</v>
      </c>
      <c r="E1040" s="8">
        <v>1.6</v>
      </c>
      <c r="F1040" s="9">
        <v>1048</v>
      </c>
      <c r="G1040" s="8" t="s">
        <v>722</v>
      </c>
      <c r="H1040" s="22" t="s">
        <v>73</v>
      </c>
      <c r="I1040" s="22">
        <v>183</v>
      </c>
      <c r="J1040" s="22">
        <v>29</v>
      </c>
      <c r="K1040" s="22">
        <v>16</v>
      </c>
      <c r="L1040" s="27" t="s">
        <v>1133</v>
      </c>
      <c r="M1040" s="12">
        <v>0</v>
      </c>
      <c r="N1040" s="13"/>
      <c r="O1040" s="13"/>
    </row>
    <row r="1041" spans="1:15">
      <c r="A1041" s="23" t="s">
        <v>1262</v>
      </c>
      <c r="B1041" s="23">
        <v>9</v>
      </c>
      <c r="C1041" s="20">
        <v>445</v>
      </c>
      <c r="D1041" s="8">
        <v>25</v>
      </c>
      <c r="E1041" s="8">
        <v>1.6</v>
      </c>
      <c r="F1041" s="9">
        <v>1049</v>
      </c>
      <c r="G1041" s="8" t="s">
        <v>722</v>
      </c>
      <c r="H1041" s="22" t="s">
        <v>73</v>
      </c>
      <c r="I1041" s="22">
        <v>183</v>
      </c>
      <c r="J1041" s="22">
        <v>29</v>
      </c>
      <c r="K1041" s="22">
        <v>16</v>
      </c>
      <c r="L1041" s="27" t="s">
        <v>1133</v>
      </c>
      <c r="M1041" s="12">
        <v>0</v>
      </c>
      <c r="N1041" s="13"/>
      <c r="O1041" s="13"/>
    </row>
    <row r="1042" spans="1:15">
      <c r="A1042" s="23" t="s">
        <v>1263</v>
      </c>
      <c r="B1042" s="23">
        <v>9</v>
      </c>
      <c r="C1042" s="20">
        <v>445</v>
      </c>
      <c r="D1042" s="8">
        <v>25</v>
      </c>
      <c r="E1042" s="8">
        <v>1.6</v>
      </c>
      <c r="F1042" s="9">
        <v>1050</v>
      </c>
      <c r="G1042" s="8" t="s">
        <v>722</v>
      </c>
      <c r="H1042" s="22" t="s">
        <v>73</v>
      </c>
      <c r="I1042" s="22">
        <v>183</v>
      </c>
      <c r="J1042" s="22">
        <v>29</v>
      </c>
      <c r="K1042" s="22">
        <v>16</v>
      </c>
      <c r="L1042" s="27" t="s">
        <v>1133</v>
      </c>
      <c r="M1042" s="12">
        <v>0</v>
      </c>
      <c r="N1042" s="13"/>
      <c r="O1042" s="13"/>
    </row>
    <row r="1043" spans="1:15">
      <c r="A1043" s="23" t="s">
        <v>1264</v>
      </c>
      <c r="B1043" s="23">
        <v>9</v>
      </c>
      <c r="C1043" s="32">
        <v>322</v>
      </c>
      <c r="D1043" s="8">
        <v>1</v>
      </c>
      <c r="E1043" s="8">
        <v>0.5</v>
      </c>
      <c r="F1043" s="9">
        <v>1051</v>
      </c>
      <c r="G1043" s="8" t="s">
        <v>446</v>
      </c>
      <c r="H1043" s="22" t="s">
        <v>443</v>
      </c>
      <c r="I1043" s="22">
        <v>89</v>
      </c>
      <c r="J1043" s="22">
        <v>14</v>
      </c>
      <c r="K1043" s="22">
        <v>9</v>
      </c>
      <c r="L1043" s="27" t="s">
        <v>872</v>
      </c>
      <c r="M1043" s="12">
        <v>0</v>
      </c>
      <c r="N1043" s="12" t="e">
        <f>VLOOKUP(A:A,[2]成品数据统计表!$C$1:$E$65536,3,0)</f>
        <v>#REF!</v>
      </c>
      <c r="O1043" s="13"/>
    </row>
    <row r="1044" spans="1:15">
      <c r="A1044" s="23" t="s">
        <v>1265</v>
      </c>
      <c r="B1044" s="23">
        <v>9</v>
      </c>
      <c r="C1044" s="20">
        <v>483</v>
      </c>
      <c r="D1044" s="8">
        <v>25</v>
      </c>
      <c r="E1044" s="8">
        <v>1.6</v>
      </c>
      <c r="F1044" s="9">
        <v>1052</v>
      </c>
      <c r="G1044" s="8" t="s">
        <v>722</v>
      </c>
      <c r="H1044" s="22" t="s">
        <v>73</v>
      </c>
      <c r="I1044" s="22">
        <v>183</v>
      </c>
      <c r="J1044" s="22">
        <v>29</v>
      </c>
      <c r="K1044" s="22">
        <v>16</v>
      </c>
      <c r="L1044" s="27" t="s">
        <v>1058</v>
      </c>
      <c r="M1044" s="12">
        <v>0</v>
      </c>
      <c r="N1044" s="13"/>
      <c r="O1044" s="13"/>
    </row>
    <row r="1045" spans="1:15">
      <c r="A1045" s="23" t="s">
        <v>1266</v>
      </c>
      <c r="B1045" s="23">
        <v>9</v>
      </c>
      <c r="C1045" s="20">
        <v>483</v>
      </c>
      <c r="D1045" s="8">
        <v>25</v>
      </c>
      <c r="E1045" s="8">
        <v>1.6</v>
      </c>
      <c r="F1045" s="9">
        <v>1053</v>
      </c>
      <c r="G1045" s="8" t="s">
        <v>722</v>
      </c>
      <c r="H1045" s="22" t="s">
        <v>73</v>
      </c>
      <c r="I1045" s="22">
        <v>183</v>
      </c>
      <c r="J1045" s="22">
        <v>29</v>
      </c>
      <c r="K1045" s="22">
        <v>16</v>
      </c>
      <c r="L1045" s="27" t="s">
        <v>1058</v>
      </c>
      <c r="M1045" s="12">
        <v>0</v>
      </c>
      <c r="N1045" s="13"/>
      <c r="O1045" s="13"/>
    </row>
    <row r="1046" spans="1:15">
      <c r="A1046" s="23" t="s">
        <v>1267</v>
      </c>
      <c r="B1046" s="23">
        <v>9</v>
      </c>
      <c r="C1046" s="20">
        <v>395</v>
      </c>
      <c r="D1046" s="8">
        <v>35</v>
      </c>
      <c r="E1046" s="8">
        <v>1.6</v>
      </c>
      <c r="F1046" s="9">
        <v>1054</v>
      </c>
      <c r="G1046" s="8" t="s">
        <v>722</v>
      </c>
      <c r="H1046" s="22" t="s">
        <v>73</v>
      </c>
      <c r="I1046" s="22">
        <v>183</v>
      </c>
      <c r="J1046" s="22">
        <v>29</v>
      </c>
      <c r="K1046" s="22">
        <v>16</v>
      </c>
      <c r="L1046" s="27" t="s">
        <v>1215</v>
      </c>
      <c r="M1046" s="12">
        <v>0</v>
      </c>
      <c r="N1046" s="13"/>
      <c r="O1046" s="13"/>
    </row>
    <row r="1047" spans="1:15">
      <c r="A1047" s="22" t="s">
        <v>1268</v>
      </c>
      <c r="B1047" s="8">
        <v>9</v>
      </c>
      <c r="C1047" s="8">
        <v>530</v>
      </c>
      <c r="D1047" s="8">
        <v>1</v>
      </c>
      <c r="E1047" s="8">
        <v>0.5</v>
      </c>
      <c r="F1047" s="9">
        <v>1055</v>
      </c>
      <c r="G1047" s="8" t="s">
        <v>446</v>
      </c>
      <c r="H1047" s="10" t="s">
        <v>443</v>
      </c>
      <c r="I1047" s="10">
        <v>89</v>
      </c>
      <c r="J1047" s="10">
        <v>14</v>
      </c>
      <c r="K1047" s="10">
        <v>9</v>
      </c>
      <c r="L1047" s="11" t="e">
        <v>#N/A</v>
      </c>
      <c r="M1047" s="12">
        <v>0</v>
      </c>
      <c r="N1047" s="13" t="s">
        <v>18</v>
      </c>
      <c r="O1047" s="13"/>
    </row>
    <row r="1048" spans="1:15">
      <c r="A1048" s="23" t="s">
        <v>1269</v>
      </c>
      <c r="B1048" s="23">
        <v>9</v>
      </c>
      <c r="C1048" s="20">
        <v>444</v>
      </c>
      <c r="D1048" s="8">
        <v>25</v>
      </c>
      <c r="E1048" s="8">
        <v>1.6</v>
      </c>
      <c r="F1048" s="9">
        <v>1056</v>
      </c>
      <c r="G1048" s="8" t="s">
        <v>722</v>
      </c>
      <c r="H1048" s="22" t="s">
        <v>1198</v>
      </c>
      <c r="I1048" s="22">
        <v>183</v>
      </c>
      <c r="J1048" s="22">
        <v>29</v>
      </c>
      <c r="K1048" s="22">
        <v>16</v>
      </c>
      <c r="L1048" s="27" t="s">
        <v>1058</v>
      </c>
      <c r="M1048" s="12">
        <v>0</v>
      </c>
      <c r="N1048" s="13"/>
      <c r="O1048" s="13"/>
    </row>
    <row r="1049" spans="1:15">
      <c r="A1049" s="23" t="s">
        <v>1270</v>
      </c>
      <c r="B1049" s="23">
        <v>9</v>
      </c>
      <c r="C1049" s="20">
        <v>427</v>
      </c>
      <c r="D1049" s="8">
        <v>25</v>
      </c>
      <c r="E1049" s="8">
        <v>1.6</v>
      </c>
      <c r="F1049" s="9">
        <v>1057</v>
      </c>
      <c r="G1049" s="8" t="s">
        <v>722</v>
      </c>
      <c r="H1049" s="22" t="s">
        <v>1198</v>
      </c>
      <c r="I1049" s="22">
        <v>183</v>
      </c>
      <c r="J1049" s="22">
        <v>29</v>
      </c>
      <c r="K1049" s="22">
        <v>16</v>
      </c>
      <c r="L1049" s="27" t="s">
        <v>1058</v>
      </c>
      <c r="M1049" s="12">
        <v>0</v>
      </c>
      <c r="N1049" s="13"/>
      <c r="O1049" s="13"/>
    </row>
    <row r="1050" spans="1:15">
      <c r="A1050" s="23" t="s">
        <v>1271</v>
      </c>
      <c r="B1050" s="23">
        <v>9</v>
      </c>
      <c r="C1050" s="20">
        <v>52</v>
      </c>
      <c r="D1050" s="8">
        <v>50</v>
      </c>
      <c r="E1050" s="8">
        <v>0.6</v>
      </c>
      <c r="F1050" s="9">
        <v>1058</v>
      </c>
      <c r="G1050" s="8" t="s">
        <v>16</v>
      </c>
      <c r="H1050" s="22" t="s">
        <v>997</v>
      </c>
      <c r="I1050" s="22">
        <v>122</v>
      </c>
      <c r="J1050" s="22">
        <v>15</v>
      </c>
      <c r="K1050" s="22">
        <v>10</v>
      </c>
      <c r="L1050" s="27" t="s">
        <v>1062</v>
      </c>
      <c r="M1050" s="12">
        <v>48</v>
      </c>
      <c r="N1050" s="13"/>
      <c r="O1050" s="13"/>
    </row>
    <row r="1051" spans="1:15">
      <c r="A1051" s="23" t="s">
        <v>1272</v>
      </c>
      <c r="B1051" s="23">
        <v>9</v>
      </c>
      <c r="C1051" s="32">
        <v>400</v>
      </c>
      <c r="D1051" s="8">
        <v>25</v>
      </c>
      <c r="E1051" s="8">
        <v>2.54</v>
      </c>
      <c r="F1051" s="9">
        <v>1059</v>
      </c>
      <c r="G1051" s="8" t="s">
        <v>446</v>
      </c>
      <c r="H1051" s="22" t="s">
        <v>523</v>
      </c>
      <c r="I1051" s="22">
        <v>77</v>
      </c>
      <c r="J1051" s="22">
        <v>52</v>
      </c>
      <c r="K1051" s="22">
        <v>32</v>
      </c>
      <c r="L1051" s="33" t="e">
        <v>#N/A</v>
      </c>
      <c r="M1051" s="12">
        <v>0</v>
      </c>
      <c r="N1051" s="13" t="s">
        <v>18</v>
      </c>
      <c r="O1051" s="13"/>
    </row>
    <row r="1052" spans="1:15">
      <c r="A1052" s="23" t="s">
        <v>1273</v>
      </c>
      <c r="B1052" s="23">
        <v>9</v>
      </c>
      <c r="C1052" s="20">
        <v>67</v>
      </c>
      <c r="D1052" s="8">
        <v>50</v>
      </c>
      <c r="E1052" s="8">
        <v>0.6</v>
      </c>
      <c r="F1052" s="9">
        <v>1060</v>
      </c>
      <c r="G1052" s="8" t="s">
        <v>16</v>
      </c>
      <c r="H1052" s="22" t="s">
        <v>997</v>
      </c>
      <c r="I1052" s="22">
        <v>122</v>
      </c>
      <c r="J1052" s="22">
        <v>15</v>
      </c>
      <c r="K1052" s="22">
        <v>10</v>
      </c>
      <c r="L1052" s="27" t="s">
        <v>96</v>
      </c>
      <c r="M1052" s="12">
        <v>64</v>
      </c>
      <c r="N1052" s="13"/>
      <c r="O1052" s="13"/>
    </row>
    <row r="1053" spans="1:15">
      <c r="A1053" s="23" t="s">
        <v>1274</v>
      </c>
      <c r="B1053" s="23">
        <v>9</v>
      </c>
      <c r="C1053" s="20">
        <v>65</v>
      </c>
      <c r="D1053" s="8">
        <v>50</v>
      </c>
      <c r="E1053" s="8">
        <v>0.6</v>
      </c>
      <c r="F1053" s="9">
        <v>1061</v>
      </c>
      <c r="G1053" s="8" t="s">
        <v>16</v>
      </c>
      <c r="H1053" s="22" t="s">
        <v>997</v>
      </c>
      <c r="I1053" s="22">
        <v>122</v>
      </c>
      <c r="J1053" s="22">
        <v>15</v>
      </c>
      <c r="K1053" s="22">
        <v>10</v>
      </c>
      <c r="L1053" s="27" t="s">
        <v>22</v>
      </c>
      <c r="M1053" s="12">
        <v>26</v>
      </c>
      <c r="N1053" s="13"/>
      <c r="O1053" s="13"/>
    </row>
    <row r="1054" spans="1:15">
      <c r="A1054" s="23" t="s">
        <v>1275</v>
      </c>
      <c r="B1054" s="23">
        <v>9</v>
      </c>
      <c r="C1054" s="20">
        <v>70</v>
      </c>
      <c r="D1054" s="8">
        <v>50</v>
      </c>
      <c r="E1054" s="8">
        <v>0.6</v>
      </c>
      <c r="F1054" s="9">
        <v>1062</v>
      </c>
      <c r="G1054" s="8" t="s">
        <v>16</v>
      </c>
      <c r="H1054" s="22" t="s">
        <v>997</v>
      </c>
      <c r="I1054" s="22">
        <v>122</v>
      </c>
      <c r="J1054" s="22">
        <v>15</v>
      </c>
      <c r="K1054" s="22">
        <v>10</v>
      </c>
      <c r="L1054" s="27" t="s">
        <v>121</v>
      </c>
      <c r="M1054" s="12">
        <v>0</v>
      </c>
      <c r="N1054" s="13"/>
      <c r="O1054" s="13"/>
    </row>
    <row r="1055" spans="1:15">
      <c r="A1055" s="23" t="s">
        <v>1276</v>
      </c>
      <c r="B1055" s="23">
        <v>9</v>
      </c>
      <c r="C1055" s="20">
        <v>65</v>
      </c>
      <c r="D1055" s="8">
        <v>50</v>
      </c>
      <c r="E1055" s="8">
        <v>0.6</v>
      </c>
      <c r="F1055" s="9">
        <v>1063</v>
      </c>
      <c r="G1055" s="8" t="s">
        <v>16</v>
      </c>
      <c r="H1055" s="22" t="s">
        <v>997</v>
      </c>
      <c r="I1055" s="22">
        <v>122</v>
      </c>
      <c r="J1055" s="22">
        <v>15</v>
      </c>
      <c r="K1055" s="22">
        <v>10</v>
      </c>
      <c r="L1055" s="27" t="s">
        <v>22</v>
      </c>
      <c r="M1055" s="12">
        <v>25</v>
      </c>
      <c r="N1055" s="13"/>
      <c r="O1055" s="13"/>
    </row>
    <row r="1056" spans="1:15">
      <c r="A1056" s="23" t="s">
        <v>1277</v>
      </c>
      <c r="B1056" s="23">
        <v>9</v>
      </c>
      <c r="C1056" s="20">
        <v>63</v>
      </c>
      <c r="D1056" s="8">
        <v>50</v>
      </c>
      <c r="E1056" s="8">
        <v>0.6</v>
      </c>
      <c r="F1056" s="9">
        <v>1064</v>
      </c>
      <c r="G1056" s="8" t="s">
        <v>16</v>
      </c>
      <c r="H1056" s="22" t="s">
        <v>997</v>
      </c>
      <c r="I1056" s="22">
        <v>122</v>
      </c>
      <c r="J1056" s="22">
        <v>15</v>
      </c>
      <c r="K1056" s="22">
        <v>10</v>
      </c>
      <c r="L1056" s="27" t="s">
        <v>287</v>
      </c>
      <c r="M1056" s="12">
        <v>14</v>
      </c>
      <c r="N1056" s="13"/>
      <c r="O1056" s="13"/>
    </row>
    <row r="1057" spans="1:15">
      <c r="A1057" s="23" t="s">
        <v>1278</v>
      </c>
      <c r="B1057" s="23">
        <v>9</v>
      </c>
      <c r="C1057" s="20">
        <v>67</v>
      </c>
      <c r="D1057" s="8">
        <v>50</v>
      </c>
      <c r="E1057" s="8">
        <v>0.6</v>
      </c>
      <c r="F1057" s="9">
        <v>1065</v>
      </c>
      <c r="G1057" s="8" t="s">
        <v>16</v>
      </c>
      <c r="H1057" s="22" t="s">
        <v>997</v>
      </c>
      <c r="I1057" s="22">
        <v>122</v>
      </c>
      <c r="J1057" s="22">
        <v>15</v>
      </c>
      <c r="K1057" s="22">
        <v>10</v>
      </c>
      <c r="L1057" s="27" t="s">
        <v>96</v>
      </c>
      <c r="M1057" s="12">
        <v>1</v>
      </c>
      <c r="N1057" s="13"/>
      <c r="O1057" s="13"/>
    </row>
    <row r="1058" spans="1:15">
      <c r="A1058" s="23" t="s">
        <v>1279</v>
      </c>
      <c r="B1058" s="23">
        <v>9</v>
      </c>
      <c r="C1058" s="20">
        <v>76</v>
      </c>
      <c r="D1058" s="8">
        <v>50</v>
      </c>
      <c r="E1058" s="8">
        <v>0.6</v>
      </c>
      <c r="F1058" s="9">
        <v>1066</v>
      </c>
      <c r="G1058" s="8" t="s">
        <v>16</v>
      </c>
      <c r="H1058" s="22" t="s">
        <v>997</v>
      </c>
      <c r="I1058" s="22">
        <v>122</v>
      </c>
      <c r="J1058" s="22">
        <v>15</v>
      </c>
      <c r="K1058" s="22">
        <v>10</v>
      </c>
      <c r="L1058" s="27" t="s">
        <v>131</v>
      </c>
      <c r="M1058" s="12">
        <v>461</v>
      </c>
      <c r="N1058" s="13"/>
      <c r="O1058" s="13"/>
    </row>
    <row r="1059" spans="1:15">
      <c r="A1059" s="23" t="s">
        <v>1280</v>
      </c>
      <c r="B1059" s="23">
        <v>9</v>
      </c>
      <c r="C1059" s="20">
        <v>71</v>
      </c>
      <c r="D1059" s="8">
        <v>50</v>
      </c>
      <c r="E1059" s="8">
        <v>0.6</v>
      </c>
      <c r="F1059" s="9">
        <v>1067</v>
      </c>
      <c r="G1059" s="8" t="s">
        <v>16</v>
      </c>
      <c r="H1059" s="22" t="s">
        <v>997</v>
      </c>
      <c r="I1059" s="22">
        <v>122</v>
      </c>
      <c r="J1059" s="22">
        <v>15</v>
      </c>
      <c r="K1059" s="22">
        <v>10</v>
      </c>
      <c r="L1059" s="27" t="s">
        <v>235</v>
      </c>
      <c r="M1059" s="12">
        <v>335</v>
      </c>
      <c r="N1059" s="13"/>
      <c r="O1059" s="13"/>
    </row>
    <row r="1060" spans="1:15">
      <c r="A1060" s="23" t="s">
        <v>1281</v>
      </c>
      <c r="B1060" s="23">
        <v>9</v>
      </c>
      <c r="C1060" s="20">
        <v>65</v>
      </c>
      <c r="D1060" s="8">
        <v>50</v>
      </c>
      <c r="E1060" s="8">
        <v>0.6</v>
      </c>
      <c r="F1060" s="9">
        <v>1068</v>
      </c>
      <c r="G1060" s="8" t="s">
        <v>16</v>
      </c>
      <c r="H1060" s="22" t="s">
        <v>997</v>
      </c>
      <c r="I1060" s="22">
        <v>122</v>
      </c>
      <c r="J1060" s="22">
        <v>15</v>
      </c>
      <c r="K1060" s="22">
        <v>10</v>
      </c>
      <c r="L1060" s="27" t="s">
        <v>22</v>
      </c>
      <c r="M1060" s="12">
        <v>3</v>
      </c>
      <c r="N1060" s="13"/>
      <c r="O1060" s="13"/>
    </row>
    <row r="1061" spans="1:15">
      <c r="A1061" s="23" t="s">
        <v>1282</v>
      </c>
      <c r="B1061" s="23">
        <v>9</v>
      </c>
      <c r="C1061" s="20">
        <v>84</v>
      </c>
      <c r="D1061" s="8">
        <v>50</v>
      </c>
      <c r="E1061" s="8">
        <v>0.6</v>
      </c>
      <c r="F1061" s="9">
        <v>1069</v>
      </c>
      <c r="G1061" s="8" t="s">
        <v>16</v>
      </c>
      <c r="H1061" s="22" t="s">
        <v>997</v>
      </c>
      <c r="I1061" s="22">
        <v>122</v>
      </c>
      <c r="J1061" s="22">
        <v>15</v>
      </c>
      <c r="K1061" s="22">
        <v>10</v>
      </c>
      <c r="L1061" s="27" t="s">
        <v>60</v>
      </c>
      <c r="M1061" s="12">
        <v>0</v>
      </c>
      <c r="N1061" s="13"/>
      <c r="O1061" s="13"/>
    </row>
    <row r="1062" spans="1:15">
      <c r="A1062" s="23" t="s">
        <v>1283</v>
      </c>
      <c r="B1062" s="23">
        <v>9</v>
      </c>
      <c r="C1062" s="20">
        <v>87</v>
      </c>
      <c r="D1062" s="8">
        <v>50</v>
      </c>
      <c r="E1062" s="8">
        <v>0.6</v>
      </c>
      <c r="F1062" s="9">
        <v>1070</v>
      </c>
      <c r="G1062" s="8" t="s">
        <v>16</v>
      </c>
      <c r="H1062" s="22" t="s">
        <v>997</v>
      </c>
      <c r="I1062" s="22">
        <v>122</v>
      </c>
      <c r="J1062" s="22">
        <v>15</v>
      </c>
      <c r="K1062" s="22">
        <v>10</v>
      </c>
      <c r="L1062" s="27" t="s">
        <v>309</v>
      </c>
      <c r="M1062" s="12">
        <v>0</v>
      </c>
      <c r="N1062" s="13"/>
      <c r="O1062" s="13"/>
    </row>
    <row r="1063" spans="1:15">
      <c r="A1063" s="23" t="s">
        <v>1284</v>
      </c>
      <c r="B1063" s="23">
        <v>9</v>
      </c>
      <c r="C1063" s="20">
        <v>83</v>
      </c>
      <c r="D1063" s="8">
        <v>50</v>
      </c>
      <c r="E1063" s="8">
        <v>0.6</v>
      </c>
      <c r="F1063" s="9">
        <v>1071</v>
      </c>
      <c r="G1063" s="8" t="s">
        <v>16</v>
      </c>
      <c r="H1063" s="22" t="s">
        <v>997</v>
      </c>
      <c r="I1063" s="22">
        <v>122</v>
      </c>
      <c r="J1063" s="22">
        <v>15</v>
      </c>
      <c r="K1063" s="22">
        <v>10</v>
      </c>
      <c r="L1063" s="27" t="s">
        <v>58</v>
      </c>
      <c r="M1063" s="12">
        <v>11</v>
      </c>
      <c r="N1063" s="13"/>
      <c r="O1063" s="13"/>
    </row>
    <row r="1064" spans="1:15">
      <c r="A1064" s="23" t="s">
        <v>1285</v>
      </c>
      <c r="B1064" s="23">
        <v>9</v>
      </c>
      <c r="C1064" s="20">
        <v>67</v>
      </c>
      <c r="D1064" s="8">
        <v>50</v>
      </c>
      <c r="E1064" s="8">
        <v>0.6</v>
      </c>
      <c r="F1064" s="9">
        <v>1072</v>
      </c>
      <c r="G1064" s="8" t="s">
        <v>16</v>
      </c>
      <c r="H1064" s="22" t="s">
        <v>997</v>
      </c>
      <c r="I1064" s="22">
        <v>122</v>
      </c>
      <c r="J1064" s="22">
        <v>15</v>
      </c>
      <c r="K1064" s="22">
        <v>10</v>
      </c>
      <c r="L1064" s="27" t="s">
        <v>245</v>
      </c>
      <c r="M1064" s="12">
        <v>21</v>
      </c>
      <c r="N1064" s="13"/>
      <c r="O1064" s="13"/>
    </row>
    <row r="1065" spans="1:15">
      <c r="A1065" s="23" t="s">
        <v>1286</v>
      </c>
      <c r="B1065" s="23">
        <v>9</v>
      </c>
      <c r="C1065" s="20">
        <v>68</v>
      </c>
      <c r="D1065" s="8">
        <v>50</v>
      </c>
      <c r="E1065" s="8">
        <v>0.6</v>
      </c>
      <c r="F1065" s="9">
        <v>1073</v>
      </c>
      <c r="G1065" s="8" t="s">
        <v>16</v>
      </c>
      <c r="H1065" s="22" t="s">
        <v>997</v>
      </c>
      <c r="I1065" s="22">
        <v>122</v>
      </c>
      <c r="J1065" s="22">
        <v>15</v>
      </c>
      <c r="K1065" s="22">
        <v>10</v>
      </c>
      <c r="L1065" s="27" t="s">
        <v>118</v>
      </c>
      <c r="M1065" s="12">
        <v>10</v>
      </c>
      <c r="N1065" s="13"/>
      <c r="O1065" s="13"/>
    </row>
    <row r="1066" spans="1:15">
      <c r="A1066" s="23" t="s">
        <v>1287</v>
      </c>
      <c r="B1066" s="23">
        <v>9</v>
      </c>
      <c r="C1066" s="20">
        <v>69</v>
      </c>
      <c r="D1066" s="8">
        <v>50</v>
      </c>
      <c r="E1066" s="8">
        <v>0.6</v>
      </c>
      <c r="F1066" s="9">
        <v>1074</v>
      </c>
      <c r="G1066" s="8" t="s">
        <v>16</v>
      </c>
      <c r="H1066" s="22" t="s">
        <v>997</v>
      </c>
      <c r="I1066" s="22">
        <v>122</v>
      </c>
      <c r="J1066" s="22">
        <v>15</v>
      </c>
      <c r="K1066" s="22">
        <v>10</v>
      </c>
      <c r="L1066" s="27" t="s">
        <v>123</v>
      </c>
      <c r="M1066" s="12">
        <v>48</v>
      </c>
      <c r="N1066" s="13"/>
      <c r="O1066" s="13"/>
    </row>
    <row r="1067" spans="1:15">
      <c r="A1067" s="23" t="s">
        <v>1288</v>
      </c>
      <c r="B1067" s="23">
        <v>9</v>
      </c>
      <c r="C1067" s="20">
        <v>80</v>
      </c>
      <c r="D1067" s="8">
        <v>50</v>
      </c>
      <c r="E1067" s="8">
        <v>0.6</v>
      </c>
      <c r="F1067" s="9">
        <v>1075</v>
      </c>
      <c r="G1067" s="8" t="s">
        <v>16</v>
      </c>
      <c r="H1067" s="22" t="s">
        <v>997</v>
      </c>
      <c r="I1067" s="22">
        <v>122</v>
      </c>
      <c r="J1067" s="22">
        <v>15</v>
      </c>
      <c r="K1067" s="22">
        <v>10</v>
      </c>
      <c r="L1067" s="27" t="e">
        <v>#N/A</v>
      </c>
      <c r="M1067" s="12">
        <v>0</v>
      </c>
      <c r="N1067" s="13" t="s">
        <v>18</v>
      </c>
      <c r="O1067" s="13"/>
    </row>
    <row r="1068" spans="1:15">
      <c r="A1068" s="23" t="s">
        <v>1289</v>
      </c>
      <c r="B1068" s="23">
        <v>9</v>
      </c>
      <c r="C1068" s="20">
        <v>76</v>
      </c>
      <c r="D1068" s="8">
        <v>50</v>
      </c>
      <c r="E1068" s="8">
        <v>0.6</v>
      </c>
      <c r="F1068" s="9">
        <v>1076</v>
      </c>
      <c r="G1068" s="8" t="s">
        <v>16</v>
      </c>
      <c r="H1068" s="22" t="s">
        <v>997</v>
      </c>
      <c r="I1068" s="22">
        <v>122</v>
      </c>
      <c r="J1068" s="22">
        <v>15</v>
      </c>
      <c r="K1068" s="22">
        <v>10</v>
      </c>
      <c r="L1068" s="27" t="s">
        <v>131</v>
      </c>
      <c r="M1068" s="12">
        <v>25</v>
      </c>
      <c r="N1068" s="13"/>
      <c r="O1068" s="13"/>
    </row>
    <row r="1069" spans="1:15">
      <c r="A1069" s="23" t="s">
        <v>1290</v>
      </c>
      <c r="B1069" s="23">
        <v>9</v>
      </c>
      <c r="C1069" s="20">
        <v>85</v>
      </c>
      <c r="D1069" s="8">
        <v>50</v>
      </c>
      <c r="E1069" s="8">
        <v>0.6</v>
      </c>
      <c r="F1069" s="9">
        <v>1077</v>
      </c>
      <c r="G1069" s="8" t="s">
        <v>16</v>
      </c>
      <c r="H1069" s="22" t="s">
        <v>997</v>
      </c>
      <c r="I1069" s="22">
        <v>122</v>
      </c>
      <c r="J1069" s="22">
        <v>15</v>
      </c>
      <c r="K1069" s="22">
        <v>10</v>
      </c>
      <c r="L1069" s="27" t="s">
        <v>62</v>
      </c>
      <c r="M1069" s="12">
        <v>0</v>
      </c>
      <c r="N1069" s="13"/>
      <c r="O1069" s="13"/>
    </row>
    <row r="1070" spans="1:15">
      <c r="A1070" s="23" t="s">
        <v>1291</v>
      </c>
      <c r="B1070" s="23">
        <v>9</v>
      </c>
      <c r="C1070" s="20">
        <v>86</v>
      </c>
      <c r="D1070" s="8">
        <v>50</v>
      </c>
      <c r="E1070" s="8">
        <v>0.6</v>
      </c>
      <c r="F1070" s="9">
        <v>1078</v>
      </c>
      <c r="G1070" s="8" t="s">
        <v>16</v>
      </c>
      <c r="H1070" s="22" t="s">
        <v>997</v>
      </c>
      <c r="I1070" s="22">
        <v>122</v>
      </c>
      <c r="J1070" s="22">
        <v>15</v>
      </c>
      <c r="K1070" s="22">
        <v>10</v>
      </c>
      <c r="L1070" s="27" t="s">
        <v>220</v>
      </c>
      <c r="M1070" s="12">
        <v>0</v>
      </c>
      <c r="N1070" s="13"/>
      <c r="O1070" s="13"/>
    </row>
    <row r="1071" spans="1:15">
      <c r="A1071" s="23" t="s">
        <v>1292</v>
      </c>
      <c r="B1071" s="23">
        <v>9</v>
      </c>
      <c r="C1071" s="20">
        <v>85</v>
      </c>
      <c r="D1071" s="8">
        <v>50</v>
      </c>
      <c r="E1071" s="8">
        <v>0.6</v>
      </c>
      <c r="F1071" s="9">
        <v>1079</v>
      </c>
      <c r="G1071" s="8" t="s">
        <v>16</v>
      </c>
      <c r="H1071" s="22" t="s">
        <v>997</v>
      </c>
      <c r="I1071" s="22">
        <v>122</v>
      </c>
      <c r="J1071" s="22">
        <v>15</v>
      </c>
      <c r="K1071" s="22">
        <v>10</v>
      </c>
      <c r="L1071" s="27" t="s">
        <v>62</v>
      </c>
      <c r="M1071" s="12">
        <v>0</v>
      </c>
      <c r="N1071" s="13"/>
      <c r="O1071" s="13"/>
    </row>
    <row r="1072" spans="1:15">
      <c r="A1072" s="23" t="s">
        <v>1293</v>
      </c>
      <c r="B1072" s="23">
        <v>9</v>
      </c>
      <c r="C1072" s="20">
        <v>71</v>
      </c>
      <c r="D1072" s="8">
        <v>50</v>
      </c>
      <c r="E1072" s="8">
        <v>0.6</v>
      </c>
      <c r="F1072" s="9">
        <v>1080</v>
      </c>
      <c r="G1072" s="8" t="s">
        <v>16</v>
      </c>
      <c r="H1072" s="22" t="s">
        <v>997</v>
      </c>
      <c r="I1072" s="22">
        <v>122</v>
      </c>
      <c r="J1072" s="22">
        <v>15</v>
      </c>
      <c r="K1072" s="22">
        <v>10</v>
      </c>
      <c r="L1072" s="27" t="s">
        <v>235</v>
      </c>
      <c r="M1072" s="12">
        <v>0</v>
      </c>
      <c r="N1072" s="13"/>
      <c r="O1072" s="13"/>
    </row>
    <row r="1073" spans="1:15">
      <c r="A1073" s="23" t="s">
        <v>1294</v>
      </c>
      <c r="B1073" s="23">
        <v>9</v>
      </c>
      <c r="C1073" s="20">
        <v>63</v>
      </c>
      <c r="D1073" s="8">
        <v>50</v>
      </c>
      <c r="E1073" s="8">
        <v>0.6</v>
      </c>
      <c r="F1073" s="9">
        <v>1081</v>
      </c>
      <c r="G1073" s="8" t="s">
        <v>16</v>
      </c>
      <c r="H1073" s="22" t="s">
        <v>997</v>
      </c>
      <c r="I1073" s="22">
        <v>122</v>
      </c>
      <c r="J1073" s="22">
        <v>15</v>
      </c>
      <c r="K1073" s="22">
        <v>10</v>
      </c>
      <c r="L1073" s="27" t="s">
        <v>287</v>
      </c>
      <c r="M1073" s="12">
        <v>16</v>
      </c>
      <c r="N1073" s="13"/>
      <c r="O1073" s="13"/>
    </row>
    <row r="1074" spans="1:15">
      <c r="A1074" s="22" t="s">
        <v>1295</v>
      </c>
      <c r="B1074" s="22">
        <v>9</v>
      </c>
      <c r="C1074" s="22">
        <v>70</v>
      </c>
      <c r="D1074" s="22">
        <v>50</v>
      </c>
      <c r="E1074" s="22">
        <v>0.6</v>
      </c>
      <c r="F1074" s="9">
        <v>1082</v>
      </c>
      <c r="G1074" s="22" t="s">
        <v>1296</v>
      </c>
      <c r="H1074" s="22" t="s">
        <v>17</v>
      </c>
      <c r="I1074" s="22">
        <v>122</v>
      </c>
      <c r="J1074" s="22">
        <v>15</v>
      </c>
      <c r="K1074" s="22">
        <v>10</v>
      </c>
      <c r="L1074" s="34" t="s">
        <v>121</v>
      </c>
      <c r="M1074" s="12">
        <v>6</v>
      </c>
      <c r="N1074" s="22"/>
      <c r="O1074" s="22"/>
    </row>
    <row r="1075" spans="1:15">
      <c r="A1075" s="22" t="s">
        <v>1297</v>
      </c>
      <c r="B1075" s="22">
        <v>9</v>
      </c>
      <c r="C1075" s="22">
        <v>80</v>
      </c>
      <c r="D1075" s="22">
        <v>50</v>
      </c>
      <c r="E1075" s="22">
        <v>0.6</v>
      </c>
      <c r="F1075" s="9">
        <v>1083</v>
      </c>
      <c r="G1075" s="22" t="s">
        <v>1296</v>
      </c>
      <c r="H1075" s="22" t="s">
        <v>17</v>
      </c>
      <c r="I1075" s="22">
        <v>122</v>
      </c>
      <c r="J1075" s="22">
        <v>15</v>
      </c>
      <c r="K1075" s="22">
        <v>10</v>
      </c>
      <c r="L1075" s="34" t="e">
        <v>#N/A</v>
      </c>
      <c r="M1075" s="12">
        <v>26</v>
      </c>
      <c r="N1075" s="22" t="s">
        <v>18</v>
      </c>
      <c r="O1075" s="22"/>
    </row>
    <row r="1076" spans="1:15">
      <c r="A1076" s="22" t="s">
        <v>1298</v>
      </c>
      <c r="B1076" s="22">
        <v>9</v>
      </c>
      <c r="C1076" s="22">
        <v>350</v>
      </c>
      <c r="D1076" s="22">
        <v>50</v>
      </c>
      <c r="E1076" s="22">
        <v>1.48</v>
      </c>
      <c r="F1076" s="9">
        <v>1084</v>
      </c>
      <c r="G1076" s="22" t="s">
        <v>1299</v>
      </c>
      <c r="H1076" s="22" t="s">
        <v>83</v>
      </c>
      <c r="I1076" s="22">
        <v>145</v>
      </c>
      <c r="J1076" s="22">
        <v>29</v>
      </c>
      <c r="K1076" s="22">
        <v>16</v>
      </c>
      <c r="L1076" s="34" t="e">
        <v>#N/A</v>
      </c>
      <c r="M1076" s="12">
        <v>0</v>
      </c>
      <c r="N1076" s="22" t="s">
        <v>18</v>
      </c>
      <c r="O1076" s="22"/>
    </row>
    <row r="1077" spans="1:15">
      <c r="A1077" s="22" t="s">
        <v>1300</v>
      </c>
      <c r="B1077" s="22">
        <v>9</v>
      </c>
      <c r="C1077" s="22">
        <v>60</v>
      </c>
      <c r="D1077" s="22">
        <v>50</v>
      </c>
      <c r="E1077" s="22">
        <v>0.6</v>
      </c>
      <c r="F1077" s="9">
        <v>1085</v>
      </c>
      <c r="G1077" s="22" t="s">
        <v>1296</v>
      </c>
      <c r="H1077" s="22" t="s">
        <v>17</v>
      </c>
      <c r="I1077" s="22">
        <v>122</v>
      </c>
      <c r="J1077" s="22">
        <v>15</v>
      </c>
      <c r="K1077" s="22">
        <v>10</v>
      </c>
      <c r="L1077" s="34" t="e">
        <v>#N/A</v>
      </c>
      <c r="M1077" s="12">
        <v>5</v>
      </c>
      <c r="N1077" s="22" t="s">
        <v>18</v>
      </c>
      <c r="O1077" s="22" t="s">
        <v>183</v>
      </c>
    </row>
    <row r="1078" spans="1:15">
      <c r="A1078" s="22" t="s">
        <v>1301</v>
      </c>
      <c r="B1078" s="22">
        <v>9</v>
      </c>
      <c r="C1078" s="22">
        <v>60</v>
      </c>
      <c r="D1078" s="22">
        <v>50</v>
      </c>
      <c r="E1078" s="22">
        <v>0.6</v>
      </c>
      <c r="F1078" s="9">
        <v>1086</v>
      </c>
      <c r="G1078" s="22" t="s">
        <v>1296</v>
      </c>
      <c r="H1078" s="22" t="s">
        <v>17</v>
      </c>
      <c r="I1078" s="22">
        <v>122</v>
      </c>
      <c r="J1078" s="22">
        <v>15</v>
      </c>
      <c r="K1078" s="22">
        <v>10</v>
      </c>
      <c r="L1078" s="34" t="e">
        <v>#N/A</v>
      </c>
      <c r="M1078" s="12">
        <v>2</v>
      </c>
      <c r="N1078" s="22" t="s">
        <v>18</v>
      </c>
      <c r="O1078" s="22" t="s">
        <v>183</v>
      </c>
    </row>
    <row r="1079" spans="1:15">
      <c r="A1079" s="22" t="s">
        <v>1302</v>
      </c>
      <c r="B1079" s="22">
        <v>9</v>
      </c>
      <c r="C1079" s="22">
        <v>60</v>
      </c>
      <c r="D1079" s="22">
        <v>50</v>
      </c>
      <c r="E1079" s="22">
        <v>0.6</v>
      </c>
      <c r="F1079" s="9">
        <v>1087</v>
      </c>
      <c r="G1079" s="22" t="s">
        <v>1296</v>
      </c>
      <c r="H1079" s="22" t="s">
        <v>17</v>
      </c>
      <c r="I1079" s="22">
        <v>122</v>
      </c>
      <c r="J1079" s="22">
        <v>15</v>
      </c>
      <c r="K1079" s="22">
        <v>10</v>
      </c>
      <c r="L1079" s="34" t="e">
        <v>#N/A</v>
      </c>
      <c r="M1079" s="12">
        <v>1</v>
      </c>
      <c r="N1079" s="22" t="s">
        <v>18</v>
      </c>
      <c r="O1079" s="22" t="s">
        <v>183</v>
      </c>
    </row>
    <row r="1080" spans="1:15">
      <c r="A1080" s="22" t="s">
        <v>1303</v>
      </c>
      <c r="B1080" s="22">
        <v>9</v>
      </c>
      <c r="C1080" s="22">
        <v>80</v>
      </c>
      <c r="D1080" s="22">
        <v>50</v>
      </c>
      <c r="E1080" s="22">
        <v>0.6</v>
      </c>
      <c r="F1080" s="9">
        <v>1088</v>
      </c>
      <c r="G1080" s="22" t="s">
        <v>1296</v>
      </c>
      <c r="H1080" s="22" t="s">
        <v>17</v>
      </c>
      <c r="I1080" s="22">
        <v>122</v>
      </c>
      <c r="J1080" s="22">
        <v>15</v>
      </c>
      <c r="K1080" s="22">
        <v>10</v>
      </c>
      <c r="L1080" s="34" t="e">
        <v>#N/A</v>
      </c>
      <c r="M1080" s="12">
        <v>11</v>
      </c>
      <c r="N1080" s="22" t="s">
        <v>18</v>
      </c>
      <c r="O1080" s="22" t="s">
        <v>183</v>
      </c>
    </row>
    <row r="1081" spans="1:15">
      <c r="A1081" s="22" t="s">
        <v>1304</v>
      </c>
      <c r="B1081" s="22">
        <v>9</v>
      </c>
      <c r="C1081" s="22">
        <v>80</v>
      </c>
      <c r="D1081" s="22">
        <v>50</v>
      </c>
      <c r="E1081" s="22">
        <v>0.6</v>
      </c>
      <c r="F1081" s="9">
        <v>1089</v>
      </c>
      <c r="G1081" s="22" t="s">
        <v>1296</v>
      </c>
      <c r="H1081" s="22" t="s">
        <v>17</v>
      </c>
      <c r="I1081" s="22">
        <v>122</v>
      </c>
      <c r="J1081" s="22">
        <v>15</v>
      </c>
      <c r="K1081" s="22">
        <v>10</v>
      </c>
      <c r="L1081" s="34" t="e">
        <v>#N/A</v>
      </c>
      <c r="M1081" s="12">
        <v>23</v>
      </c>
      <c r="N1081" s="22" t="s">
        <v>18</v>
      </c>
      <c r="O1081" s="22" t="s">
        <v>183</v>
      </c>
    </row>
    <row r="1082" spans="1:15">
      <c r="A1082" s="22" t="s">
        <v>1305</v>
      </c>
      <c r="B1082" s="22">
        <v>9</v>
      </c>
      <c r="C1082" s="22">
        <v>80</v>
      </c>
      <c r="D1082" s="22">
        <v>50</v>
      </c>
      <c r="E1082" s="22">
        <v>0.6</v>
      </c>
      <c r="F1082" s="9">
        <v>1090</v>
      </c>
      <c r="G1082" s="22" t="s">
        <v>1296</v>
      </c>
      <c r="H1082" s="22" t="s">
        <v>17</v>
      </c>
      <c r="I1082" s="22">
        <v>122</v>
      </c>
      <c r="J1082" s="22">
        <v>15</v>
      </c>
      <c r="K1082" s="22">
        <v>10</v>
      </c>
      <c r="L1082" s="34" t="e">
        <v>#N/A</v>
      </c>
      <c r="M1082" s="12">
        <v>11</v>
      </c>
      <c r="N1082" s="22" t="s">
        <v>18</v>
      </c>
      <c r="O1082" s="22" t="s">
        <v>183</v>
      </c>
    </row>
    <row r="1083" spans="1:15">
      <c r="A1083" s="22" t="s">
        <v>1306</v>
      </c>
      <c r="B1083" s="22">
        <v>9</v>
      </c>
      <c r="C1083" s="22">
        <v>70</v>
      </c>
      <c r="D1083" s="22">
        <v>50</v>
      </c>
      <c r="E1083" s="22">
        <v>0.6</v>
      </c>
      <c r="F1083" s="9">
        <v>1091</v>
      </c>
      <c r="G1083" s="22" t="s">
        <v>1296</v>
      </c>
      <c r="H1083" s="22" t="s">
        <v>17</v>
      </c>
      <c r="I1083" s="22">
        <v>122</v>
      </c>
      <c r="J1083" s="22">
        <v>15</v>
      </c>
      <c r="K1083" s="22">
        <v>10</v>
      </c>
      <c r="L1083" s="34" t="e">
        <v>#N/A</v>
      </c>
      <c r="M1083" s="12">
        <v>10</v>
      </c>
      <c r="N1083" s="22" t="s">
        <v>18</v>
      </c>
      <c r="O1083" s="22" t="s">
        <v>183</v>
      </c>
    </row>
    <row r="1084" spans="1:15">
      <c r="A1084" s="22" t="s">
        <v>1307</v>
      </c>
      <c r="B1084" s="22">
        <v>9</v>
      </c>
      <c r="C1084" s="22">
        <v>80</v>
      </c>
      <c r="D1084" s="22">
        <v>50</v>
      </c>
      <c r="E1084" s="22">
        <v>0.6</v>
      </c>
      <c r="F1084" s="9">
        <v>1092</v>
      </c>
      <c r="G1084" s="22" t="s">
        <v>1296</v>
      </c>
      <c r="H1084" s="22" t="s">
        <v>17</v>
      </c>
      <c r="I1084" s="22">
        <v>122</v>
      </c>
      <c r="J1084" s="22">
        <v>15</v>
      </c>
      <c r="K1084" s="22">
        <v>10</v>
      </c>
      <c r="L1084" s="34" t="e">
        <v>#N/A</v>
      </c>
      <c r="M1084" s="12">
        <v>3</v>
      </c>
      <c r="N1084" s="22" t="s">
        <v>18</v>
      </c>
      <c r="O1084" s="22" t="s">
        <v>183</v>
      </c>
    </row>
    <row r="1085" spans="1:15">
      <c r="A1085" s="22" t="s">
        <v>1308</v>
      </c>
      <c r="B1085" s="22">
        <v>9</v>
      </c>
      <c r="C1085" s="22">
        <v>194</v>
      </c>
      <c r="D1085" s="22">
        <v>12</v>
      </c>
      <c r="E1085" s="22">
        <v>0.64</v>
      </c>
      <c r="F1085" s="9">
        <v>1093</v>
      </c>
      <c r="G1085" s="35" t="s">
        <v>1309</v>
      </c>
      <c r="H1085" s="22" t="s">
        <v>104</v>
      </c>
      <c r="I1085" s="22">
        <v>130</v>
      </c>
      <c r="J1085" s="22">
        <v>15</v>
      </c>
      <c r="K1085" s="22">
        <v>10</v>
      </c>
      <c r="L1085" s="34" t="s">
        <v>1310</v>
      </c>
      <c r="M1085" s="12">
        <v>5</v>
      </c>
      <c r="N1085" s="22"/>
      <c r="O1085" s="22"/>
    </row>
    <row r="1086" spans="1:15">
      <c r="A1086" s="22" t="s">
        <v>1311</v>
      </c>
      <c r="B1086" s="22">
        <v>9</v>
      </c>
      <c r="C1086" s="22">
        <v>163</v>
      </c>
      <c r="D1086" s="22">
        <v>12</v>
      </c>
      <c r="E1086" s="22">
        <v>0.64</v>
      </c>
      <c r="F1086" s="9">
        <v>1094</v>
      </c>
      <c r="G1086" s="35" t="s">
        <v>1309</v>
      </c>
      <c r="H1086" s="22" t="s">
        <v>104</v>
      </c>
      <c r="I1086" s="22">
        <v>130</v>
      </c>
      <c r="J1086" s="22">
        <v>15</v>
      </c>
      <c r="K1086" s="22">
        <v>10</v>
      </c>
      <c r="L1086" s="34" t="s">
        <v>1312</v>
      </c>
      <c r="M1086" s="12">
        <v>2</v>
      </c>
      <c r="N1086" s="22"/>
      <c r="O1086" s="22"/>
    </row>
    <row r="1087" spans="1:15">
      <c r="A1087" s="22" t="s">
        <v>1313</v>
      </c>
      <c r="B1087" s="22">
        <v>9</v>
      </c>
      <c r="C1087" s="22">
        <v>78</v>
      </c>
      <c r="D1087" s="22">
        <v>50</v>
      </c>
      <c r="E1087" s="22">
        <v>0.6</v>
      </c>
      <c r="F1087" s="9">
        <v>1095</v>
      </c>
      <c r="G1087" s="22" t="s">
        <v>1296</v>
      </c>
      <c r="H1087" s="22" t="s">
        <v>17</v>
      </c>
      <c r="I1087" s="22">
        <v>122</v>
      </c>
      <c r="J1087" s="22">
        <v>15</v>
      </c>
      <c r="K1087" s="22">
        <v>10</v>
      </c>
      <c r="L1087" s="34" t="s">
        <v>129</v>
      </c>
      <c r="M1087" s="12">
        <v>70</v>
      </c>
      <c r="N1087" s="22"/>
      <c r="O1087" s="22"/>
    </row>
    <row r="1088" spans="1:15">
      <c r="A1088" s="22" t="s">
        <v>1314</v>
      </c>
      <c r="B1088" s="22">
        <v>9</v>
      </c>
      <c r="C1088" s="22">
        <v>78</v>
      </c>
      <c r="D1088" s="22">
        <v>50</v>
      </c>
      <c r="E1088" s="22">
        <v>0.6</v>
      </c>
      <c r="F1088" s="9">
        <v>1096</v>
      </c>
      <c r="G1088" s="22" t="s">
        <v>1296</v>
      </c>
      <c r="H1088" s="22" t="s">
        <v>17</v>
      </c>
      <c r="I1088" s="22">
        <v>122</v>
      </c>
      <c r="J1088" s="22">
        <v>15</v>
      </c>
      <c r="K1088" s="22">
        <v>10</v>
      </c>
      <c r="L1088" s="34" t="s">
        <v>129</v>
      </c>
      <c r="M1088" s="12">
        <v>24</v>
      </c>
      <c r="N1088" s="22"/>
      <c r="O1088" s="22"/>
    </row>
    <row r="1089" spans="1:15">
      <c r="A1089" s="22" t="s">
        <v>1315</v>
      </c>
      <c r="B1089" s="22">
        <v>9</v>
      </c>
      <c r="C1089" s="22">
        <v>80</v>
      </c>
      <c r="D1089" s="22">
        <v>50</v>
      </c>
      <c r="E1089" s="22">
        <v>0.6</v>
      </c>
      <c r="F1089" s="9">
        <v>1097</v>
      </c>
      <c r="G1089" s="22" t="s">
        <v>1296</v>
      </c>
      <c r="H1089" s="22" t="s">
        <v>17</v>
      </c>
      <c r="I1089" s="22">
        <v>122</v>
      </c>
      <c r="J1089" s="22">
        <v>15</v>
      </c>
      <c r="K1089" s="22">
        <v>10</v>
      </c>
      <c r="L1089" s="34" t="e">
        <v>#N/A</v>
      </c>
      <c r="M1089" s="12">
        <v>0</v>
      </c>
      <c r="N1089" s="22" t="s">
        <v>18</v>
      </c>
      <c r="O1089" s="22"/>
    </row>
    <row r="1090" spans="1:15">
      <c r="A1090" s="22" t="s">
        <v>1316</v>
      </c>
      <c r="B1090" s="22">
        <v>9</v>
      </c>
      <c r="C1090" s="22">
        <v>79</v>
      </c>
      <c r="D1090" s="22">
        <v>50</v>
      </c>
      <c r="E1090" s="22">
        <v>0.6</v>
      </c>
      <c r="F1090" s="9">
        <v>1098</v>
      </c>
      <c r="G1090" s="22" t="s">
        <v>1296</v>
      </c>
      <c r="H1090" s="22" t="s">
        <v>17</v>
      </c>
      <c r="I1090" s="22">
        <v>122</v>
      </c>
      <c r="J1090" s="22">
        <v>15</v>
      </c>
      <c r="K1090" s="22">
        <v>10</v>
      </c>
      <c r="L1090" s="34" t="s">
        <v>146</v>
      </c>
      <c r="M1090" s="12">
        <v>37</v>
      </c>
      <c r="N1090" s="22"/>
      <c r="O1090" s="22"/>
    </row>
    <row r="1091" spans="1:15">
      <c r="A1091" s="22" t="s">
        <v>1317</v>
      </c>
      <c r="B1091" s="22">
        <v>9</v>
      </c>
      <c r="C1091" s="22">
        <v>77</v>
      </c>
      <c r="D1091" s="22">
        <v>50</v>
      </c>
      <c r="E1091" s="22">
        <v>0.64</v>
      </c>
      <c r="F1091" s="9">
        <v>1099</v>
      </c>
      <c r="G1091" s="22" t="s">
        <v>1296</v>
      </c>
      <c r="H1091" s="10" t="s">
        <v>104</v>
      </c>
      <c r="I1091" s="10">
        <v>130</v>
      </c>
      <c r="J1091" s="10">
        <v>15</v>
      </c>
      <c r="K1091" s="10">
        <v>10</v>
      </c>
      <c r="L1091" s="34" t="s">
        <v>56</v>
      </c>
      <c r="M1091" s="12">
        <v>273</v>
      </c>
      <c r="N1091" s="22"/>
      <c r="O1091" s="22"/>
    </row>
    <row r="1092" spans="1:15">
      <c r="A1092" s="22" t="s">
        <v>1318</v>
      </c>
      <c r="B1092" s="22">
        <v>9</v>
      </c>
      <c r="C1092" s="22">
        <v>71</v>
      </c>
      <c r="D1092" s="22">
        <v>50</v>
      </c>
      <c r="E1092" s="22">
        <v>0.64</v>
      </c>
      <c r="F1092" s="9">
        <v>1100</v>
      </c>
      <c r="G1092" s="22" t="s">
        <v>914</v>
      </c>
      <c r="H1092" s="10" t="s">
        <v>104</v>
      </c>
      <c r="I1092" s="10">
        <v>130</v>
      </c>
      <c r="J1092" s="10">
        <v>15</v>
      </c>
      <c r="K1092" s="10">
        <v>10</v>
      </c>
      <c r="L1092" s="34" t="s">
        <v>235</v>
      </c>
      <c r="M1092" s="12">
        <v>65</v>
      </c>
      <c r="N1092" s="22"/>
      <c r="O1092" s="22"/>
    </row>
    <row r="1093" spans="1:15">
      <c r="A1093" s="22" t="s">
        <v>1319</v>
      </c>
      <c r="B1093" s="22">
        <v>9</v>
      </c>
      <c r="C1093" s="22">
        <v>76</v>
      </c>
      <c r="D1093" s="22">
        <v>50</v>
      </c>
      <c r="E1093" s="22">
        <v>0.6</v>
      </c>
      <c r="F1093" s="9">
        <v>1101</v>
      </c>
      <c r="G1093" s="22" t="s">
        <v>914</v>
      </c>
      <c r="H1093" s="22" t="s">
        <v>997</v>
      </c>
      <c r="I1093" s="22">
        <v>122</v>
      </c>
      <c r="J1093" s="22">
        <v>15</v>
      </c>
      <c r="K1093" s="22">
        <v>10</v>
      </c>
      <c r="L1093" s="34" t="s">
        <v>131</v>
      </c>
      <c r="M1093" s="12">
        <v>0</v>
      </c>
      <c r="N1093" s="22"/>
      <c r="O1093" s="22"/>
    </row>
    <row r="1094" spans="1:15">
      <c r="A1094" s="22" t="s">
        <v>1320</v>
      </c>
      <c r="B1094" s="22">
        <v>9</v>
      </c>
      <c r="C1094" s="22">
        <v>470</v>
      </c>
      <c r="D1094" s="22">
        <v>1</v>
      </c>
      <c r="E1094" s="22">
        <v>0.5</v>
      </c>
      <c r="F1094" s="9">
        <v>1102</v>
      </c>
      <c r="G1094" s="22" t="s">
        <v>442</v>
      </c>
      <c r="H1094" s="22" t="s">
        <v>1195</v>
      </c>
      <c r="I1094" s="22">
        <v>89</v>
      </c>
      <c r="J1094" s="22">
        <v>14</v>
      </c>
      <c r="K1094" s="22">
        <v>9</v>
      </c>
      <c r="L1094" s="34" t="s">
        <v>1321</v>
      </c>
      <c r="M1094" s="12">
        <v>1</v>
      </c>
      <c r="N1094" s="12" t="e">
        <f>VLOOKUP(A:A,[2]成品数据统计表!$C$1:$E$65536,3,0)</f>
        <v>#REF!</v>
      </c>
      <c r="O1094" s="22"/>
    </row>
    <row r="1095" spans="1:15">
      <c r="A1095" s="22" t="s">
        <v>1322</v>
      </c>
      <c r="B1095" s="22">
        <v>9</v>
      </c>
      <c r="C1095" s="20">
        <v>445</v>
      </c>
      <c r="D1095" s="22">
        <v>25</v>
      </c>
      <c r="E1095" s="22">
        <v>1.6</v>
      </c>
      <c r="F1095" s="9">
        <v>1103</v>
      </c>
      <c r="G1095" s="22" t="s">
        <v>722</v>
      </c>
      <c r="H1095" s="22" t="s">
        <v>1198</v>
      </c>
      <c r="I1095" s="22">
        <v>183</v>
      </c>
      <c r="J1095" s="22">
        <v>29</v>
      </c>
      <c r="K1095" s="22">
        <v>16</v>
      </c>
      <c r="L1095" s="34" t="s">
        <v>1133</v>
      </c>
      <c r="M1095" s="12">
        <v>37</v>
      </c>
      <c r="N1095" s="22"/>
      <c r="O1095" s="22"/>
    </row>
    <row r="1096" spans="1:15">
      <c r="A1096" s="22" t="s">
        <v>1323</v>
      </c>
      <c r="B1096" s="22">
        <v>9</v>
      </c>
      <c r="C1096" s="20">
        <v>445</v>
      </c>
      <c r="D1096" s="22">
        <v>25</v>
      </c>
      <c r="E1096" s="22">
        <v>1.6</v>
      </c>
      <c r="F1096" s="9">
        <v>1104</v>
      </c>
      <c r="G1096" s="22" t="s">
        <v>722</v>
      </c>
      <c r="H1096" s="22" t="s">
        <v>1198</v>
      </c>
      <c r="I1096" s="22">
        <v>183</v>
      </c>
      <c r="J1096" s="22">
        <v>29</v>
      </c>
      <c r="K1096" s="22">
        <v>16</v>
      </c>
      <c r="L1096" s="34" t="s">
        <v>1133</v>
      </c>
      <c r="M1096" s="12">
        <v>18</v>
      </c>
      <c r="N1096" s="22"/>
      <c r="O1096" s="22"/>
    </row>
    <row r="1097" spans="1:15">
      <c r="A1097" s="22" t="s">
        <v>1324</v>
      </c>
      <c r="B1097" s="22">
        <v>9</v>
      </c>
      <c r="C1097" s="20">
        <v>445</v>
      </c>
      <c r="D1097" s="22">
        <v>25</v>
      </c>
      <c r="E1097" s="22">
        <v>1.6</v>
      </c>
      <c r="F1097" s="9">
        <v>1105</v>
      </c>
      <c r="G1097" s="22" t="s">
        <v>722</v>
      </c>
      <c r="H1097" s="22" t="s">
        <v>1198</v>
      </c>
      <c r="I1097" s="22">
        <v>183</v>
      </c>
      <c r="J1097" s="22">
        <v>29</v>
      </c>
      <c r="K1097" s="22">
        <v>16</v>
      </c>
      <c r="L1097" s="34" t="s">
        <v>1133</v>
      </c>
      <c r="M1097" s="12">
        <v>63</v>
      </c>
      <c r="N1097" s="22"/>
      <c r="O1097" s="22"/>
    </row>
    <row r="1098" spans="1:15">
      <c r="A1098" s="22" t="s">
        <v>1325</v>
      </c>
      <c r="B1098" s="22">
        <v>9</v>
      </c>
      <c r="C1098" s="20">
        <v>445</v>
      </c>
      <c r="D1098" s="22">
        <v>25</v>
      </c>
      <c r="E1098" s="22">
        <v>1.6</v>
      </c>
      <c r="F1098" s="9">
        <v>1106</v>
      </c>
      <c r="G1098" s="22" t="s">
        <v>722</v>
      </c>
      <c r="H1098" s="22" t="s">
        <v>1198</v>
      </c>
      <c r="I1098" s="22">
        <v>183</v>
      </c>
      <c r="J1098" s="22">
        <v>29</v>
      </c>
      <c r="K1098" s="22">
        <v>16</v>
      </c>
      <c r="L1098" s="34" t="s">
        <v>1133</v>
      </c>
      <c r="M1098" s="12">
        <v>24</v>
      </c>
      <c r="N1098" s="22"/>
      <c r="O1098" s="22"/>
    </row>
    <row r="1099" spans="1:15">
      <c r="A1099" s="22" t="s">
        <v>1326</v>
      </c>
      <c r="B1099" s="22">
        <v>9</v>
      </c>
      <c r="C1099" s="20">
        <v>445</v>
      </c>
      <c r="D1099" s="22">
        <v>25</v>
      </c>
      <c r="E1099" s="22">
        <v>1.6</v>
      </c>
      <c r="F1099" s="9">
        <v>1107</v>
      </c>
      <c r="G1099" s="22" t="s">
        <v>722</v>
      </c>
      <c r="H1099" s="22" t="s">
        <v>1198</v>
      </c>
      <c r="I1099" s="22">
        <v>183</v>
      </c>
      <c r="J1099" s="22">
        <v>29</v>
      </c>
      <c r="K1099" s="22">
        <v>16</v>
      </c>
      <c r="L1099" s="34" t="s">
        <v>1133</v>
      </c>
      <c r="M1099" s="12">
        <v>1</v>
      </c>
      <c r="N1099" s="22"/>
      <c r="O1099" s="22"/>
    </row>
    <row r="1100" spans="1:15">
      <c r="A1100" s="22" t="s">
        <v>1327</v>
      </c>
      <c r="B1100" s="22">
        <v>9</v>
      </c>
      <c r="C1100" s="20">
        <v>445</v>
      </c>
      <c r="D1100" s="22">
        <v>25</v>
      </c>
      <c r="E1100" s="22">
        <v>1.6</v>
      </c>
      <c r="F1100" s="9">
        <v>1108</v>
      </c>
      <c r="G1100" s="22" t="s">
        <v>722</v>
      </c>
      <c r="H1100" s="22" t="s">
        <v>1198</v>
      </c>
      <c r="I1100" s="22">
        <v>183</v>
      </c>
      <c r="J1100" s="22">
        <v>29</v>
      </c>
      <c r="K1100" s="22">
        <v>16</v>
      </c>
      <c r="L1100" s="34" t="s">
        <v>1133</v>
      </c>
      <c r="M1100" s="12">
        <v>0</v>
      </c>
      <c r="N1100" s="22"/>
      <c r="O1100" s="22"/>
    </row>
    <row r="1101" spans="1:15">
      <c r="A1101" s="22" t="s">
        <v>1328</v>
      </c>
      <c r="B1101" s="22">
        <v>9</v>
      </c>
      <c r="C1101" s="20">
        <v>445</v>
      </c>
      <c r="D1101" s="22">
        <v>25</v>
      </c>
      <c r="E1101" s="22">
        <v>1.6</v>
      </c>
      <c r="F1101" s="9">
        <v>1109</v>
      </c>
      <c r="G1101" s="22" t="s">
        <v>722</v>
      </c>
      <c r="H1101" s="22" t="s">
        <v>1198</v>
      </c>
      <c r="I1101" s="22">
        <v>183</v>
      </c>
      <c r="J1101" s="22">
        <v>29</v>
      </c>
      <c r="K1101" s="22">
        <v>16</v>
      </c>
      <c r="L1101" s="34" t="s">
        <v>1133</v>
      </c>
      <c r="M1101" s="12">
        <v>0</v>
      </c>
      <c r="N1101" s="22"/>
      <c r="O1101" s="22"/>
    </row>
    <row r="1102" spans="1:15">
      <c r="A1102" s="22" t="s">
        <v>1329</v>
      </c>
      <c r="B1102" s="22">
        <v>9</v>
      </c>
      <c r="C1102" s="20">
        <v>445</v>
      </c>
      <c r="D1102" s="22">
        <v>25</v>
      </c>
      <c r="E1102" s="22">
        <v>1.6</v>
      </c>
      <c r="F1102" s="9">
        <v>1110</v>
      </c>
      <c r="G1102" s="22" t="s">
        <v>722</v>
      </c>
      <c r="H1102" s="22" t="s">
        <v>1198</v>
      </c>
      <c r="I1102" s="22">
        <v>183</v>
      </c>
      <c r="J1102" s="22">
        <v>29</v>
      </c>
      <c r="K1102" s="22">
        <v>16</v>
      </c>
      <c r="L1102" s="34" t="s">
        <v>1133</v>
      </c>
      <c r="M1102" s="12">
        <v>0</v>
      </c>
      <c r="N1102" s="22"/>
      <c r="O1102" s="22"/>
    </row>
    <row r="1103" spans="1:15">
      <c r="A1103" s="22" t="s">
        <v>1330</v>
      </c>
      <c r="B1103" s="22">
        <v>9</v>
      </c>
      <c r="C1103" s="20">
        <v>445</v>
      </c>
      <c r="D1103" s="22">
        <v>25</v>
      </c>
      <c r="E1103" s="22">
        <v>1.6</v>
      </c>
      <c r="F1103" s="9">
        <v>1111</v>
      </c>
      <c r="G1103" s="22" t="s">
        <v>722</v>
      </c>
      <c r="H1103" s="22" t="s">
        <v>1198</v>
      </c>
      <c r="I1103" s="22">
        <v>183</v>
      </c>
      <c r="J1103" s="22">
        <v>29</v>
      </c>
      <c r="K1103" s="22">
        <v>16</v>
      </c>
      <c r="L1103" s="34" t="s">
        <v>1133</v>
      </c>
      <c r="M1103" s="12">
        <v>0</v>
      </c>
      <c r="N1103" s="22"/>
      <c r="O1103" s="22"/>
    </row>
    <row r="1104" spans="1:15">
      <c r="A1104" s="22" t="s">
        <v>1331</v>
      </c>
      <c r="B1104" s="22">
        <v>9</v>
      </c>
      <c r="C1104" s="20">
        <v>445</v>
      </c>
      <c r="D1104" s="22">
        <v>25</v>
      </c>
      <c r="E1104" s="22">
        <v>1.6</v>
      </c>
      <c r="F1104" s="9">
        <v>1112</v>
      </c>
      <c r="G1104" s="22" t="s">
        <v>722</v>
      </c>
      <c r="H1104" s="22" t="s">
        <v>1198</v>
      </c>
      <c r="I1104" s="22">
        <v>183</v>
      </c>
      <c r="J1104" s="22">
        <v>29</v>
      </c>
      <c r="K1104" s="22">
        <v>16</v>
      </c>
      <c r="L1104" s="34" t="s">
        <v>1133</v>
      </c>
      <c r="M1104" s="12">
        <v>0</v>
      </c>
      <c r="N1104" s="22"/>
      <c r="O1104" s="22"/>
    </row>
    <row r="1105" spans="1:15">
      <c r="A1105" s="22" t="s">
        <v>1332</v>
      </c>
      <c r="B1105" s="22">
        <v>9</v>
      </c>
      <c r="C1105" s="20">
        <v>445</v>
      </c>
      <c r="D1105" s="22">
        <v>25</v>
      </c>
      <c r="E1105" s="22">
        <v>1.6</v>
      </c>
      <c r="F1105" s="9">
        <v>1113</v>
      </c>
      <c r="G1105" s="22" t="s">
        <v>722</v>
      </c>
      <c r="H1105" s="22" t="s">
        <v>1198</v>
      </c>
      <c r="I1105" s="22">
        <v>183</v>
      </c>
      <c r="J1105" s="22">
        <v>29</v>
      </c>
      <c r="K1105" s="22">
        <v>16</v>
      </c>
      <c r="L1105" s="34" t="s">
        <v>1133</v>
      </c>
      <c r="M1105" s="12">
        <v>0</v>
      </c>
      <c r="N1105" s="22"/>
      <c r="O1105" s="22"/>
    </row>
    <row r="1106" spans="1:15">
      <c r="A1106" s="22" t="s">
        <v>1333</v>
      </c>
      <c r="B1106" s="22">
        <v>9</v>
      </c>
      <c r="C1106" s="20">
        <v>445</v>
      </c>
      <c r="D1106" s="22">
        <v>25</v>
      </c>
      <c r="E1106" s="22">
        <v>1.6</v>
      </c>
      <c r="F1106" s="9">
        <v>1114</v>
      </c>
      <c r="G1106" s="22" t="s">
        <v>722</v>
      </c>
      <c r="H1106" s="22" t="s">
        <v>1198</v>
      </c>
      <c r="I1106" s="22">
        <v>183</v>
      </c>
      <c r="J1106" s="22">
        <v>29</v>
      </c>
      <c r="K1106" s="22">
        <v>16</v>
      </c>
      <c r="L1106" s="34" t="s">
        <v>1133</v>
      </c>
      <c r="M1106" s="12">
        <v>0</v>
      </c>
      <c r="N1106" s="22"/>
      <c r="O1106" s="22"/>
    </row>
    <row r="1107" spans="1:15">
      <c r="A1107" s="22" t="s">
        <v>1334</v>
      </c>
      <c r="B1107" s="22">
        <v>9</v>
      </c>
      <c r="C1107" s="20">
        <v>445</v>
      </c>
      <c r="D1107" s="22">
        <v>25</v>
      </c>
      <c r="E1107" s="22">
        <v>1.6</v>
      </c>
      <c r="F1107" s="9">
        <v>1115</v>
      </c>
      <c r="G1107" s="22" t="s">
        <v>722</v>
      </c>
      <c r="H1107" s="22" t="s">
        <v>1198</v>
      </c>
      <c r="I1107" s="22">
        <v>183</v>
      </c>
      <c r="J1107" s="22">
        <v>29</v>
      </c>
      <c r="K1107" s="22">
        <v>16</v>
      </c>
      <c r="L1107" s="34" t="s">
        <v>1133</v>
      </c>
      <c r="M1107" s="12">
        <v>0</v>
      </c>
      <c r="N1107" s="22"/>
      <c r="O1107" s="22"/>
    </row>
    <row r="1108" spans="1:15">
      <c r="A1108" s="22" t="s">
        <v>1335</v>
      </c>
      <c r="B1108" s="22">
        <v>9</v>
      </c>
      <c r="C1108" s="20">
        <v>445</v>
      </c>
      <c r="D1108" s="22">
        <v>25</v>
      </c>
      <c r="E1108" s="22">
        <v>1.6</v>
      </c>
      <c r="F1108" s="9">
        <v>1116</v>
      </c>
      <c r="G1108" s="22" t="s">
        <v>722</v>
      </c>
      <c r="H1108" s="22" t="s">
        <v>1198</v>
      </c>
      <c r="I1108" s="22">
        <v>183</v>
      </c>
      <c r="J1108" s="22">
        <v>29</v>
      </c>
      <c r="K1108" s="22">
        <v>16</v>
      </c>
      <c r="L1108" s="34" t="s">
        <v>1133</v>
      </c>
      <c r="M1108" s="12">
        <v>24</v>
      </c>
      <c r="N1108" s="22"/>
      <c r="O1108" s="22"/>
    </row>
    <row r="1109" spans="1:15">
      <c r="A1109" s="22" t="s">
        <v>1336</v>
      </c>
      <c r="B1109" s="22">
        <v>9</v>
      </c>
      <c r="C1109" s="20">
        <v>445</v>
      </c>
      <c r="D1109" s="22">
        <v>25</v>
      </c>
      <c r="E1109" s="22">
        <v>1.6</v>
      </c>
      <c r="F1109" s="9">
        <v>1117</v>
      </c>
      <c r="G1109" s="22" t="s">
        <v>722</v>
      </c>
      <c r="H1109" s="22" t="s">
        <v>1198</v>
      </c>
      <c r="I1109" s="22">
        <v>183</v>
      </c>
      <c r="J1109" s="22">
        <v>29</v>
      </c>
      <c r="K1109" s="22">
        <v>16</v>
      </c>
      <c r="L1109" s="34" t="s">
        <v>1133</v>
      </c>
      <c r="M1109" s="12">
        <v>0</v>
      </c>
      <c r="N1109" s="22"/>
      <c r="O1109" s="22"/>
    </row>
    <row r="1110" spans="1:15">
      <c r="A1110" s="22" t="s">
        <v>1337</v>
      </c>
      <c r="B1110" s="22">
        <v>9</v>
      </c>
      <c r="C1110" s="20">
        <v>445</v>
      </c>
      <c r="D1110" s="22">
        <v>25</v>
      </c>
      <c r="E1110" s="22">
        <v>1.6</v>
      </c>
      <c r="F1110" s="9">
        <v>1118</v>
      </c>
      <c r="G1110" s="22" t="s">
        <v>722</v>
      </c>
      <c r="H1110" s="22" t="s">
        <v>1198</v>
      </c>
      <c r="I1110" s="22">
        <v>183</v>
      </c>
      <c r="J1110" s="22">
        <v>29</v>
      </c>
      <c r="K1110" s="22">
        <v>16</v>
      </c>
      <c r="L1110" s="34" t="s">
        <v>1133</v>
      </c>
      <c r="M1110" s="12">
        <v>1</v>
      </c>
      <c r="N1110" s="22"/>
      <c r="O1110" s="22"/>
    </row>
    <row r="1111" spans="1:15">
      <c r="A1111" s="22" t="s">
        <v>1338</v>
      </c>
      <c r="B1111" s="22">
        <v>9</v>
      </c>
      <c r="C1111" s="20">
        <v>445</v>
      </c>
      <c r="D1111" s="22">
        <v>25</v>
      </c>
      <c r="E1111" s="22">
        <v>1.6</v>
      </c>
      <c r="F1111" s="9">
        <v>1119</v>
      </c>
      <c r="G1111" s="22" t="s">
        <v>722</v>
      </c>
      <c r="H1111" s="22" t="s">
        <v>1198</v>
      </c>
      <c r="I1111" s="22">
        <v>183</v>
      </c>
      <c r="J1111" s="22">
        <v>29</v>
      </c>
      <c r="K1111" s="22">
        <v>16</v>
      </c>
      <c r="L1111" s="34" t="s">
        <v>1133</v>
      </c>
      <c r="M1111" s="12">
        <v>0</v>
      </c>
      <c r="N1111" s="22"/>
      <c r="O1111" s="22"/>
    </row>
    <row r="1112" spans="1:15">
      <c r="A1112" s="22" t="s">
        <v>1339</v>
      </c>
      <c r="B1112" s="22">
        <v>9</v>
      </c>
      <c r="C1112" s="20">
        <v>445</v>
      </c>
      <c r="D1112" s="22">
        <v>25</v>
      </c>
      <c r="E1112" s="22">
        <v>1.6</v>
      </c>
      <c r="F1112" s="9">
        <v>1120</v>
      </c>
      <c r="G1112" s="22" t="s">
        <v>722</v>
      </c>
      <c r="H1112" s="22" t="s">
        <v>1198</v>
      </c>
      <c r="I1112" s="22">
        <v>183</v>
      </c>
      <c r="J1112" s="22">
        <v>29</v>
      </c>
      <c r="K1112" s="22">
        <v>16</v>
      </c>
      <c r="L1112" s="34" t="s">
        <v>1133</v>
      </c>
      <c r="M1112" s="12">
        <v>1</v>
      </c>
      <c r="N1112" s="22"/>
      <c r="O1112" s="22"/>
    </row>
    <row r="1113" spans="1:15">
      <c r="A1113" s="22" t="s">
        <v>1340</v>
      </c>
      <c r="B1113" s="22">
        <v>9</v>
      </c>
      <c r="C1113" s="20">
        <v>445</v>
      </c>
      <c r="D1113" s="22">
        <v>25</v>
      </c>
      <c r="E1113" s="22">
        <v>1.6</v>
      </c>
      <c r="F1113" s="9">
        <v>1121</v>
      </c>
      <c r="G1113" s="22" t="s">
        <v>722</v>
      </c>
      <c r="H1113" s="22" t="s">
        <v>1198</v>
      </c>
      <c r="I1113" s="22">
        <v>183</v>
      </c>
      <c r="J1113" s="22">
        <v>29</v>
      </c>
      <c r="K1113" s="22">
        <v>16</v>
      </c>
      <c r="L1113" s="34" t="s">
        <v>1133</v>
      </c>
      <c r="M1113" s="12">
        <v>0</v>
      </c>
      <c r="N1113" s="22"/>
      <c r="O1113" s="22"/>
    </row>
    <row r="1114" spans="1:15">
      <c r="A1114" s="22" t="s">
        <v>1341</v>
      </c>
      <c r="B1114" s="22">
        <v>9</v>
      </c>
      <c r="C1114" s="20">
        <v>445</v>
      </c>
      <c r="D1114" s="22">
        <v>25</v>
      </c>
      <c r="E1114" s="22">
        <v>1.6</v>
      </c>
      <c r="F1114" s="9">
        <v>1122</v>
      </c>
      <c r="G1114" s="22" t="s">
        <v>722</v>
      </c>
      <c r="H1114" s="22" t="s">
        <v>1198</v>
      </c>
      <c r="I1114" s="22">
        <v>183</v>
      </c>
      <c r="J1114" s="22">
        <v>29</v>
      </c>
      <c r="K1114" s="22">
        <v>16</v>
      </c>
      <c r="L1114" s="34" t="s">
        <v>1133</v>
      </c>
      <c r="M1114" s="12">
        <v>36</v>
      </c>
      <c r="N1114" s="22"/>
      <c r="O1114" s="22"/>
    </row>
    <row r="1115" spans="1:15">
      <c r="A1115" s="22" t="s">
        <v>1342</v>
      </c>
      <c r="B1115" s="22">
        <v>9</v>
      </c>
      <c r="C1115" s="20">
        <v>445</v>
      </c>
      <c r="D1115" s="22">
        <v>25</v>
      </c>
      <c r="E1115" s="22">
        <v>1.6</v>
      </c>
      <c r="F1115" s="9">
        <v>1123</v>
      </c>
      <c r="G1115" s="22" t="s">
        <v>722</v>
      </c>
      <c r="H1115" s="22" t="s">
        <v>1198</v>
      </c>
      <c r="I1115" s="22">
        <v>183</v>
      </c>
      <c r="J1115" s="22">
        <v>29</v>
      </c>
      <c r="K1115" s="22">
        <v>16</v>
      </c>
      <c r="L1115" s="34" t="s">
        <v>1133</v>
      </c>
      <c r="M1115" s="12">
        <v>18</v>
      </c>
      <c r="N1115" s="22"/>
      <c r="O1115" s="22"/>
    </row>
    <row r="1116" spans="1:15">
      <c r="A1116" s="22" t="s">
        <v>1343</v>
      </c>
      <c r="B1116" s="22">
        <v>9</v>
      </c>
      <c r="C1116" s="20">
        <v>445</v>
      </c>
      <c r="D1116" s="22">
        <v>25</v>
      </c>
      <c r="E1116" s="22">
        <v>1.6</v>
      </c>
      <c r="F1116" s="9">
        <v>1124</v>
      </c>
      <c r="G1116" s="22" t="s">
        <v>722</v>
      </c>
      <c r="H1116" s="22" t="s">
        <v>1198</v>
      </c>
      <c r="I1116" s="22">
        <v>183</v>
      </c>
      <c r="J1116" s="22">
        <v>29</v>
      </c>
      <c r="K1116" s="22">
        <v>16</v>
      </c>
      <c r="L1116" s="34" t="s">
        <v>1133</v>
      </c>
      <c r="M1116" s="12">
        <v>0</v>
      </c>
      <c r="N1116" s="22"/>
      <c r="O1116" s="22"/>
    </row>
    <row r="1117" spans="1:15">
      <c r="A1117" s="22" t="s">
        <v>1344</v>
      </c>
      <c r="B1117" s="22">
        <v>9</v>
      </c>
      <c r="C1117" s="20">
        <v>445</v>
      </c>
      <c r="D1117" s="22">
        <v>25</v>
      </c>
      <c r="E1117" s="22">
        <v>1.6</v>
      </c>
      <c r="F1117" s="9">
        <v>1125</v>
      </c>
      <c r="G1117" s="22" t="s">
        <v>722</v>
      </c>
      <c r="H1117" s="22" t="s">
        <v>1198</v>
      </c>
      <c r="I1117" s="22">
        <v>183</v>
      </c>
      <c r="J1117" s="22">
        <v>29</v>
      </c>
      <c r="K1117" s="22">
        <v>16</v>
      </c>
      <c r="L1117" s="34" t="s">
        <v>1133</v>
      </c>
      <c r="M1117" s="12">
        <v>0</v>
      </c>
      <c r="N1117" s="22"/>
      <c r="O1117" s="22"/>
    </row>
    <row r="1118" spans="1:15">
      <c r="A1118" s="22" t="s">
        <v>1345</v>
      </c>
      <c r="B1118" s="8">
        <v>9</v>
      </c>
      <c r="C1118" s="8">
        <v>70</v>
      </c>
      <c r="D1118" s="8">
        <v>54</v>
      </c>
      <c r="E1118" s="8">
        <v>0.6</v>
      </c>
      <c r="F1118" s="9">
        <v>1126</v>
      </c>
      <c r="G1118" s="8" t="s">
        <v>16</v>
      </c>
      <c r="H1118" s="10" t="s">
        <v>997</v>
      </c>
      <c r="I1118" s="10">
        <v>122</v>
      </c>
      <c r="J1118" s="10">
        <v>15</v>
      </c>
      <c r="K1118" s="10">
        <v>10</v>
      </c>
      <c r="L1118" s="11" t="e">
        <v>#N/A</v>
      </c>
      <c r="M1118" s="12">
        <v>0</v>
      </c>
      <c r="N1118" s="13" t="s">
        <v>183</v>
      </c>
      <c r="O1118" s="13"/>
    </row>
    <row r="1119" spans="1:15">
      <c r="A1119" s="22" t="s">
        <v>1346</v>
      </c>
      <c r="B1119" s="22">
        <v>9</v>
      </c>
      <c r="C1119" s="22">
        <v>44</v>
      </c>
      <c r="D1119" s="22">
        <v>54</v>
      </c>
      <c r="E1119" s="22">
        <v>0.64</v>
      </c>
      <c r="F1119" s="9">
        <v>1127</v>
      </c>
      <c r="G1119" s="22" t="s">
        <v>914</v>
      </c>
      <c r="H1119" s="10" t="s">
        <v>104</v>
      </c>
      <c r="I1119" s="10">
        <v>130</v>
      </c>
      <c r="J1119" s="10">
        <v>15</v>
      </c>
      <c r="K1119" s="10">
        <v>10</v>
      </c>
      <c r="L1119" s="34" t="s">
        <v>1347</v>
      </c>
      <c r="M1119" s="12">
        <v>0</v>
      </c>
      <c r="N1119" s="22"/>
      <c r="O1119" s="22"/>
    </row>
    <row r="1120" spans="1:15">
      <c r="A1120" s="22" t="s">
        <v>1348</v>
      </c>
      <c r="B1120" s="22">
        <v>9</v>
      </c>
      <c r="C1120" s="22">
        <v>45</v>
      </c>
      <c r="D1120" s="22">
        <v>54</v>
      </c>
      <c r="E1120" s="22">
        <v>0.64</v>
      </c>
      <c r="F1120" s="9">
        <v>1128</v>
      </c>
      <c r="G1120" s="22" t="s">
        <v>914</v>
      </c>
      <c r="H1120" s="10" t="s">
        <v>104</v>
      </c>
      <c r="I1120" s="10">
        <v>130</v>
      </c>
      <c r="J1120" s="10">
        <v>15</v>
      </c>
      <c r="K1120" s="10">
        <v>10</v>
      </c>
      <c r="L1120" s="34" t="s">
        <v>1349</v>
      </c>
      <c r="M1120" s="12">
        <v>21</v>
      </c>
      <c r="N1120" s="22"/>
      <c r="O1120" s="22"/>
    </row>
    <row r="1121" spans="1:15">
      <c r="A1121" s="22" t="s">
        <v>1350</v>
      </c>
      <c r="B1121" s="22">
        <v>9</v>
      </c>
      <c r="C1121" s="20">
        <v>445</v>
      </c>
      <c r="D1121" s="22">
        <v>25</v>
      </c>
      <c r="E1121" s="22">
        <v>1.6</v>
      </c>
      <c r="F1121" s="9">
        <v>1131</v>
      </c>
      <c r="G1121" s="22" t="s">
        <v>722</v>
      </c>
      <c r="H1121" s="22" t="s">
        <v>1198</v>
      </c>
      <c r="I1121" s="22">
        <v>183</v>
      </c>
      <c r="J1121" s="22">
        <v>29</v>
      </c>
      <c r="K1121" s="22">
        <v>16</v>
      </c>
      <c r="L1121" s="34" t="s">
        <v>1133</v>
      </c>
      <c r="M1121" s="12">
        <v>0</v>
      </c>
      <c r="N1121" s="22"/>
      <c r="O1121" s="22"/>
    </row>
    <row r="1122" spans="1:15">
      <c r="A1122" s="22" t="s">
        <v>1351</v>
      </c>
      <c r="B1122" s="22">
        <v>9</v>
      </c>
      <c r="C1122" s="22">
        <v>352</v>
      </c>
      <c r="D1122" s="22">
        <v>1</v>
      </c>
      <c r="E1122" s="22">
        <v>0.5</v>
      </c>
      <c r="F1122" s="9">
        <v>1132</v>
      </c>
      <c r="G1122" s="22" t="s">
        <v>446</v>
      </c>
      <c r="H1122" s="22" t="s">
        <v>1195</v>
      </c>
      <c r="I1122" s="22">
        <v>89</v>
      </c>
      <c r="J1122" s="22">
        <v>14</v>
      </c>
      <c r="K1122" s="22">
        <v>9</v>
      </c>
      <c r="L1122" s="34" t="s">
        <v>809</v>
      </c>
      <c r="M1122" s="12">
        <v>0</v>
      </c>
      <c r="N1122" s="12" t="e">
        <f>VLOOKUP(A:A,[2]成品数据统计表!$C$1:$E$65536,3,0)</f>
        <v>#REF!</v>
      </c>
      <c r="O1122" s="22"/>
    </row>
    <row r="1123" spans="1:15">
      <c r="A1123" s="22" t="s">
        <v>1352</v>
      </c>
      <c r="B1123" s="22">
        <v>9</v>
      </c>
      <c r="C1123" s="22">
        <v>80</v>
      </c>
      <c r="D1123" s="22">
        <v>50</v>
      </c>
      <c r="E1123" s="22">
        <v>0.6</v>
      </c>
      <c r="F1123" s="9">
        <v>1133</v>
      </c>
      <c r="G1123" s="22" t="s">
        <v>16</v>
      </c>
      <c r="H1123" s="22" t="s">
        <v>997</v>
      </c>
      <c r="I1123" s="22">
        <v>122</v>
      </c>
      <c r="J1123" s="22">
        <v>15</v>
      </c>
      <c r="K1123" s="22">
        <v>10</v>
      </c>
      <c r="L1123" s="34" t="e">
        <v>#N/A</v>
      </c>
      <c r="M1123" s="12">
        <v>31</v>
      </c>
      <c r="N1123" s="22" t="s">
        <v>1353</v>
      </c>
      <c r="O1123" s="22" t="s">
        <v>18</v>
      </c>
    </row>
    <row r="1124" spans="1:15">
      <c r="A1124" s="22" t="s">
        <v>1354</v>
      </c>
      <c r="B1124" s="22">
        <v>9</v>
      </c>
      <c r="C1124" s="22">
        <v>90</v>
      </c>
      <c r="D1124" s="22">
        <v>50</v>
      </c>
      <c r="E1124" s="22">
        <v>0.6</v>
      </c>
      <c r="F1124" s="9">
        <v>1134</v>
      </c>
      <c r="G1124" s="22" t="s">
        <v>16</v>
      </c>
      <c r="H1124" s="22" t="s">
        <v>997</v>
      </c>
      <c r="I1124" s="22">
        <v>122</v>
      </c>
      <c r="J1124" s="22">
        <v>15</v>
      </c>
      <c r="K1124" s="22">
        <v>10</v>
      </c>
      <c r="L1124" s="34" t="e">
        <v>#N/A</v>
      </c>
      <c r="M1124" s="12">
        <v>0</v>
      </c>
      <c r="N1124" s="22" t="s">
        <v>1353</v>
      </c>
      <c r="O1124" s="22" t="s">
        <v>18</v>
      </c>
    </row>
    <row r="1125" spans="1:15">
      <c r="A1125" s="22" t="s">
        <v>1355</v>
      </c>
      <c r="B1125" s="22">
        <v>9</v>
      </c>
      <c r="C1125" s="22">
        <v>477</v>
      </c>
      <c r="D1125" s="22">
        <v>1</v>
      </c>
      <c r="E1125" s="22">
        <v>0.5</v>
      </c>
      <c r="F1125" s="9">
        <v>1135</v>
      </c>
      <c r="G1125" s="22" t="s">
        <v>446</v>
      </c>
      <c r="H1125" s="22" t="s">
        <v>1195</v>
      </c>
      <c r="I1125" s="22">
        <v>89</v>
      </c>
      <c r="J1125" s="22">
        <v>14</v>
      </c>
      <c r="K1125" s="22">
        <v>9</v>
      </c>
      <c r="L1125" s="34" t="s">
        <v>1356</v>
      </c>
      <c r="M1125" s="12">
        <v>0</v>
      </c>
      <c r="N1125" s="12" t="e">
        <f>VLOOKUP(A:A,[2]成品数据统计表!$C$1:$E$65536,3,0)</f>
        <v>#REF!</v>
      </c>
      <c r="O1125" s="22"/>
    </row>
    <row r="1126" spans="1:15">
      <c r="A1126" s="22" t="s">
        <v>1357</v>
      </c>
      <c r="B1126" s="22">
        <v>9</v>
      </c>
      <c r="C1126" s="22">
        <v>88</v>
      </c>
      <c r="D1126" s="22">
        <v>50</v>
      </c>
      <c r="E1126" s="22">
        <v>0.6</v>
      </c>
      <c r="F1126" s="9">
        <v>1136</v>
      </c>
      <c r="G1126" s="22" t="s">
        <v>16</v>
      </c>
      <c r="H1126" s="22" t="s">
        <v>997</v>
      </c>
      <c r="I1126" s="22">
        <v>122</v>
      </c>
      <c r="J1126" s="22">
        <v>15</v>
      </c>
      <c r="K1126" s="22">
        <v>10</v>
      </c>
      <c r="L1126" s="34" t="e">
        <v>#N/A</v>
      </c>
      <c r="M1126" s="12">
        <v>0</v>
      </c>
      <c r="N1126" s="22" t="s">
        <v>18</v>
      </c>
      <c r="O1126" s="22" t="s">
        <v>18</v>
      </c>
    </row>
    <row r="1127" spans="1:15">
      <c r="A1127" s="22" t="s">
        <v>1358</v>
      </c>
      <c r="B1127" s="22">
        <v>9</v>
      </c>
      <c r="C1127" s="22">
        <v>68</v>
      </c>
      <c r="D1127" s="22">
        <v>50</v>
      </c>
      <c r="E1127" s="22">
        <v>0.6</v>
      </c>
      <c r="F1127" s="9">
        <v>1137</v>
      </c>
      <c r="G1127" s="22" t="s">
        <v>16</v>
      </c>
      <c r="H1127" s="22" t="s">
        <v>997</v>
      </c>
      <c r="I1127" s="22">
        <v>122</v>
      </c>
      <c r="J1127" s="22">
        <v>15</v>
      </c>
      <c r="K1127" s="22">
        <v>10</v>
      </c>
      <c r="L1127" s="34" t="s">
        <v>118</v>
      </c>
      <c r="M1127" s="12">
        <v>0</v>
      </c>
      <c r="N1127" s="22"/>
      <c r="O1127" s="22"/>
    </row>
    <row r="1128" spans="1:15">
      <c r="A1128" s="22" t="s">
        <v>1359</v>
      </c>
      <c r="B1128" s="22">
        <v>9</v>
      </c>
      <c r="C1128" s="22">
        <v>84</v>
      </c>
      <c r="D1128" s="22">
        <v>50</v>
      </c>
      <c r="E1128" s="22">
        <v>0.6</v>
      </c>
      <c r="F1128" s="9">
        <v>1138</v>
      </c>
      <c r="G1128" s="22" t="s">
        <v>16</v>
      </c>
      <c r="H1128" s="22" t="s">
        <v>997</v>
      </c>
      <c r="I1128" s="22">
        <v>122</v>
      </c>
      <c r="J1128" s="22">
        <v>15</v>
      </c>
      <c r="K1128" s="22">
        <v>10</v>
      </c>
      <c r="L1128" s="34" t="e">
        <v>#N/A</v>
      </c>
      <c r="M1128" s="12">
        <v>0</v>
      </c>
      <c r="N1128" s="22"/>
      <c r="O1128" s="22"/>
    </row>
    <row r="1129" spans="1:15">
      <c r="A1129" s="22" t="s">
        <v>1360</v>
      </c>
      <c r="B1129" s="22">
        <v>9</v>
      </c>
      <c r="C1129" s="22">
        <v>82</v>
      </c>
      <c r="D1129" s="22">
        <v>50</v>
      </c>
      <c r="E1129" s="22">
        <v>0.6</v>
      </c>
      <c r="F1129" s="9">
        <v>1139</v>
      </c>
      <c r="G1129" s="22" t="s">
        <v>16</v>
      </c>
      <c r="H1129" s="22" t="s">
        <v>997</v>
      </c>
      <c r="I1129" s="22">
        <v>122</v>
      </c>
      <c r="J1129" s="22">
        <v>15</v>
      </c>
      <c r="K1129" s="22">
        <v>10</v>
      </c>
      <c r="L1129" s="34" t="e">
        <v>#N/A</v>
      </c>
      <c r="M1129" s="12">
        <v>1</v>
      </c>
      <c r="N1129" s="22" t="s">
        <v>18</v>
      </c>
      <c r="O1129" s="22" t="s">
        <v>18</v>
      </c>
    </row>
    <row r="1130" spans="1:15">
      <c r="A1130" s="22" t="s">
        <v>1361</v>
      </c>
      <c r="B1130" s="22">
        <v>9</v>
      </c>
      <c r="C1130" s="22">
        <v>340</v>
      </c>
      <c r="D1130" s="22">
        <v>50</v>
      </c>
      <c r="E1130" s="22">
        <v>1.48</v>
      </c>
      <c r="F1130" s="9">
        <v>1140</v>
      </c>
      <c r="G1130" s="22" t="s">
        <v>372</v>
      </c>
      <c r="H1130" s="22" t="s">
        <v>898</v>
      </c>
      <c r="I1130" s="22">
        <v>145</v>
      </c>
      <c r="J1130" s="22">
        <v>29</v>
      </c>
      <c r="K1130" s="22">
        <v>16</v>
      </c>
      <c r="L1130" s="34" t="e">
        <v>#N/A</v>
      </c>
      <c r="M1130" s="12">
        <v>0</v>
      </c>
      <c r="N1130" s="22" t="s">
        <v>183</v>
      </c>
      <c r="O1130" s="22" t="s">
        <v>18</v>
      </c>
    </row>
    <row r="1131" spans="1:15">
      <c r="A1131" s="22" t="s">
        <v>1362</v>
      </c>
      <c r="B1131" s="22">
        <v>9</v>
      </c>
      <c r="C1131" s="22">
        <v>350</v>
      </c>
      <c r="D1131" s="22">
        <v>50</v>
      </c>
      <c r="E1131" s="22">
        <v>1.48</v>
      </c>
      <c r="F1131" s="9">
        <v>1141</v>
      </c>
      <c r="G1131" s="22" t="s">
        <v>372</v>
      </c>
      <c r="H1131" s="22" t="s">
        <v>898</v>
      </c>
      <c r="I1131" s="22">
        <v>145</v>
      </c>
      <c r="J1131" s="22">
        <v>29</v>
      </c>
      <c r="K1131" s="22">
        <v>16</v>
      </c>
      <c r="L1131" s="34" t="e">
        <v>#N/A</v>
      </c>
      <c r="M1131" s="12">
        <v>78</v>
      </c>
      <c r="N1131" s="22" t="s">
        <v>183</v>
      </c>
      <c r="O1131" s="22"/>
    </row>
    <row r="1132" spans="1:15">
      <c r="A1132" s="22" t="s">
        <v>1363</v>
      </c>
      <c r="B1132" s="22">
        <v>9</v>
      </c>
      <c r="C1132" s="22">
        <v>337</v>
      </c>
      <c r="D1132" s="22">
        <v>1</v>
      </c>
      <c r="E1132" s="22">
        <v>0.5</v>
      </c>
      <c r="F1132" s="9">
        <v>1142</v>
      </c>
      <c r="G1132" s="22" t="s">
        <v>446</v>
      </c>
      <c r="H1132" s="22" t="s">
        <v>1195</v>
      </c>
      <c r="I1132" s="22">
        <v>89</v>
      </c>
      <c r="J1132" s="22">
        <v>14</v>
      </c>
      <c r="K1132" s="22">
        <v>9</v>
      </c>
      <c r="L1132" s="34" t="s">
        <v>1364</v>
      </c>
      <c r="M1132" s="12">
        <v>2</v>
      </c>
      <c r="N1132" s="12" t="e">
        <f>VLOOKUP(A:A,[2]成品数据统计表!$C$1:$E$65536,3,0)</f>
        <v>#REF!</v>
      </c>
      <c r="O1132" s="22"/>
    </row>
    <row r="1133" spans="1:15">
      <c r="A1133" s="22" t="s">
        <v>1365</v>
      </c>
      <c r="B1133" s="22">
        <v>9</v>
      </c>
      <c r="C1133" s="22">
        <v>77</v>
      </c>
      <c r="D1133" s="22">
        <v>50</v>
      </c>
      <c r="E1133" s="22">
        <v>0.64</v>
      </c>
      <c r="F1133" s="9">
        <v>1143</v>
      </c>
      <c r="G1133" s="22" t="s">
        <v>16</v>
      </c>
      <c r="H1133" s="10" t="s">
        <v>104</v>
      </c>
      <c r="I1133" s="10">
        <v>130</v>
      </c>
      <c r="J1133" s="10">
        <v>15</v>
      </c>
      <c r="K1133" s="10">
        <v>10</v>
      </c>
      <c r="L1133" s="34" t="e">
        <v>#N/A</v>
      </c>
      <c r="M1133" s="12">
        <v>55</v>
      </c>
      <c r="N1133" s="22" t="s">
        <v>18</v>
      </c>
      <c r="O1133" s="22"/>
    </row>
    <row r="1134" spans="1:15">
      <c r="A1134" s="22" t="s">
        <v>1366</v>
      </c>
      <c r="B1134" s="22">
        <v>9</v>
      </c>
      <c r="C1134" s="22">
        <v>84</v>
      </c>
      <c r="D1134" s="22">
        <v>50</v>
      </c>
      <c r="E1134" s="22">
        <v>0.6</v>
      </c>
      <c r="F1134" s="9">
        <v>1144</v>
      </c>
      <c r="G1134" s="22" t="s">
        <v>16</v>
      </c>
      <c r="H1134" s="22" t="s">
        <v>997</v>
      </c>
      <c r="I1134" s="22">
        <v>122</v>
      </c>
      <c r="J1134" s="22">
        <v>15</v>
      </c>
      <c r="K1134" s="22">
        <v>10</v>
      </c>
      <c r="L1134" s="34" t="s">
        <v>60</v>
      </c>
      <c r="M1134" s="12">
        <v>11</v>
      </c>
      <c r="N1134" s="22"/>
      <c r="O1134" s="22"/>
    </row>
    <row r="1135" spans="1:15">
      <c r="A1135" s="22" t="s">
        <v>1367</v>
      </c>
      <c r="B1135" s="22">
        <v>9</v>
      </c>
      <c r="C1135" s="22">
        <v>78</v>
      </c>
      <c r="D1135" s="22">
        <v>50</v>
      </c>
      <c r="E1135" s="22">
        <v>0.6</v>
      </c>
      <c r="F1135" s="9">
        <v>1145</v>
      </c>
      <c r="G1135" s="22" t="s">
        <v>16</v>
      </c>
      <c r="H1135" s="22" t="s">
        <v>997</v>
      </c>
      <c r="I1135" s="22">
        <v>122</v>
      </c>
      <c r="J1135" s="22">
        <v>15</v>
      </c>
      <c r="K1135" s="22">
        <v>10</v>
      </c>
      <c r="L1135" s="34" t="e">
        <v>#N/A</v>
      </c>
      <c r="M1135" s="12">
        <v>45</v>
      </c>
      <c r="N1135" s="22" t="s">
        <v>18</v>
      </c>
      <c r="O1135" s="22"/>
    </row>
    <row r="1136" spans="1:15">
      <c r="A1136" s="22" t="s">
        <v>1368</v>
      </c>
      <c r="B1136" s="22">
        <v>9</v>
      </c>
      <c r="C1136" s="22">
        <v>81</v>
      </c>
      <c r="D1136" s="22">
        <v>50</v>
      </c>
      <c r="E1136" s="22">
        <v>0.6</v>
      </c>
      <c r="F1136" s="9">
        <v>1146</v>
      </c>
      <c r="G1136" s="22" t="s">
        <v>16</v>
      </c>
      <c r="H1136" s="22" t="s">
        <v>997</v>
      </c>
      <c r="I1136" s="22">
        <v>122</v>
      </c>
      <c r="J1136" s="22">
        <v>15</v>
      </c>
      <c r="K1136" s="22">
        <v>10</v>
      </c>
      <c r="L1136" s="34" t="e">
        <v>#N/A</v>
      </c>
      <c r="M1136" s="12">
        <v>53</v>
      </c>
      <c r="N1136" s="22" t="s">
        <v>18</v>
      </c>
      <c r="O1136" s="22"/>
    </row>
    <row r="1137" spans="1:15">
      <c r="A1137" s="22" t="s">
        <v>1369</v>
      </c>
      <c r="B1137" s="22">
        <v>9</v>
      </c>
      <c r="C1137" s="22">
        <v>46</v>
      </c>
      <c r="D1137" s="22">
        <v>54</v>
      </c>
      <c r="E1137" s="22">
        <v>0.64</v>
      </c>
      <c r="F1137" s="9">
        <v>1147</v>
      </c>
      <c r="G1137" s="22" t="s">
        <v>16</v>
      </c>
      <c r="H1137" s="10" t="s">
        <v>104</v>
      </c>
      <c r="I1137" s="10">
        <v>130</v>
      </c>
      <c r="J1137" s="10">
        <v>15</v>
      </c>
      <c r="K1137" s="10">
        <v>10</v>
      </c>
      <c r="L1137" s="34" t="s">
        <v>109</v>
      </c>
      <c r="M1137" s="12">
        <v>0</v>
      </c>
      <c r="N1137" s="22"/>
      <c r="O1137" s="22"/>
    </row>
    <row r="1138" spans="1:15">
      <c r="A1138" s="22" t="s">
        <v>1370</v>
      </c>
      <c r="B1138" s="22">
        <v>9</v>
      </c>
      <c r="C1138" s="22">
        <v>77</v>
      </c>
      <c r="D1138" s="22">
        <v>50</v>
      </c>
      <c r="E1138" s="22">
        <v>0.64</v>
      </c>
      <c r="F1138" s="9">
        <v>1149</v>
      </c>
      <c r="G1138" s="22" t="s">
        <v>16</v>
      </c>
      <c r="H1138" s="10" t="s">
        <v>104</v>
      </c>
      <c r="I1138" s="10">
        <v>130</v>
      </c>
      <c r="J1138" s="10">
        <v>15</v>
      </c>
      <c r="K1138" s="10">
        <v>10</v>
      </c>
      <c r="L1138" s="34" t="s">
        <v>56</v>
      </c>
      <c r="M1138" s="12">
        <v>115</v>
      </c>
      <c r="N1138" s="22"/>
      <c r="O1138" s="22"/>
    </row>
    <row r="1139" spans="1:15">
      <c r="A1139" s="22" t="s">
        <v>1371</v>
      </c>
      <c r="B1139" s="22">
        <v>9</v>
      </c>
      <c r="C1139" s="22">
        <v>79</v>
      </c>
      <c r="D1139" s="22">
        <v>50</v>
      </c>
      <c r="E1139" s="22">
        <v>0.6</v>
      </c>
      <c r="F1139" s="9">
        <v>1150</v>
      </c>
      <c r="G1139" s="22" t="s">
        <v>16</v>
      </c>
      <c r="H1139" s="22" t="s">
        <v>997</v>
      </c>
      <c r="I1139" s="22">
        <v>122</v>
      </c>
      <c r="J1139" s="22">
        <v>15</v>
      </c>
      <c r="K1139" s="22">
        <v>10</v>
      </c>
      <c r="L1139" s="34" t="s">
        <v>146</v>
      </c>
      <c r="M1139" s="12">
        <v>77</v>
      </c>
      <c r="N1139" s="22"/>
      <c r="O1139" s="22"/>
    </row>
    <row r="1140" spans="1:15">
      <c r="A1140" s="22" t="s">
        <v>1372</v>
      </c>
      <c r="B1140" s="22">
        <v>9</v>
      </c>
      <c r="C1140" s="22">
        <v>81</v>
      </c>
      <c r="D1140" s="22">
        <v>50</v>
      </c>
      <c r="E1140" s="22">
        <v>0.6</v>
      </c>
      <c r="F1140" s="9">
        <v>1151</v>
      </c>
      <c r="G1140" s="22" t="s">
        <v>16</v>
      </c>
      <c r="H1140" s="22" t="s">
        <v>997</v>
      </c>
      <c r="I1140" s="22">
        <v>122</v>
      </c>
      <c r="J1140" s="22">
        <v>15</v>
      </c>
      <c r="K1140" s="22">
        <v>10</v>
      </c>
      <c r="L1140" s="34" t="s">
        <v>136</v>
      </c>
      <c r="M1140" s="12">
        <v>111</v>
      </c>
      <c r="N1140" s="22"/>
      <c r="O1140" s="22"/>
    </row>
    <row r="1141" spans="1:15">
      <c r="A1141" s="22" t="s">
        <v>1373</v>
      </c>
      <c r="B1141" s="22">
        <v>9</v>
      </c>
      <c r="C1141" s="22">
        <v>86</v>
      </c>
      <c r="D1141" s="22">
        <v>50</v>
      </c>
      <c r="E1141" s="22">
        <v>0.6</v>
      </c>
      <c r="F1141" s="9">
        <v>1152</v>
      </c>
      <c r="G1141" s="22" t="s">
        <v>16</v>
      </c>
      <c r="H1141" s="22" t="s">
        <v>997</v>
      </c>
      <c r="I1141" s="22">
        <v>122</v>
      </c>
      <c r="J1141" s="22">
        <v>15</v>
      </c>
      <c r="K1141" s="22">
        <v>10</v>
      </c>
      <c r="L1141" s="34" t="s">
        <v>220</v>
      </c>
      <c r="M1141" s="12">
        <v>149</v>
      </c>
      <c r="N1141" s="22"/>
      <c r="O1141" s="22"/>
    </row>
    <row r="1142" spans="1:15">
      <c r="A1142" s="22" t="s">
        <v>1374</v>
      </c>
      <c r="B1142" s="22">
        <v>9</v>
      </c>
      <c r="C1142" s="22">
        <v>67</v>
      </c>
      <c r="D1142" s="22">
        <v>54</v>
      </c>
      <c r="E1142" s="22">
        <v>0.64</v>
      </c>
      <c r="F1142" s="9">
        <v>1153</v>
      </c>
      <c r="G1142" s="22" t="s">
        <v>16</v>
      </c>
      <c r="H1142" s="10" t="s">
        <v>104</v>
      </c>
      <c r="I1142" s="10">
        <v>130</v>
      </c>
      <c r="J1142" s="10">
        <v>15</v>
      </c>
      <c r="K1142" s="10">
        <v>10</v>
      </c>
      <c r="L1142" s="34" t="s">
        <v>96</v>
      </c>
      <c r="M1142" s="12">
        <v>0</v>
      </c>
      <c r="N1142" s="22"/>
      <c r="O1142" s="22"/>
    </row>
    <row r="1143" spans="1:15">
      <c r="A1143" s="22" t="s">
        <v>1375</v>
      </c>
      <c r="B1143" s="22">
        <v>9</v>
      </c>
      <c r="C1143" s="22">
        <v>65</v>
      </c>
      <c r="D1143" s="22">
        <v>54</v>
      </c>
      <c r="E1143" s="22">
        <v>0.64</v>
      </c>
      <c r="F1143" s="9">
        <v>1154</v>
      </c>
      <c r="G1143" s="22" t="s">
        <v>16</v>
      </c>
      <c r="H1143" s="10" t="s">
        <v>104</v>
      </c>
      <c r="I1143" s="10">
        <v>130</v>
      </c>
      <c r="J1143" s="10">
        <v>15</v>
      </c>
      <c r="K1143" s="10">
        <v>10</v>
      </c>
      <c r="L1143" s="34" t="s">
        <v>22</v>
      </c>
      <c r="M1143" s="12">
        <v>0</v>
      </c>
      <c r="N1143" s="22"/>
      <c r="O1143" s="22"/>
    </row>
    <row r="1144" spans="1:15">
      <c r="A1144" s="22" t="s">
        <v>1376</v>
      </c>
      <c r="B1144" s="22">
        <v>9</v>
      </c>
      <c r="C1144" s="22">
        <v>740</v>
      </c>
      <c r="D1144" s="22">
        <v>12</v>
      </c>
      <c r="E1144" s="22">
        <v>2.2200000000000002</v>
      </c>
      <c r="F1144" s="9">
        <v>1155</v>
      </c>
      <c r="G1144" s="22" t="s">
        <v>1377</v>
      </c>
      <c r="H1144" s="22" t="s">
        <v>1378</v>
      </c>
      <c r="I1144" s="22">
        <v>179</v>
      </c>
      <c r="J1144" s="22">
        <v>42</v>
      </c>
      <c r="K1144" s="22">
        <v>15</v>
      </c>
      <c r="L1144" s="34" t="s">
        <v>1379</v>
      </c>
      <c r="M1144" s="12">
        <v>5</v>
      </c>
      <c r="N1144" s="22" t="s">
        <v>183</v>
      </c>
      <c r="O1144" s="22"/>
    </row>
    <row r="1145" spans="1:15">
      <c r="A1145" s="22" t="s">
        <v>1380</v>
      </c>
      <c r="B1145" s="22">
        <v>9</v>
      </c>
      <c r="C1145" s="22">
        <v>740</v>
      </c>
      <c r="D1145" s="22">
        <v>12</v>
      </c>
      <c r="E1145" s="22">
        <v>2.2200000000000002</v>
      </c>
      <c r="F1145" s="9">
        <v>1156</v>
      </c>
      <c r="G1145" s="22" t="s">
        <v>1377</v>
      </c>
      <c r="H1145" s="22" t="s">
        <v>1378</v>
      </c>
      <c r="I1145" s="22">
        <v>179</v>
      </c>
      <c r="J1145" s="22">
        <v>42</v>
      </c>
      <c r="K1145" s="22">
        <v>15</v>
      </c>
      <c r="L1145" s="34" t="s">
        <v>1381</v>
      </c>
      <c r="M1145" s="12">
        <v>1</v>
      </c>
      <c r="N1145" s="22" t="s">
        <v>183</v>
      </c>
      <c r="O1145" s="22"/>
    </row>
    <row r="1146" spans="1:15">
      <c r="A1146" s="22" t="s">
        <v>1382</v>
      </c>
      <c r="B1146" s="22">
        <v>9</v>
      </c>
      <c r="C1146" s="22">
        <v>80</v>
      </c>
      <c r="D1146" s="22">
        <v>50</v>
      </c>
      <c r="E1146" s="22">
        <v>0.6</v>
      </c>
      <c r="F1146" s="9">
        <v>1157</v>
      </c>
      <c r="G1146" s="22" t="s">
        <v>16</v>
      </c>
      <c r="H1146" s="22" t="s">
        <v>997</v>
      </c>
      <c r="I1146" s="22">
        <v>122</v>
      </c>
      <c r="J1146" s="22">
        <v>15</v>
      </c>
      <c r="K1146" s="22">
        <v>10</v>
      </c>
      <c r="L1146" s="34" t="e">
        <v>#N/A</v>
      </c>
      <c r="M1146" s="12">
        <v>0</v>
      </c>
      <c r="N1146" s="22" t="s">
        <v>183</v>
      </c>
      <c r="O1146" s="22" t="s">
        <v>18</v>
      </c>
    </row>
    <row r="1147" spans="1:15">
      <c r="A1147" s="22" t="s">
        <v>1383</v>
      </c>
      <c r="B1147" s="22">
        <v>9</v>
      </c>
      <c r="C1147" s="22">
        <v>80</v>
      </c>
      <c r="D1147" s="22">
        <v>50</v>
      </c>
      <c r="E1147" s="22">
        <v>0.6</v>
      </c>
      <c r="F1147" s="9">
        <v>1158</v>
      </c>
      <c r="G1147" s="22" t="s">
        <v>16</v>
      </c>
      <c r="H1147" s="22" t="s">
        <v>997</v>
      </c>
      <c r="I1147" s="22">
        <v>122</v>
      </c>
      <c r="J1147" s="22">
        <v>15</v>
      </c>
      <c r="K1147" s="22">
        <v>10</v>
      </c>
      <c r="L1147" s="34" t="e">
        <v>#N/A</v>
      </c>
      <c r="M1147" s="12">
        <v>0</v>
      </c>
      <c r="N1147" s="22" t="s">
        <v>183</v>
      </c>
      <c r="O1147" s="22" t="s">
        <v>18</v>
      </c>
    </row>
    <row r="1148" spans="1:15">
      <c r="A1148" s="22" t="s">
        <v>1384</v>
      </c>
      <c r="B1148" s="22">
        <v>9</v>
      </c>
      <c r="C1148" s="22">
        <v>80</v>
      </c>
      <c r="D1148" s="22">
        <v>50</v>
      </c>
      <c r="E1148" s="22">
        <v>0.6</v>
      </c>
      <c r="F1148" s="9">
        <v>1159</v>
      </c>
      <c r="G1148" s="22" t="s">
        <v>16</v>
      </c>
      <c r="H1148" s="22" t="s">
        <v>997</v>
      </c>
      <c r="I1148" s="22">
        <v>122</v>
      </c>
      <c r="J1148" s="22">
        <v>15</v>
      </c>
      <c r="K1148" s="22">
        <v>10</v>
      </c>
      <c r="L1148" s="34" t="e">
        <v>#N/A</v>
      </c>
      <c r="M1148" s="12">
        <v>145</v>
      </c>
      <c r="N1148" s="22" t="s">
        <v>183</v>
      </c>
      <c r="O1148" s="22" t="s">
        <v>18</v>
      </c>
    </row>
    <row r="1149" spans="1:15">
      <c r="A1149" s="22" t="s">
        <v>1385</v>
      </c>
      <c r="B1149" s="22">
        <v>9</v>
      </c>
      <c r="C1149" s="22">
        <v>80</v>
      </c>
      <c r="D1149" s="22">
        <v>50</v>
      </c>
      <c r="E1149" s="22">
        <v>0.6</v>
      </c>
      <c r="F1149" s="9">
        <v>1160</v>
      </c>
      <c r="G1149" s="22" t="s">
        <v>16</v>
      </c>
      <c r="H1149" s="22" t="s">
        <v>997</v>
      </c>
      <c r="I1149" s="22">
        <v>122</v>
      </c>
      <c r="J1149" s="22">
        <v>15</v>
      </c>
      <c r="K1149" s="22">
        <v>10</v>
      </c>
      <c r="L1149" s="34" t="e">
        <v>#N/A</v>
      </c>
      <c r="M1149" s="12">
        <v>1</v>
      </c>
      <c r="N1149" s="22" t="s">
        <v>18</v>
      </c>
      <c r="O1149" s="22" t="s">
        <v>18</v>
      </c>
    </row>
    <row r="1150" spans="1:15">
      <c r="A1150" s="22" t="s">
        <v>1386</v>
      </c>
      <c r="B1150" s="22">
        <v>9</v>
      </c>
      <c r="C1150" s="22">
        <v>80</v>
      </c>
      <c r="D1150" s="22">
        <v>50</v>
      </c>
      <c r="E1150" s="22">
        <v>0.6</v>
      </c>
      <c r="F1150" s="9">
        <v>1161</v>
      </c>
      <c r="G1150" s="22" t="s">
        <v>16</v>
      </c>
      <c r="H1150" s="22" t="s">
        <v>997</v>
      </c>
      <c r="I1150" s="22">
        <v>122</v>
      </c>
      <c r="J1150" s="22">
        <v>15</v>
      </c>
      <c r="K1150" s="22">
        <v>10</v>
      </c>
      <c r="L1150" s="34" t="e">
        <v>#N/A</v>
      </c>
      <c r="M1150" s="12">
        <v>102</v>
      </c>
      <c r="N1150" s="22" t="s">
        <v>18</v>
      </c>
      <c r="O1150" s="22" t="s">
        <v>18</v>
      </c>
    </row>
    <row r="1151" spans="1:15">
      <c r="A1151" s="22" t="s">
        <v>1387</v>
      </c>
      <c r="B1151" s="22">
        <v>9</v>
      </c>
      <c r="C1151" s="22">
        <v>400</v>
      </c>
      <c r="D1151" s="22">
        <v>1</v>
      </c>
      <c r="E1151" s="22">
        <v>0.5</v>
      </c>
      <c r="F1151" s="9">
        <v>1162</v>
      </c>
      <c r="G1151" s="22" t="s">
        <v>446</v>
      </c>
      <c r="H1151" s="22" t="s">
        <v>1195</v>
      </c>
      <c r="I1151" s="22">
        <v>89</v>
      </c>
      <c r="J1151" s="22">
        <v>14</v>
      </c>
      <c r="K1151" s="22">
        <v>9</v>
      </c>
      <c r="L1151" s="34" t="e">
        <v>#N/A</v>
      </c>
      <c r="M1151" s="12">
        <v>0</v>
      </c>
      <c r="N1151" s="22" t="s">
        <v>183</v>
      </c>
      <c r="O1151" s="22"/>
    </row>
    <row r="1152" spans="1:15">
      <c r="A1152" s="22" t="s">
        <v>1388</v>
      </c>
      <c r="B1152" s="22">
        <v>9</v>
      </c>
      <c r="C1152" s="22">
        <v>400</v>
      </c>
      <c r="D1152" s="22">
        <v>1</v>
      </c>
      <c r="E1152" s="22">
        <v>0.5</v>
      </c>
      <c r="F1152" s="9">
        <v>1163</v>
      </c>
      <c r="G1152" s="22" t="s">
        <v>446</v>
      </c>
      <c r="H1152" s="22" t="s">
        <v>1195</v>
      </c>
      <c r="I1152" s="22">
        <v>89</v>
      </c>
      <c r="J1152" s="22">
        <v>14</v>
      </c>
      <c r="K1152" s="22">
        <v>9</v>
      </c>
      <c r="L1152" s="34" t="s">
        <v>480</v>
      </c>
      <c r="M1152" s="12">
        <v>0</v>
      </c>
      <c r="N1152" s="22" t="s">
        <v>183</v>
      </c>
      <c r="O1152" s="22"/>
    </row>
    <row r="1153" spans="1:15">
      <c r="A1153" s="22" t="s">
        <v>1389</v>
      </c>
      <c r="B1153" s="22">
        <v>9</v>
      </c>
      <c r="C1153" s="22">
        <v>400</v>
      </c>
      <c r="D1153" s="22">
        <v>25</v>
      </c>
      <c r="E1153" s="22">
        <v>2.54</v>
      </c>
      <c r="F1153" s="9">
        <v>1164</v>
      </c>
      <c r="G1153" s="22" t="s">
        <v>446</v>
      </c>
      <c r="H1153" s="22" t="s">
        <v>523</v>
      </c>
      <c r="I1153" s="22">
        <v>77</v>
      </c>
      <c r="J1153" s="22">
        <v>52</v>
      </c>
      <c r="K1153" s="22">
        <v>32</v>
      </c>
      <c r="L1153" s="34" t="s">
        <v>480</v>
      </c>
      <c r="M1153" s="12">
        <v>0</v>
      </c>
      <c r="N1153" s="22" t="s">
        <v>183</v>
      </c>
      <c r="O1153" s="22"/>
    </row>
    <row r="1154" spans="1:15">
      <c r="A1154" s="22" t="s">
        <v>1390</v>
      </c>
      <c r="B1154" s="22">
        <v>9</v>
      </c>
      <c r="C1154" s="22">
        <v>398</v>
      </c>
      <c r="D1154" s="22">
        <v>1</v>
      </c>
      <c r="E1154" s="22">
        <v>0.5</v>
      </c>
      <c r="F1154" s="9">
        <v>1165</v>
      </c>
      <c r="G1154" s="22" t="s">
        <v>446</v>
      </c>
      <c r="H1154" s="22" t="s">
        <v>1195</v>
      </c>
      <c r="I1154" s="22">
        <v>89</v>
      </c>
      <c r="J1154" s="22">
        <v>14</v>
      </c>
      <c r="K1154" s="22">
        <v>9</v>
      </c>
      <c r="L1154" s="34" t="s">
        <v>1391</v>
      </c>
      <c r="M1154" s="12">
        <v>0</v>
      </c>
      <c r="N1154" s="22"/>
      <c r="O1154" s="22"/>
    </row>
    <row r="1155" spans="1:15">
      <c r="A1155" s="22" t="s">
        <v>1392</v>
      </c>
      <c r="B1155" s="22">
        <v>9</v>
      </c>
      <c r="C1155" s="22">
        <v>400</v>
      </c>
      <c r="D1155" s="22">
        <v>1</v>
      </c>
      <c r="E1155" s="22">
        <v>0.5</v>
      </c>
      <c r="F1155" s="9">
        <v>1166</v>
      </c>
      <c r="G1155" s="22" t="s">
        <v>446</v>
      </c>
      <c r="H1155" s="22" t="s">
        <v>1195</v>
      </c>
      <c r="I1155" s="22">
        <v>89</v>
      </c>
      <c r="J1155" s="22">
        <v>14</v>
      </c>
      <c r="K1155" s="22">
        <v>9</v>
      </c>
      <c r="L1155" s="34" t="e">
        <v>#N/A</v>
      </c>
      <c r="M1155" s="12">
        <v>0</v>
      </c>
      <c r="N1155" s="22" t="s">
        <v>183</v>
      </c>
      <c r="O1155" s="22"/>
    </row>
    <row r="1156" spans="1:15">
      <c r="A1156" s="22" t="s">
        <v>1393</v>
      </c>
      <c r="B1156" s="22">
        <v>9</v>
      </c>
      <c r="C1156" s="22">
        <v>400</v>
      </c>
      <c r="D1156" s="22">
        <v>1</v>
      </c>
      <c r="E1156" s="22">
        <v>0.5</v>
      </c>
      <c r="F1156" s="9">
        <v>1167</v>
      </c>
      <c r="G1156" s="22" t="s">
        <v>446</v>
      </c>
      <c r="H1156" s="22" t="s">
        <v>1195</v>
      </c>
      <c r="I1156" s="22">
        <v>89</v>
      </c>
      <c r="J1156" s="22">
        <v>14</v>
      </c>
      <c r="K1156" s="22">
        <v>9</v>
      </c>
      <c r="L1156" s="34" t="e">
        <v>#N/A</v>
      </c>
      <c r="M1156" s="12">
        <v>0</v>
      </c>
      <c r="N1156" s="22" t="s">
        <v>183</v>
      </c>
      <c r="O1156" s="22"/>
    </row>
    <row r="1157" spans="1:15">
      <c r="A1157" s="22" t="s">
        <v>1394</v>
      </c>
      <c r="B1157" s="22">
        <v>9</v>
      </c>
      <c r="C1157" s="22">
        <v>332</v>
      </c>
      <c r="D1157" s="22">
        <v>50</v>
      </c>
      <c r="E1157" s="22">
        <v>1.48</v>
      </c>
      <c r="F1157" s="9">
        <v>1168</v>
      </c>
      <c r="G1157" s="22" t="s">
        <v>372</v>
      </c>
      <c r="H1157" s="22" t="s">
        <v>898</v>
      </c>
      <c r="I1157" s="22">
        <v>145</v>
      </c>
      <c r="J1157" s="22">
        <v>29</v>
      </c>
      <c r="K1157" s="22">
        <v>16</v>
      </c>
      <c r="L1157" s="34" t="s">
        <v>405</v>
      </c>
      <c r="M1157" s="12">
        <v>8</v>
      </c>
      <c r="N1157" s="22"/>
      <c r="O1157" s="22"/>
    </row>
    <row r="1158" spans="1:15">
      <c r="A1158" s="22" t="s">
        <v>1395</v>
      </c>
      <c r="B1158" s="22">
        <v>9</v>
      </c>
      <c r="C1158" s="22">
        <v>329</v>
      </c>
      <c r="D1158" s="22">
        <v>50</v>
      </c>
      <c r="E1158" s="22">
        <v>1.48</v>
      </c>
      <c r="F1158" s="9">
        <v>1169</v>
      </c>
      <c r="G1158" s="22" t="s">
        <v>372</v>
      </c>
      <c r="H1158" s="22" t="s">
        <v>898</v>
      </c>
      <c r="I1158" s="22">
        <v>145</v>
      </c>
      <c r="J1158" s="22">
        <v>29</v>
      </c>
      <c r="K1158" s="22">
        <v>16</v>
      </c>
      <c r="L1158" s="34" t="s">
        <v>84</v>
      </c>
      <c r="M1158" s="12">
        <v>39</v>
      </c>
      <c r="N1158" s="22"/>
      <c r="O1158" s="22"/>
    </row>
    <row r="1159" spans="1:15">
      <c r="A1159" s="22" t="s">
        <v>1396</v>
      </c>
      <c r="B1159" s="22">
        <v>9</v>
      </c>
      <c r="C1159" s="22">
        <v>339</v>
      </c>
      <c r="D1159" s="22">
        <v>50</v>
      </c>
      <c r="E1159" s="22">
        <v>1.48</v>
      </c>
      <c r="F1159" s="9">
        <v>1170</v>
      </c>
      <c r="G1159" s="22" t="s">
        <v>372</v>
      </c>
      <c r="H1159" s="22" t="s">
        <v>898</v>
      </c>
      <c r="I1159" s="22">
        <v>145</v>
      </c>
      <c r="J1159" s="22">
        <v>29</v>
      </c>
      <c r="K1159" s="22">
        <v>16</v>
      </c>
      <c r="L1159" s="34" t="s">
        <v>86</v>
      </c>
      <c r="M1159" s="12">
        <v>15</v>
      </c>
      <c r="N1159" s="22"/>
      <c r="O1159" s="22"/>
    </row>
    <row r="1160" spans="1:15">
      <c r="A1160" s="22" t="s">
        <v>1397</v>
      </c>
      <c r="B1160" s="22">
        <v>9</v>
      </c>
      <c r="C1160" s="22">
        <v>364</v>
      </c>
      <c r="D1160" s="22">
        <v>50</v>
      </c>
      <c r="E1160" s="22">
        <v>1.48</v>
      </c>
      <c r="F1160" s="9">
        <v>1171</v>
      </c>
      <c r="G1160" s="22" t="s">
        <v>372</v>
      </c>
      <c r="H1160" s="22" t="s">
        <v>898</v>
      </c>
      <c r="I1160" s="22">
        <v>145</v>
      </c>
      <c r="J1160" s="22">
        <v>29</v>
      </c>
      <c r="K1160" s="22">
        <v>16</v>
      </c>
      <c r="L1160" s="34" t="s">
        <v>88</v>
      </c>
      <c r="M1160" s="12">
        <v>4</v>
      </c>
      <c r="N1160" s="22"/>
      <c r="O1160" s="22"/>
    </row>
    <row r="1161" spans="1:15">
      <c r="A1161" s="22" t="s">
        <v>1398</v>
      </c>
      <c r="B1161" s="22">
        <v>9</v>
      </c>
      <c r="C1161" s="22">
        <v>87</v>
      </c>
      <c r="D1161" s="22">
        <v>50</v>
      </c>
      <c r="E1161" s="22">
        <v>0.6</v>
      </c>
      <c r="F1161" s="9">
        <v>1172</v>
      </c>
      <c r="G1161" s="22" t="s">
        <v>16</v>
      </c>
      <c r="H1161" s="22" t="s">
        <v>997</v>
      </c>
      <c r="I1161" s="22">
        <v>122</v>
      </c>
      <c r="J1161" s="22">
        <v>15</v>
      </c>
      <c r="K1161" s="22">
        <v>10</v>
      </c>
      <c r="L1161" s="34" t="s">
        <v>309</v>
      </c>
      <c r="M1161" s="12">
        <v>278</v>
      </c>
      <c r="N1161" s="22"/>
      <c r="O1161" s="22"/>
    </row>
    <row r="1162" spans="1:15">
      <c r="A1162" s="22" t="s">
        <v>1399</v>
      </c>
      <c r="B1162" s="22">
        <v>9</v>
      </c>
      <c r="C1162" s="22">
        <v>84</v>
      </c>
      <c r="D1162" s="22">
        <v>50</v>
      </c>
      <c r="E1162" s="22">
        <v>0.6</v>
      </c>
      <c r="F1162" s="9">
        <v>1173</v>
      </c>
      <c r="G1162" s="22" t="s">
        <v>16</v>
      </c>
      <c r="H1162" s="22" t="s">
        <v>997</v>
      </c>
      <c r="I1162" s="22">
        <v>122</v>
      </c>
      <c r="J1162" s="22">
        <v>15</v>
      </c>
      <c r="K1162" s="22">
        <v>10</v>
      </c>
      <c r="L1162" s="34" t="s">
        <v>60</v>
      </c>
      <c r="M1162" s="12">
        <v>16</v>
      </c>
      <c r="N1162" s="22"/>
      <c r="O1162" s="22"/>
    </row>
    <row r="1163" spans="1:15">
      <c r="A1163" s="22" t="s">
        <v>1400</v>
      </c>
      <c r="B1163" s="22">
        <v>9</v>
      </c>
      <c r="C1163" s="22">
        <v>340</v>
      </c>
      <c r="D1163" s="22">
        <v>50</v>
      </c>
      <c r="E1163" s="22">
        <v>1.48</v>
      </c>
      <c r="F1163" s="9">
        <v>1174</v>
      </c>
      <c r="G1163" s="22" t="s">
        <v>372</v>
      </c>
      <c r="H1163" s="22" t="s">
        <v>898</v>
      </c>
      <c r="I1163" s="22">
        <v>145</v>
      </c>
      <c r="J1163" s="22">
        <v>29</v>
      </c>
      <c r="K1163" s="22">
        <v>16</v>
      </c>
      <c r="L1163" s="34" t="e">
        <v>#N/A</v>
      </c>
      <c r="M1163" s="12">
        <v>7</v>
      </c>
      <c r="N1163" s="22"/>
      <c r="O1163" s="22" t="s">
        <v>183</v>
      </c>
    </row>
    <row r="1164" spans="1:15">
      <c r="A1164" s="22" t="s">
        <v>1401</v>
      </c>
      <c r="B1164" s="22">
        <v>9</v>
      </c>
      <c r="C1164" s="22">
        <v>340</v>
      </c>
      <c r="D1164" s="22">
        <v>50</v>
      </c>
      <c r="E1164" s="22">
        <v>1.48</v>
      </c>
      <c r="F1164" s="9">
        <v>1175</v>
      </c>
      <c r="G1164" s="22" t="s">
        <v>372</v>
      </c>
      <c r="H1164" s="22" t="s">
        <v>898</v>
      </c>
      <c r="I1164" s="22">
        <v>145</v>
      </c>
      <c r="J1164" s="22">
        <v>29</v>
      </c>
      <c r="K1164" s="22">
        <v>16</v>
      </c>
      <c r="L1164" s="34" t="e">
        <v>#N/A</v>
      </c>
      <c r="M1164" s="12">
        <v>0</v>
      </c>
      <c r="N1164" s="22"/>
      <c r="O1164" s="22" t="s">
        <v>183</v>
      </c>
    </row>
    <row r="1165" spans="1:15">
      <c r="A1165" s="22" t="s">
        <v>1402</v>
      </c>
      <c r="B1165" s="22">
        <v>9</v>
      </c>
      <c r="C1165" s="22">
        <v>340</v>
      </c>
      <c r="D1165" s="22">
        <v>50</v>
      </c>
      <c r="E1165" s="22">
        <v>1.48</v>
      </c>
      <c r="F1165" s="9">
        <v>1176</v>
      </c>
      <c r="G1165" s="22" t="s">
        <v>372</v>
      </c>
      <c r="H1165" s="22" t="s">
        <v>898</v>
      </c>
      <c r="I1165" s="22">
        <v>145</v>
      </c>
      <c r="J1165" s="22">
        <v>29</v>
      </c>
      <c r="K1165" s="22">
        <v>16</v>
      </c>
      <c r="L1165" s="34" t="e">
        <v>#N/A</v>
      </c>
      <c r="M1165" s="12">
        <v>38</v>
      </c>
      <c r="N1165" s="22"/>
      <c r="O1165" s="22" t="s">
        <v>183</v>
      </c>
    </row>
    <row r="1166" spans="1:15">
      <c r="A1166" s="22" t="s">
        <v>1403</v>
      </c>
      <c r="B1166" s="22">
        <v>9</v>
      </c>
      <c r="C1166" s="22">
        <v>340</v>
      </c>
      <c r="D1166" s="22">
        <v>50</v>
      </c>
      <c r="E1166" s="22">
        <v>1.48</v>
      </c>
      <c r="F1166" s="9">
        <v>1177</v>
      </c>
      <c r="G1166" s="22" t="s">
        <v>372</v>
      </c>
      <c r="H1166" s="22" t="s">
        <v>898</v>
      </c>
      <c r="I1166" s="22">
        <v>145</v>
      </c>
      <c r="J1166" s="22">
        <v>29</v>
      </c>
      <c r="K1166" s="22">
        <v>16</v>
      </c>
      <c r="L1166" s="34" t="e">
        <v>#N/A</v>
      </c>
      <c r="M1166" s="12">
        <v>1</v>
      </c>
      <c r="N1166" s="22"/>
      <c r="O1166" s="22" t="s">
        <v>183</v>
      </c>
    </row>
    <row r="1167" spans="1:15">
      <c r="A1167" s="22" t="s">
        <v>1404</v>
      </c>
      <c r="B1167" s="22">
        <v>9</v>
      </c>
      <c r="C1167" s="22">
        <v>340</v>
      </c>
      <c r="D1167" s="22">
        <v>50</v>
      </c>
      <c r="E1167" s="22">
        <v>1.48</v>
      </c>
      <c r="F1167" s="9">
        <v>1178</v>
      </c>
      <c r="G1167" s="22" t="s">
        <v>372</v>
      </c>
      <c r="H1167" s="22" t="s">
        <v>898</v>
      </c>
      <c r="I1167" s="22">
        <v>145</v>
      </c>
      <c r="J1167" s="22">
        <v>29</v>
      </c>
      <c r="K1167" s="22">
        <v>16</v>
      </c>
      <c r="L1167" s="34" t="e">
        <v>#N/A</v>
      </c>
      <c r="M1167" s="12">
        <v>8</v>
      </c>
      <c r="N1167" s="22"/>
      <c r="O1167" s="22" t="s">
        <v>183</v>
      </c>
    </row>
    <row r="1168" spans="1:15">
      <c r="A1168" s="22" t="s">
        <v>1405</v>
      </c>
      <c r="B1168" s="22">
        <v>9</v>
      </c>
      <c r="C1168" s="22">
        <v>340</v>
      </c>
      <c r="D1168" s="22">
        <v>50</v>
      </c>
      <c r="E1168" s="22">
        <v>1.48</v>
      </c>
      <c r="F1168" s="9">
        <v>1179</v>
      </c>
      <c r="G1168" s="22" t="s">
        <v>372</v>
      </c>
      <c r="H1168" s="22" t="s">
        <v>898</v>
      </c>
      <c r="I1168" s="22">
        <v>145</v>
      </c>
      <c r="J1168" s="22">
        <v>29</v>
      </c>
      <c r="K1168" s="22">
        <v>16</v>
      </c>
      <c r="L1168" s="34" t="e">
        <v>#N/A</v>
      </c>
      <c r="M1168" s="12">
        <v>0</v>
      </c>
      <c r="N1168" s="22"/>
      <c r="O1168" s="22" t="s">
        <v>183</v>
      </c>
    </row>
    <row r="1169" spans="1:15">
      <c r="A1169" s="22" t="s">
        <v>1406</v>
      </c>
      <c r="B1169" s="22">
        <v>9</v>
      </c>
      <c r="C1169" s="22">
        <v>340</v>
      </c>
      <c r="D1169" s="22">
        <v>50</v>
      </c>
      <c r="E1169" s="22">
        <v>1.48</v>
      </c>
      <c r="F1169" s="9">
        <v>1180</v>
      </c>
      <c r="G1169" s="22" t="s">
        <v>372</v>
      </c>
      <c r="H1169" s="22" t="s">
        <v>898</v>
      </c>
      <c r="I1169" s="22">
        <v>145</v>
      </c>
      <c r="J1169" s="22">
        <v>29</v>
      </c>
      <c r="K1169" s="22">
        <v>16</v>
      </c>
      <c r="L1169" s="34" t="e">
        <v>#N/A</v>
      </c>
      <c r="M1169" s="12">
        <v>5</v>
      </c>
      <c r="N1169" s="22"/>
      <c r="O1169" s="22" t="s">
        <v>183</v>
      </c>
    </row>
    <row r="1170" spans="1:15">
      <c r="A1170" s="22" t="s">
        <v>1407</v>
      </c>
      <c r="B1170" s="22">
        <v>9</v>
      </c>
      <c r="C1170" s="22">
        <v>340</v>
      </c>
      <c r="D1170" s="22">
        <v>50</v>
      </c>
      <c r="E1170" s="22">
        <v>1.48</v>
      </c>
      <c r="F1170" s="9">
        <v>1181</v>
      </c>
      <c r="G1170" s="22" t="s">
        <v>372</v>
      </c>
      <c r="H1170" s="22" t="s">
        <v>898</v>
      </c>
      <c r="I1170" s="22">
        <v>145</v>
      </c>
      <c r="J1170" s="22">
        <v>29</v>
      </c>
      <c r="K1170" s="22">
        <v>16</v>
      </c>
      <c r="L1170" s="34" t="e">
        <v>#N/A</v>
      </c>
      <c r="M1170" s="12">
        <v>6</v>
      </c>
      <c r="N1170" s="22"/>
      <c r="O1170" s="22" t="s">
        <v>183</v>
      </c>
    </row>
    <row r="1171" spans="1:15">
      <c r="A1171" s="22" t="s">
        <v>1408</v>
      </c>
      <c r="B1171" s="22">
        <v>9</v>
      </c>
      <c r="C1171" s="22">
        <v>340</v>
      </c>
      <c r="D1171" s="22">
        <v>50</v>
      </c>
      <c r="E1171" s="22">
        <v>1.48</v>
      </c>
      <c r="F1171" s="9">
        <v>1182</v>
      </c>
      <c r="G1171" s="22" t="s">
        <v>372</v>
      </c>
      <c r="H1171" s="22" t="s">
        <v>898</v>
      </c>
      <c r="I1171" s="22">
        <v>145</v>
      </c>
      <c r="J1171" s="22">
        <v>29</v>
      </c>
      <c r="K1171" s="22">
        <v>16</v>
      </c>
      <c r="L1171" s="34" t="e">
        <v>#N/A</v>
      </c>
      <c r="M1171" s="12">
        <v>1</v>
      </c>
      <c r="N1171" s="22"/>
      <c r="O1171" s="22" t="s">
        <v>183</v>
      </c>
    </row>
    <row r="1172" spans="1:15">
      <c r="A1172" s="22" t="s">
        <v>1409</v>
      </c>
      <c r="B1172" s="22">
        <v>9</v>
      </c>
      <c r="C1172" s="22">
        <v>340</v>
      </c>
      <c r="D1172" s="22">
        <v>50</v>
      </c>
      <c r="E1172" s="22">
        <v>1.48</v>
      </c>
      <c r="F1172" s="9">
        <v>1183</v>
      </c>
      <c r="G1172" s="22" t="s">
        <v>372</v>
      </c>
      <c r="H1172" s="22" t="s">
        <v>898</v>
      </c>
      <c r="I1172" s="22">
        <v>145</v>
      </c>
      <c r="J1172" s="22">
        <v>29</v>
      </c>
      <c r="K1172" s="22">
        <v>16</v>
      </c>
      <c r="L1172" s="34" t="e">
        <v>#N/A</v>
      </c>
      <c r="M1172" s="12">
        <v>4</v>
      </c>
      <c r="N1172" s="22"/>
      <c r="O1172" s="22" t="s">
        <v>183</v>
      </c>
    </row>
    <row r="1173" spans="1:15">
      <c r="A1173" s="22" t="s">
        <v>1410</v>
      </c>
      <c r="B1173" s="22">
        <v>9</v>
      </c>
      <c r="C1173" s="22">
        <v>340</v>
      </c>
      <c r="D1173" s="22">
        <v>50</v>
      </c>
      <c r="E1173" s="22">
        <v>1.48</v>
      </c>
      <c r="F1173" s="9">
        <v>1184</v>
      </c>
      <c r="G1173" s="22" t="s">
        <v>372</v>
      </c>
      <c r="H1173" s="22" t="s">
        <v>898</v>
      </c>
      <c r="I1173" s="22">
        <v>145</v>
      </c>
      <c r="J1173" s="22">
        <v>29</v>
      </c>
      <c r="K1173" s="22">
        <v>16</v>
      </c>
      <c r="L1173" s="34" t="e">
        <v>#N/A</v>
      </c>
      <c r="M1173" s="12">
        <v>3</v>
      </c>
      <c r="N1173" s="22"/>
      <c r="O1173" s="22" t="s">
        <v>183</v>
      </c>
    </row>
    <row r="1174" spans="1:15">
      <c r="A1174" s="22" t="s">
        <v>1411</v>
      </c>
      <c r="B1174" s="22">
        <v>9</v>
      </c>
      <c r="C1174" s="22">
        <v>340</v>
      </c>
      <c r="D1174" s="22">
        <v>50</v>
      </c>
      <c r="E1174" s="22">
        <v>1.48</v>
      </c>
      <c r="F1174" s="9">
        <v>1185</v>
      </c>
      <c r="G1174" s="22" t="s">
        <v>372</v>
      </c>
      <c r="H1174" s="22" t="s">
        <v>898</v>
      </c>
      <c r="I1174" s="22">
        <v>145</v>
      </c>
      <c r="J1174" s="22">
        <v>29</v>
      </c>
      <c r="K1174" s="22">
        <v>16</v>
      </c>
      <c r="L1174" s="34" t="e">
        <v>#N/A</v>
      </c>
      <c r="M1174" s="12">
        <v>0</v>
      </c>
      <c r="N1174" s="22"/>
      <c r="O1174" s="22" t="s">
        <v>183</v>
      </c>
    </row>
    <row r="1175" spans="1:15">
      <c r="A1175" s="22" t="s">
        <v>1412</v>
      </c>
      <c r="B1175" s="22">
        <v>9</v>
      </c>
      <c r="C1175" s="22">
        <v>340</v>
      </c>
      <c r="D1175" s="22">
        <v>50</v>
      </c>
      <c r="E1175" s="22">
        <v>1.48</v>
      </c>
      <c r="F1175" s="9">
        <v>1186</v>
      </c>
      <c r="G1175" s="22" t="s">
        <v>372</v>
      </c>
      <c r="H1175" s="22" t="s">
        <v>898</v>
      </c>
      <c r="I1175" s="22">
        <v>145</v>
      </c>
      <c r="J1175" s="22">
        <v>29</v>
      </c>
      <c r="K1175" s="22">
        <v>16</v>
      </c>
      <c r="L1175" s="34" t="e">
        <v>#N/A</v>
      </c>
      <c r="M1175" s="12">
        <v>3</v>
      </c>
      <c r="N1175" s="22"/>
      <c r="O1175" s="22" t="s">
        <v>183</v>
      </c>
    </row>
    <row r="1176" spans="1:15">
      <c r="A1176" s="22" t="s">
        <v>1413</v>
      </c>
      <c r="B1176" s="22">
        <v>9</v>
      </c>
      <c r="C1176" s="22">
        <v>340</v>
      </c>
      <c r="D1176" s="22">
        <v>50</v>
      </c>
      <c r="E1176" s="22">
        <v>1.48</v>
      </c>
      <c r="F1176" s="9">
        <v>1187</v>
      </c>
      <c r="G1176" s="22" t="s">
        <v>372</v>
      </c>
      <c r="H1176" s="22" t="s">
        <v>898</v>
      </c>
      <c r="I1176" s="22">
        <v>145</v>
      </c>
      <c r="J1176" s="22">
        <v>29</v>
      </c>
      <c r="K1176" s="22">
        <v>16</v>
      </c>
      <c r="L1176" s="34" t="e">
        <v>#N/A</v>
      </c>
      <c r="M1176" s="12">
        <v>4</v>
      </c>
      <c r="N1176" s="22"/>
      <c r="O1176" s="22" t="s">
        <v>183</v>
      </c>
    </row>
    <row r="1177" spans="1:15">
      <c r="A1177" s="22" t="s">
        <v>1414</v>
      </c>
      <c r="B1177" s="22">
        <v>9</v>
      </c>
      <c r="C1177" s="22">
        <v>340</v>
      </c>
      <c r="D1177" s="22">
        <v>50</v>
      </c>
      <c r="E1177" s="22">
        <v>1.48</v>
      </c>
      <c r="F1177" s="9">
        <v>1188</v>
      </c>
      <c r="G1177" s="22" t="s">
        <v>372</v>
      </c>
      <c r="H1177" s="22" t="s">
        <v>898</v>
      </c>
      <c r="I1177" s="22">
        <v>145</v>
      </c>
      <c r="J1177" s="22">
        <v>29</v>
      </c>
      <c r="K1177" s="22">
        <v>16</v>
      </c>
      <c r="L1177" s="34" t="e">
        <v>#N/A</v>
      </c>
      <c r="M1177" s="12">
        <v>6</v>
      </c>
      <c r="N1177" s="22"/>
      <c r="O1177" s="22" t="s">
        <v>183</v>
      </c>
    </row>
    <row r="1178" spans="1:15">
      <c r="A1178" s="22" t="s">
        <v>1415</v>
      </c>
      <c r="B1178" s="22">
        <v>9</v>
      </c>
      <c r="C1178" s="22">
        <v>340</v>
      </c>
      <c r="D1178" s="22">
        <v>50</v>
      </c>
      <c r="E1178" s="22">
        <v>1.48</v>
      </c>
      <c r="F1178" s="9">
        <v>1189</v>
      </c>
      <c r="G1178" s="22" t="s">
        <v>372</v>
      </c>
      <c r="H1178" s="22" t="s">
        <v>898</v>
      </c>
      <c r="I1178" s="22">
        <v>145</v>
      </c>
      <c r="J1178" s="22">
        <v>29</v>
      </c>
      <c r="K1178" s="22">
        <v>16</v>
      </c>
      <c r="L1178" s="34" t="e">
        <v>#N/A</v>
      </c>
      <c r="M1178" s="12">
        <v>12</v>
      </c>
      <c r="N1178" s="22"/>
      <c r="O1178" s="22" t="s">
        <v>183</v>
      </c>
    </row>
    <row r="1179" spans="1:15">
      <c r="A1179" s="22" t="s">
        <v>1416</v>
      </c>
      <c r="B1179" s="22">
        <v>9</v>
      </c>
      <c r="C1179" s="22">
        <v>84</v>
      </c>
      <c r="D1179" s="22">
        <v>50</v>
      </c>
      <c r="E1179" s="22">
        <v>0.6</v>
      </c>
      <c r="F1179" s="9">
        <v>1190</v>
      </c>
      <c r="G1179" s="22" t="s">
        <v>1296</v>
      </c>
      <c r="H1179" s="22" t="s">
        <v>997</v>
      </c>
      <c r="I1179" s="22">
        <v>122</v>
      </c>
      <c r="J1179" s="22">
        <v>15</v>
      </c>
      <c r="K1179" s="22">
        <v>10</v>
      </c>
      <c r="L1179" s="34" t="e">
        <v>#N/A</v>
      </c>
      <c r="M1179" s="12">
        <v>0</v>
      </c>
      <c r="N1179" s="22"/>
      <c r="O1179" s="22" t="s">
        <v>183</v>
      </c>
    </row>
    <row r="1180" spans="1:15">
      <c r="A1180" s="22" t="s">
        <v>1417</v>
      </c>
      <c r="B1180" s="22">
        <v>9</v>
      </c>
      <c r="C1180" s="22">
        <v>84</v>
      </c>
      <c r="D1180" s="22">
        <v>50</v>
      </c>
      <c r="E1180" s="22">
        <v>0.6</v>
      </c>
      <c r="F1180" s="9">
        <v>1191</v>
      </c>
      <c r="G1180" s="22" t="s">
        <v>1296</v>
      </c>
      <c r="H1180" s="22" t="s">
        <v>997</v>
      </c>
      <c r="I1180" s="22">
        <v>122</v>
      </c>
      <c r="J1180" s="22">
        <v>15</v>
      </c>
      <c r="K1180" s="22">
        <v>10</v>
      </c>
      <c r="L1180" s="34" t="e">
        <v>#N/A</v>
      </c>
      <c r="M1180" s="12">
        <v>0</v>
      </c>
      <c r="N1180" s="22"/>
      <c r="O1180" s="22" t="s">
        <v>183</v>
      </c>
    </row>
    <row r="1181" spans="1:15">
      <c r="A1181" s="36" t="s">
        <v>1418</v>
      </c>
      <c r="B1181" s="8">
        <v>9</v>
      </c>
      <c r="C1181" s="8">
        <v>68</v>
      </c>
      <c r="D1181" s="8">
        <v>50</v>
      </c>
      <c r="E1181" s="8">
        <v>0.6</v>
      </c>
      <c r="F1181" s="9">
        <v>1192</v>
      </c>
      <c r="G1181" s="22" t="s">
        <v>1296</v>
      </c>
      <c r="H1181" s="22" t="s">
        <v>17</v>
      </c>
      <c r="I1181" s="22">
        <v>122</v>
      </c>
      <c r="J1181" s="22">
        <v>15</v>
      </c>
      <c r="K1181" s="22">
        <v>10</v>
      </c>
      <c r="L1181" s="34" t="e">
        <v>#N/A</v>
      </c>
      <c r="M1181" s="12">
        <v>0</v>
      </c>
      <c r="N1181" s="13"/>
      <c r="O1181" s="13" t="s">
        <v>18</v>
      </c>
    </row>
    <row r="1182" spans="1:15">
      <c r="A1182" s="36" t="s">
        <v>1419</v>
      </c>
      <c r="B1182" s="8">
        <v>9</v>
      </c>
      <c r="C1182" s="8">
        <v>68</v>
      </c>
      <c r="D1182" s="8">
        <v>50</v>
      </c>
      <c r="E1182" s="8">
        <v>0.6</v>
      </c>
      <c r="F1182" s="9">
        <v>1193</v>
      </c>
      <c r="G1182" s="22" t="s">
        <v>1296</v>
      </c>
      <c r="H1182" s="22" t="s">
        <v>17</v>
      </c>
      <c r="I1182" s="22">
        <v>122</v>
      </c>
      <c r="J1182" s="22">
        <v>15</v>
      </c>
      <c r="K1182" s="22">
        <v>10</v>
      </c>
      <c r="L1182" s="34" t="e">
        <v>#N/A</v>
      </c>
      <c r="M1182" s="12">
        <v>0</v>
      </c>
      <c r="N1182" s="13"/>
      <c r="O1182" s="13" t="s">
        <v>18</v>
      </c>
    </row>
    <row r="1183" spans="1:15">
      <c r="A1183" s="36" t="s">
        <v>1420</v>
      </c>
      <c r="B1183" s="8">
        <v>9</v>
      </c>
      <c r="C1183" s="8">
        <v>72</v>
      </c>
      <c r="D1183" s="8">
        <v>50</v>
      </c>
      <c r="E1183" s="8">
        <v>0.6</v>
      </c>
      <c r="F1183" s="9">
        <v>1194</v>
      </c>
      <c r="G1183" s="22" t="s">
        <v>1296</v>
      </c>
      <c r="H1183" s="22" t="s">
        <v>17</v>
      </c>
      <c r="I1183" s="22">
        <v>122</v>
      </c>
      <c r="J1183" s="22">
        <v>15</v>
      </c>
      <c r="K1183" s="22">
        <v>10</v>
      </c>
      <c r="L1183" s="34" t="e">
        <v>#N/A</v>
      </c>
      <c r="M1183" s="12">
        <v>135</v>
      </c>
      <c r="N1183" s="13"/>
      <c r="O1183" s="13" t="s">
        <v>18</v>
      </c>
    </row>
    <row r="1184" spans="1:15">
      <c r="A1184" s="36" t="s">
        <v>1421</v>
      </c>
      <c r="B1184" s="8">
        <v>9</v>
      </c>
      <c r="C1184" s="8">
        <v>347</v>
      </c>
      <c r="D1184" s="8">
        <v>50</v>
      </c>
      <c r="E1184" s="8">
        <v>1.6</v>
      </c>
      <c r="F1184" s="9">
        <v>1195</v>
      </c>
      <c r="G1184" s="22" t="s">
        <v>372</v>
      </c>
      <c r="H1184" s="22" t="s">
        <v>73</v>
      </c>
      <c r="I1184" s="22">
        <v>183</v>
      </c>
      <c r="J1184" s="22">
        <v>29</v>
      </c>
      <c r="K1184" s="22">
        <v>16</v>
      </c>
      <c r="L1184" s="34" t="s">
        <v>1126</v>
      </c>
      <c r="M1184" s="12">
        <v>0</v>
      </c>
      <c r="N1184" s="13"/>
      <c r="O1184" s="13"/>
    </row>
    <row r="1185" spans="1:15">
      <c r="A1185" s="36" t="s">
        <v>1422</v>
      </c>
      <c r="B1185" s="8">
        <v>9</v>
      </c>
      <c r="C1185" s="8">
        <v>321</v>
      </c>
      <c r="D1185" s="8">
        <v>50</v>
      </c>
      <c r="E1185" s="8">
        <v>1.48</v>
      </c>
      <c r="F1185" s="9">
        <v>1196</v>
      </c>
      <c r="G1185" s="22" t="s">
        <v>372</v>
      </c>
      <c r="H1185" s="22" t="s">
        <v>898</v>
      </c>
      <c r="I1185" s="22">
        <v>145</v>
      </c>
      <c r="J1185" s="22">
        <v>29</v>
      </c>
      <c r="K1185" s="22">
        <v>16</v>
      </c>
      <c r="L1185" s="34" t="s">
        <v>833</v>
      </c>
      <c r="M1185" s="12">
        <v>71</v>
      </c>
      <c r="N1185" s="13"/>
      <c r="O1185" s="13"/>
    </row>
    <row r="1186" spans="1:15">
      <c r="A1186" s="36" t="s">
        <v>1423</v>
      </c>
      <c r="B1186" s="8">
        <v>9</v>
      </c>
      <c r="C1186" s="8">
        <v>260</v>
      </c>
      <c r="D1186" s="8">
        <v>8</v>
      </c>
      <c r="E1186" s="8">
        <v>0.2</v>
      </c>
      <c r="F1186" s="9">
        <v>1197</v>
      </c>
      <c r="G1186" s="22" t="s">
        <v>1424</v>
      </c>
      <c r="H1186" s="22" t="s">
        <v>81</v>
      </c>
      <c r="I1186" s="22">
        <v>45</v>
      </c>
      <c r="J1186" s="22">
        <v>26</v>
      </c>
      <c r="K1186" s="22">
        <v>8</v>
      </c>
      <c r="L1186" s="34" t="e">
        <v>#N/A</v>
      </c>
      <c r="M1186" s="12">
        <v>0</v>
      </c>
      <c r="N1186" s="13"/>
      <c r="O1186" s="13"/>
    </row>
    <row r="1187" spans="1:15">
      <c r="A1187" s="36" t="s">
        <v>1425</v>
      </c>
      <c r="B1187" s="8">
        <v>9</v>
      </c>
      <c r="C1187" s="8">
        <v>220</v>
      </c>
      <c r="D1187" s="8">
        <v>8</v>
      </c>
      <c r="E1187" s="8">
        <v>0.2</v>
      </c>
      <c r="F1187" s="9">
        <v>1198</v>
      </c>
      <c r="G1187" s="22" t="s">
        <v>1424</v>
      </c>
      <c r="H1187" s="22" t="s">
        <v>81</v>
      </c>
      <c r="I1187" s="22">
        <v>45</v>
      </c>
      <c r="J1187" s="22">
        <v>26</v>
      </c>
      <c r="K1187" s="22">
        <v>8</v>
      </c>
      <c r="L1187" s="34" t="e">
        <v>#N/A</v>
      </c>
      <c r="M1187" s="12">
        <v>0</v>
      </c>
      <c r="N1187" s="13"/>
      <c r="O1187" s="13"/>
    </row>
    <row r="1188" spans="1:15">
      <c r="A1188" s="36" t="s">
        <v>1426</v>
      </c>
      <c r="B1188" s="8">
        <v>9</v>
      </c>
      <c r="C1188" s="8">
        <v>80</v>
      </c>
      <c r="D1188" s="8">
        <v>50</v>
      </c>
      <c r="E1188" s="8">
        <v>0.6</v>
      </c>
      <c r="F1188" s="9">
        <v>1199</v>
      </c>
      <c r="G1188" s="22" t="s">
        <v>16</v>
      </c>
      <c r="H1188" s="22" t="s">
        <v>997</v>
      </c>
      <c r="I1188" s="22">
        <v>122</v>
      </c>
      <c r="J1188" s="22">
        <v>15</v>
      </c>
      <c r="K1188" s="22">
        <v>10</v>
      </c>
      <c r="L1188" s="34" t="e">
        <v>#N/A</v>
      </c>
      <c r="M1188" s="12">
        <v>0</v>
      </c>
      <c r="N1188" s="13" t="s">
        <v>183</v>
      </c>
      <c r="O1188" s="13"/>
    </row>
    <row r="1189" spans="1:15">
      <c r="A1189" s="36" t="s">
        <v>1427</v>
      </c>
      <c r="B1189" s="8">
        <v>9</v>
      </c>
      <c r="C1189" s="8">
        <v>61</v>
      </c>
      <c r="D1189" s="8">
        <v>54</v>
      </c>
      <c r="E1189" s="8">
        <v>0.64</v>
      </c>
      <c r="F1189" s="9">
        <v>1200</v>
      </c>
      <c r="G1189" s="22" t="s">
        <v>16</v>
      </c>
      <c r="H1189" s="22" t="s">
        <v>1428</v>
      </c>
      <c r="I1189" s="22">
        <v>130</v>
      </c>
      <c r="J1189" s="22">
        <v>15</v>
      </c>
      <c r="K1189" s="22">
        <v>10</v>
      </c>
      <c r="L1189" s="34" t="s">
        <v>115</v>
      </c>
      <c r="M1189" s="12">
        <v>0</v>
      </c>
      <c r="N1189" s="13"/>
      <c r="O1189" s="13"/>
    </row>
    <row r="1190" spans="1:15">
      <c r="A1190" s="36" t="s">
        <v>1429</v>
      </c>
      <c r="B1190" s="8">
        <v>9</v>
      </c>
      <c r="C1190" s="8">
        <v>80</v>
      </c>
      <c r="D1190" s="8">
        <v>50</v>
      </c>
      <c r="E1190" s="8">
        <v>0.6</v>
      </c>
      <c r="F1190" s="9">
        <v>1201</v>
      </c>
      <c r="G1190" s="22" t="s">
        <v>16</v>
      </c>
      <c r="H1190" s="22" t="s">
        <v>997</v>
      </c>
      <c r="I1190" s="22">
        <v>122</v>
      </c>
      <c r="J1190" s="22">
        <v>15</v>
      </c>
      <c r="K1190" s="22">
        <v>10</v>
      </c>
      <c r="L1190" s="34" t="e">
        <v>#N/A</v>
      </c>
      <c r="M1190" s="12">
        <v>0</v>
      </c>
      <c r="N1190" s="13" t="s">
        <v>183</v>
      </c>
      <c r="O1190" s="13"/>
    </row>
    <row r="1191" spans="1:15">
      <c r="A1191" s="36" t="s">
        <v>1430</v>
      </c>
      <c r="B1191" s="8">
        <v>9</v>
      </c>
      <c r="C1191" s="8">
        <v>80</v>
      </c>
      <c r="D1191" s="8">
        <v>50</v>
      </c>
      <c r="E1191" s="8">
        <v>0.6</v>
      </c>
      <c r="F1191" s="9">
        <v>1202</v>
      </c>
      <c r="G1191" s="22" t="s">
        <v>16</v>
      </c>
      <c r="H1191" s="22" t="s">
        <v>997</v>
      </c>
      <c r="I1191" s="22">
        <v>122</v>
      </c>
      <c r="J1191" s="22">
        <v>15</v>
      </c>
      <c r="K1191" s="22">
        <v>10</v>
      </c>
      <c r="L1191" s="34" t="e">
        <v>#N/A</v>
      </c>
      <c r="M1191" s="12">
        <v>296</v>
      </c>
      <c r="N1191" s="13" t="s">
        <v>183</v>
      </c>
      <c r="O1191" s="13"/>
    </row>
    <row r="1192" spans="1:15">
      <c r="A1192" s="36" t="s">
        <v>1431</v>
      </c>
      <c r="B1192" s="8">
        <v>9</v>
      </c>
      <c r="C1192" s="8">
        <v>340</v>
      </c>
      <c r="D1192" s="8">
        <v>50</v>
      </c>
      <c r="E1192" s="8">
        <v>1.48</v>
      </c>
      <c r="F1192" s="9">
        <v>1203</v>
      </c>
      <c r="G1192" s="22" t="s">
        <v>372</v>
      </c>
      <c r="H1192" s="22" t="s">
        <v>898</v>
      </c>
      <c r="I1192" s="22">
        <v>145</v>
      </c>
      <c r="J1192" s="22">
        <v>29</v>
      </c>
      <c r="K1192" s="22">
        <v>16</v>
      </c>
      <c r="L1192" s="34" t="e">
        <v>#N/A</v>
      </c>
      <c r="M1192" s="12">
        <v>5</v>
      </c>
      <c r="N1192" s="13" t="s">
        <v>183</v>
      </c>
      <c r="O1192" s="13"/>
    </row>
    <row r="1193" spans="1:15">
      <c r="A1193" s="36" t="s">
        <v>1432</v>
      </c>
      <c r="B1193" s="8">
        <v>9</v>
      </c>
      <c r="C1193" s="8">
        <v>86</v>
      </c>
      <c r="D1193" s="8">
        <v>50</v>
      </c>
      <c r="E1193" s="8">
        <v>0.6</v>
      </c>
      <c r="F1193" s="9">
        <v>1204</v>
      </c>
      <c r="G1193" s="22" t="s">
        <v>16</v>
      </c>
      <c r="H1193" s="22" t="s">
        <v>997</v>
      </c>
      <c r="I1193" s="22">
        <v>122</v>
      </c>
      <c r="J1193" s="22">
        <v>15</v>
      </c>
      <c r="K1193" s="22">
        <v>10</v>
      </c>
      <c r="L1193" s="34" t="s">
        <v>220</v>
      </c>
      <c r="M1193" s="12">
        <v>0</v>
      </c>
      <c r="N1193" s="13"/>
      <c r="O1193" s="13"/>
    </row>
    <row r="1194" spans="1:15">
      <c r="A1194" s="36" t="s">
        <v>1433</v>
      </c>
      <c r="B1194" s="8">
        <v>9</v>
      </c>
      <c r="C1194" s="8">
        <v>155</v>
      </c>
      <c r="D1194" s="8">
        <v>6</v>
      </c>
      <c r="E1194" s="8">
        <v>0.2</v>
      </c>
      <c r="F1194" s="9">
        <v>1205</v>
      </c>
      <c r="G1194" s="22" t="s">
        <v>902</v>
      </c>
      <c r="H1194" s="22" t="s">
        <v>630</v>
      </c>
      <c r="I1194" s="22">
        <v>45</v>
      </c>
      <c r="J1194" s="22">
        <v>26</v>
      </c>
      <c r="K1194" s="22">
        <v>8</v>
      </c>
      <c r="L1194" s="34" t="s">
        <v>631</v>
      </c>
      <c r="M1194" s="12">
        <v>6</v>
      </c>
      <c r="N1194" s="13"/>
      <c r="O1194" s="13"/>
    </row>
    <row r="1195" spans="1:15">
      <c r="A1195" s="36" t="s">
        <v>1434</v>
      </c>
      <c r="B1195" s="8">
        <v>9</v>
      </c>
      <c r="C1195" s="8">
        <v>155</v>
      </c>
      <c r="D1195" s="8">
        <v>6</v>
      </c>
      <c r="E1195" s="8">
        <v>0.2</v>
      </c>
      <c r="F1195" s="9">
        <v>1206</v>
      </c>
      <c r="G1195" s="22" t="s">
        <v>902</v>
      </c>
      <c r="H1195" s="22" t="s">
        <v>630</v>
      </c>
      <c r="I1195" s="22">
        <v>45</v>
      </c>
      <c r="J1195" s="22">
        <v>26</v>
      </c>
      <c r="K1195" s="22">
        <v>8</v>
      </c>
      <c r="L1195" s="34" t="s">
        <v>631</v>
      </c>
      <c r="M1195" s="12">
        <v>22</v>
      </c>
      <c r="N1195" s="13"/>
      <c r="O1195" s="13"/>
    </row>
    <row r="1196" spans="1:15">
      <c r="A1196" s="36" t="s">
        <v>1435</v>
      </c>
      <c r="B1196" s="8">
        <v>9</v>
      </c>
      <c r="C1196" s="8">
        <v>155</v>
      </c>
      <c r="D1196" s="8">
        <v>6</v>
      </c>
      <c r="E1196" s="8">
        <v>0.2</v>
      </c>
      <c r="F1196" s="9">
        <v>1207</v>
      </c>
      <c r="G1196" s="22" t="s">
        <v>902</v>
      </c>
      <c r="H1196" s="22" t="s">
        <v>630</v>
      </c>
      <c r="I1196" s="22">
        <v>45</v>
      </c>
      <c r="J1196" s="22">
        <v>26</v>
      </c>
      <c r="K1196" s="22">
        <v>8</v>
      </c>
      <c r="L1196" s="34" t="s">
        <v>631</v>
      </c>
      <c r="M1196" s="12">
        <v>2</v>
      </c>
      <c r="N1196" s="13"/>
      <c r="O1196" s="13"/>
    </row>
    <row r="1197" spans="1:15">
      <c r="A1197" s="36" t="s">
        <v>1436</v>
      </c>
      <c r="B1197" s="8">
        <v>9</v>
      </c>
      <c r="C1197" s="8">
        <v>155</v>
      </c>
      <c r="D1197" s="8">
        <v>6</v>
      </c>
      <c r="E1197" s="8">
        <v>0.2</v>
      </c>
      <c r="F1197" s="9">
        <v>1208</v>
      </c>
      <c r="G1197" s="22" t="s">
        <v>902</v>
      </c>
      <c r="H1197" s="22" t="s">
        <v>630</v>
      </c>
      <c r="I1197" s="22">
        <v>45</v>
      </c>
      <c r="J1197" s="22">
        <v>26</v>
      </c>
      <c r="K1197" s="22">
        <v>8</v>
      </c>
      <c r="L1197" s="34" t="s">
        <v>631</v>
      </c>
      <c r="M1197" s="12">
        <v>212</v>
      </c>
      <c r="N1197" s="13"/>
      <c r="O1197" s="13"/>
    </row>
    <row r="1198" spans="1:15">
      <c r="A1198" s="36" t="s">
        <v>1437</v>
      </c>
      <c r="B1198" s="8">
        <v>9</v>
      </c>
      <c r="C1198" s="8">
        <v>155</v>
      </c>
      <c r="D1198" s="8">
        <v>6</v>
      </c>
      <c r="E1198" s="8">
        <v>0.2</v>
      </c>
      <c r="F1198" s="9">
        <v>1209</v>
      </c>
      <c r="G1198" s="22" t="s">
        <v>902</v>
      </c>
      <c r="H1198" s="22" t="s">
        <v>630</v>
      </c>
      <c r="I1198" s="22">
        <v>45</v>
      </c>
      <c r="J1198" s="22">
        <v>26</v>
      </c>
      <c r="K1198" s="22">
        <v>8</v>
      </c>
      <c r="L1198" s="34" t="s">
        <v>631</v>
      </c>
      <c r="M1198" s="12">
        <v>198</v>
      </c>
      <c r="N1198" s="13"/>
      <c r="O1198" s="13"/>
    </row>
    <row r="1199" spans="1:15">
      <c r="A1199" s="36" t="s">
        <v>1438</v>
      </c>
      <c r="B1199" s="8">
        <v>9</v>
      </c>
      <c r="C1199" s="8">
        <v>155</v>
      </c>
      <c r="D1199" s="8">
        <v>6</v>
      </c>
      <c r="E1199" s="8">
        <v>0.2</v>
      </c>
      <c r="F1199" s="9">
        <v>1210</v>
      </c>
      <c r="G1199" s="22" t="s">
        <v>902</v>
      </c>
      <c r="H1199" s="22" t="s">
        <v>630</v>
      </c>
      <c r="I1199" s="22">
        <v>45</v>
      </c>
      <c r="J1199" s="22">
        <v>26</v>
      </c>
      <c r="K1199" s="22">
        <v>8</v>
      </c>
      <c r="L1199" s="34" t="s">
        <v>631</v>
      </c>
      <c r="M1199" s="12">
        <v>4</v>
      </c>
      <c r="N1199" s="13"/>
      <c r="O1199" s="13"/>
    </row>
    <row r="1200" spans="1:15">
      <c r="A1200" s="36" t="s">
        <v>1439</v>
      </c>
      <c r="B1200" s="8">
        <v>9</v>
      </c>
      <c r="C1200" s="8">
        <v>0</v>
      </c>
      <c r="D1200" s="8">
        <v>0</v>
      </c>
      <c r="E1200" s="8"/>
      <c r="F1200" s="9">
        <v>1211</v>
      </c>
      <c r="G1200" s="22" t="s">
        <v>1440</v>
      </c>
      <c r="H1200" s="22">
        <v>0</v>
      </c>
      <c r="I1200" s="22">
        <v>0</v>
      </c>
      <c r="J1200" s="22">
        <v>0</v>
      </c>
      <c r="K1200" s="22">
        <v>0</v>
      </c>
      <c r="L1200" s="11" t="e">
        <v>#N/A</v>
      </c>
      <c r="M1200" s="12">
        <v>0</v>
      </c>
      <c r="N1200" s="13"/>
      <c r="O1200" s="13"/>
    </row>
    <row r="1201" spans="1:15">
      <c r="A1201" s="36" t="s">
        <v>1441</v>
      </c>
      <c r="B1201" s="8">
        <v>9</v>
      </c>
      <c r="C1201" s="8">
        <v>76</v>
      </c>
      <c r="D1201" s="8">
        <v>50</v>
      </c>
      <c r="E1201" s="8">
        <v>0.6</v>
      </c>
      <c r="F1201" s="9">
        <v>1212</v>
      </c>
      <c r="G1201" s="22" t="s">
        <v>1296</v>
      </c>
      <c r="H1201" s="22" t="s">
        <v>997</v>
      </c>
      <c r="I1201" s="22">
        <v>122</v>
      </c>
      <c r="J1201" s="22">
        <v>15</v>
      </c>
      <c r="K1201" s="22">
        <v>10</v>
      </c>
      <c r="L1201" s="34" t="e">
        <v>#N/A</v>
      </c>
      <c r="M1201" s="12">
        <v>560</v>
      </c>
      <c r="N1201" s="13"/>
      <c r="O1201" s="13" t="s">
        <v>18</v>
      </c>
    </row>
    <row r="1202" spans="1:15">
      <c r="A1202" s="36" t="s">
        <v>1442</v>
      </c>
      <c r="B1202" s="8">
        <v>9</v>
      </c>
      <c r="C1202" s="8">
        <v>340</v>
      </c>
      <c r="D1202" s="8">
        <v>25</v>
      </c>
      <c r="E1202" s="8">
        <v>2.54</v>
      </c>
      <c r="F1202" s="9">
        <v>1213</v>
      </c>
      <c r="G1202" s="22" t="s">
        <v>1443</v>
      </c>
      <c r="H1202" s="22" t="s">
        <v>523</v>
      </c>
      <c r="I1202" s="22">
        <v>77</v>
      </c>
      <c r="J1202" s="22">
        <v>52</v>
      </c>
      <c r="K1202" s="22">
        <v>32</v>
      </c>
      <c r="L1202" s="34" t="e">
        <v>#N/A</v>
      </c>
      <c r="M1202" s="12">
        <v>11</v>
      </c>
      <c r="N1202" s="13"/>
      <c r="O1202" s="13" t="s">
        <v>18</v>
      </c>
    </row>
    <row r="1203" spans="1:15">
      <c r="A1203" s="36" t="s">
        <v>1444</v>
      </c>
      <c r="B1203" s="8">
        <v>9</v>
      </c>
      <c r="C1203" s="8">
        <v>320</v>
      </c>
      <c r="D1203" s="8">
        <v>50</v>
      </c>
      <c r="E1203" s="8">
        <v>1.48</v>
      </c>
      <c r="F1203" s="9">
        <v>1214</v>
      </c>
      <c r="G1203" s="22" t="s">
        <v>372</v>
      </c>
      <c r="H1203" s="22" t="s">
        <v>898</v>
      </c>
      <c r="I1203" s="22">
        <v>145</v>
      </c>
      <c r="J1203" s="22">
        <v>29</v>
      </c>
      <c r="K1203" s="22">
        <v>16</v>
      </c>
      <c r="L1203" s="34" t="s">
        <v>440</v>
      </c>
      <c r="M1203" s="12">
        <v>0</v>
      </c>
      <c r="N1203" s="13"/>
      <c r="O1203" s="13"/>
    </row>
    <row r="1204" spans="1:15">
      <c r="A1204" s="36" t="s">
        <v>1445</v>
      </c>
      <c r="B1204" s="8">
        <v>9</v>
      </c>
      <c r="C1204" s="8">
        <v>155</v>
      </c>
      <c r="D1204" s="8">
        <v>6</v>
      </c>
      <c r="E1204" s="8">
        <v>0.2</v>
      </c>
      <c r="F1204" s="9">
        <v>1215</v>
      </c>
      <c r="G1204" s="22" t="s">
        <v>902</v>
      </c>
      <c r="H1204" s="22" t="s">
        <v>630</v>
      </c>
      <c r="I1204" s="22">
        <v>45</v>
      </c>
      <c r="J1204" s="22">
        <v>26</v>
      </c>
      <c r="K1204" s="22">
        <v>8</v>
      </c>
      <c r="L1204" s="34" t="s">
        <v>631</v>
      </c>
      <c r="M1204" s="12">
        <v>18</v>
      </c>
      <c r="N1204" s="13"/>
      <c r="O1204" s="13"/>
    </row>
    <row r="1205" spans="1:15">
      <c r="A1205" s="36" t="s">
        <v>1446</v>
      </c>
      <c r="B1205" s="8">
        <v>9</v>
      </c>
      <c r="C1205" s="8">
        <v>155</v>
      </c>
      <c r="D1205" s="8">
        <v>6</v>
      </c>
      <c r="E1205" s="8">
        <v>0.2</v>
      </c>
      <c r="F1205" s="9">
        <v>1216</v>
      </c>
      <c r="G1205" s="22" t="s">
        <v>902</v>
      </c>
      <c r="H1205" s="22" t="s">
        <v>630</v>
      </c>
      <c r="I1205" s="22">
        <v>45</v>
      </c>
      <c r="J1205" s="22">
        <v>26</v>
      </c>
      <c r="K1205" s="22">
        <v>8</v>
      </c>
      <c r="L1205" s="34" t="s">
        <v>631</v>
      </c>
      <c r="M1205" s="12">
        <v>33</v>
      </c>
      <c r="N1205" s="13"/>
      <c r="O1205" s="13"/>
    </row>
    <row r="1206" spans="1:15">
      <c r="A1206" s="36" t="s">
        <v>1447</v>
      </c>
      <c r="B1206" s="8">
        <v>9</v>
      </c>
      <c r="C1206" s="8">
        <v>155</v>
      </c>
      <c r="D1206" s="8">
        <v>6</v>
      </c>
      <c r="E1206" s="8">
        <v>0.2</v>
      </c>
      <c r="F1206" s="9">
        <v>1217</v>
      </c>
      <c r="G1206" s="22" t="s">
        <v>902</v>
      </c>
      <c r="H1206" s="22" t="s">
        <v>630</v>
      </c>
      <c r="I1206" s="22">
        <v>45</v>
      </c>
      <c r="J1206" s="22">
        <v>26</v>
      </c>
      <c r="K1206" s="22">
        <v>8</v>
      </c>
      <c r="L1206" s="34" t="s">
        <v>631</v>
      </c>
      <c r="M1206" s="12">
        <v>19</v>
      </c>
      <c r="N1206" s="13"/>
      <c r="O1206" s="13"/>
    </row>
    <row r="1207" spans="1:15">
      <c r="A1207" s="36" t="s">
        <v>1448</v>
      </c>
      <c r="B1207" s="8">
        <v>9</v>
      </c>
      <c r="C1207" s="8">
        <v>155</v>
      </c>
      <c r="D1207" s="8">
        <v>6</v>
      </c>
      <c r="E1207" s="8">
        <v>0.2</v>
      </c>
      <c r="F1207" s="9">
        <v>1218</v>
      </c>
      <c r="G1207" s="22" t="s">
        <v>902</v>
      </c>
      <c r="H1207" s="22" t="s">
        <v>630</v>
      </c>
      <c r="I1207" s="22">
        <v>45</v>
      </c>
      <c r="J1207" s="22">
        <v>26</v>
      </c>
      <c r="K1207" s="22">
        <v>8</v>
      </c>
      <c r="L1207" s="34" t="s">
        <v>631</v>
      </c>
      <c r="M1207" s="12">
        <v>10</v>
      </c>
      <c r="N1207" s="13"/>
      <c r="O1207" s="13"/>
    </row>
    <row r="1208" spans="1:15">
      <c r="A1208" s="36" t="s">
        <v>1449</v>
      </c>
      <c r="B1208" s="8">
        <v>9</v>
      </c>
      <c r="C1208" s="8">
        <v>155</v>
      </c>
      <c r="D1208" s="8">
        <v>6</v>
      </c>
      <c r="E1208" s="8">
        <v>0.2</v>
      </c>
      <c r="F1208" s="9">
        <v>1219</v>
      </c>
      <c r="G1208" s="22" t="s">
        <v>902</v>
      </c>
      <c r="H1208" s="22" t="s">
        <v>630</v>
      </c>
      <c r="I1208" s="22">
        <v>45</v>
      </c>
      <c r="J1208" s="22">
        <v>26</v>
      </c>
      <c r="K1208" s="22">
        <v>8</v>
      </c>
      <c r="L1208" s="34" t="s">
        <v>1450</v>
      </c>
      <c r="M1208" s="12">
        <v>5</v>
      </c>
      <c r="N1208" s="13"/>
      <c r="O1208" s="13"/>
    </row>
    <row r="1209" spans="1:15">
      <c r="A1209" s="36" t="s">
        <v>1451</v>
      </c>
      <c r="B1209" s="8">
        <v>9</v>
      </c>
      <c r="C1209" s="8">
        <v>152</v>
      </c>
      <c r="D1209" s="8">
        <v>6</v>
      </c>
      <c r="E1209" s="8">
        <v>0.2</v>
      </c>
      <c r="F1209" s="9">
        <v>1220</v>
      </c>
      <c r="G1209" s="22" t="s">
        <v>902</v>
      </c>
      <c r="H1209" s="22" t="s">
        <v>630</v>
      </c>
      <c r="I1209" s="22">
        <v>45</v>
      </c>
      <c r="J1209" s="22">
        <v>26</v>
      </c>
      <c r="K1209" s="22">
        <v>8</v>
      </c>
      <c r="L1209" s="34" t="s">
        <v>1450</v>
      </c>
      <c r="M1209" s="12">
        <v>4</v>
      </c>
      <c r="N1209" s="13"/>
      <c r="O1209" s="13"/>
    </row>
    <row r="1210" spans="1:15">
      <c r="A1210" s="36" t="s">
        <v>1452</v>
      </c>
      <c r="B1210" s="8">
        <v>9</v>
      </c>
      <c r="C1210" s="8">
        <v>340</v>
      </c>
      <c r="D1210" s="8">
        <v>50</v>
      </c>
      <c r="E1210" s="8">
        <v>1.48</v>
      </c>
      <c r="F1210" s="9">
        <v>1221</v>
      </c>
      <c r="G1210" s="22" t="s">
        <v>372</v>
      </c>
      <c r="H1210" s="22" t="s">
        <v>898</v>
      </c>
      <c r="I1210" s="22">
        <v>145</v>
      </c>
      <c r="J1210" s="22">
        <v>29</v>
      </c>
      <c r="K1210" s="22">
        <v>16</v>
      </c>
      <c r="L1210" s="34" t="e">
        <v>#N/A</v>
      </c>
      <c r="M1210" s="12">
        <v>6</v>
      </c>
      <c r="N1210" s="13"/>
      <c r="O1210" s="13"/>
    </row>
    <row r="1211" spans="1:15">
      <c r="A1211" s="36" t="s">
        <v>1453</v>
      </c>
      <c r="B1211" s="8">
        <v>9</v>
      </c>
      <c r="C1211" s="8">
        <v>0</v>
      </c>
      <c r="D1211" s="8">
        <v>0</v>
      </c>
      <c r="E1211" s="8"/>
      <c r="F1211" s="9">
        <v>1222</v>
      </c>
      <c r="G1211" s="22" t="s">
        <v>487</v>
      </c>
      <c r="H1211" s="22">
        <v>0</v>
      </c>
      <c r="I1211" s="22">
        <v>0</v>
      </c>
      <c r="J1211" s="22">
        <v>0</v>
      </c>
      <c r="K1211" s="22">
        <v>0</v>
      </c>
      <c r="L1211" s="11" t="e">
        <v>#N/A</v>
      </c>
      <c r="M1211" s="12">
        <v>258</v>
      </c>
      <c r="N1211" s="13"/>
      <c r="O1211" s="13"/>
    </row>
    <row r="1212" spans="1:15">
      <c r="A1212" s="36" t="s">
        <v>1454</v>
      </c>
      <c r="B1212" s="8">
        <v>9</v>
      </c>
      <c r="C1212" s="8">
        <v>64</v>
      </c>
      <c r="D1212" s="8">
        <v>50</v>
      </c>
      <c r="E1212" s="8">
        <v>0.6</v>
      </c>
      <c r="F1212" s="9">
        <v>1223</v>
      </c>
      <c r="G1212" s="22" t="s">
        <v>16</v>
      </c>
      <c r="H1212" s="22" t="s">
        <v>997</v>
      </c>
      <c r="I1212" s="22">
        <v>122</v>
      </c>
      <c r="J1212" s="22">
        <v>15</v>
      </c>
      <c r="K1212" s="22">
        <v>10</v>
      </c>
      <c r="L1212" s="34" t="e">
        <v>#N/A</v>
      </c>
      <c r="M1212" s="12">
        <v>74</v>
      </c>
      <c r="N1212" s="13"/>
      <c r="O1212" s="13" t="s">
        <v>18</v>
      </c>
    </row>
    <row r="1213" spans="1:15" ht="15.6">
      <c r="A1213" s="36" t="s">
        <v>1455</v>
      </c>
      <c r="B1213" s="8">
        <v>9</v>
      </c>
      <c r="C1213" s="8">
        <v>47</v>
      </c>
      <c r="D1213" s="8">
        <v>54</v>
      </c>
      <c r="E1213" s="8">
        <v>0.64</v>
      </c>
      <c r="F1213" s="9">
        <v>1224</v>
      </c>
      <c r="G1213" s="22" t="s">
        <v>16</v>
      </c>
      <c r="H1213" s="22" t="s">
        <v>1456</v>
      </c>
      <c r="I1213" s="22">
        <v>130</v>
      </c>
      <c r="J1213" s="22">
        <v>15</v>
      </c>
      <c r="K1213" s="22">
        <v>10</v>
      </c>
      <c r="L1213" s="34" t="s">
        <v>942</v>
      </c>
      <c r="M1213" s="12">
        <v>7</v>
      </c>
      <c r="N1213" s="13"/>
      <c r="O1213" s="13" t="s">
        <v>18</v>
      </c>
    </row>
    <row r="1214" spans="1:15" ht="15.6">
      <c r="A1214" s="36" t="s">
        <v>1457</v>
      </c>
      <c r="B1214" s="8">
        <v>9</v>
      </c>
      <c r="C1214" s="8">
        <v>52</v>
      </c>
      <c r="D1214" s="8">
        <v>54</v>
      </c>
      <c r="E1214" s="8">
        <v>0.64</v>
      </c>
      <c r="F1214" s="9">
        <v>1225</v>
      </c>
      <c r="G1214" s="22" t="s">
        <v>16</v>
      </c>
      <c r="H1214" s="22" t="s">
        <v>1456</v>
      </c>
      <c r="I1214" s="22">
        <v>130</v>
      </c>
      <c r="J1214" s="22">
        <v>15</v>
      </c>
      <c r="K1214" s="22">
        <v>10</v>
      </c>
      <c r="L1214" s="34" t="s">
        <v>942</v>
      </c>
      <c r="M1214" s="12">
        <v>0</v>
      </c>
      <c r="N1214" s="13"/>
      <c r="O1214" s="13" t="s">
        <v>18</v>
      </c>
    </row>
    <row r="1215" spans="1:15">
      <c r="A1215" s="36" t="s">
        <v>1458</v>
      </c>
      <c r="B1215" s="8">
        <v>9</v>
      </c>
      <c r="C1215" s="8">
        <v>505</v>
      </c>
      <c r="D1215" s="8">
        <v>25</v>
      </c>
      <c r="E1215" s="8">
        <v>1.6</v>
      </c>
      <c r="F1215" s="9">
        <v>1226</v>
      </c>
      <c r="G1215" s="22" t="s">
        <v>722</v>
      </c>
      <c r="H1215" s="22" t="s">
        <v>1198</v>
      </c>
      <c r="I1215" s="22">
        <v>183</v>
      </c>
      <c r="J1215" s="22">
        <v>29</v>
      </c>
      <c r="K1215" s="22">
        <v>16</v>
      </c>
      <c r="L1215" s="34" t="s">
        <v>1092</v>
      </c>
      <c r="M1215" s="12">
        <v>0</v>
      </c>
      <c r="N1215" s="13"/>
      <c r="O1215" s="13"/>
    </row>
    <row r="1216" spans="1:15">
      <c r="A1216" s="36" t="s">
        <v>1459</v>
      </c>
      <c r="B1216" s="8">
        <v>9</v>
      </c>
      <c r="C1216" s="8">
        <v>505</v>
      </c>
      <c r="D1216" s="8">
        <v>25</v>
      </c>
      <c r="E1216" s="8">
        <v>1.6</v>
      </c>
      <c r="F1216" s="9">
        <v>1227</v>
      </c>
      <c r="G1216" s="22" t="s">
        <v>722</v>
      </c>
      <c r="H1216" s="22" t="s">
        <v>1198</v>
      </c>
      <c r="I1216" s="22">
        <v>183</v>
      </c>
      <c r="J1216" s="22">
        <v>29</v>
      </c>
      <c r="K1216" s="22">
        <v>16</v>
      </c>
      <c r="L1216" s="34" t="s">
        <v>1092</v>
      </c>
      <c r="M1216" s="12">
        <v>0</v>
      </c>
      <c r="N1216" s="13"/>
      <c r="O1216" s="13"/>
    </row>
    <row r="1217" spans="1:15">
      <c r="A1217" s="36" t="s">
        <v>1460</v>
      </c>
      <c r="B1217" s="8">
        <v>9</v>
      </c>
      <c r="C1217" s="8">
        <v>505</v>
      </c>
      <c r="D1217" s="8">
        <v>25</v>
      </c>
      <c r="E1217" s="8">
        <v>1.6</v>
      </c>
      <c r="F1217" s="9">
        <v>1228</v>
      </c>
      <c r="G1217" s="22" t="s">
        <v>722</v>
      </c>
      <c r="H1217" s="22" t="s">
        <v>1198</v>
      </c>
      <c r="I1217" s="22">
        <v>183</v>
      </c>
      <c r="J1217" s="22">
        <v>29</v>
      </c>
      <c r="K1217" s="22">
        <v>16</v>
      </c>
      <c r="L1217" s="34" t="s">
        <v>1092</v>
      </c>
      <c r="M1217" s="12">
        <v>0</v>
      </c>
      <c r="N1217" s="13"/>
      <c r="O1217" s="13"/>
    </row>
    <row r="1218" spans="1:15">
      <c r="A1218" s="36" t="s">
        <v>1461</v>
      </c>
      <c r="B1218" s="8">
        <v>9</v>
      </c>
      <c r="C1218" s="8">
        <v>505</v>
      </c>
      <c r="D1218" s="8">
        <v>25</v>
      </c>
      <c r="E1218" s="8">
        <v>1.6</v>
      </c>
      <c r="F1218" s="9">
        <v>1229</v>
      </c>
      <c r="G1218" s="22" t="s">
        <v>722</v>
      </c>
      <c r="H1218" s="22" t="s">
        <v>1198</v>
      </c>
      <c r="I1218" s="22">
        <v>183</v>
      </c>
      <c r="J1218" s="22">
        <v>29</v>
      </c>
      <c r="K1218" s="22">
        <v>16</v>
      </c>
      <c r="L1218" s="34" t="s">
        <v>1092</v>
      </c>
      <c r="M1218" s="12">
        <v>1</v>
      </c>
      <c r="N1218" s="13"/>
      <c r="O1218" s="13"/>
    </row>
    <row r="1219" spans="1:15">
      <c r="A1219" s="36" t="s">
        <v>1462</v>
      </c>
      <c r="B1219" s="8">
        <v>9</v>
      </c>
      <c r="C1219" s="8">
        <v>505</v>
      </c>
      <c r="D1219" s="8">
        <v>25</v>
      </c>
      <c r="E1219" s="8">
        <v>1.6</v>
      </c>
      <c r="F1219" s="9">
        <v>1230</v>
      </c>
      <c r="G1219" s="22" t="s">
        <v>722</v>
      </c>
      <c r="H1219" s="22" t="s">
        <v>1198</v>
      </c>
      <c r="I1219" s="22">
        <v>183</v>
      </c>
      <c r="J1219" s="22">
        <v>29</v>
      </c>
      <c r="K1219" s="22">
        <v>16</v>
      </c>
      <c r="L1219" s="34" t="s">
        <v>1092</v>
      </c>
      <c r="M1219" s="12">
        <v>0</v>
      </c>
      <c r="N1219" s="13"/>
      <c r="O1219" s="13"/>
    </row>
    <row r="1220" spans="1:15">
      <c r="A1220" s="36" t="s">
        <v>1463</v>
      </c>
      <c r="B1220" s="8">
        <v>9</v>
      </c>
      <c r="C1220" s="8">
        <v>505</v>
      </c>
      <c r="D1220" s="8">
        <v>25</v>
      </c>
      <c r="E1220" s="8">
        <v>1.6</v>
      </c>
      <c r="F1220" s="9">
        <v>1231</v>
      </c>
      <c r="G1220" s="22" t="s">
        <v>722</v>
      </c>
      <c r="H1220" s="22" t="s">
        <v>1198</v>
      </c>
      <c r="I1220" s="22">
        <v>183</v>
      </c>
      <c r="J1220" s="22">
        <v>29</v>
      </c>
      <c r="K1220" s="22">
        <v>16</v>
      </c>
      <c r="L1220" s="34" t="s">
        <v>1092</v>
      </c>
      <c r="M1220" s="12">
        <v>0</v>
      </c>
      <c r="N1220" s="13"/>
      <c r="O1220" s="13"/>
    </row>
    <row r="1221" spans="1:15">
      <c r="A1221" s="36" t="s">
        <v>1464</v>
      </c>
      <c r="B1221" s="8">
        <v>9</v>
      </c>
      <c r="C1221" s="8">
        <v>520</v>
      </c>
      <c r="D1221" s="8">
        <v>25</v>
      </c>
      <c r="E1221" s="8">
        <v>2.54</v>
      </c>
      <c r="F1221" s="9">
        <v>1232</v>
      </c>
      <c r="G1221" s="22" t="s">
        <v>442</v>
      </c>
      <c r="H1221" s="22" t="s">
        <v>1465</v>
      </c>
      <c r="I1221" s="22">
        <v>72</v>
      </c>
      <c r="J1221" s="22">
        <v>52</v>
      </c>
      <c r="K1221" s="22">
        <v>32</v>
      </c>
      <c r="L1221" s="34" t="e">
        <v>#N/A</v>
      </c>
      <c r="M1221" s="12">
        <v>9</v>
      </c>
      <c r="N1221" s="13"/>
      <c r="O1221" s="13"/>
    </row>
    <row r="1222" spans="1:15">
      <c r="A1222" s="36" t="s">
        <v>1466</v>
      </c>
      <c r="B1222" s="8">
        <v>9</v>
      </c>
      <c r="C1222" s="8">
        <v>50.5</v>
      </c>
      <c r="D1222" s="8">
        <v>54</v>
      </c>
      <c r="E1222" s="8">
        <v>0.6</v>
      </c>
      <c r="F1222" s="9">
        <v>1233</v>
      </c>
      <c r="G1222" s="22" t="s">
        <v>16</v>
      </c>
      <c r="H1222" s="22" t="s">
        <v>997</v>
      </c>
      <c r="I1222" s="22">
        <v>122</v>
      </c>
      <c r="J1222" s="22">
        <v>15</v>
      </c>
      <c r="K1222" s="22">
        <v>10</v>
      </c>
      <c r="L1222" s="34" t="e">
        <v>#N/A</v>
      </c>
      <c r="M1222" s="12">
        <v>0</v>
      </c>
      <c r="N1222" s="13"/>
      <c r="O1222" s="13" t="s">
        <v>18</v>
      </c>
    </row>
    <row r="1223" spans="1:15">
      <c r="A1223" s="36" t="s">
        <v>1467</v>
      </c>
      <c r="B1223" s="8">
        <v>9</v>
      </c>
      <c r="C1223" s="8">
        <v>68.599999999999994</v>
      </c>
      <c r="D1223" s="8">
        <v>50</v>
      </c>
      <c r="E1223" s="8">
        <v>0.6</v>
      </c>
      <c r="F1223" s="9">
        <v>1234</v>
      </c>
      <c r="G1223" s="22" t="s">
        <v>16</v>
      </c>
      <c r="H1223" s="22" t="s">
        <v>997</v>
      </c>
      <c r="I1223" s="22">
        <v>122</v>
      </c>
      <c r="J1223" s="22">
        <v>15</v>
      </c>
      <c r="K1223" s="22">
        <v>10</v>
      </c>
      <c r="L1223" s="34" t="e">
        <v>#N/A</v>
      </c>
      <c r="M1223" s="12">
        <v>26</v>
      </c>
      <c r="N1223" s="13"/>
      <c r="O1223" s="13" t="s">
        <v>18</v>
      </c>
    </row>
    <row r="1224" spans="1:15">
      <c r="A1224" s="36" t="s">
        <v>1468</v>
      </c>
      <c r="B1224" s="8">
        <v>9</v>
      </c>
      <c r="C1224" s="8">
        <v>73.599999999999994</v>
      </c>
      <c r="D1224" s="8">
        <v>50</v>
      </c>
      <c r="E1224" s="8">
        <v>0.6</v>
      </c>
      <c r="F1224" s="9">
        <v>1235</v>
      </c>
      <c r="G1224" s="22" t="s">
        <v>16</v>
      </c>
      <c r="H1224" s="22" t="s">
        <v>997</v>
      </c>
      <c r="I1224" s="22">
        <v>122</v>
      </c>
      <c r="J1224" s="22">
        <v>15</v>
      </c>
      <c r="K1224" s="22">
        <v>10</v>
      </c>
      <c r="L1224" s="34" t="e">
        <v>#N/A</v>
      </c>
      <c r="M1224" s="12">
        <v>2</v>
      </c>
      <c r="N1224" s="13"/>
      <c r="O1224" s="13" t="s">
        <v>18</v>
      </c>
    </row>
    <row r="1225" spans="1:15">
      <c r="A1225" s="36" t="s">
        <v>1469</v>
      </c>
      <c r="B1225" s="8">
        <v>9</v>
      </c>
      <c r="C1225" s="8">
        <v>50</v>
      </c>
      <c r="D1225" s="8">
        <v>54</v>
      </c>
      <c r="E1225" s="8">
        <v>0.6</v>
      </c>
      <c r="F1225" s="9">
        <v>1236</v>
      </c>
      <c r="G1225" s="22" t="s">
        <v>16</v>
      </c>
      <c r="H1225" s="22" t="s">
        <v>997</v>
      </c>
      <c r="I1225" s="22">
        <v>122</v>
      </c>
      <c r="J1225" s="22">
        <v>15</v>
      </c>
      <c r="K1225" s="22">
        <v>10</v>
      </c>
      <c r="L1225" s="34" t="e">
        <v>#N/A</v>
      </c>
      <c r="M1225" s="12">
        <v>0</v>
      </c>
      <c r="N1225" s="13"/>
      <c r="O1225" s="13" t="s">
        <v>18</v>
      </c>
    </row>
    <row r="1226" spans="1:15">
      <c r="A1226" s="36" t="s">
        <v>1470</v>
      </c>
      <c r="B1226" s="8">
        <v>9</v>
      </c>
      <c r="C1226" s="8">
        <v>54</v>
      </c>
      <c r="D1226" s="8">
        <v>54</v>
      </c>
      <c r="E1226" s="8">
        <v>0.6</v>
      </c>
      <c r="F1226" s="9">
        <v>1237</v>
      </c>
      <c r="G1226" s="22" t="s">
        <v>16</v>
      </c>
      <c r="H1226" s="22" t="s">
        <v>997</v>
      </c>
      <c r="I1226" s="22">
        <v>122</v>
      </c>
      <c r="J1226" s="22">
        <v>15</v>
      </c>
      <c r="K1226" s="22">
        <v>10</v>
      </c>
      <c r="L1226" s="34" t="s">
        <v>1471</v>
      </c>
      <c r="M1226" s="12">
        <v>0</v>
      </c>
      <c r="N1226" s="13"/>
      <c r="O1226" s="13"/>
    </row>
    <row r="1227" spans="1:15">
      <c r="A1227" s="36" t="s">
        <v>1472</v>
      </c>
      <c r="B1227" s="8">
        <v>9</v>
      </c>
      <c r="C1227" s="8">
        <v>86</v>
      </c>
      <c r="D1227" s="8">
        <v>50</v>
      </c>
      <c r="E1227" s="8">
        <v>0.6</v>
      </c>
      <c r="F1227" s="9">
        <v>1238</v>
      </c>
      <c r="G1227" s="22" t="s">
        <v>16</v>
      </c>
      <c r="H1227" s="22" t="s">
        <v>997</v>
      </c>
      <c r="I1227" s="22">
        <v>122</v>
      </c>
      <c r="J1227" s="22">
        <v>15</v>
      </c>
      <c r="K1227" s="22">
        <v>10</v>
      </c>
      <c r="L1227" s="34" t="e">
        <v>#N/A</v>
      </c>
      <c r="M1227" s="12">
        <v>275</v>
      </c>
      <c r="N1227" s="13"/>
      <c r="O1227" s="13" t="s">
        <v>18</v>
      </c>
    </row>
    <row r="1228" spans="1:15">
      <c r="A1228" s="36" t="s">
        <v>1473</v>
      </c>
      <c r="B1228" s="8">
        <v>9</v>
      </c>
      <c r="C1228" s="8">
        <v>445</v>
      </c>
      <c r="D1228" s="8">
        <v>25</v>
      </c>
      <c r="E1228" s="8">
        <v>1.6</v>
      </c>
      <c r="F1228" s="9">
        <v>1239</v>
      </c>
      <c r="G1228" s="22" t="s">
        <v>722</v>
      </c>
      <c r="H1228" s="22" t="s">
        <v>1198</v>
      </c>
      <c r="I1228" s="22">
        <v>183</v>
      </c>
      <c r="J1228" s="22">
        <v>29</v>
      </c>
      <c r="K1228" s="22">
        <v>16</v>
      </c>
      <c r="L1228" s="34" t="s">
        <v>1133</v>
      </c>
      <c r="M1228" s="12">
        <v>0</v>
      </c>
      <c r="N1228" s="13"/>
      <c r="O1228" s="13"/>
    </row>
    <row r="1229" spans="1:15">
      <c r="A1229" s="36" t="s">
        <v>1474</v>
      </c>
      <c r="B1229" s="8">
        <v>9</v>
      </c>
      <c r="C1229" s="8">
        <v>445</v>
      </c>
      <c r="D1229" s="8">
        <v>25</v>
      </c>
      <c r="E1229" s="8">
        <v>1.6</v>
      </c>
      <c r="F1229" s="9">
        <v>1240</v>
      </c>
      <c r="G1229" s="22" t="s">
        <v>722</v>
      </c>
      <c r="H1229" s="22" t="s">
        <v>1198</v>
      </c>
      <c r="I1229" s="22">
        <v>183</v>
      </c>
      <c r="J1229" s="22">
        <v>29</v>
      </c>
      <c r="K1229" s="22">
        <v>16</v>
      </c>
      <c r="L1229" s="34" t="s">
        <v>1133</v>
      </c>
      <c r="M1229" s="12">
        <v>5</v>
      </c>
      <c r="N1229" s="13"/>
      <c r="O1229" s="13"/>
    </row>
    <row r="1230" spans="1:15">
      <c r="A1230" s="36" t="s">
        <v>1475</v>
      </c>
      <c r="B1230" s="8">
        <v>9</v>
      </c>
      <c r="C1230" s="8">
        <v>445</v>
      </c>
      <c r="D1230" s="8">
        <v>25</v>
      </c>
      <c r="E1230" s="8">
        <v>1.6</v>
      </c>
      <c r="F1230" s="9">
        <v>1241</v>
      </c>
      <c r="G1230" s="22" t="s">
        <v>722</v>
      </c>
      <c r="H1230" s="22" t="s">
        <v>1198</v>
      </c>
      <c r="I1230" s="22">
        <v>183</v>
      </c>
      <c r="J1230" s="22">
        <v>29</v>
      </c>
      <c r="K1230" s="22">
        <v>16</v>
      </c>
      <c r="L1230" s="34" t="s">
        <v>1133</v>
      </c>
      <c r="M1230" s="12">
        <v>6</v>
      </c>
      <c r="N1230" s="13"/>
      <c r="O1230" s="13"/>
    </row>
    <row r="1231" spans="1:15">
      <c r="A1231" s="36" t="s">
        <v>1476</v>
      </c>
      <c r="B1231" s="8">
        <v>9</v>
      </c>
      <c r="C1231" s="8">
        <v>445</v>
      </c>
      <c r="D1231" s="8">
        <v>25</v>
      </c>
      <c r="E1231" s="8">
        <v>1.6</v>
      </c>
      <c r="F1231" s="9">
        <v>1242</v>
      </c>
      <c r="G1231" s="22" t="s">
        <v>722</v>
      </c>
      <c r="H1231" s="22" t="s">
        <v>1198</v>
      </c>
      <c r="I1231" s="22">
        <v>183</v>
      </c>
      <c r="J1231" s="22">
        <v>29</v>
      </c>
      <c r="K1231" s="22">
        <v>16</v>
      </c>
      <c r="L1231" s="34" t="s">
        <v>1133</v>
      </c>
      <c r="M1231" s="12">
        <v>0</v>
      </c>
      <c r="N1231" s="13"/>
      <c r="O1231" s="13"/>
    </row>
    <row r="1232" spans="1:15">
      <c r="A1232" s="36" t="s">
        <v>1477</v>
      </c>
      <c r="B1232" s="8">
        <v>9</v>
      </c>
      <c r="C1232" s="8">
        <v>445</v>
      </c>
      <c r="D1232" s="8">
        <v>25</v>
      </c>
      <c r="E1232" s="8">
        <v>1.6</v>
      </c>
      <c r="F1232" s="9">
        <v>1243</v>
      </c>
      <c r="G1232" s="22" t="s">
        <v>722</v>
      </c>
      <c r="H1232" s="22" t="s">
        <v>1198</v>
      </c>
      <c r="I1232" s="22">
        <v>183</v>
      </c>
      <c r="J1232" s="22">
        <v>29</v>
      </c>
      <c r="K1232" s="22">
        <v>16</v>
      </c>
      <c r="L1232" s="34" t="s">
        <v>1133</v>
      </c>
      <c r="M1232" s="12">
        <v>8</v>
      </c>
      <c r="N1232" s="13"/>
      <c r="O1232" s="13"/>
    </row>
    <row r="1233" spans="1:15">
      <c r="A1233" s="36" t="s">
        <v>1478</v>
      </c>
      <c r="B1233" s="8">
        <v>9</v>
      </c>
      <c r="C1233" s="8">
        <v>445</v>
      </c>
      <c r="D1233" s="8">
        <v>25</v>
      </c>
      <c r="E1233" s="8">
        <v>1.6</v>
      </c>
      <c r="F1233" s="9">
        <v>1244</v>
      </c>
      <c r="G1233" s="22" t="s">
        <v>722</v>
      </c>
      <c r="H1233" s="22" t="s">
        <v>1198</v>
      </c>
      <c r="I1233" s="22">
        <v>183</v>
      </c>
      <c r="J1233" s="22">
        <v>29</v>
      </c>
      <c r="K1233" s="22">
        <v>16</v>
      </c>
      <c r="L1233" s="34" t="s">
        <v>1133</v>
      </c>
      <c r="M1233" s="12">
        <v>3</v>
      </c>
      <c r="N1233" s="13"/>
      <c r="O1233" s="13"/>
    </row>
    <row r="1234" spans="1:15">
      <c r="A1234" s="36" t="s">
        <v>1479</v>
      </c>
      <c r="B1234" s="8">
        <v>9</v>
      </c>
      <c r="C1234" s="8">
        <v>155</v>
      </c>
      <c r="D1234" s="8">
        <v>6</v>
      </c>
      <c r="E1234" s="8">
        <v>0.2</v>
      </c>
      <c r="F1234" s="9">
        <v>1245</v>
      </c>
      <c r="G1234" s="22" t="s">
        <v>902</v>
      </c>
      <c r="H1234" s="22" t="s">
        <v>630</v>
      </c>
      <c r="I1234" s="22">
        <v>45</v>
      </c>
      <c r="J1234" s="22">
        <v>26</v>
      </c>
      <c r="K1234" s="22">
        <v>8</v>
      </c>
      <c r="L1234" s="34" t="s">
        <v>631</v>
      </c>
      <c r="M1234" s="12">
        <v>8</v>
      </c>
      <c r="N1234" s="13"/>
      <c r="O1234" s="13"/>
    </row>
    <row r="1235" spans="1:15">
      <c r="A1235" s="36" t="s">
        <v>1480</v>
      </c>
      <c r="B1235" s="8">
        <v>9</v>
      </c>
      <c r="C1235" s="8">
        <v>300</v>
      </c>
      <c r="D1235" s="8">
        <v>50</v>
      </c>
      <c r="E1235" s="8">
        <v>1.48</v>
      </c>
      <c r="F1235" s="9">
        <v>1246</v>
      </c>
      <c r="G1235" s="22" t="s">
        <v>372</v>
      </c>
      <c r="H1235" s="22" t="s">
        <v>898</v>
      </c>
      <c r="I1235" s="22">
        <v>145</v>
      </c>
      <c r="J1235" s="22">
        <v>29</v>
      </c>
      <c r="K1235" s="22">
        <v>16</v>
      </c>
      <c r="L1235" s="34" t="e">
        <v>#N/A</v>
      </c>
      <c r="M1235" s="12">
        <v>23</v>
      </c>
      <c r="N1235" s="13"/>
      <c r="O1235" s="13" t="s">
        <v>18</v>
      </c>
    </row>
    <row r="1236" spans="1:15">
      <c r="A1236" s="36" t="s">
        <v>1481</v>
      </c>
      <c r="B1236" s="8">
        <v>9</v>
      </c>
      <c r="C1236" s="8">
        <v>72</v>
      </c>
      <c r="D1236" s="8">
        <v>50</v>
      </c>
      <c r="E1236" s="8">
        <v>0.6</v>
      </c>
      <c r="F1236" s="9">
        <v>1247</v>
      </c>
      <c r="G1236" s="22" t="s">
        <v>16</v>
      </c>
      <c r="H1236" s="22" t="s">
        <v>997</v>
      </c>
      <c r="I1236" s="22">
        <v>122</v>
      </c>
      <c r="J1236" s="22">
        <v>15</v>
      </c>
      <c r="K1236" s="22">
        <v>10</v>
      </c>
      <c r="L1236" s="34" t="e">
        <v>#N/A</v>
      </c>
      <c r="M1236" s="12">
        <v>97</v>
      </c>
      <c r="N1236" s="13"/>
      <c r="O1236" s="13" t="s">
        <v>18</v>
      </c>
    </row>
    <row r="1237" spans="1:15">
      <c r="A1237" s="36" t="s">
        <v>1482</v>
      </c>
      <c r="B1237" s="8">
        <v>9</v>
      </c>
      <c r="C1237" s="8">
        <v>59</v>
      </c>
      <c r="D1237" s="8">
        <v>54</v>
      </c>
      <c r="E1237" s="8">
        <v>0.6</v>
      </c>
      <c r="F1237" s="9">
        <v>1248</v>
      </c>
      <c r="G1237" s="22" t="s">
        <v>16</v>
      </c>
      <c r="H1237" s="22" t="s">
        <v>997</v>
      </c>
      <c r="I1237" s="22">
        <v>122</v>
      </c>
      <c r="J1237" s="22">
        <v>15</v>
      </c>
      <c r="K1237" s="22">
        <v>10</v>
      </c>
      <c r="L1237" s="34" t="s">
        <v>111</v>
      </c>
      <c r="M1237" s="12">
        <v>0</v>
      </c>
      <c r="N1237" s="13"/>
      <c r="O1237" s="13"/>
    </row>
    <row r="1238" spans="1:15">
      <c r="A1238" s="36" t="s">
        <v>1483</v>
      </c>
      <c r="B1238" s="8">
        <v>9</v>
      </c>
      <c r="C1238" s="8">
        <v>86</v>
      </c>
      <c r="D1238" s="8">
        <v>50</v>
      </c>
      <c r="E1238" s="8">
        <v>0.6</v>
      </c>
      <c r="F1238" s="9">
        <v>1249</v>
      </c>
      <c r="G1238" s="22" t="s">
        <v>16</v>
      </c>
      <c r="H1238" s="22" t="s">
        <v>997</v>
      </c>
      <c r="I1238" s="22">
        <v>122</v>
      </c>
      <c r="J1238" s="22">
        <v>15</v>
      </c>
      <c r="K1238" s="22">
        <v>10</v>
      </c>
      <c r="L1238" s="34" t="e">
        <v>#N/A</v>
      </c>
      <c r="M1238" s="12">
        <v>251</v>
      </c>
      <c r="N1238" s="13"/>
      <c r="O1238" s="13" t="s">
        <v>18</v>
      </c>
    </row>
    <row r="1239" spans="1:15">
      <c r="A1239" s="36" t="s">
        <v>1484</v>
      </c>
      <c r="B1239" s="8">
        <v>9</v>
      </c>
      <c r="C1239" s="8">
        <v>85</v>
      </c>
      <c r="D1239" s="8">
        <v>50</v>
      </c>
      <c r="E1239" s="8">
        <v>0.6</v>
      </c>
      <c r="F1239" s="9">
        <v>1250</v>
      </c>
      <c r="G1239" s="22" t="s">
        <v>16</v>
      </c>
      <c r="H1239" s="22" t="s">
        <v>997</v>
      </c>
      <c r="I1239" s="22">
        <v>122</v>
      </c>
      <c r="J1239" s="22">
        <v>15</v>
      </c>
      <c r="K1239" s="22">
        <v>10</v>
      </c>
      <c r="L1239" s="34" t="e">
        <v>#N/A</v>
      </c>
      <c r="M1239" s="12">
        <v>61</v>
      </c>
      <c r="N1239" s="13"/>
      <c r="O1239" s="13" t="s">
        <v>18</v>
      </c>
    </row>
    <row r="1240" spans="1:15">
      <c r="A1240" s="36" t="s">
        <v>1485</v>
      </c>
      <c r="B1240" s="8">
        <v>9</v>
      </c>
      <c r="C1240" s="8">
        <v>235</v>
      </c>
      <c r="D1240" s="8">
        <v>1</v>
      </c>
      <c r="E1240" s="8">
        <v>0.4</v>
      </c>
      <c r="F1240" s="9">
        <v>1251</v>
      </c>
      <c r="G1240" s="22" t="s">
        <v>1486</v>
      </c>
      <c r="H1240" s="22" t="s">
        <v>1487</v>
      </c>
      <c r="I1240" s="22">
        <v>52</v>
      </c>
      <c r="J1240" s="22">
        <v>20</v>
      </c>
      <c r="K1240" s="22">
        <v>15</v>
      </c>
      <c r="L1240" s="22"/>
      <c r="M1240" s="12">
        <v>0</v>
      </c>
      <c r="N1240" s="13"/>
      <c r="O1240" s="13"/>
    </row>
    <row r="1241" spans="1:15">
      <c r="A1241" s="36" t="s">
        <v>1488</v>
      </c>
      <c r="B1241" s="8">
        <v>9</v>
      </c>
      <c r="C1241" s="8">
        <v>240</v>
      </c>
      <c r="D1241" s="8">
        <v>1</v>
      </c>
      <c r="E1241" s="8">
        <v>0.4</v>
      </c>
      <c r="F1241" s="9">
        <v>1252</v>
      </c>
      <c r="G1241" s="22" t="s">
        <v>1486</v>
      </c>
      <c r="H1241" s="22" t="s">
        <v>1487</v>
      </c>
      <c r="I1241" s="22">
        <v>52</v>
      </c>
      <c r="J1241" s="22">
        <v>20</v>
      </c>
      <c r="K1241" s="22">
        <v>15</v>
      </c>
      <c r="L1241" s="22"/>
      <c r="M1241" s="12">
        <v>0</v>
      </c>
      <c r="N1241" s="13"/>
      <c r="O1241" s="13"/>
    </row>
    <row r="1242" spans="1:15">
      <c r="A1242" s="36" t="s">
        <v>1489</v>
      </c>
      <c r="B1242" s="8">
        <v>9</v>
      </c>
      <c r="C1242" s="8">
        <v>86</v>
      </c>
      <c r="D1242" s="8">
        <v>50</v>
      </c>
      <c r="E1242" s="8">
        <v>0.6</v>
      </c>
      <c r="F1242" s="9">
        <v>1253</v>
      </c>
      <c r="G1242" s="22" t="s">
        <v>16</v>
      </c>
      <c r="H1242" s="22" t="s">
        <v>997</v>
      </c>
      <c r="I1242" s="22">
        <v>122</v>
      </c>
      <c r="J1242" s="22">
        <v>15</v>
      </c>
      <c r="K1242" s="22">
        <v>10</v>
      </c>
      <c r="L1242" s="34" t="e">
        <v>#N/A</v>
      </c>
      <c r="M1242" s="12">
        <v>140</v>
      </c>
      <c r="N1242" s="13"/>
      <c r="O1242" s="13" t="s">
        <v>18</v>
      </c>
    </row>
    <row r="1243" spans="1:15">
      <c r="A1243" s="36" t="s">
        <v>1490</v>
      </c>
      <c r="B1243" s="8">
        <v>9</v>
      </c>
      <c r="C1243" s="8">
        <v>69</v>
      </c>
      <c r="D1243" s="8">
        <v>50</v>
      </c>
      <c r="E1243" s="8">
        <v>0.6</v>
      </c>
      <c r="F1243" s="9">
        <v>1254</v>
      </c>
      <c r="G1243" s="22" t="s">
        <v>16</v>
      </c>
      <c r="H1243" s="22" t="s">
        <v>997</v>
      </c>
      <c r="I1243" s="22">
        <v>122</v>
      </c>
      <c r="J1243" s="22">
        <v>15</v>
      </c>
      <c r="K1243" s="22">
        <v>10</v>
      </c>
      <c r="L1243" s="34" t="e">
        <v>#N/A</v>
      </c>
      <c r="M1243" s="12">
        <v>224</v>
      </c>
      <c r="N1243" s="13"/>
      <c r="O1243" s="13" t="s">
        <v>18</v>
      </c>
    </row>
    <row r="1244" spans="1:15">
      <c r="A1244" s="36" t="s">
        <v>1491</v>
      </c>
      <c r="B1244" s="8">
        <v>9</v>
      </c>
      <c r="C1244" s="8">
        <v>74</v>
      </c>
      <c r="D1244" s="8">
        <v>50</v>
      </c>
      <c r="E1244" s="8">
        <v>0.6</v>
      </c>
      <c r="F1244" s="9">
        <v>1255</v>
      </c>
      <c r="G1244" s="22" t="s">
        <v>16</v>
      </c>
      <c r="H1244" s="22" t="s">
        <v>997</v>
      </c>
      <c r="I1244" s="22">
        <v>122</v>
      </c>
      <c r="J1244" s="22">
        <v>15</v>
      </c>
      <c r="K1244" s="22">
        <v>10</v>
      </c>
      <c r="L1244" s="34" t="e">
        <v>#N/A</v>
      </c>
      <c r="M1244" s="12">
        <v>491</v>
      </c>
      <c r="N1244" s="13"/>
      <c r="O1244" s="13" t="s">
        <v>18</v>
      </c>
    </row>
    <row r="1245" spans="1:15">
      <c r="A1245" s="36" t="s">
        <v>1492</v>
      </c>
      <c r="B1245" s="8">
        <v>9</v>
      </c>
      <c r="C1245" s="8">
        <v>320</v>
      </c>
      <c r="D1245" s="8">
        <v>50</v>
      </c>
      <c r="E1245" s="8">
        <v>1.48</v>
      </c>
      <c r="F1245" s="9">
        <v>1256</v>
      </c>
      <c r="G1245" s="22" t="s">
        <v>372</v>
      </c>
      <c r="H1245" s="22" t="s">
        <v>898</v>
      </c>
      <c r="I1245" s="22">
        <v>145</v>
      </c>
      <c r="J1245" s="22">
        <v>29</v>
      </c>
      <c r="K1245" s="22">
        <v>16</v>
      </c>
      <c r="L1245" s="34" t="e">
        <v>#N/A</v>
      </c>
      <c r="M1245" s="12">
        <v>19</v>
      </c>
      <c r="N1245" s="13"/>
      <c r="O1245" s="13" t="s">
        <v>18</v>
      </c>
    </row>
    <row r="1246" spans="1:15">
      <c r="A1246" s="36" t="s">
        <v>1493</v>
      </c>
      <c r="B1246" s="8">
        <v>9</v>
      </c>
      <c r="C1246" s="8">
        <v>89</v>
      </c>
      <c r="D1246" s="8">
        <v>50</v>
      </c>
      <c r="E1246" s="8">
        <v>0.6</v>
      </c>
      <c r="F1246" s="9">
        <v>1257</v>
      </c>
      <c r="G1246" s="22" t="s">
        <v>16</v>
      </c>
      <c r="H1246" s="22" t="s">
        <v>997</v>
      </c>
      <c r="I1246" s="22">
        <v>122</v>
      </c>
      <c r="J1246" s="22">
        <v>15</v>
      </c>
      <c r="K1246" s="22">
        <v>10</v>
      </c>
      <c r="L1246" s="37" t="s">
        <v>311</v>
      </c>
      <c r="M1246" s="12">
        <v>22</v>
      </c>
      <c r="N1246" s="13"/>
      <c r="O1246" s="13"/>
    </row>
    <row r="1247" spans="1:15">
      <c r="A1247" s="36" t="s">
        <v>1494</v>
      </c>
      <c r="B1247" s="8">
        <v>9</v>
      </c>
      <c r="C1247" s="8">
        <v>63</v>
      </c>
      <c r="D1247" s="8">
        <v>54</v>
      </c>
      <c r="E1247" s="8">
        <v>0.64</v>
      </c>
      <c r="F1247" s="9">
        <v>1258</v>
      </c>
      <c r="G1247" s="22" t="s">
        <v>16</v>
      </c>
      <c r="H1247" s="22" t="s">
        <v>1428</v>
      </c>
      <c r="I1247" s="22">
        <v>130</v>
      </c>
      <c r="J1247" s="22">
        <v>15</v>
      </c>
      <c r="K1247" s="22">
        <v>10</v>
      </c>
      <c r="L1247" s="34" t="s">
        <v>942</v>
      </c>
      <c r="M1247" s="12">
        <v>0</v>
      </c>
      <c r="N1247" s="13"/>
      <c r="O1247" s="13" t="s">
        <v>18</v>
      </c>
    </row>
    <row r="1248" spans="1:15">
      <c r="A1248" s="36" t="s">
        <v>1495</v>
      </c>
      <c r="B1248" s="8">
        <v>9</v>
      </c>
      <c r="C1248" s="8">
        <v>97</v>
      </c>
      <c r="D1248" s="8">
        <v>50</v>
      </c>
      <c r="E1248" s="8">
        <v>0.6</v>
      </c>
      <c r="F1248" s="9">
        <v>1259</v>
      </c>
      <c r="G1248" s="22" t="s">
        <v>16</v>
      </c>
      <c r="H1248" s="22" t="s">
        <v>997</v>
      </c>
      <c r="I1248" s="22">
        <v>122</v>
      </c>
      <c r="J1248" s="22">
        <v>15</v>
      </c>
      <c r="K1248" s="22">
        <v>10</v>
      </c>
      <c r="L1248" s="37" t="s">
        <v>1496</v>
      </c>
      <c r="M1248" s="12" t="e">
        <v>#N/A</v>
      </c>
      <c r="N1248" s="13"/>
      <c r="O1248" s="13"/>
    </row>
    <row r="1249" spans="1:15">
      <c r="A1249" s="36" t="s">
        <v>1497</v>
      </c>
      <c r="B1249" s="8">
        <v>9</v>
      </c>
      <c r="C1249" s="8">
        <v>440</v>
      </c>
      <c r="D1249" s="8">
        <v>25</v>
      </c>
      <c r="E1249" s="8">
        <v>1.6</v>
      </c>
      <c r="F1249" s="9">
        <v>1260</v>
      </c>
      <c r="G1249" s="22" t="s">
        <v>722</v>
      </c>
      <c r="H1249" s="22" t="s">
        <v>1198</v>
      </c>
      <c r="I1249" s="22">
        <v>183</v>
      </c>
      <c r="J1249" s="22">
        <v>29</v>
      </c>
      <c r="K1249" s="22">
        <v>16</v>
      </c>
      <c r="L1249" s="34" t="e">
        <v>#N/A</v>
      </c>
      <c r="M1249" s="12">
        <v>12</v>
      </c>
      <c r="N1249" s="13"/>
      <c r="O1249" s="13" t="s">
        <v>18</v>
      </c>
    </row>
    <row r="1250" spans="1:15">
      <c r="A1250" s="36" t="s">
        <v>1498</v>
      </c>
      <c r="B1250" s="8">
        <v>9</v>
      </c>
      <c r="C1250" s="8">
        <v>68</v>
      </c>
      <c r="D1250" s="8">
        <v>50</v>
      </c>
      <c r="E1250" s="8">
        <v>0.6</v>
      </c>
      <c r="F1250" s="9">
        <v>1261</v>
      </c>
      <c r="G1250" s="22" t="s">
        <v>16</v>
      </c>
      <c r="H1250" s="22" t="s">
        <v>997</v>
      </c>
      <c r="I1250" s="22">
        <v>122</v>
      </c>
      <c r="J1250" s="22">
        <v>15</v>
      </c>
      <c r="K1250" s="22">
        <v>10</v>
      </c>
      <c r="L1250" s="34" t="e">
        <v>#N/A</v>
      </c>
      <c r="M1250" s="12">
        <v>76</v>
      </c>
      <c r="N1250" s="13"/>
      <c r="O1250" s="13" t="s">
        <v>18</v>
      </c>
    </row>
    <row r="1251" spans="1:15">
      <c r="A1251" s="36" t="s">
        <v>1499</v>
      </c>
      <c r="B1251" s="8">
        <v>9</v>
      </c>
      <c r="C1251" s="8">
        <v>85</v>
      </c>
      <c r="D1251" s="8">
        <v>50</v>
      </c>
      <c r="E1251" s="8">
        <v>0.6</v>
      </c>
      <c r="F1251" s="9">
        <v>1262</v>
      </c>
      <c r="G1251" s="22" t="s">
        <v>16</v>
      </c>
      <c r="H1251" s="22" t="s">
        <v>997</v>
      </c>
      <c r="I1251" s="22">
        <v>122</v>
      </c>
      <c r="J1251" s="22">
        <v>15</v>
      </c>
      <c r="K1251" s="22">
        <v>10</v>
      </c>
      <c r="L1251" s="34" t="e">
        <v>#N/A</v>
      </c>
      <c r="M1251" s="12">
        <v>11</v>
      </c>
      <c r="N1251" s="13"/>
      <c r="O1251" s="13" t="s">
        <v>18</v>
      </c>
    </row>
    <row r="1252" spans="1:15">
      <c r="A1252" s="36" t="s">
        <v>1500</v>
      </c>
      <c r="B1252" s="8">
        <v>9</v>
      </c>
      <c r="C1252" s="8">
        <v>155</v>
      </c>
      <c r="D1252" s="8">
        <v>6</v>
      </c>
      <c r="E1252" s="8">
        <v>0.2</v>
      </c>
      <c r="F1252" s="9">
        <v>1263</v>
      </c>
      <c r="G1252" s="22" t="s">
        <v>902</v>
      </c>
      <c r="H1252" s="22" t="s">
        <v>630</v>
      </c>
      <c r="I1252" s="22">
        <v>45</v>
      </c>
      <c r="J1252" s="22">
        <v>26</v>
      </c>
      <c r="K1252" s="22">
        <v>8</v>
      </c>
      <c r="L1252" s="34" t="s">
        <v>631</v>
      </c>
      <c r="M1252" s="12">
        <v>15</v>
      </c>
      <c r="N1252" s="13"/>
      <c r="O1252" s="13"/>
    </row>
    <row r="1253" spans="1:15">
      <c r="A1253" s="36" t="s">
        <v>1501</v>
      </c>
      <c r="B1253" s="8">
        <v>9</v>
      </c>
      <c r="C1253" s="8">
        <v>155</v>
      </c>
      <c r="D1253" s="8">
        <v>6</v>
      </c>
      <c r="E1253" s="8">
        <v>0.2</v>
      </c>
      <c r="F1253" s="9">
        <v>1264</v>
      </c>
      <c r="G1253" s="22" t="s">
        <v>902</v>
      </c>
      <c r="H1253" s="22" t="s">
        <v>630</v>
      </c>
      <c r="I1253" s="22">
        <v>45</v>
      </c>
      <c r="J1253" s="22">
        <v>26</v>
      </c>
      <c r="K1253" s="22">
        <v>8</v>
      </c>
      <c r="L1253" s="34" t="s">
        <v>631</v>
      </c>
      <c r="M1253" s="12">
        <v>15</v>
      </c>
      <c r="N1253" s="13"/>
      <c r="O1253" s="13"/>
    </row>
    <row r="1254" spans="1:15">
      <c r="A1254" s="36" t="s">
        <v>1502</v>
      </c>
      <c r="B1254" s="8">
        <v>9</v>
      </c>
      <c r="C1254" s="8">
        <v>740</v>
      </c>
      <c r="D1254" s="8">
        <v>12</v>
      </c>
      <c r="E1254" s="8">
        <v>2.2200000000000002</v>
      </c>
      <c r="F1254" s="9">
        <v>1265</v>
      </c>
      <c r="G1254" s="22" t="s">
        <v>1377</v>
      </c>
      <c r="H1254" s="22" t="s">
        <v>1503</v>
      </c>
      <c r="I1254" s="22">
        <v>179</v>
      </c>
      <c r="J1254" s="22">
        <v>42</v>
      </c>
      <c r="K1254" s="22">
        <v>15</v>
      </c>
      <c r="L1254" s="34" t="s">
        <v>1504</v>
      </c>
      <c r="M1254" s="12">
        <v>2</v>
      </c>
      <c r="N1254" s="13"/>
      <c r="O1254" s="13"/>
    </row>
    <row r="1255" spans="1:15">
      <c r="A1255" s="36" t="s">
        <v>1505</v>
      </c>
      <c r="B1255" s="8">
        <v>9</v>
      </c>
      <c r="C1255" s="8">
        <v>740</v>
      </c>
      <c r="D1255" s="8">
        <v>12</v>
      </c>
      <c r="E1255" s="8">
        <v>2.2200000000000002</v>
      </c>
      <c r="F1255" s="9">
        <v>1266</v>
      </c>
      <c r="G1255" s="22" t="s">
        <v>1377</v>
      </c>
      <c r="H1255" s="22" t="s">
        <v>1503</v>
      </c>
      <c r="I1255" s="22">
        <v>179</v>
      </c>
      <c r="J1255" s="22">
        <v>42</v>
      </c>
      <c r="K1255" s="22">
        <v>15</v>
      </c>
      <c r="L1255" s="34" t="s">
        <v>1504</v>
      </c>
      <c r="M1255" s="12">
        <v>0</v>
      </c>
      <c r="N1255" s="13" t="s">
        <v>18</v>
      </c>
      <c r="O1255" s="13"/>
    </row>
    <row r="1256" spans="1:15">
      <c r="A1256" s="36" t="s">
        <v>1506</v>
      </c>
      <c r="B1256" s="8">
        <v>9</v>
      </c>
      <c r="C1256" s="8">
        <v>340</v>
      </c>
      <c r="D1256" s="8">
        <v>50</v>
      </c>
      <c r="E1256" s="8">
        <v>1.48</v>
      </c>
      <c r="F1256" s="9">
        <v>1267</v>
      </c>
      <c r="G1256" s="22" t="s">
        <v>372</v>
      </c>
      <c r="H1256" s="22" t="s">
        <v>898</v>
      </c>
      <c r="I1256" s="22">
        <v>145</v>
      </c>
      <c r="J1256" s="22">
        <v>29</v>
      </c>
      <c r="K1256" s="22">
        <v>16</v>
      </c>
      <c r="L1256" s="34" t="e">
        <v>#N/A</v>
      </c>
      <c r="M1256" s="12">
        <v>51</v>
      </c>
      <c r="N1256" s="13"/>
      <c r="O1256" s="13" t="s">
        <v>18</v>
      </c>
    </row>
    <row r="1257" spans="1:15">
      <c r="A1257" s="36" t="s">
        <v>1507</v>
      </c>
      <c r="B1257" s="8">
        <v>9</v>
      </c>
      <c r="C1257" s="8">
        <v>54</v>
      </c>
      <c r="D1257" s="8">
        <v>54</v>
      </c>
      <c r="E1257" s="8">
        <v>0.6</v>
      </c>
      <c r="F1257" s="9">
        <v>1268</v>
      </c>
      <c r="G1257" s="22" t="s">
        <v>16</v>
      </c>
      <c r="H1257" s="22" t="s">
        <v>997</v>
      </c>
      <c r="I1257" s="22">
        <v>122</v>
      </c>
      <c r="J1257" s="22">
        <v>15</v>
      </c>
      <c r="K1257" s="22">
        <v>10</v>
      </c>
      <c r="L1257" s="34" t="s">
        <v>1471</v>
      </c>
      <c r="M1257" s="12">
        <v>0</v>
      </c>
      <c r="N1257" s="13"/>
      <c r="O1257" s="13"/>
    </row>
    <row r="1258" spans="1:15">
      <c r="A1258" s="36" t="s">
        <v>1508</v>
      </c>
      <c r="B1258" s="8">
        <v>9</v>
      </c>
      <c r="C1258" s="8">
        <v>78</v>
      </c>
      <c r="D1258" s="8">
        <v>50</v>
      </c>
      <c r="E1258" s="8">
        <v>0.6</v>
      </c>
      <c r="F1258" s="9">
        <v>1269</v>
      </c>
      <c r="G1258" s="22" t="s">
        <v>16</v>
      </c>
      <c r="H1258" s="22" t="s">
        <v>997</v>
      </c>
      <c r="I1258" s="22">
        <v>122</v>
      </c>
      <c r="J1258" s="22">
        <v>15</v>
      </c>
      <c r="K1258" s="22">
        <v>10</v>
      </c>
      <c r="L1258" s="34" t="e">
        <v>#N/A</v>
      </c>
      <c r="M1258" s="12">
        <v>4</v>
      </c>
      <c r="N1258" s="13"/>
      <c r="O1258" s="13" t="s">
        <v>18</v>
      </c>
    </row>
    <row r="1259" spans="1:15">
      <c r="A1259" s="36" t="s">
        <v>1509</v>
      </c>
      <c r="B1259" s="8">
        <v>9</v>
      </c>
      <c r="C1259" s="8">
        <v>64</v>
      </c>
      <c r="D1259" s="8">
        <v>54</v>
      </c>
      <c r="E1259" s="8">
        <v>0.64</v>
      </c>
      <c r="F1259" s="9">
        <v>1270</v>
      </c>
      <c r="G1259" s="22" t="s">
        <v>16</v>
      </c>
      <c r="H1259" s="22" t="s">
        <v>1428</v>
      </c>
      <c r="I1259" s="22">
        <v>130</v>
      </c>
      <c r="J1259" s="22">
        <v>15</v>
      </c>
      <c r="K1259" s="22">
        <v>10</v>
      </c>
      <c r="L1259" s="34" t="s">
        <v>942</v>
      </c>
      <c r="M1259" s="12">
        <v>0</v>
      </c>
      <c r="N1259" s="13"/>
      <c r="O1259" s="13" t="s">
        <v>18</v>
      </c>
    </row>
    <row r="1260" spans="1:15">
      <c r="A1260" s="36" t="s">
        <v>1510</v>
      </c>
      <c r="B1260" s="8">
        <v>9</v>
      </c>
      <c r="C1260" s="8">
        <v>143</v>
      </c>
      <c r="D1260" s="8">
        <v>6</v>
      </c>
      <c r="E1260" s="8">
        <v>0.2</v>
      </c>
      <c r="F1260" s="9">
        <v>1271</v>
      </c>
      <c r="G1260" s="22" t="s">
        <v>902</v>
      </c>
      <c r="H1260" s="22" t="s">
        <v>630</v>
      </c>
      <c r="I1260" s="22">
        <v>45</v>
      </c>
      <c r="J1260" s="22">
        <v>26</v>
      </c>
      <c r="K1260" s="22">
        <v>8</v>
      </c>
      <c r="L1260" s="34" t="s">
        <v>756</v>
      </c>
      <c r="M1260" s="12">
        <v>0</v>
      </c>
      <c r="N1260" s="13"/>
      <c r="O1260" s="13"/>
    </row>
    <row r="1261" spans="1:15">
      <c r="A1261" s="36" t="s">
        <v>1511</v>
      </c>
      <c r="B1261" s="8">
        <v>9</v>
      </c>
      <c r="C1261" s="8">
        <v>143</v>
      </c>
      <c r="D1261" s="8">
        <v>6</v>
      </c>
      <c r="E1261" s="8">
        <v>0.2</v>
      </c>
      <c r="F1261" s="9">
        <v>1272</v>
      </c>
      <c r="G1261" s="22" t="s">
        <v>902</v>
      </c>
      <c r="H1261" s="22" t="s">
        <v>630</v>
      </c>
      <c r="I1261" s="22">
        <v>45</v>
      </c>
      <c r="J1261" s="22">
        <v>26</v>
      </c>
      <c r="K1261" s="22">
        <v>8</v>
      </c>
      <c r="L1261" s="34" t="s">
        <v>756</v>
      </c>
      <c r="M1261" s="12">
        <v>3</v>
      </c>
      <c r="N1261" s="13"/>
      <c r="O1261" s="13"/>
    </row>
    <row r="1262" spans="1:15">
      <c r="A1262" s="36" t="s">
        <v>1512</v>
      </c>
      <c r="B1262" s="8">
        <v>9</v>
      </c>
      <c r="C1262" s="8">
        <v>320</v>
      </c>
      <c r="D1262" s="8">
        <v>50</v>
      </c>
      <c r="E1262" s="8">
        <v>1.48</v>
      </c>
      <c r="F1262" s="9">
        <v>1273</v>
      </c>
      <c r="G1262" s="22" t="s">
        <v>372</v>
      </c>
      <c r="H1262" s="22" t="s">
        <v>898</v>
      </c>
      <c r="I1262" s="22">
        <v>145</v>
      </c>
      <c r="J1262" s="22">
        <v>29</v>
      </c>
      <c r="K1262" s="22">
        <v>16</v>
      </c>
      <c r="L1262" s="34" t="e">
        <v>#N/A</v>
      </c>
      <c r="M1262" s="12">
        <v>8</v>
      </c>
      <c r="N1262" s="13"/>
      <c r="O1262" s="13" t="s">
        <v>18</v>
      </c>
    </row>
    <row r="1263" spans="1:15">
      <c r="A1263" s="36" t="s">
        <v>1513</v>
      </c>
      <c r="B1263" s="8">
        <v>9</v>
      </c>
      <c r="C1263" s="8">
        <v>59</v>
      </c>
      <c r="D1263" s="8">
        <v>54</v>
      </c>
      <c r="E1263" s="8">
        <v>0.6</v>
      </c>
      <c r="F1263" s="9">
        <v>1274</v>
      </c>
      <c r="G1263" s="22" t="s">
        <v>1296</v>
      </c>
      <c r="H1263" s="22" t="s">
        <v>997</v>
      </c>
      <c r="I1263" s="22">
        <v>122</v>
      </c>
      <c r="J1263" s="22">
        <v>15</v>
      </c>
      <c r="K1263" s="22">
        <v>10</v>
      </c>
      <c r="L1263" s="34" t="s">
        <v>111</v>
      </c>
      <c r="M1263" s="12">
        <v>0</v>
      </c>
      <c r="N1263" s="13"/>
      <c r="O1263" s="13"/>
    </row>
    <row r="1264" spans="1:15">
      <c r="A1264" s="36" t="s">
        <v>1514</v>
      </c>
      <c r="B1264" s="8">
        <v>9</v>
      </c>
      <c r="C1264" s="8">
        <v>65</v>
      </c>
      <c r="D1264" s="8">
        <v>54</v>
      </c>
      <c r="E1264" s="8">
        <v>0.64</v>
      </c>
      <c r="F1264" s="9">
        <v>1275</v>
      </c>
      <c r="G1264" s="22" t="s">
        <v>1296</v>
      </c>
      <c r="H1264" s="22" t="s">
        <v>1428</v>
      </c>
      <c r="I1264" s="22">
        <v>130</v>
      </c>
      <c r="J1264" s="22">
        <v>15</v>
      </c>
      <c r="K1264" s="22">
        <v>10</v>
      </c>
      <c r="L1264" s="34" t="s">
        <v>942</v>
      </c>
      <c r="M1264" s="12">
        <v>2</v>
      </c>
      <c r="N1264" s="13"/>
      <c r="O1264" s="13"/>
    </row>
    <row r="1265" spans="1:15">
      <c r="A1265" s="36" t="s">
        <v>1515</v>
      </c>
      <c r="B1265" s="8">
        <v>9</v>
      </c>
      <c r="C1265" s="8">
        <v>155</v>
      </c>
      <c r="D1265" s="8">
        <v>6</v>
      </c>
      <c r="E1265" s="8">
        <v>0.2</v>
      </c>
      <c r="F1265" s="9">
        <v>1276</v>
      </c>
      <c r="G1265" s="22" t="s">
        <v>1516</v>
      </c>
      <c r="H1265" s="22" t="s">
        <v>630</v>
      </c>
      <c r="I1265" s="22">
        <v>45</v>
      </c>
      <c r="J1265" s="22">
        <v>26</v>
      </c>
      <c r="K1265" s="22">
        <v>8</v>
      </c>
      <c r="L1265" s="34" t="s">
        <v>631</v>
      </c>
      <c r="M1265" s="12">
        <v>12</v>
      </c>
      <c r="N1265" s="13"/>
      <c r="O1265" s="13"/>
    </row>
    <row r="1266" spans="1:15">
      <c r="A1266" s="36" t="s">
        <v>1517</v>
      </c>
      <c r="B1266" s="8">
        <v>9</v>
      </c>
      <c r="C1266" s="8">
        <v>323</v>
      </c>
      <c r="D1266" s="8">
        <v>50</v>
      </c>
      <c r="E1266" s="8">
        <v>1.48</v>
      </c>
      <c r="F1266" s="9">
        <v>1277</v>
      </c>
      <c r="G1266" s="22" t="s">
        <v>372</v>
      </c>
      <c r="H1266" s="22" t="s">
        <v>898</v>
      </c>
      <c r="I1266" s="22">
        <v>145</v>
      </c>
      <c r="J1266" s="22">
        <v>29</v>
      </c>
      <c r="K1266" s="22">
        <v>16</v>
      </c>
      <c r="L1266" s="34" t="s">
        <v>571</v>
      </c>
      <c r="M1266" s="12">
        <v>2</v>
      </c>
      <c r="N1266" s="13"/>
      <c r="O1266" s="13"/>
    </row>
    <row r="1267" spans="1:15">
      <c r="A1267" s="36" t="s">
        <v>1518</v>
      </c>
      <c r="B1267" s="8">
        <v>9</v>
      </c>
      <c r="C1267" s="8">
        <v>316</v>
      </c>
      <c r="D1267" s="8">
        <v>50</v>
      </c>
      <c r="E1267" s="8">
        <v>1.48</v>
      </c>
      <c r="F1267" s="9">
        <v>1278</v>
      </c>
      <c r="G1267" s="22" t="s">
        <v>372</v>
      </c>
      <c r="H1267" s="22" t="s">
        <v>898</v>
      </c>
      <c r="I1267" s="22">
        <v>145</v>
      </c>
      <c r="J1267" s="22">
        <v>29</v>
      </c>
      <c r="K1267" s="22">
        <v>16</v>
      </c>
      <c r="L1267" s="34" t="s">
        <v>846</v>
      </c>
      <c r="M1267" s="12">
        <v>7</v>
      </c>
      <c r="N1267" s="13"/>
      <c r="O1267" s="13"/>
    </row>
    <row r="1268" spans="1:15">
      <c r="A1268" s="36" t="s">
        <v>1519</v>
      </c>
      <c r="B1268" s="8">
        <v>9</v>
      </c>
      <c r="C1268" s="8">
        <v>321</v>
      </c>
      <c r="D1268" s="8">
        <v>50</v>
      </c>
      <c r="E1268" s="8">
        <v>1.48</v>
      </c>
      <c r="F1268" s="9">
        <v>1279</v>
      </c>
      <c r="G1268" s="22" t="s">
        <v>372</v>
      </c>
      <c r="H1268" s="22" t="s">
        <v>898</v>
      </c>
      <c r="I1268" s="22">
        <v>145</v>
      </c>
      <c r="J1268" s="22">
        <v>29</v>
      </c>
      <c r="K1268" s="22">
        <v>16</v>
      </c>
      <c r="L1268" s="34" t="s">
        <v>833</v>
      </c>
      <c r="M1268" s="12">
        <v>3</v>
      </c>
      <c r="N1268" s="13"/>
      <c r="O1268" s="13"/>
    </row>
    <row r="1269" spans="1:15">
      <c r="A1269" s="36" t="s">
        <v>1520</v>
      </c>
      <c r="B1269" s="8">
        <v>9</v>
      </c>
      <c r="C1269" s="8">
        <v>90</v>
      </c>
      <c r="D1269" s="8">
        <v>50</v>
      </c>
      <c r="E1269" s="8">
        <v>0.6</v>
      </c>
      <c r="F1269" s="9">
        <v>1280</v>
      </c>
      <c r="G1269" s="22" t="s">
        <v>16</v>
      </c>
      <c r="H1269" s="22" t="s">
        <v>997</v>
      </c>
      <c r="I1269" s="22">
        <v>122</v>
      </c>
      <c r="J1269" s="22">
        <v>15</v>
      </c>
      <c r="K1269" s="22">
        <v>10</v>
      </c>
      <c r="L1269" s="34" t="e">
        <v>#N/A</v>
      </c>
      <c r="M1269" s="12">
        <v>361</v>
      </c>
      <c r="N1269" s="13"/>
      <c r="O1269" s="13" t="s">
        <v>18</v>
      </c>
    </row>
    <row r="1270" spans="1:15">
      <c r="A1270" s="36" t="s">
        <v>1521</v>
      </c>
      <c r="B1270" s="8">
        <v>9</v>
      </c>
      <c r="C1270" s="8">
        <v>88</v>
      </c>
      <c r="D1270" s="8">
        <v>50</v>
      </c>
      <c r="E1270" s="8">
        <v>0.6</v>
      </c>
      <c r="F1270" s="9">
        <v>1281</v>
      </c>
      <c r="G1270" s="22" t="s">
        <v>16</v>
      </c>
      <c r="H1270" s="22" t="s">
        <v>997</v>
      </c>
      <c r="I1270" s="22">
        <v>122</v>
      </c>
      <c r="J1270" s="22">
        <v>15</v>
      </c>
      <c r="K1270" s="22">
        <v>10</v>
      </c>
      <c r="L1270" s="34" t="s">
        <v>313</v>
      </c>
      <c r="M1270" s="12">
        <v>0</v>
      </c>
      <c r="N1270" s="13"/>
      <c r="O1270" s="13"/>
    </row>
    <row r="1271" spans="1:15">
      <c r="A1271" s="36" t="s">
        <v>1522</v>
      </c>
      <c r="B1271" s="8">
        <v>9</v>
      </c>
      <c r="C1271" s="8">
        <v>88</v>
      </c>
      <c r="D1271" s="8">
        <v>50</v>
      </c>
      <c r="E1271" s="8">
        <v>0.6</v>
      </c>
      <c r="F1271" s="9">
        <v>1282</v>
      </c>
      <c r="G1271" s="22" t="s">
        <v>16</v>
      </c>
      <c r="H1271" s="22" t="s">
        <v>997</v>
      </c>
      <c r="I1271" s="22">
        <v>122</v>
      </c>
      <c r="J1271" s="22">
        <v>15</v>
      </c>
      <c r="K1271" s="22">
        <v>10</v>
      </c>
      <c r="L1271" s="34" t="s">
        <v>313</v>
      </c>
      <c r="M1271" s="12">
        <v>0</v>
      </c>
      <c r="N1271" s="13"/>
      <c r="O1271" s="13"/>
    </row>
    <row r="1272" spans="1:15">
      <c r="A1272" s="36" t="s">
        <v>1523</v>
      </c>
      <c r="B1272" s="8">
        <v>9</v>
      </c>
      <c r="C1272" s="8">
        <v>88</v>
      </c>
      <c r="D1272" s="8">
        <v>50</v>
      </c>
      <c r="E1272" s="8">
        <v>0.6</v>
      </c>
      <c r="F1272" s="9">
        <v>1283</v>
      </c>
      <c r="G1272" s="22" t="s">
        <v>16</v>
      </c>
      <c r="H1272" s="22" t="s">
        <v>997</v>
      </c>
      <c r="I1272" s="22">
        <v>122</v>
      </c>
      <c r="J1272" s="22">
        <v>15</v>
      </c>
      <c r="K1272" s="22">
        <v>10</v>
      </c>
      <c r="L1272" s="34" t="s">
        <v>313</v>
      </c>
      <c r="M1272" s="12">
        <v>0</v>
      </c>
      <c r="N1272" s="13"/>
      <c r="O1272" s="13"/>
    </row>
    <row r="1273" spans="1:15">
      <c r="A1273" s="36" t="s">
        <v>1524</v>
      </c>
      <c r="B1273" s="8">
        <v>9</v>
      </c>
      <c r="C1273" s="8">
        <v>92</v>
      </c>
      <c r="D1273" s="8">
        <v>50</v>
      </c>
      <c r="E1273" s="8">
        <v>0.6</v>
      </c>
      <c r="F1273" s="9">
        <v>1284</v>
      </c>
      <c r="G1273" s="22" t="s">
        <v>16</v>
      </c>
      <c r="H1273" s="22" t="s">
        <v>997</v>
      </c>
      <c r="I1273" s="22">
        <v>122</v>
      </c>
      <c r="J1273" s="22">
        <v>15</v>
      </c>
      <c r="K1273" s="22">
        <v>10</v>
      </c>
      <c r="L1273" s="34" t="e">
        <v>#N/A</v>
      </c>
      <c r="M1273" s="12">
        <v>50</v>
      </c>
      <c r="N1273" s="13"/>
      <c r="O1273" s="13" t="s">
        <v>18</v>
      </c>
    </row>
    <row r="1274" spans="1:15">
      <c r="A1274" s="36" t="s">
        <v>1525</v>
      </c>
      <c r="B1274" s="8">
        <v>9</v>
      </c>
      <c r="C1274" s="8"/>
      <c r="D1274" s="8">
        <v>50</v>
      </c>
      <c r="E1274" s="8">
        <v>0.6</v>
      </c>
      <c r="F1274" s="9">
        <v>1285</v>
      </c>
      <c r="G1274" s="22" t="s">
        <v>16</v>
      </c>
      <c r="H1274" s="22" t="s">
        <v>997</v>
      </c>
      <c r="I1274" s="22">
        <v>122</v>
      </c>
      <c r="J1274" s="22">
        <v>15</v>
      </c>
      <c r="K1274" s="22">
        <v>10</v>
      </c>
      <c r="L1274" s="34" t="e">
        <v>#N/A</v>
      </c>
      <c r="M1274" s="12" t="e">
        <v>#N/A</v>
      </c>
      <c r="N1274" s="13"/>
      <c r="O1274" s="13"/>
    </row>
    <row r="1275" spans="1:15">
      <c r="A1275" s="36" t="s">
        <v>1526</v>
      </c>
      <c r="B1275" s="8">
        <v>9</v>
      </c>
      <c r="C1275" s="8">
        <v>87</v>
      </c>
      <c r="D1275" s="8">
        <v>50</v>
      </c>
      <c r="E1275" s="8">
        <v>0.6</v>
      </c>
      <c r="F1275" s="9">
        <v>1286</v>
      </c>
      <c r="G1275" s="22" t="s">
        <v>16</v>
      </c>
      <c r="H1275" s="22" t="s">
        <v>997</v>
      </c>
      <c r="I1275" s="22">
        <v>122</v>
      </c>
      <c r="J1275" s="22">
        <v>15</v>
      </c>
      <c r="K1275" s="22">
        <v>10</v>
      </c>
      <c r="L1275" s="34" t="s">
        <v>309</v>
      </c>
      <c r="M1275" s="12">
        <v>0</v>
      </c>
      <c r="N1275" s="13"/>
      <c r="O1275" s="13"/>
    </row>
    <row r="1276" spans="1:15">
      <c r="A1276" s="36" t="s">
        <v>1527</v>
      </c>
      <c r="B1276" s="8">
        <v>9</v>
      </c>
      <c r="C1276" s="8">
        <v>87</v>
      </c>
      <c r="D1276" s="8">
        <v>50</v>
      </c>
      <c r="E1276" s="8">
        <v>0.6</v>
      </c>
      <c r="F1276" s="9">
        <v>1287</v>
      </c>
      <c r="G1276" s="22" t="s">
        <v>16</v>
      </c>
      <c r="H1276" s="22" t="s">
        <v>997</v>
      </c>
      <c r="I1276" s="22">
        <v>122</v>
      </c>
      <c r="J1276" s="22">
        <v>15</v>
      </c>
      <c r="K1276" s="22">
        <v>10</v>
      </c>
      <c r="L1276" s="34" t="s">
        <v>309</v>
      </c>
      <c r="M1276" s="12">
        <v>0</v>
      </c>
      <c r="N1276" s="13"/>
      <c r="O1276" s="13"/>
    </row>
    <row r="1277" spans="1:15">
      <c r="A1277" s="36" t="s">
        <v>1528</v>
      </c>
      <c r="B1277" s="8">
        <v>9</v>
      </c>
      <c r="C1277" s="8">
        <v>87</v>
      </c>
      <c r="D1277" s="8">
        <v>50</v>
      </c>
      <c r="E1277" s="8">
        <v>0.6</v>
      </c>
      <c r="F1277" s="9">
        <v>1288</v>
      </c>
      <c r="G1277" s="22" t="s">
        <v>16</v>
      </c>
      <c r="H1277" s="22" t="s">
        <v>997</v>
      </c>
      <c r="I1277" s="22">
        <v>122</v>
      </c>
      <c r="J1277" s="22">
        <v>15</v>
      </c>
      <c r="K1277" s="22">
        <v>10</v>
      </c>
      <c r="L1277" s="34" t="s">
        <v>309</v>
      </c>
      <c r="M1277" s="12">
        <v>0</v>
      </c>
      <c r="N1277" s="13"/>
      <c r="O1277" s="13"/>
    </row>
    <row r="1278" spans="1:15">
      <c r="A1278" s="36" t="s">
        <v>1529</v>
      </c>
      <c r="B1278" s="8">
        <v>9</v>
      </c>
      <c r="C1278" s="8">
        <v>87</v>
      </c>
      <c r="D1278" s="8">
        <v>50</v>
      </c>
      <c r="E1278" s="8">
        <v>0.6</v>
      </c>
      <c r="F1278" s="9">
        <v>1289</v>
      </c>
      <c r="G1278" s="22" t="s">
        <v>16</v>
      </c>
      <c r="H1278" s="22" t="s">
        <v>997</v>
      </c>
      <c r="I1278" s="22">
        <v>122</v>
      </c>
      <c r="J1278" s="22">
        <v>15</v>
      </c>
      <c r="K1278" s="22">
        <v>10</v>
      </c>
      <c r="L1278" s="34" t="s">
        <v>309</v>
      </c>
      <c r="M1278" s="12">
        <v>0</v>
      </c>
      <c r="N1278" s="13"/>
      <c r="O1278" s="13"/>
    </row>
    <row r="1279" spans="1:15">
      <c r="A1279" s="36" t="s">
        <v>1530</v>
      </c>
      <c r="B1279" s="8">
        <v>9</v>
      </c>
      <c r="C1279" s="8">
        <v>87</v>
      </c>
      <c r="D1279" s="8">
        <v>50</v>
      </c>
      <c r="E1279" s="8">
        <v>0.6</v>
      </c>
      <c r="F1279" s="9">
        <v>1290</v>
      </c>
      <c r="G1279" s="22" t="s">
        <v>16</v>
      </c>
      <c r="H1279" s="22" t="s">
        <v>997</v>
      </c>
      <c r="I1279" s="22">
        <v>122</v>
      </c>
      <c r="J1279" s="22">
        <v>15</v>
      </c>
      <c r="K1279" s="22">
        <v>10</v>
      </c>
      <c r="L1279" s="34" t="s">
        <v>309</v>
      </c>
      <c r="M1279" s="12">
        <v>0</v>
      </c>
      <c r="N1279" s="13"/>
      <c r="O1279" s="13"/>
    </row>
    <row r="1280" spans="1:15">
      <c r="A1280" s="36" t="s">
        <v>1531</v>
      </c>
      <c r="B1280" s="8">
        <v>9</v>
      </c>
      <c r="C1280" s="8">
        <v>87</v>
      </c>
      <c r="D1280" s="8">
        <v>50</v>
      </c>
      <c r="E1280" s="8">
        <v>0.6</v>
      </c>
      <c r="F1280" s="9">
        <v>1291</v>
      </c>
      <c r="G1280" s="22" t="s">
        <v>16</v>
      </c>
      <c r="H1280" s="22" t="s">
        <v>997</v>
      </c>
      <c r="I1280" s="22">
        <v>122</v>
      </c>
      <c r="J1280" s="22">
        <v>15</v>
      </c>
      <c r="K1280" s="22">
        <v>10</v>
      </c>
      <c r="L1280" s="34" t="s">
        <v>309</v>
      </c>
      <c r="M1280" s="12">
        <v>0</v>
      </c>
      <c r="N1280" s="13"/>
      <c r="O1280" s="13"/>
    </row>
    <row r="1281" spans="1:15">
      <c r="A1281" s="36" t="s">
        <v>1532</v>
      </c>
      <c r="B1281" s="8">
        <v>9</v>
      </c>
      <c r="C1281" s="8">
        <v>88</v>
      </c>
      <c r="D1281" s="8">
        <v>50</v>
      </c>
      <c r="E1281" s="8">
        <v>0.6</v>
      </c>
      <c r="F1281" s="9">
        <v>1292</v>
      </c>
      <c r="G1281" s="22" t="s">
        <v>16</v>
      </c>
      <c r="H1281" s="22" t="s">
        <v>997</v>
      </c>
      <c r="I1281" s="22">
        <v>122</v>
      </c>
      <c r="J1281" s="22">
        <v>15</v>
      </c>
      <c r="K1281" s="22">
        <v>10</v>
      </c>
      <c r="L1281" s="34" t="s">
        <v>313</v>
      </c>
      <c r="M1281" s="12">
        <v>0</v>
      </c>
      <c r="N1281" s="13"/>
      <c r="O1281" s="13"/>
    </row>
    <row r="1282" spans="1:15">
      <c r="A1282" s="36" t="s">
        <v>1533</v>
      </c>
      <c r="B1282" s="8">
        <v>9</v>
      </c>
      <c r="C1282" s="8">
        <v>88</v>
      </c>
      <c r="D1282" s="8">
        <v>50</v>
      </c>
      <c r="E1282" s="8">
        <v>0.6</v>
      </c>
      <c r="F1282" s="9">
        <v>1293</v>
      </c>
      <c r="G1282" s="22" t="s">
        <v>16</v>
      </c>
      <c r="H1282" s="22" t="s">
        <v>997</v>
      </c>
      <c r="I1282" s="22">
        <v>122</v>
      </c>
      <c r="J1282" s="22">
        <v>15</v>
      </c>
      <c r="K1282" s="22">
        <v>10</v>
      </c>
      <c r="L1282" s="34" t="s">
        <v>313</v>
      </c>
      <c r="M1282" s="12">
        <v>0</v>
      </c>
      <c r="N1282" s="13"/>
      <c r="O1282" s="13"/>
    </row>
    <row r="1283" spans="1:15">
      <c r="A1283" s="36" t="s">
        <v>1534</v>
      </c>
      <c r="B1283" s="8">
        <v>9</v>
      </c>
      <c r="C1283" s="8">
        <v>88</v>
      </c>
      <c r="D1283" s="8">
        <v>50</v>
      </c>
      <c r="E1283" s="8">
        <v>0.6</v>
      </c>
      <c r="F1283" s="9">
        <v>1294</v>
      </c>
      <c r="G1283" s="22" t="s">
        <v>16</v>
      </c>
      <c r="H1283" s="22" t="s">
        <v>997</v>
      </c>
      <c r="I1283" s="22">
        <v>122</v>
      </c>
      <c r="J1283" s="22">
        <v>15</v>
      </c>
      <c r="K1283" s="22">
        <v>10</v>
      </c>
      <c r="L1283" s="34" t="s">
        <v>313</v>
      </c>
      <c r="M1283" s="12">
        <v>0</v>
      </c>
      <c r="N1283" s="13"/>
      <c r="O1283" s="13"/>
    </row>
    <row r="1284" spans="1:15">
      <c r="A1284" s="36" t="s">
        <v>1535</v>
      </c>
      <c r="B1284" s="8">
        <v>9</v>
      </c>
      <c r="C1284" s="8">
        <v>87</v>
      </c>
      <c r="D1284" s="8">
        <v>50</v>
      </c>
      <c r="E1284" s="8">
        <v>0.6</v>
      </c>
      <c r="F1284" s="9">
        <v>1295</v>
      </c>
      <c r="G1284" s="22" t="s">
        <v>16</v>
      </c>
      <c r="H1284" s="22" t="s">
        <v>997</v>
      </c>
      <c r="I1284" s="22">
        <v>122</v>
      </c>
      <c r="J1284" s="22">
        <v>15</v>
      </c>
      <c r="K1284" s="22">
        <v>10</v>
      </c>
      <c r="L1284" s="34" t="s">
        <v>309</v>
      </c>
      <c r="M1284" s="12">
        <v>0</v>
      </c>
      <c r="N1284" s="13"/>
      <c r="O1284" s="13"/>
    </row>
    <row r="1285" spans="1:15">
      <c r="A1285" s="36" t="s">
        <v>1536</v>
      </c>
      <c r="B1285" s="8">
        <v>9</v>
      </c>
      <c r="C1285" s="8">
        <v>367</v>
      </c>
      <c r="D1285" s="8">
        <v>1</v>
      </c>
      <c r="E1285" s="8">
        <v>0.5</v>
      </c>
      <c r="F1285" s="9">
        <v>1296</v>
      </c>
      <c r="G1285" s="22" t="s">
        <v>446</v>
      </c>
      <c r="H1285" s="22" t="s">
        <v>1195</v>
      </c>
      <c r="I1285" s="22">
        <v>89</v>
      </c>
      <c r="J1285" s="22">
        <v>14</v>
      </c>
      <c r="K1285" s="22">
        <v>9</v>
      </c>
      <c r="L1285" s="34" t="s">
        <v>805</v>
      </c>
      <c r="M1285" s="12">
        <v>1</v>
      </c>
      <c r="N1285" s="13"/>
      <c r="O1285" s="13"/>
    </row>
    <row r="1286" spans="1:15">
      <c r="A1286" s="36" t="s">
        <v>1537</v>
      </c>
      <c r="B1286" s="8">
        <v>9</v>
      </c>
      <c r="C1286" s="8">
        <v>367</v>
      </c>
      <c r="D1286" s="8">
        <v>1</v>
      </c>
      <c r="E1286" s="8">
        <v>0.5</v>
      </c>
      <c r="F1286" s="9">
        <v>1297</v>
      </c>
      <c r="G1286" s="22" t="s">
        <v>446</v>
      </c>
      <c r="H1286" s="22" t="s">
        <v>1195</v>
      </c>
      <c r="I1286" s="22">
        <v>89</v>
      </c>
      <c r="J1286" s="22">
        <v>14</v>
      </c>
      <c r="K1286" s="22">
        <v>9</v>
      </c>
      <c r="L1286" s="34" t="s">
        <v>805</v>
      </c>
      <c r="M1286" s="12">
        <v>0</v>
      </c>
      <c r="N1286" s="13"/>
      <c r="O1286" s="13"/>
    </row>
    <row r="1287" spans="1:15">
      <c r="A1287" s="36" t="s">
        <v>1538</v>
      </c>
      <c r="B1287" s="8">
        <v>9</v>
      </c>
      <c r="C1287" s="8">
        <v>367</v>
      </c>
      <c r="D1287" s="8">
        <v>25</v>
      </c>
      <c r="E1287" s="8">
        <v>2.54</v>
      </c>
      <c r="F1287" s="9">
        <v>1298</v>
      </c>
      <c r="G1287" s="22" t="s">
        <v>446</v>
      </c>
      <c r="H1287" s="22" t="s">
        <v>523</v>
      </c>
      <c r="I1287" s="22">
        <v>77</v>
      </c>
      <c r="J1287" s="22">
        <v>52</v>
      </c>
      <c r="K1287" s="22">
        <v>32</v>
      </c>
      <c r="L1287" s="34" t="s">
        <v>1364</v>
      </c>
      <c r="M1287" s="12">
        <v>1</v>
      </c>
      <c r="N1287" s="12" t="e">
        <f>VLOOKUP(A:A,[2]成品数据统计表!$C$1:$E$65536,3,0)</f>
        <v>#REF!</v>
      </c>
      <c r="O1287" s="13"/>
    </row>
    <row r="1288" spans="1:15">
      <c r="A1288" s="36" t="s">
        <v>1539</v>
      </c>
      <c r="B1288" s="8">
        <v>9</v>
      </c>
      <c r="C1288" s="8">
        <v>86</v>
      </c>
      <c r="D1288" s="8">
        <v>50</v>
      </c>
      <c r="E1288" s="8">
        <v>0.6</v>
      </c>
      <c r="F1288" s="9">
        <v>1299</v>
      </c>
      <c r="G1288" s="22" t="s">
        <v>16</v>
      </c>
      <c r="H1288" s="22" t="s">
        <v>997</v>
      </c>
      <c r="I1288" s="22">
        <v>122</v>
      </c>
      <c r="J1288" s="22">
        <v>15</v>
      </c>
      <c r="K1288" s="22">
        <v>10</v>
      </c>
      <c r="L1288" s="34" t="s">
        <v>220</v>
      </c>
      <c r="M1288" s="12">
        <v>41</v>
      </c>
      <c r="N1288" s="13"/>
      <c r="O1288" s="13"/>
    </row>
    <row r="1289" spans="1:15">
      <c r="A1289" s="36" t="s">
        <v>1540</v>
      </c>
      <c r="B1289" s="8">
        <v>9</v>
      </c>
      <c r="C1289" s="8">
        <v>81</v>
      </c>
      <c r="D1289" s="8">
        <v>50</v>
      </c>
      <c r="E1289" s="8">
        <v>0.6</v>
      </c>
      <c r="F1289" s="9">
        <v>1300</v>
      </c>
      <c r="G1289" s="22" t="s">
        <v>16</v>
      </c>
      <c r="H1289" s="22" t="s">
        <v>997</v>
      </c>
      <c r="I1289" s="22">
        <v>122</v>
      </c>
      <c r="J1289" s="22">
        <v>15</v>
      </c>
      <c r="K1289" s="22">
        <v>10</v>
      </c>
      <c r="L1289" s="34" t="s">
        <v>136</v>
      </c>
      <c r="M1289" s="12">
        <v>23</v>
      </c>
      <c r="N1289" s="13"/>
      <c r="O1289" s="13"/>
    </row>
    <row r="1290" spans="1:15">
      <c r="A1290" s="36" t="s">
        <v>1541</v>
      </c>
      <c r="B1290" s="8">
        <v>9</v>
      </c>
      <c r="C1290" s="8">
        <v>312</v>
      </c>
      <c r="D1290" s="8">
        <v>50</v>
      </c>
      <c r="E1290" s="8">
        <v>1.48</v>
      </c>
      <c r="F1290" s="9">
        <v>1301</v>
      </c>
      <c r="G1290" s="22" t="s">
        <v>372</v>
      </c>
      <c r="H1290" s="22" t="s">
        <v>898</v>
      </c>
      <c r="I1290" s="22">
        <v>145</v>
      </c>
      <c r="J1290" s="22">
        <v>29</v>
      </c>
      <c r="K1290" s="22">
        <v>16</v>
      </c>
      <c r="L1290" s="34" t="s">
        <v>899</v>
      </c>
      <c r="M1290" s="12">
        <v>18</v>
      </c>
      <c r="N1290" s="13"/>
      <c r="O1290" s="13"/>
    </row>
    <row r="1291" spans="1:15">
      <c r="A1291" s="36" t="s">
        <v>1542</v>
      </c>
      <c r="B1291" s="8">
        <v>9</v>
      </c>
      <c r="C1291" s="8">
        <v>319</v>
      </c>
      <c r="D1291" s="8">
        <v>50</v>
      </c>
      <c r="E1291" s="8">
        <v>1.48</v>
      </c>
      <c r="F1291" s="9">
        <v>1302</v>
      </c>
      <c r="G1291" s="22" t="s">
        <v>372</v>
      </c>
      <c r="H1291" s="22" t="s">
        <v>898</v>
      </c>
      <c r="I1291" s="22">
        <v>145</v>
      </c>
      <c r="J1291" s="22">
        <v>29</v>
      </c>
      <c r="K1291" s="22">
        <v>16</v>
      </c>
      <c r="L1291" s="34" t="s">
        <v>986</v>
      </c>
      <c r="M1291" s="12">
        <v>239</v>
      </c>
      <c r="N1291" s="13"/>
      <c r="O1291" s="13"/>
    </row>
    <row r="1292" spans="1:15">
      <c r="A1292" s="36" t="s">
        <v>1543</v>
      </c>
      <c r="B1292" s="8">
        <v>9</v>
      </c>
      <c r="C1292" s="8">
        <v>319</v>
      </c>
      <c r="D1292" s="8">
        <v>50</v>
      </c>
      <c r="E1292" s="8">
        <v>1.48</v>
      </c>
      <c r="F1292" s="9">
        <v>1303</v>
      </c>
      <c r="G1292" s="22" t="s">
        <v>372</v>
      </c>
      <c r="H1292" s="22" t="s">
        <v>898</v>
      </c>
      <c r="I1292" s="22">
        <v>145</v>
      </c>
      <c r="J1292" s="22">
        <v>29</v>
      </c>
      <c r="K1292" s="22">
        <v>16</v>
      </c>
      <c r="L1292" s="34" t="s">
        <v>986</v>
      </c>
      <c r="M1292" s="12">
        <v>0</v>
      </c>
      <c r="N1292" s="13"/>
      <c r="O1292" s="13"/>
    </row>
    <row r="1293" spans="1:15">
      <c r="A1293" s="36" t="s">
        <v>1544</v>
      </c>
      <c r="B1293" s="8">
        <v>9</v>
      </c>
      <c r="C1293" s="8">
        <v>315</v>
      </c>
      <c r="D1293" s="8">
        <v>50</v>
      </c>
      <c r="E1293" s="8">
        <v>1.48</v>
      </c>
      <c r="F1293" s="9">
        <v>1304</v>
      </c>
      <c r="G1293" s="22" t="s">
        <v>372</v>
      </c>
      <c r="H1293" s="22" t="s">
        <v>898</v>
      </c>
      <c r="I1293" s="22">
        <v>145</v>
      </c>
      <c r="J1293" s="22">
        <v>29</v>
      </c>
      <c r="K1293" s="22">
        <v>16</v>
      </c>
      <c r="L1293" s="34" t="s">
        <v>403</v>
      </c>
      <c r="M1293" s="12">
        <v>100</v>
      </c>
      <c r="N1293" s="13"/>
      <c r="O1293" s="13"/>
    </row>
    <row r="1294" spans="1:15">
      <c r="A1294" s="36" t="s">
        <v>1545</v>
      </c>
      <c r="B1294" s="8">
        <v>9</v>
      </c>
      <c r="C1294" s="8">
        <v>77</v>
      </c>
      <c r="D1294" s="8">
        <v>50</v>
      </c>
      <c r="E1294" s="8">
        <v>0.64</v>
      </c>
      <c r="F1294" s="9">
        <v>1305</v>
      </c>
      <c r="G1294" s="22" t="s">
        <v>16</v>
      </c>
      <c r="H1294" s="22" t="s">
        <v>104</v>
      </c>
      <c r="I1294" s="22">
        <v>130</v>
      </c>
      <c r="J1294" s="22">
        <v>15</v>
      </c>
      <c r="K1294" s="22">
        <v>10</v>
      </c>
      <c r="L1294" s="34" t="s">
        <v>56</v>
      </c>
      <c r="M1294" s="12">
        <v>154</v>
      </c>
      <c r="N1294" s="13"/>
      <c r="O1294" s="13"/>
    </row>
    <row r="1295" spans="1:15">
      <c r="A1295" s="36" t="s">
        <v>1546</v>
      </c>
      <c r="B1295" s="8">
        <v>9</v>
      </c>
      <c r="C1295" s="8">
        <v>85</v>
      </c>
      <c r="D1295" s="8">
        <v>50</v>
      </c>
      <c r="E1295" s="8">
        <v>0.6</v>
      </c>
      <c r="F1295" s="9">
        <v>1306</v>
      </c>
      <c r="G1295" s="22" t="s">
        <v>16</v>
      </c>
      <c r="H1295" s="22" t="s">
        <v>997</v>
      </c>
      <c r="I1295" s="22">
        <v>122</v>
      </c>
      <c r="J1295" s="22">
        <v>15</v>
      </c>
      <c r="K1295" s="22">
        <v>10</v>
      </c>
      <c r="L1295" s="34" t="s">
        <v>100</v>
      </c>
      <c r="M1295" s="12">
        <v>55</v>
      </c>
      <c r="N1295" s="13"/>
      <c r="O1295" s="13"/>
    </row>
    <row r="1296" spans="1:15">
      <c r="A1296" s="36" t="s">
        <v>1547</v>
      </c>
      <c r="B1296" s="8">
        <v>9</v>
      </c>
      <c r="C1296" s="8">
        <v>88</v>
      </c>
      <c r="D1296" s="8">
        <v>50</v>
      </c>
      <c r="E1296" s="8">
        <v>0.6</v>
      </c>
      <c r="F1296" s="9">
        <v>1307</v>
      </c>
      <c r="G1296" s="22" t="s">
        <v>16</v>
      </c>
      <c r="H1296" s="22" t="s">
        <v>997</v>
      </c>
      <c r="I1296" s="22">
        <v>122</v>
      </c>
      <c r="J1296" s="22">
        <v>15</v>
      </c>
      <c r="K1296" s="22">
        <v>10</v>
      </c>
      <c r="L1296" s="34" t="s">
        <v>313</v>
      </c>
      <c r="M1296" s="12">
        <v>0</v>
      </c>
      <c r="N1296" s="13"/>
      <c r="O1296" s="13"/>
    </row>
    <row r="1297" spans="1:15">
      <c r="A1297" s="36" t="s">
        <v>1548</v>
      </c>
      <c r="B1297" s="8">
        <v>9</v>
      </c>
      <c r="C1297" s="8"/>
      <c r="D1297" s="8">
        <v>50</v>
      </c>
      <c r="E1297" s="8">
        <v>0.6</v>
      </c>
      <c r="F1297" s="9">
        <v>1308</v>
      </c>
      <c r="G1297" s="22" t="s">
        <v>16</v>
      </c>
      <c r="H1297" s="22" t="s">
        <v>997</v>
      </c>
      <c r="I1297" s="22">
        <v>122</v>
      </c>
      <c r="J1297" s="22">
        <v>15</v>
      </c>
      <c r="K1297" s="22">
        <v>10</v>
      </c>
      <c r="L1297" s="34" t="e">
        <v>#N/A</v>
      </c>
      <c r="M1297" s="12" t="e">
        <v>#N/A</v>
      </c>
      <c r="N1297" s="13"/>
      <c r="O1297" s="13"/>
    </row>
    <row r="1298" spans="1:15">
      <c r="A1298" s="36" t="s">
        <v>1549</v>
      </c>
      <c r="B1298" s="8">
        <v>9</v>
      </c>
      <c r="C1298" s="8">
        <v>91</v>
      </c>
      <c r="D1298" s="8">
        <v>50</v>
      </c>
      <c r="E1298" s="8">
        <v>0.6</v>
      </c>
      <c r="F1298" s="9">
        <v>1309</v>
      </c>
      <c r="G1298" s="22" t="s">
        <v>16</v>
      </c>
      <c r="H1298" s="22" t="s">
        <v>997</v>
      </c>
      <c r="I1298" s="22">
        <v>122</v>
      </c>
      <c r="J1298" s="22">
        <v>15</v>
      </c>
      <c r="K1298" s="22">
        <v>10</v>
      </c>
      <c r="L1298" s="34" t="e">
        <v>#N/A</v>
      </c>
      <c r="M1298" s="12">
        <v>251</v>
      </c>
      <c r="N1298" s="13"/>
      <c r="O1298" s="13" t="s">
        <v>18</v>
      </c>
    </row>
    <row r="1299" spans="1:15">
      <c r="A1299" s="36" t="s">
        <v>1550</v>
      </c>
      <c r="B1299" s="8">
        <v>9</v>
      </c>
      <c r="C1299" s="8"/>
      <c r="D1299" s="8">
        <v>50</v>
      </c>
      <c r="E1299" s="8">
        <v>0.6</v>
      </c>
      <c r="F1299" s="9">
        <v>1310</v>
      </c>
      <c r="G1299" s="22" t="s">
        <v>16</v>
      </c>
      <c r="H1299" s="22" t="s">
        <v>997</v>
      </c>
      <c r="I1299" s="22">
        <v>122</v>
      </c>
      <c r="J1299" s="22">
        <v>15</v>
      </c>
      <c r="K1299" s="22">
        <v>10</v>
      </c>
      <c r="L1299" s="34" t="e">
        <v>#N/A</v>
      </c>
      <c r="M1299" s="12" t="e">
        <v>#N/A</v>
      </c>
      <c r="N1299" s="13"/>
      <c r="O1299" s="13"/>
    </row>
    <row r="1300" spans="1:15">
      <c r="A1300" s="38" t="s">
        <v>1551</v>
      </c>
      <c r="B1300" s="8">
        <v>9</v>
      </c>
      <c r="C1300" s="8"/>
      <c r="D1300" s="8">
        <v>50</v>
      </c>
      <c r="E1300" s="8">
        <v>0.6</v>
      </c>
      <c r="F1300" s="9">
        <v>1311</v>
      </c>
      <c r="G1300" s="22" t="s">
        <v>16</v>
      </c>
      <c r="H1300" s="22" t="s">
        <v>997</v>
      </c>
      <c r="I1300" s="22">
        <v>122</v>
      </c>
      <c r="J1300" s="22">
        <v>15</v>
      </c>
      <c r="K1300" s="22">
        <v>10</v>
      </c>
      <c r="L1300" s="34" t="e">
        <v>#N/A</v>
      </c>
      <c r="M1300" s="12" t="e">
        <v>#N/A</v>
      </c>
      <c r="N1300" s="13"/>
      <c r="O1300" s="13"/>
    </row>
    <row r="1301" spans="1:15">
      <c r="A1301" s="38" t="s">
        <v>1552</v>
      </c>
      <c r="B1301" s="8">
        <v>9</v>
      </c>
      <c r="C1301" s="8"/>
      <c r="D1301" s="8">
        <v>50</v>
      </c>
      <c r="E1301" s="8">
        <v>0.6</v>
      </c>
      <c r="F1301" s="9">
        <v>1312</v>
      </c>
      <c r="G1301" s="22" t="s">
        <v>16</v>
      </c>
      <c r="H1301" s="22" t="s">
        <v>997</v>
      </c>
      <c r="I1301" s="22">
        <v>122</v>
      </c>
      <c r="J1301" s="22">
        <v>15</v>
      </c>
      <c r="K1301" s="22">
        <v>10</v>
      </c>
      <c r="L1301" s="34" t="e">
        <v>#N/A</v>
      </c>
      <c r="M1301" s="12" t="e">
        <v>#N/A</v>
      </c>
      <c r="N1301" s="13"/>
      <c r="O1301" s="13"/>
    </row>
    <row r="1302" spans="1:15">
      <c r="A1302" s="38" t="s">
        <v>1553</v>
      </c>
      <c r="B1302" s="8">
        <v>9</v>
      </c>
      <c r="C1302" s="8"/>
      <c r="D1302" s="8">
        <v>50</v>
      </c>
      <c r="E1302" s="8">
        <v>0.6</v>
      </c>
      <c r="F1302" s="9">
        <v>1313</v>
      </c>
      <c r="G1302" s="22" t="s">
        <v>16</v>
      </c>
      <c r="H1302" s="22" t="s">
        <v>997</v>
      </c>
      <c r="I1302" s="22">
        <v>122</v>
      </c>
      <c r="J1302" s="22">
        <v>15</v>
      </c>
      <c r="K1302" s="22">
        <v>10</v>
      </c>
      <c r="L1302" s="34" t="e">
        <v>#N/A</v>
      </c>
      <c r="M1302" s="12" t="e">
        <v>#N/A</v>
      </c>
      <c r="N1302" s="13"/>
      <c r="O1302" s="13"/>
    </row>
    <row r="1303" spans="1:15">
      <c r="A1303" s="38" t="s">
        <v>1554</v>
      </c>
      <c r="B1303" s="8">
        <v>9</v>
      </c>
      <c r="C1303" s="8">
        <v>68</v>
      </c>
      <c r="D1303" s="8">
        <v>50</v>
      </c>
      <c r="E1303" s="8">
        <v>0.6</v>
      </c>
      <c r="F1303" s="9">
        <v>1314</v>
      </c>
      <c r="G1303" s="22" t="s">
        <v>16</v>
      </c>
      <c r="H1303" s="22" t="s">
        <v>997</v>
      </c>
      <c r="I1303" s="22">
        <v>122</v>
      </c>
      <c r="J1303" s="22">
        <v>15</v>
      </c>
      <c r="K1303" s="22">
        <v>10</v>
      </c>
      <c r="L1303" s="34" t="s">
        <v>118</v>
      </c>
      <c r="M1303" s="12">
        <v>9</v>
      </c>
      <c r="N1303" s="13"/>
      <c r="O1303" s="13"/>
    </row>
    <row r="1304" spans="1:15">
      <c r="A1304" s="38" t="s">
        <v>1555</v>
      </c>
      <c r="B1304" s="8">
        <v>9</v>
      </c>
      <c r="C1304" s="8">
        <v>69</v>
      </c>
      <c r="D1304" s="8">
        <v>50</v>
      </c>
      <c r="E1304" s="8">
        <v>0.6</v>
      </c>
      <c r="F1304" s="9">
        <v>1315</v>
      </c>
      <c r="G1304" s="22" t="s">
        <v>16</v>
      </c>
      <c r="H1304" s="22" t="s">
        <v>997</v>
      </c>
      <c r="I1304" s="22">
        <v>122</v>
      </c>
      <c r="J1304" s="22">
        <v>15</v>
      </c>
      <c r="K1304" s="22">
        <v>10</v>
      </c>
      <c r="L1304" s="34" t="s">
        <v>123</v>
      </c>
      <c r="M1304" s="12">
        <v>1</v>
      </c>
      <c r="N1304" s="13"/>
      <c r="O1304" s="13"/>
    </row>
    <row r="1305" spans="1:15">
      <c r="A1305" s="38" t="s">
        <v>1556</v>
      </c>
      <c r="B1305" s="8">
        <v>9</v>
      </c>
      <c r="C1305" s="8">
        <v>88</v>
      </c>
      <c r="D1305" s="8">
        <v>50</v>
      </c>
      <c r="E1305" s="8">
        <v>0.6</v>
      </c>
      <c r="F1305" s="9">
        <v>1316</v>
      </c>
      <c r="G1305" s="22" t="s">
        <v>16</v>
      </c>
      <c r="H1305" s="22" t="s">
        <v>997</v>
      </c>
      <c r="I1305" s="22">
        <v>122</v>
      </c>
      <c r="J1305" s="22">
        <v>15</v>
      </c>
      <c r="K1305" s="22">
        <v>10</v>
      </c>
      <c r="L1305" s="34" t="s">
        <v>313</v>
      </c>
      <c r="M1305" s="12">
        <v>0</v>
      </c>
      <c r="N1305" s="13"/>
      <c r="O1305" s="13"/>
    </row>
    <row r="1306" spans="1:15">
      <c r="A1306" s="38" t="s">
        <v>1557</v>
      </c>
      <c r="B1306" s="8">
        <v>9</v>
      </c>
      <c r="C1306" s="8">
        <v>87</v>
      </c>
      <c r="D1306" s="8">
        <v>50</v>
      </c>
      <c r="E1306" s="8">
        <v>0.6</v>
      </c>
      <c r="F1306" s="9">
        <v>1317</v>
      </c>
      <c r="G1306" s="22" t="s">
        <v>16</v>
      </c>
      <c r="H1306" s="22" t="s">
        <v>997</v>
      </c>
      <c r="I1306" s="22">
        <v>122</v>
      </c>
      <c r="J1306" s="22">
        <v>15</v>
      </c>
      <c r="K1306" s="22">
        <v>10</v>
      </c>
      <c r="L1306" s="34" t="s">
        <v>309</v>
      </c>
      <c r="M1306" s="12">
        <v>0</v>
      </c>
      <c r="N1306" s="13"/>
      <c r="O1306" s="13"/>
    </row>
    <row r="1307" spans="1:15">
      <c r="A1307" s="38" t="s">
        <v>1558</v>
      </c>
      <c r="B1307" s="8">
        <v>9</v>
      </c>
      <c r="C1307" s="8">
        <v>340</v>
      </c>
      <c r="D1307" s="8">
        <v>50</v>
      </c>
      <c r="E1307" s="8">
        <v>1.48</v>
      </c>
      <c r="F1307" s="9">
        <v>1318</v>
      </c>
      <c r="G1307" s="22" t="s">
        <v>372</v>
      </c>
      <c r="H1307" s="22" t="s">
        <v>898</v>
      </c>
      <c r="I1307" s="22">
        <v>145</v>
      </c>
      <c r="J1307" s="22">
        <v>29</v>
      </c>
      <c r="K1307" s="22">
        <v>16</v>
      </c>
      <c r="L1307" s="34" t="e">
        <v>#REF!</v>
      </c>
      <c r="M1307" s="12">
        <v>0</v>
      </c>
      <c r="N1307" s="13"/>
      <c r="O1307" s="13" t="s">
        <v>18</v>
      </c>
    </row>
    <row r="1308" spans="1:15">
      <c r="A1308" s="38" t="s">
        <v>1559</v>
      </c>
      <c r="B1308" s="8">
        <v>9</v>
      </c>
      <c r="C1308" s="8">
        <v>340</v>
      </c>
      <c r="D1308" s="8">
        <v>50</v>
      </c>
      <c r="E1308" s="8">
        <v>1.48</v>
      </c>
      <c r="F1308" s="9">
        <v>1319</v>
      </c>
      <c r="G1308" s="22" t="s">
        <v>372</v>
      </c>
      <c r="H1308" s="22" t="s">
        <v>898</v>
      </c>
      <c r="I1308" s="22">
        <v>145</v>
      </c>
      <c r="J1308" s="22">
        <v>29</v>
      </c>
      <c r="K1308" s="22">
        <v>16</v>
      </c>
      <c r="L1308" s="34" t="e">
        <v>#N/A</v>
      </c>
      <c r="M1308" s="12">
        <v>2</v>
      </c>
      <c r="N1308" s="13" t="s">
        <v>183</v>
      </c>
      <c r="O1308" s="13"/>
    </row>
    <row r="1309" spans="1:15">
      <c r="A1309" s="38" t="s">
        <v>1560</v>
      </c>
      <c r="B1309" s="8">
        <v>9</v>
      </c>
      <c r="C1309" s="8">
        <v>442</v>
      </c>
      <c r="D1309" s="8">
        <v>25</v>
      </c>
      <c r="E1309" s="8">
        <v>1.6</v>
      </c>
      <c r="F1309" s="9">
        <v>1320</v>
      </c>
      <c r="G1309" s="22" t="s">
        <v>722</v>
      </c>
      <c r="H1309" s="22" t="s">
        <v>1198</v>
      </c>
      <c r="I1309" s="22">
        <v>183</v>
      </c>
      <c r="J1309" s="22">
        <v>29</v>
      </c>
      <c r="K1309" s="22">
        <v>16</v>
      </c>
      <c r="L1309" s="34" t="s">
        <v>1561</v>
      </c>
      <c r="M1309" s="12">
        <v>12</v>
      </c>
      <c r="N1309" s="13"/>
      <c r="O1309" s="13"/>
    </row>
    <row r="1310" spans="1:15">
      <c r="A1310" s="38" t="s">
        <v>1562</v>
      </c>
      <c r="B1310" s="8">
        <v>9</v>
      </c>
      <c r="C1310" s="8">
        <v>442</v>
      </c>
      <c r="D1310" s="8">
        <v>25</v>
      </c>
      <c r="E1310" s="8">
        <v>1.6</v>
      </c>
      <c r="F1310" s="9">
        <v>1321</v>
      </c>
      <c r="G1310" s="22" t="s">
        <v>722</v>
      </c>
      <c r="H1310" s="22" t="s">
        <v>1198</v>
      </c>
      <c r="I1310" s="22">
        <v>183</v>
      </c>
      <c r="J1310" s="22">
        <v>29</v>
      </c>
      <c r="K1310" s="22">
        <v>16</v>
      </c>
      <c r="L1310" s="34" t="s">
        <v>1561</v>
      </c>
      <c r="M1310" s="12">
        <v>12</v>
      </c>
      <c r="N1310" s="13"/>
      <c r="O1310" s="13"/>
    </row>
    <row r="1311" spans="1:15">
      <c r="A1311" s="38" t="s">
        <v>1563</v>
      </c>
      <c r="B1311" s="8">
        <v>9</v>
      </c>
      <c r="C1311" s="8">
        <v>442</v>
      </c>
      <c r="D1311" s="8">
        <v>25</v>
      </c>
      <c r="E1311" s="8">
        <v>1.6</v>
      </c>
      <c r="F1311" s="9">
        <v>1322</v>
      </c>
      <c r="G1311" s="22" t="s">
        <v>722</v>
      </c>
      <c r="H1311" s="22" t="s">
        <v>1198</v>
      </c>
      <c r="I1311" s="22">
        <v>183</v>
      </c>
      <c r="J1311" s="22">
        <v>29</v>
      </c>
      <c r="K1311" s="22">
        <v>16</v>
      </c>
      <c r="L1311" s="34" t="s">
        <v>1561</v>
      </c>
      <c r="M1311" s="12">
        <v>0</v>
      </c>
      <c r="N1311" s="13"/>
      <c r="O1311" s="13"/>
    </row>
    <row r="1312" spans="1:15">
      <c r="A1312" s="38" t="s">
        <v>1564</v>
      </c>
      <c r="B1312" s="8">
        <v>9</v>
      </c>
      <c r="C1312" s="8">
        <v>442</v>
      </c>
      <c r="D1312" s="8">
        <v>25</v>
      </c>
      <c r="E1312" s="8">
        <v>1.6</v>
      </c>
      <c r="F1312" s="9">
        <v>1323</v>
      </c>
      <c r="G1312" s="22" t="s">
        <v>722</v>
      </c>
      <c r="H1312" s="22" t="s">
        <v>1198</v>
      </c>
      <c r="I1312" s="22">
        <v>183</v>
      </c>
      <c r="J1312" s="22">
        <v>29</v>
      </c>
      <c r="K1312" s="22">
        <v>16</v>
      </c>
      <c r="L1312" s="34" t="s">
        <v>1561</v>
      </c>
      <c r="M1312" s="12">
        <v>0</v>
      </c>
      <c r="N1312" s="13"/>
      <c r="O1312" s="13"/>
    </row>
    <row r="1313" spans="1:15">
      <c r="A1313" s="38" t="s">
        <v>1565</v>
      </c>
      <c r="B1313" s="8">
        <v>9</v>
      </c>
      <c r="C1313" s="8">
        <v>442</v>
      </c>
      <c r="D1313" s="8">
        <v>25</v>
      </c>
      <c r="E1313" s="8">
        <v>1.6</v>
      </c>
      <c r="F1313" s="9">
        <v>1324</v>
      </c>
      <c r="G1313" s="22" t="s">
        <v>722</v>
      </c>
      <c r="H1313" s="22" t="s">
        <v>1198</v>
      </c>
      <c r="I1313" s="22">
        <v>183</v>
      </c>
      <c r="J1313" s="22">
        <v>29</v>
      </c>
      <c r="K1313" s="22">
        <v>16</v>
      </c>
      <c r="L1313" s="34" t="s">
        <v>1561</v>
      </c>
      <c r="M1313" s="12">
        <v>0</v>
      </c>
      <c r="N1313" s="13"/>
      <c r="O1313" s="13"/>
    </row>
    <row r="1314" spans="1:15">
      <c r="A1314" s="38" t="s">
        <v>1566</v>
      </c>
      <c r="B1314" s="8">
        <v>9</v>
      </c>
      <c r="C1314" s="8">
        <v>442</v>
      </c>
      <c r="D1314" s="8">
        <v>25</v>
      </c>
      <c r="E1314" s="8">
        <v>1.6</v>
      </c>
      <c r="F1314" s="9">
        <v>1325</v>
      </c>
      <c r="G1314" s="22" t="s">
        <v>722</v>
      </c>
      <c r="H1314" s="22" t="s">
        <v>1198</v>
      </c>
      <c r="I1314" s="22">
        <v>183</v>
      </c>
      <c r="J1314" s="22">
        <v>29</v>
      </c>
      <c r="K1314" s="22">
        <v>16</v>
      </c>
      <c r="L1314" s="34" t="s">
        <v>1561</v>
      </c>
      <c r="M1314" s="12">
        <v>0</v>
      </c>
      <c r="N1314" s="13"/>
      <c r="O1314" s="13"/>
    </row>
    <row r="1315" spans="1:15">
      <c r="A1315" s="38" t="s">
        <v>1567</v>
      </c>
      <c r="B1315" s="8">
        <v>9</v>
      </c>
      <c r="C1315" s="8">
        <v>352</v>
      </c>
      <c r="D1315" s="8">
        <v>1</v>
      </c>
      <c r="E1315" s="8">
        <v>0.5</v>
      </c>
      <c r="F1315" s="9">
        <v>1326</v>
      </c>
      <c r="G1315" s="22" t="s">
        <v>446</v>
      </c>
      <c r="H1315" s="22" t="s">
        <v>1195</v>
      </c>
      <c r="I1315" s="22">
        <v>89</v>
      </c>
      <c r="J1315" s="22">
        <v>14</v>
      </c>
      <c r="K1315" s="22">
        <v>9</v>
      </c>
      <c r="L1315" s="34" t="s">
        <v>809</v>
      </c>
      <c r="M1315" s="12">
        <v>6</v>
      </c>
      <c r="N1315" s="12" t="e">
        <f>VLOOKUP(A:A,[2]成品数据统计表!$C$1:$E$65536,3,0)</f>
        <v>#REF!</v>
      </c>
      <c r="O1315" s="13"/>
    </row>
    <row r="1316" spans="1:15">
      <c r="A1316" s="38" t="s">
        <v>1568</v>
      </c>
      <c r="B1316" s="8">
        <v>9</v>
      </c>
      <c r="C1316" s="8">
        <v>67</v>
      </c>
      <c r="D1316" s="8">
        <v>50</v>
      </c>
      <c r="E1316" s="8">
        <v>0.6</v>
      </c>
      <c r="F1316" s="9">
        <v>1327</v>
      </c>
      <c r="G1316" s="22" t="s">
        <v>16</v>
      </c>
      <c r="H1316" s="22" t="s">
        <v>997</v>
      </c>
      <c r="I1316" s="22">
        <v>122</v>
      </c>
      <c r="J1316" s="22">
        <v>15</v>
      </c>
      <c r="K1316" s="22">
        <v>10</v>
      </c>
      <c r="L1316" s="34" t="s">
        <v>123</v>
      </c>
      <c r="M1316" s="12">
        <v>30</v>
      </c>
      <c r="N1316" s="13"/>
      <c r="O1316" s="13"/>
    </row>
    <row r="1317" spans="1:15">
      <c r="A1317" s="38" t="s">
        <v>1569</v>
      </c>
      <c r="B1317" s="8">
        <v>9</v>
      </c>
      <c r="C1317" s="8">
        <v>66</v>
      </c>
      <c r="D1317" s="8">
        <v>50</v>
      </c>
      <c r="E1317" s="8">
        <v>0.6</v>
      </c>
      <c r="F1317" s="9">
        <v>1328</v>
      </c>
      <c r="G1317" s="22" t="s">
        <v>16</v>
      </c>
      <c r="H1317" s="22" t="s">
        <v>997</v>
      </c>
      <c r="I1317" s="22">
        <v>122</v>
      </c>
      <c r="J1317" s="22">
        <v>15</v>
      </c>
      <c r="K1317" s="22">
        <v>10</v>
      </c>
      <c r="L1317" s="34" t="s">
        <v>173</v>
      </c>
      <c r="M1317" s="12">
        <v>64</v>
      </c>
      <c r="N1317" s="13"/>
      <c r="O1317" s="13"/>
    </row>
    <row r="1318" spans="1:15">
      <c r="A1318" s="38" t="s">
        <v>1570</v>
      </c>
      <c r="B1318" s="8">
        <v>9</v>
      </c>
      <c r="C1318" s="8">
        <v>72</v>
      </c>
      <c r="D1318" s="8">
        <v>50</v>
      </c>
      <c r="E1318" s="8">
        <v>0.6</v>
      </c>
      <c r="F1318" s="9">
        <v>1329</v>
      </c>
      <c r="G1318" s="22" t="s">
        <v>16</v>
      </c>
      <c r="H1318" s="22" t="s">
        <v>997</v>
      </c>
      <c r="I1318" s="22">
        <v>122</v>
      </c>
      <c r="J1318" s="22">
        <v>15</v>
      </c>
      <c r="K1318" s="22">
        <v>10</v>
      </c>
      <c r="L1318" s="34" t="s">
        <v>107</v>
      </c>
      <c r="M1318" s="12">
        <v>45</v>
      </c>
      <c r="N1318" s="13"/>
      <c r="O1318" s="13"/>
    </row>
    <row r="1319" spans="1:15">
      <c r="A1319" s="38" t="s">
        <v>1571</v>
      </c>
      <c r="B1319" s="8">
        <v>9</v>
      </c>
      <c r="C1319" s="8">
        <v>65</v>
      </c>
      <c r="D1319" s="8">
        <v>54</v>
      </c>
      <c r="E1319" s="8">
        <v>0.64</v>
      </c>
      <c r="F1319" s="9">
        <v>1330</v>
      </c>
      <c r="G1319" s="22" t="s">
        <v>16</v>
      </c>
      <c r="H1319" s="22" t="s">
        <v>1428</v>
      </c>
      <c r="I1319" s="22">
        <v>130</v>
      </c>
      <c r="J1319" s="22">
        <v>15</v>
      </c>
      <c r="K1319" s="22">
        <v>10</v>
      </c>
      <c r="L1319" s="34" t="e">
        <v>#REF!</v>
      </c>
      <c r="M1319" s="12">
        <v>195</v>
      </c>
      <c r="N1319" s="13" t="s">
        <v>183</v>
      </c>
      <c r="O1319" s="13"/>
    </row>
    <row r="1320" spans="1:15">
      <c r="A1320" s="38" t="s">
        <v>1572</v>
      </c>
      <c r="B1320" s="8">
        <v>9</v>
      </c>
      <c r="C1320" s="8">
        <v>70</v>
      </c>
      <c r="D1320" s="8">
        <v>50</v>
      </c>
      <c r="E1320" s="8">
        <v>0.6</v>
      </c>
      <c r="F1320" s="9">
        <v>1331</v>
      </c>
      <c r="G1320" s="22" t="s">
        <v>16</v>
      </c>
      <c r="H1320" s="22" t="s">
        <v>997</v>
      </c>
      <c r="I1320" s="22">
        <v>122</v>
      </c>
      <c r="J1320" s="22">
        <v>15</v>
      </c>
      <c r="K1320" s="22">
        <v>10</v>
      </c>
      <c r="L1320" s="34" t="s">
        <v>121</v>
      </c>
      <c r="M1320" s="12">
        <v>25</v>
      </c>
      <c r="N1320" s="13"/>
      <c r="O1320" s="13"/>
    </row>
    <row r="1321" spans="1:15">
      <c r="A1321" s="38" t="s">
        <v>1573</v>
      </c>
      <c r="B1321" s="8">
        <v>9</v>
      </c>
      <c r="C1321" s="8">
        <v>63</v>
      </c>
      <c r="D1321" s="8">
        <v>50</v>
      </c>
      <c r="E1321" s="8">
        <v>0.6</v>
      </c>
      <c r="F1321" s="9">
        <v>1332</v>
      </c>
      <c r="G1321" s="22" t="s">
        <v>16</v>
      </c>
      <c r="H1321" s="22" t="s">
        <v>997</v>
      </c>
      <c r="I1321" s="22">
        <v>122</v>
      </c>
      <c r="J1321" s="22">
        <v>15</v>
      </c>
      <c r="K1321" s="22">
        <v>10</v>
      </c>
      <c r="L1321" s="34" t="s">
        <v>287</v>
      </c>
      <c r="M1321" s="12">
        <v>41</v>
      </c>
      <c r="N1321" s="13"/>
      <c r="O1321" s="13"/>
    </row>
    <row r="1322" spans="1:15">
      <c r="A1322" s="38" t="s">
        <v>1574</v>
      </c>
      <c r="B1322" s="8">
        <v>9</v>
      </c>
      <c r="C1322" s="8">
        <v>73</v>
      </c>
      <c r="D1322" s="8">
        <v>50</v>
      </c>
      <c r="E1322" s="8">
        <v>0.6</v>
      </c>
      <c r="F1322" s="9">
        <v>1333</v>
      </c>
      <c r="G1322" s="22" t="s">
        <v>16</v>
      </c>
      <c r="H1322" s="22" t="s">
        <v>997</v>
      </c>
      <c r="I1322" s="22">
        <v>122</v>
      </c>
      <c r="J1322" s="22">
        <v>15</v>
      </c>
      <c r="K1322" s="22">
        <v>10</v>
      </c>
      <c r="L1322" s="34" t="s">
        <v>90</v>
      </c>
      <c r="M1322" s="12">
        <v>31</v>
      </c>
      <c r="N1322" s="13"/>
      <c r="O1322" s="13"/>
    </row>
    <row r="1323" spans="1:15">
      <c r="A1323" s="38" t="s">
        <v>1575</v>
      </c>
      <c r="B1323" s="8">
        <v>9</v>
      </c>
      <c r="C1323" s="8">
        <v>40</v>
      </c>
      <c r="D1323" s="8">
        <v>54</v>
      </c>
      <c r="E1323" s="8">
        <v>0.64</v>
      </c>
      <c r="F1323" s="9">
        <v>1334</v>
      </c>
      <c r="G1323" s="22" t="s">
        <v>16</v>
      </c>
      <c r="H1323" s="22" t="s">
        <v>1428</v>
      </c>
      <c r="I1323" s="22">
        <v>130</v>
      </c>
      <c r="J1323" s="22">
        <v>15</v>
      </c>
      <c r="K1323" s="22">
        <v>10</v>
      </c>
      <c r="L1323" s="34" t="e">
        <v>#REF!</v>
      </c>
      <c r="M1323" s="12">
        <v>0</v>
      </c>
      <c r="N1323" s="13"/>
      <c r="O1323" s="13" t="s">
        <v>183</v>
      </c>
    </row>
    <row r="1324" spans="1:15">
      <c r="A1324" s="38" t="s">
        <v>1576</v>
      </c>
      <c r="B1324" s="8">
        <v>9</v>
      </c>
      <c r="C1324" s="8">
        <v>40</v>
      </c>
      <c r="D1324" s="8">
        <v>54</v>
      </c>
      <c r="E1324" s="8">
        <v>0.64</v>
      </c>
      <c r="F1324" s="9">
        <v>1335</v>
      </c>
      <c r="G1324" s="22" t="s">
        <v>16</v>
      </c>
      <c r="H1324" s="22" t="s">
        <v>1428</v>
      </c>
      <c r="I1324" s="22">
        <v>130</v>
      </c>
      <c r="J1324" s="22">
        <v>15</v>
      </c>
      <c r="K1324" s="22">
        <v>10</v>
      </c>
      <c r="L1324" s="34" t="e">
        <v>#REF!</v>
      </c>
      <c r="M1324" s="12">
        <v>1</v>
      </c>
      <c r="N1324" s="13"/>
      <c r="O1324" s="13" t="s">
        <v>183</v>
      </c>
    </row>
    <row r="1325" spans="1:15">
      <c r="A1325" s="38" t="s">
        <v>1577</v>
      </c>
      <c r="B1325" s="8">
        <v>9</v>
      </c>
      <c r="C1325" s="8">
        <v>65</v>
      </c>
      <c r="D1325" s="8">
        <v>50</v>
      </c>
      <c r="E1325" s="8">
        <v>0.6</v>
      </c>
      <c r="F1325" s="9">
        <v>1336</v>
      </c>
      <c r="G1325" s="22" t="s">
        <v>16</v>
      </c>
      <c r="H1325" s="22" t="s">
        <v>997</v>
      </c>
      <c r="I1325" s="22">
        <v>122</v>
      </c>
      <c r="J1325" s="22">
        <v>15</v>
      </c>
      <c r="K1325" s="22">
        <v>10</v>
      </c>
      <c r="L1325" s="34" t="s">
        <v>22</v>
      </c>
      <c r="M1325" s="12">
        <v>101</v>
      </c>
      <c r="N1325" s="13"/>
      <c r="O1325" s="13"/>
    </row>
    <row r="1326" spans="1:15">
      <c r="A1326" s="38" t="s">
        <v>1578</v>
      </c>
      <c r="B1326" s="8">
        <v>9</v>
      </c>
      <c r="C1326" s="8">
        <v>65</v>
      </c>
      <c r="D1326" s="8">
        <v>50</v>
      </c>
      <c r="E1326" s="8">
        <v>0.6</v>
      </c>
      <c r="F1326" s="9">
        <v>1337</v>
      </c>
      <c r="G1326" s="22" t="s">
        <v>16</v>
      </c>
      <c r="H1326" s="22" t="s">
        <v>997</v>
      </c>
      <c r="I1326" s="22">
        <v>122</v>
      </c>
      <c r="J1326" s="22">
        <v>15</v>
      </c>
      <c r="K1326" s="22">
        <v>10</v>
      </c>
      <c r="L1326" s="34" t="s">
        <v>22</v>
      </c>
      <c r="M1326" s="12">
        <v>93</v>
      </c>
      <c r="N1326" s="13"/>
      <c r="O1326" s="13"/>
    </row>
    <row r="1327" spans="1:15">
      <c r="A1327" s="38" t="s">
        <v>1579</v>
      </c>
      <c r="B1327" s="8">
        <v>9</v>
      </c>
      <c r="C1327" s="8">
        <v>350</v>
      </c>
      <c r="D1327" s="8">
        <v>50</v>
      </c>
      <c r="E1327" s="8">
        <v>1.48</v>
      </c>
      <c r="F1327" s="9">
        <v>1338</v>
      </c>
      <c r="G1327" s="22" t="s">
        <v>372</v>
      </c>
      <c r="H1327" s="22" t="s">
        <v>83</v>
      </c>
      <c r="I1327" s="22">
        <v>145</v>
      </c>
      <c r="J1327" s="22">
        <v>29</v>
      </c>
      <c r="K1327" s="22">
        <v>16</v>
      </c>
      <c r="L1327" s="34" t="e">
        <v>#N/A</v>
      </c>
      <c r="M1327" s="12">
        <v>0</v>
      </c>
      <c r="N1327" s="13" t="s">
        <v>183</v>
      </c>
      <c r="O1327" s="13"/>
    </row>
    <row r="1328" spans="1:15">
      <c r="A1328" s="38" t="s">
        <v>1580</v>
      </c>
      <c r="B1328" s="8">
        <v>9</v>
      </c>
      <c r="C1328" s="8">
        <v>350</v>
      </c>
      <c r="D1328" s="8">
        <v>50</v>
      </c>
      <c r="E1328" s="8">
        <v>1.48</v>
      </c>
      <c r="F1328" s="9">
        <v>1339</v>
      </c>
      <c r="G1328" s="22" t="s">
        <v>372</v>
      </c>
      <c r="H1328" s="22" t="s">
        <v>83</v>
      </c>
      <c r="I1328" s="22">
        <v>145</v>
      </c>
      <c r="J1328" s="22">
        <v>29</v>
      </c>
      <c r="K1328" s="22">
        <v>16</v>
      </c>
      <c r="L1328" s="34" t="e">
        <v>#N/A</v>
      </c>
      <c r="M1328" s="12">
        <v>0</v>
      </c>
      <c r="N1328" s="13" t="s">
        <v>183</v>
      </c>
      <c r="O1328" s="13"/>
    </row>
    <row r="1329" spans="1:15">
      <c r="A1329" s="38" t="s">
        <v>1581</v>
      </c>
      <c r="B1329" s="8">
        <v>9</v>
      </c>
      <c r="C1329" s="8">
        <v>320</v>
      </c>
      <c r="D1329" s="8">
        <v>50</v>
      </c>
      <c r="E1329" s="8">
        <v>1.48</v>
      </c>
      <c r="F1329" s="9">
        <v>1340</v>
      </c>
      <c r="G1329" s="22" t="s">
        <v>372</v>
      </c>
      <c r="H1329" s="22" t="s">
        <v>83</v>
      </c>
      <c r="I1329" s="22">
        <v>145</v>
      </c>
      <c r="J1329" s="22">
        <v>29</v>
      </c>
      <c r="K1329" s="22">
        <v>16</v>
      </c>
      <c r="L1329" s="34" t="e">
        <v>#N/A</v>
      </c>
      <c r="M1329" s="12">
        <v>3</v>
      </c>
      <c r="N1329" s="13"/>
      <c r="O1329" s="13" t="s">
        <v>18</v>
      </c>
    </row>
    <row r="1330" spans="1:15">
      <c r="A1330" s="38" t="s">
        <v>1582</v>
      </c>
      <c r="B1330" s="8">
        <v>9</v>
      </c>
      <c r="C1330" s="8">
        <v>320</v>
      </c>
      <c r="D1330" s="8">
        <v>50</v>
      </c>
      <c r="E1330" s="8">
        <v>1.48</v>
      </c>
      <c r="F1330" s="9">
        <v>1341</v>
      </c>
      <c r="G1330" s="22" t="s">
        <v>372</v>
      </c>
      <c r="H1330" s="22" t="s">
        <v>83</v>
      </c>
      <c r="I1330" s="22">
        <v>145</v>
      </c>
      <c r="J1330" s="22">
        <v>29</v>
      </c>
      <c r="K1330" s="22">
        <v>16</v>
      </c>
      <c r="L1330" s="34" t="e">
        <v>#N/A</v>
      </c>
      <c r="M1330" s="12">
        <v>1</v>
      </c>
      <c r="N1330" s="13"/>
      <c r="O1330" s="13"/>
    </row>
    <row r="1331" spans="1:15">
      <c r="A1331" s="38" t="s">
        <v>1583</v>
      </c>
      <c r="B1331" s="8">
        <v>9</v>
      </c>
      <c r="C1331" s="8">
        <v>74</v>
      </c>
      <c r="D1331" s="8">
        <v>50</v>
      </c>
      <c r="E1331" s="8">
        <v>0.6</v>
      </c>
      <c r="F1331" s="9">
        <v>1342</v>
      </c>
      <c r="G1331" s="22" t="s">
        <v>16</v>
      </c>
      <c r="H1331" s="22" t="s">
        <v>997</v>
      </c>
      <c r="I1331" s="22">
        <v>122</v>
      </c>
      <c r="J1331" s="22">
        <v>15</v>
      </c>
      <c r="K1331" s="22">
        <v>10</v>
      </c>
      <c r="L1331" s="34" t="s">
        <v>155</v>
      </c>
      <c r="M1331" s="12">
        <v>0</v>
      </c>
      <c r="N1331" s="13"/>
      <c r="O1331" s="13"/>
    </row>
    <row r="1332" spans="1:15">
      <c r="A1332" s="38" t="s">
        <v>1584</v>
      </c>
      <c r="B1332" s="8">
        <v>9</v>
      </c>
      <c r="C1332" s="8">
        <v>230</v>
      </c>
      <c r="D1332" s="8">
        <v>1</v>
      </c>
      <c r="E1332" s="8">
        <v>0.4</v>
      </c>
      <c r="F1332" s="9">
        <v>1343</v>
      </c>
      <c r="G1332" s="22" t="s">
        <v>1486</v>
      </c>
      <c r="H1332" s="22" t="s">
        <v>1487</v>
      </c>
      <c r="I1332" s="22">
        <v>52</v>
      </c>
      <c r="J1332" s="22">
        <v>20</v>
      </c>
      <c r="K1332" s="22">
        <v>15</v>
      </c>
      <c r="L1332" s="22"/>
      <c r="M1332" s="12">
        <v>0</v>
      </c>
      <c r="N1332" s="13"/>
      <c r="O1332" s="13"/>
    </row>
    <row r="1333" spans="1:15">
      <c r="A1333" s="38" t="s">
        <v>1585</v>
      </c>
      <c r="B1333" s="8">
        <v>9</v>
      </c>
      <c r="C1333" s="8">
        <v>696</v>
      </c>
      <c r="D1333" s="8">
        <v>6</v>
      </c>
      <c r="E1333" s="8">
        <v>0.6</v>
      </c>
      <c r="F1333" s="9">
        <v>1344</v>
      </c>
      <c r="G1333" s="22" t="s">
        <v>16</v>
      </c>
      <c r="H1333" s="22" t="s">
        <v>17</v>
      </c>
      <c r="I1333" s="22">
        <v>122</v>
      </c>
      <c r="J1333" s="22">
        <v>15</v>
      </c>
      <c r="K1333" s="22">
        <v>10</v>
      </c>
      <c r="L1333" s="34" t="e">
        <v>#N/A</v>
      </c>
      <c r="M1333" s="12">
        <v>0</v>
      </c>
      <c r="N1333" s="13"/>
      <c r="O1333" s="13"/>
    </row>
    <row r="1334" spans="1:15">
      <c r="A1334" s="38" t="s">
        <v>1586</v>
      </c>
      <c r="B1334" s="8">
        <v>9</v>
      </c>
      <c r="C1334" s="8">
        <v>704</v>
      </c>
      <c r="D1334" s="8">
        <v>6</v>
      </c>
      <c r="E1334" s="8">
        <v>0.6</v>
      </c>
      <c r="F1334" s="9">
        <v>1345</v>
      </c>
      <c r="G1334" s="22" t="s">
        <v>16</v>
      </c>
      <c r="H1334" s="22" t="s">
        <v>17</v>
      </c>
      <c r="I1334" s="22">
        <v>122</v>
      </c>
      <c r="J1334" s="22">
        <v>15</v>
      </c>
      <c r="K1334" s="22">
        <v>10</v>
      </c>
      <c r="L1334" s="34" t="e">
        <v>#N/A</v>
      </c>
      <c r="M1334" s="12">
        <v>0</v>
      </c>
      <c r="N1334" s="13"/>
      <c r="O1334" s="13"/>
    </row>
    <row r="1335" spans="1:15">
      <c r="A1335" s="38" t="s">
        <v>1587</v>
      </c>
      <c r="B1335" s="8">
        <v>9</v>
      </c>
      <c r="C1335" s="8">
        <v>81</v>
      </c>
      <c r="D1335" s="8">
        <v>50</v>
      </c>
      <c r="E1335" s="8">
        <v>0.6</v>
      </c>
      <c r="F1335" s="9">
        <v>1346</v>
      </c>
      <c r="G1335" s="22" t="s">
        <v>16</v>
      </c>
      <c r="H1335" s="22" t="s">
        <v>17</v>
      </c>
      <c r="I1335" s="22">
        <v>122</v>
      </c>
      <c r="J1335" s="22">
        <v>15</v>
      </c>
      <c r="K1335" s="22">
        <v>10</v>
      </c>
      <c r="L1335" s="34" t="s">
        <v>330</v>
      </c>
      <c r="M1335" s="12">
        <v>13</v>
      </c>
      <c r="N1335" s="13"/>
      <c r="O1335" s="13"/>
    </row>
    <row r="1336" spans="1:15">
      <c r="A1336" s="38" t="s">
        <v>1588</v>
      </c>
      <c r="B1336" s="8">
        <v>9</v>
      </c>
      <c r="C1336" s="8">
        <v>337</v>
      </c>
      <c r="D1336" s="8">
        <v>1</v>
      </c>
      <c r="E1336" s="8">
        <v>0.5</v>
      </c>
      <c r="F1336" s="9">
        <v>1347</v>
      </c>
      <c r="G1336" s="22" t="s">
        <v>446</v>
      </c>
      <c r="H1336" s="22" t="s">
        <v>443</v>
      </c>
      <c r="I1336" s="22">
        <v>89</v>
      </c>
      <c r="J1336" s="22">
        <v>14</v>
      </c>
      <c r="K1336" s="22">
        <v>9</v>
      </c>
      <c r="L1336" s="34" t="s">
        <v>1364</v>
      </c>
      <c r="M1336" s="12">
        <v>11</v>
      </c>
      <c r="N1336" s="12" t="e">
        <f>VLOOKUP(A:A,[2]成品数据统计表!$C$1:$E$65536,3,0)</f>
        <v>#REF!</v>
      </c>
      <c r="O1336" s="13"/>
    </row>
    <row r="1337" spans="1:15">
      <c r="A1337" s="38" t="s">
        <v>1589</v>
      </c>
      <c r="B1337" s="8">
        <v>9</v>
      </c>
      <c r="C1337" s="8">
        <v>84</v>
      </c>
      <c r="D1337" s="8">
        <v>50</v>
      </c>
      <c r="E1337" s="8">
        <v>0.6</v>
      </c>
      <c r="F1337" s="9">
        <v>1348</v>
      </c>
      <c r="G1337" s="22" t="s">
        <v>16</v>
      </c>
      <c r="H1337" s="22" t="s">
        <v>17</v>
      </c>
      <c r="I1337" s="22">
        <v>122</v>
      </c>
      <c r="J1337" s="22">
        <v>15</v>
      </c>
      <c r="K1337" s="22">
        <v>10</v>
      </c>
      <c r="L1337" s="34" t="s">
        <v>60</v>
      </c>
      <c r="M1337" s="12">
        <v>0</v>
      </c>
      <c r="N1337" s="13"/>
      <c r="O1337" s="13"/>
    </row>
    <row r="1338" spans="1:15">
      <c r="A1338" s="38" t="s">
        <v>1590</v>
      </c>
      <c r="B1338" s="8">
        <v>9</v>
      </c>
      <c r="C1338" s="8">
        <v>74</v>
      </c>
      <c r="D1338" s="8">
        <v>50</v>
      </c>
      <c r="E1338" s="8">
        <v>0.6</v>
      </c>
      <c r="F1338" s="9">
        <v>1349</v>
      </c>
      <c r="G1338" s="22" t="s">
        <v>16</v>
      </c>
      <c r="H1338" s="22" t="s">
        <v>17</v>
      </c>
      <c r="I1338" s="22">
        <v>122</v>
      </c>
      <c r="J1338" s="22">
        <v>15</v>
      </c>
      <c r="K1338" s="22">
        <v>10</v>
      </c>
      <c r="L1338" s="34" t="s">
        <v>1026</v>
      </c>
      <c r="M1338" s="12">
        <v>25</v>
      </c>
      <c r="N1338" s="13"/>
      <c r="O1338" s="13"/>
    </row>
    <row r="1339" spans="1:15">
      <c r="A1339" s="38" t="s">
        <v>1591</v>
      </c>
      <c r="B1339" s="8">
        <v>9</v>
      </c>
      <c r="C1339" s="8">
        <v>74</v>
      </c>
      <c r="D1339" s="8">
        <v>50</v>
      </c>
      <c r="E1339" s="8">
        <v>0.6</v>
      </c>
      <c r="F1339" s="9">
        <v>1350</v>
      </c>
      <c r="G1339" s="22" t="s">
        <v>16</v>
      </c>
      <c r="H1339" s="22" t="s">
        <v>17</v>
      </c>
      <c r="I1339" s="22">
        <v>122</v>
      </c>
      <c r="J1339" s="22">
        <v>15</v>
      </c>
      <c r="K1339" s="22">
        <v>10</v>
      </c>
      <c r="L1339" s="34" t="s">
        <v>131</v>
      </c>
      <c r="M1339" s="12">
        <v>9</v>
      </c>
      <c r="N1339" s="13"/>
      <c r="O1339" s="13"/>
    </row>
    <row r="1340" spans="1:15">
      <c r="A1340" s="38" t="s">
        <v>1592</v>
      </c>
      <c r="B1340" s="8">
        <v>9</v>
      </c>
      <c r="C1340" s="8">
        <v>340</v>
      </c>
      <c r="D1340" s="8">
        <v>50</v>
      </c>
      <c r="E1340" s="8">
        <v>1.48</v>
      </c>
      <c r="F1340" s="9">
        <v>1351</v>
      </c>
      <c r="G1340" s="22" t="s">
        <v>372</v>
      </c>
      <c r="H1340" s="22" t="s">
        <v>83</v>
      </c>
      <c r="I1340" s="22">
        <v>145</v>
      </c>
      <c r="J1340" s="22">
        <v>29</v>
      </c>
      <c r="K1340" s="22">
        <v>16</v>
      </c>
      <c r="L1340" s="34" t="e">
        <v>#N/A</v>
      </c>
      <c r="M1340" s="12">
        <v>3</v>
      </c>
      <c r="N1340" s="13"/>
      <c r="O1340" s="13" t="s">
        <v>18</v>
      </c>
    </row>
    <row r="1341" spans="1:15">
      <c r="A1341" s="38" t="s">
        <v>1593</v>
      </c>
      <c r="B1341" s="8">
        <v>9</v>
      </c>
      <c r="C1341" s="8">
        <v>340</v>
      </c>
      <c r="D1341" s="8">
        <v>50</v>
      </c>
      <c r="E1341" s="8">
        <v>1.48</v>
      </c>
      <c r="F1341" s="9">
        <v>1352</v>
      </c>
      <c r="G1341" s="22" t="s">
        <v>372</v>
      </c>
      <c r="H1341" s="22" t="s">
        <v>83</v>
      </c>
      <c r="I1341" s="22">
        <v>145</v>
      </c>
      <c r="J1341" s="22">
        <v>29</v>
      </c>
      <c r="K1341" s="22">
        <v>16</v>
      </c>
      <c r="L1341" s="34" t="e">
        <v>#N/A</v>
      </c>
      <c r="M1341" s="12">
        <v>96</v>
      </c>
      <c r="N1341" s="13"/>
      <c r="O1341" s="13" t="s">
        <v>18</v>
      </c>
    </row>
    <row r="1342" spans="1:15">
      <c r="A1342" s="38" t="s">
        <v>1594</v>
      </c>
      <c r="B1342" s="8">
        <v>9</v>
      </c>
      <c r="C1342" s="8">
        <v>340</v>
      </c>
      <c r="D1342" s="8">
        <v>50</v>
      </c>
      <c r="E1342" s="8">
        <v>1.48</v>
      </c>
      <c r="F1342" s="9">
        <v>1353</v>
      </c>
      <c r="G1342" s="22" t="s">
        <v>372</v>
      </c>
      <c r="H1342" s="22" t="s">
        <v>83</v>
      </c>
      <c r="I1342" s="22">
        <v>145</v>
      </c>
      <c r="J1342" s="22">
        <v>29</v>
      </c>
      <c r="K1342" s="22">
        <v>16</v>
      </c>
      <c r="L1342" s="34" t="e">
        <v>#N/A</v>
      </c>
      <c r="M1342" s="12">
        <v>43</v>
      </c>
      <c r="N1342" s="13"/>
      <c r="O1342" s="13" t="s">
        <v>18</v>
      </c>
    </row>
    <row r="1343" spans="1:15">
      <c r="A1343" s="38" t="s">
        <v>1595</v>
      </c>
      <c r="B1343" s="8">
        <v>9</v>
      </c>
      <c r="C1343" s="8">
        <v>340</v>
      </c>
      <c r="D1343" s="8">
        <v>50</v>
      </c>
      <c r="E1343" s="8">
        <v>1.48</v>
      </c>
      <c r="F1343" s="9">
        <v>1354</v>
      </c>
      <c r="G1343" s="22" t="s">
        <v>372</v>
      </c>
      <c r="H1343" s="22" t="s">
        <v>83</v>
      </c>
      <c r="I1343" s="22">
        <v>145</v>
      </c>
      <c r="J1343" s="22">
        <v>29</v>
      </c>
      <c r="K1343" s="22">
        <v>16</v>
      </c>
      <c r="L1343" s="34" t="e">
        <v>#N/A</v>
      </c>
      <c r="M1343" s="12">
        <v>1</v>
      </c>
      <c r="N1343" s="13"/>
      <c r="O1343" s="13" t="s">
        <v>18</v>
      </c>
    </row>
    <row r="1344" spans="1:15">
      <c r="A1344" s="38" t="s">
        <v>1596</v>
      </c>
      <c r="B1344" s="8">
        <v>9</v>
      </c>
      <c r="C1344" s="8">
        <v>67</v>
      </c>
      <c r="D1344" s="8">
        <v>50</v>
      </c>
      <c r="E1344" s="8">
        <v>0.6</v>
      </c>
      <c r="F1344" s="9">
        <v>1355</v>
      </c>
      <c r="G1344" s="22" t="s">
        <v>16</v>
      </c>
      <c r="H1344" s="22" t="s">
        <v>17</v>
      </c>
      <c r="I1344" s="22">
        <v>122</v>
      </c>
      <c r="J1344" s="22">
        <v>15</v>
      </c>
      <c r="K1344" s="22">
        <v>10</v>
      </c>
      <c r="L1344" s="34" t="e">
        <v>#N/A</v>
      </c>
      <c r="M1344" s="12">
        <v>52</v>
      </c>
      <c r="N1344" s="13"/>
      <c r="O1344" s="13" t="s">
        <v>18</v>
      </c>
    </row>
    <row r="1345" spans="1:15">
      <c r="A1345" s="38" t="s">
        <v>1597</v>
      </c>
      <c r="B1345" s="8">
        <v>9</v>
      </c>
      <c r="C1345" s="8">
        <v>340</v>
      </c>
      <c r="D1345" s="8">
        <v>50</v>
      </c>
      <c r="E1345" s="8">
        <v>1.48</v>
      </c>
      <c r="F1345" s="9">
        <v>1356</v>
      </c>
      <c r="G1345" s="22" t="s">
        <v>372</v>
      </c>
      <c r="H1345" s="22" t="s">
        <v>83</v>
      </c>
      <c r="I1345" s="22">
        <v>145</v>
      </c>
      <c r="J1345" s="22">
        <v>29</v>
      </c>
      <c r="K1345" s="22">
        <v>16</v>
      </c>
      <c r="L1345" s="34" t="e">
        <v>#N/A</v>
      </c>
      <c r="M1345" s="12">
        <v>0</v>
      </c>
      <c r="N1345" s="13" t="s">
        <v>183</v>
      </c>
      <c r="O1345" s="13"/>
    </row>
    <row r="1346" spans="1:15">
      <c r="A1346" s="38" t="s">
        <v>1598</v>
      </c>
      <c r="B1346" s="8">
        <v>9</v>
      </c>
      <c r="C1346" s="8">
        <v>332</v>
      </c>
      <c r="D1346" s="8">
        <v>1</v>
      </c>
      <c r="E1346" s="8">
        <v>0.5</v>
      </c>
      <c r="F1346" s="9">
        <v>1357</v>
      </c>
      <c r="G1346" s="22" t="s">
        <v>446</v>
      </c>
      <c r="H1346" s="22" t="s">
        <v>443</v>
      </c>
      <c r="I1346" s="22">
        <v>89</v>
      </c>
      <c r="J1346" s="22">
        <v>14</v>
      </c>
      <c r="K1346" s="22">
        <v>9</v>
      </c>
      <c r="L1346" s="34" t="s">
        <v>990</v>
      </c>
      <c r="M1346" s="12">
        <v>0</v>
      </c>
      <c r="N1346" s="13"/>
      <c r="O1346" s="13"/>
    </row>
    <row r="1347" spans="1:15">
      <c r="A1347" s="38" t="s">
        <v>1599</v>
      </c>
      <c r="B1347" s="8">
        <v>9</v>
      </c>
      <c r="C1347" s="8">
        <v>76</v>
      </c>
      <c r="D1347" s="8">
        <v>50</v>
      </c>
      <c r="E1347" s="8">
        <v>0.6</v>
      </c>
      <c r="F1347" s="9">
        <v>1358</v>
      </c>
      <c r="G1347" s="22" t="s">
        <v>1296</v>
      </c>
      <c r="H1347" s="22" t="s">
        <v>17</v>
      </c>
      <c r="I1347" s="22">
        <v>122</v>
      </c>
      <c r="J1347" s="22">
        <v>15</v>
      </c>
      <c r="K1347" s="22">
        <v>10</v>
      </c>
      <c r="L1347" s="34" t="s">
        <v>131</v>
      </c>
      <c r="M1347" s="12">
        <v>52</v>
      </c>
      <c r="N1347" s="13"/>
      <c r="O1347" s="13"/>
    </row>
    <row r="1348" spans="1:15">
      <c r="A1348" s="38" t="s">
        <v>1600</v>
      </c>
      <c r="B1348" s="8">
        <v>9</v>
      </c>
      <c r="C1348" s="8">
        <v>76</v>
      </c>
      <c r="D1348" s="8">
        <v>50</v>
      </c>
      <c r="E1348" s="8">
        <v>0.6</v>
      </c>
      <c r="F1348" s="9">
        <v>1359</v>
      </c>
      <c r="G1348" s="22" t="s">
        <v>16</v>
      </c>
      <c r="H1348" s="22" t="s">
        <v>997</v>
      </c>
      <c r="I1348" s="22">
        <v>122</v>
      </c>
      <c r="J1348" s="22">
        <v>15</v>
      </c>
      <c r="K1348" s="22">
        <v>10</v>
      </c>
      <c r="L1348" s="34" t="s">
        <v>131</v>
      </c>
      <c r="M1348" s="12">
        <v>120</v>
      </c>
      <c r="N1348" s="13"/>
      <c r="O1348" s="13"/>
    </row>
    <row r="1349" spans="1:15">
      <c r="A1349" s="38" t="s">
        <v>1601</v>
      </c>
      <c r="B1349" s="8">
        <v>9</v>
      </c>
      <c r="C1349" s="8">
        <v>320</v>
      </c>
      <c r="D1349" s="8">
        <v>50</v>
      </c>
      <c r="E1349" s="8">
        <v>1.48</v>
      </c>
      <c r="F1349" s="9">
        <v>1360</v>
      </c>
      <c r="G1349" s="22" t="s">
        <v>372</v>
      </c>
      <c r="H1349" s="22" t="s">
        <v>898</v>
      </c>
      <c r="I1349" s="22">
        <v>145</v>
      </c>
      <c r="J1349" s="22">
        <v>29</v>
      </c>
      <c r="K1349" s="22">
        <v>16</v>
      </c>
      <c r="L1349" s="34" t="e">
        <v>#N/A</v>
      </c>
      <c r="M1349" s="12">
        <v>50</v>
      </c>
      <c r="N1349" s="13"/>
      <c r="O1349" s="13" t="s">
        <v>18</v>
      </c>
    </row>
    <row r="1350" spans="1:15">
      <c r="A1350" s="38" t="s">
        <v>1602</v>
      </c>
      <c r="B1350" s="8">
        <v>9</v>
      </c>
      <c r="C1350" s="8">
        <v>80</v>
      </c>
      <c r="D1350" s="8">
        <v>100</v>
      </c>
      <c r="E1350" s="8">
        <v>0.72</v>
      </c>
      <c r="F1350" s="9">
        <v>1361</v>
      </c>
      <c r="G1350" s="22" t="s">
        <v>1296</v>
      </c>
      <c r="H1350" s="22" t="s">
        <v>1603</v>
      </c>
      <c r="I1350" s="22">
        <v>111</v>
      </c>
      <c r="J1350" s="22">
        <v>29</v>
      </c>
      <c r="K1350" s="22">
        <v>10</v>
      </c>
      <c r="L1350" s="34" t="s">
        <v>134</v>
      </c>
      <c r="M1350" s="12">
        <v>572</v>
      </c>
      <c r="N1350" s="13"/>
      <c r="O1350" s="13"/>
    </row>
    <row r="1351" spans="1:15">
      <c r="A1351" s="38" t="s">
        <v>1604</v>
      </c>
      <c r="B1351" s="8">
        <v>9</v>
      </c>
      <c r="C1351" s="8">
        <v>337</v>
      </c>
      <c r="D1351" s="8">
        <v>1</v>
      </c>
      <c r="E1351" s="8">
        <v>0.5</v>
      </c>
      <c r="F1351" s="9">
        <v>1362</v>
      </c>
      <c r="G1351" s="22" t="s">
        <v>446</v>
      </c>
      <c r="H1351" s="22" t="s">
        <v>1195</v>
      </c>
      <c r="I1351" s="22">
        <v>89</v>
      </c>
      <c r="J1351" s="22">
        <v>14</v>
      </c>
      <c r="K1351" s="22">
        <v>9</v>
      </c>
      <c r="L1351" s="34" t="s">
        <v>1364</v>
      </c>
      <c r="M1351" s="12">
        <v>8</v>
      </c>
      <c r="N1351" s="12" t="e">
        <f>VLOOKUP(A:A,[2]成品数据统计表!$C$1:$E$65536,3,0)</f>
        <v>#REF!</v>
      </c>
      <c r="O1351" s="13"/>
    </row>
    <row r="1352" spans="1:15">
      <c r="A1352" s="38" t="s">
        <v>1605</v>
      </c>
      <c r="B1352" s="8">
        <v>9</v>
      </c>
      <c r="C1352" s="8">
        <v>84</v>
      </c>
      <c r="D1352" s="8">
        <v>50</v>
      </c>
      <c r="E1352" s="8">
        <v>0.6</v>
      </c>
      <c r="F1352" s="9">
        <v>1363</v>
      </c>
      <c r="G1352" s="22" t="s">
        <v>1296</v>
      </c>
      <c r="H1352" s="22" t="s">
        <v>997</v>
      </c>
      <c r="I1352" s="22">
        <v>122</v>
      </c>
      <c r="J1352" s="22">
        <v>15</v>
      </c>
      <c r="K1352" s="22">
        <v>10</v>
      </c>
      <c r="L1352" s="34" t="s">
        <v>60</v>
      </c>
      <c r="M1352" s="12">
        <v>63</v>
      </c>
      <c r="N1352" s="13"/>
      <c r="O1352" s="13"/>
    </row>
    <row r="1353" spans="1:15">
      <c r="A1353" s="38" t="s">
        <v>1606</v>
      </c>
      <c r="B1353" s="8">
        <v>9</v>
      </c>
      <c r="C1353" s="8">
        <v>76</v>
      </c>
      <c r="D1353" s="8">
        <v>100</v>
      </c>
      <c r="E1353" s="8">
        <v>0.72</v>
      </c>
      <c r="F1353" s="9">
        <v>1364</v>
      </c>
      <c r="G1353" s="22" t="s">
        <v>1296</v>
      </c>
      <c r="H1353" s="22" t="s">
        <v>1603</v>
      </c>
      <c r="I1353" s="22">
        <v>111</v>
      </c>
      <c r="J1353" s="22">
        <v>29</v>
      </c>
      <c r="K1353" s="22">
        <v>10</v>
      </c>
      <c r="L1353" s="34" t="s">
        <v>131</v>
      </c>
      <c r="M1353" s="12">
        <v>2067</v>
      </c>
      <c r="N1353" s="13"/>
      <c r="O1353" s="13"/>
    </row>
    <row r="1354" spans="1:15">
      <c r="A1354" s="38" t="s">
        <v>1607</v>
      </c>
      <c r="B1354" s="8">
        <v>9</v>
      </c>
      <c r="C1354" s="8">
        <v>87</v>
      </c>
      <c r="D1354" s="8">
        <v>50</v>
      </c>
      <c r="E1354" s="8">
        <v>0.6</v>
      </c>
      <c r="F1354" s="9">
        <v>1365</v>
      </c>
      <c r="G1354" s="22" t="s">
        <v>1296</v>
      </c>
      <c r="H1354" s="22" t="s">
        <v>997</v>
      </c>
      <c r="I1354" s="22">
        <v>122</v>
      </c>
      <c r="J1354" s="22">
        <v>15</v>
      </c>
      <c r="K1354" s="22">
        <v>10</v>
      </c>
      <c r="L1354" s="34" t="s">
        <v>309</v>
      </c>
      <c r="M1354" s="12">
        <v>24</v>
      </c>
      <c r="N1354" s="13"/>
      <c r="O1354" s="13"/>
    </row>
    <row r="1355" spans="1:15">
      <c r="A1355" s="39" t="s">
        <v>1608</v>
      </c>
      <c r="B1355" s="8">
        <v>9</v>
      </c>
      <c r="C1355" s="8">
        <v>76</v>
      </c>
      <c r="D1355" s="8">
        <v>100</v>
      </c>
      <c r="E1355" s="8">
        <v>0.72</v>
      </c>
      <c r="F1355" s="9">
        <v>1366</v>
      </c>
      <c r="G1355" s="8" t="s">
        <v>1296</v>
      </c>
      <c r="H1355" s="8" t="s">
        <v>1603</v>
      </c>
      <c r="I1355" s="8">
        <v>111</v>
      </c>
      <c r="J1355" s="8">
        <v>29</v>
      </c>
      <c r="K1355" s="8">
        <v>10</v>
      </c>
      <c r="L1355" s="9" t="s">
        <v>131</v>
      </c>
      <c r="M1355" s="12">
        <v>9031</v>
      </c>
      <c r="N1355" s="8"/>
      <c r="O1355" s="8"/>
    </row>
    <row r="1356" spans="1:15">
      <c r="A1356" s="39" t="s">
        <v>1609</v>
      </c>
      <c r="B1356" s="8">
        <v>9</v>
      </c>
      <c r="C1356" s="8">
        <v>78</v>
      </c>
      <c r="D1356" s="8">
        <v>100</v>
      </c>
      <c r="E1356" s="8">
        <v>0.72</v>
      </c>
      <c r="F1356" s="9">
        <v>1367</v>
      </c>
      <c r="G1356" s="8" t="s">
        <v>1296</v>
      </c>
      <c r="H1356" s="8" t="s">
        <v>1603</v>
      </c>
      <c r="I1356" s="8">
        <v>111</v>
      </c>
      <c r="J1356" s="8">
        <v>29</v>
      </c>
      <c r="K1356" s="8">
        <v>10</v>
      </c>
      <c r="L1356" s="9" t="s">
        <v>129</v>
      </c>
      <c r="M1356" s="12">
        <v>2307</v>
      </c>
      <c r="N1356" s="8"/>
      <c r="O1356" s="8"/>
    </row>
    <row r="1357" spans="1:15">
      <c r="A1357" s="38" t="s">
        <v>1610</v>
      </c>
      <c r="B1357" s="8">
        <v>9</v>
      </c>
      <c r="C1357" s="8">
        <v>80</v>
      </c>
      <c r="D1357" s="8">
        <v>50</v>
      </c>
      <c r="E1357" s="8">
        <v>0.6</v>
      </c>
      <c r="F1357" s="9">
        <v>1368</v>
      </c>
      <c r="G1357" s="22" t="s">
        <v>1296</v>
      </c>
      <c r="H1357" s="22" t="s">
        <v>997</v>
      </c>
      <c r="I1357" s="22">
        <v>122</v>
      </c>
      <c r="J1357" s="22">
        <v>15</v>
      </c>
      <c r="K1357" s="22">
        <v>10</v>
      </c>
      <c r="L1357" s="34" t="e">
        <v>#N/A</v>
      </c>
      <c r="M1357" s="12">
        <v>0</v>
      </c>
      <c r="N1357" s="13" t="s">
        <v>183</v>
      </c>
      <c r="O1357" s="13"/>
    </row>
    <row r="1358" spans="1:15">
      <c r="A1358" s="38" t="s">
        <v>1611</v>
      </c>
      <c r="B1358" s="8">
        <v>9</v>
      </c>
      <c r="C1358" s="8">
        <v>360</v>
      </c>
      <c r="D1358" s="8">
        <v>50</v>
      </c>
      <c r="E1358" s="8">
        <v>1.48</v>
      </c>
      <c r="F1358" s="9">
        <v>1369</v>
      </c>
      <c r="G1358" s="22" t="s">
        <v>372</v>
      </c>
      <c r="H1358" s="22" t="s">
        <v>898</v>
      </c>
      <c r="I1358" s="22">
        <v>145</v>
      </c>
      <c r="J1358" s="22">
        <v>29</v>
      </c>
      <c r="K1358" s="22">
        <v>16</v>
      </c>
      <c r="L1358" s="34" t="e">
        <v>#N/A</v>
      </c>
      <c r="M1358" s="12">
        <v>0</v>
      </c>
      <c r="N1358" s="13" t="s">
        <v>183</v>
      </c>
      <c r="O1358" s="13"/>
    </row>
    <row r="1359" spans="1:15">
      <c r="A1359" s="38" t="s">
        <v>1612</v>
      </c>
      <c r="B1359" s="8">
        <v>9</v>
      </c>
      <c r="C1359" s="8">
        <v>79</v>
      </c>
      <c r="D1359" s="8">
        <v>50</v>
      </c>
      <c r="E1359" s="8">
        <v>0.6</v>
      </c>
      <c r="F1359" s="9">
        <v>1370</v>
      </c>
      <c r="G1359" s="22" t="s">
        <v>1296</v>
      </c>
      <c r="H1359" s="22" t="s">
        <v>997</v>
      </c>
      <c r="I1359" s="22">
        <v>122</v>
      </c>
      <c r="J1359" s="22">
        <v>15</v>
      </c>
      <c r="K1359" s="22">
        <v>10</v>
      </c>
      <c r="L1359" s="34" t="s">
        <v>146</v>
      </c>
      <c r="M1359" s="12">
        <v>44</v>
      </c>
      <c r="N1359" s="13"/>
      <c r="O1359" s="13"/>
    </row>
    <row r="1360" spans="1:15">
      <c r="A1360" s="38" t="s">
        <v>1613</v>
      </c>
      <c r="B1360" s="8">
        <v>9</v>
      </c>
      <c r="C1360" s="8">
        <v>78</v>
      </c>
      <c r="D1360" s="8">
        <v>50</v>
      </c>
      <c r="E1360" s="8">
        <v>0.6</v>
      </c>
      <c r="F1360" s="9">
        <v>1371</v>
      </c>
      <c r="G1360" s="22" t="s">
        <v>16</v>
      </c>
      <c r="H1360" s="22" t="s">
        <v>997</v>
      </c>
      <c r="I1360" s="22">
        <v>122</v>
      </c>
      <c r="J1360" s="22">
        <v>15</v>
      </c>
      <c r="K1360" s="22">
        <v>10</v>
      </c>
      <c r="L1360" s="34" t="s">
        <v>129</v>
      </c>
      <c r="M1360" s="12">
        <v>72</v>
      </c>
      <c r="N1360" s="13"/>
      <c r="O1360" s="13"/>
    </row>
    <row r="1361" spans="1:15">
      <c r="A1361" s="38" t="s">
        <v>1614</v>
      </c>
      <c r="B1361" s="8">
        <v>9</v>
      </c>
      <c r="C1361" s="8">
        <v>76</v>
      </c>
      <c r="D1361" s="8">
        <v>50</v>
      </c>
      <c r="E1361" s="8">
        <v>0.6</v>
      </c>
      <c r="F1361" s="9">
        <v>1372</v>
      </c>
      <c r="G1361" s="22" t="s">
        <v>16</v>
      </c>
      <c r="H1361" s="22" t="s">
        <v>997</v>
      </c>
      <c r="I1361" s="22">
        <v>122</v>
      </c>
      <c r="J1361" s="22">
        <v>15</v>
      </c>
      <c r="K1361" s="22">
        <v>10</v>
      </c>
      <c r="L1361" s="34" t="s">
        <v>131</v>
      </c>
      <c r="M1361" s="12">
        <v>43</v>
      </c>
      <c r="N1361" s="13"/>
      <c r="O1361" s="13"/>
    </row>
    <row r="1362" spans="1:15">
      <c r="A1362" s="38" t="s">
        <v>1615</v>
      </c>
      <c r="B1362" s="8">
        <v>9</v>
      </c>
      <c r="C1362" s="8">
        <v>81</v>
      </c>
      <c r="D1362" s="8">
        <v>50</v>
      </c>
      <c r="E1362" s="8">
        <v>0.6</v>
      </c>
      <c r="F1362" s="9">
        <v>1373</v>
      </c>
      <c r="G1362" s="22" t="s">
        <v>16</v>
      </c>
      <c r="H1362" s="22" t="s">
        <v>997</v>
      </c>
      <c r="I1362" s="22">
        <v>122</v>
      </c>
      <c r="J1362" s="22">
        <v>15</v>
      </c>
      <c r="K1362" s="22">
        <v>10</v>
      </c>
      <c r="L1362" s="34" t="s">
        <v>136</v>
      </c>
      <c r="M1362" s="12">
        <v>306</v>
      </c>
      <c r="N1362" s="13"/>
      <c r="O1362" s="13"/>
    </row>
    <row r="1363" spans="1:15">
      <c r="A1363" s="38" t="s">
        <v>1616</v>
      </c>
      <c r="B1363" s="8">
        <v>9</v>
      </c>
      <c r="C1363" s="8">
        <v>79</v>
      </c>
      <c r="D1363" s="8">
        <v>50</v>
      </c>
      <c r="E1363" s="8">
        <v>0.6</v>
      </c>
      <c r="F1363" s="9">
        <v>1374</v>
      </c>
      <c r="G1363" s="22" t="s">
        <v>16</v>
      </c>
      <c r="H1363" s="22" t="s">
        <v>997</v>
      </c>
      <c r="I1363" s="22">
        <v>122</v>
      </c>
      <c r="J1363" s="22">
        <v>15</v>
      </c>
      <c r="K1363" s="22">
        <v>10</v>
      </c>
      <c r="L1363" s="34" t="s">
        <v>146</v>
      </c>
      <c r="M1363" s="12">
        <v>196</v>
      </c>
      <c r="N1363" s="13"/>
      <c r="O1363" s="13"/>
    </row>
    <row r="1364" spans="1:15">
      <c r="A1364" s="38" t="s">
        <v>1617</v>
      </c>
      <c r="B1364" s="8">
        <v>9</v>
      </c>
      <c r="C1364" s="8">
        <v>0</v>
      </c>
      <c r="D1364" s="8">
        <v>0</v>
      </c>
      <c r="E1364" s="8"/>
      <c r="F1364" s="9">
        <v>1375</v>
      </c>
      <c r="G1364" s="22" t="s">
        <v>487</v>
      </c>
      <c r="H1364" s="22">
        <v>0</v>
      </c>
      <c r="I1364" s="22">
        <v>0</v>
      </c>
      <c r="J1364" s="22">
        <v>0</v>
      </c>
      <c r="K1364" s="22">
        <v>0</v>
      </c>
      <c r="L1364" s="11" t="e">
        <v>#N/A</v>
      </c>
      <c r="M1364" s="12">
        <v>203</v>
      </c>
      <c r="N1364" s="13"/>
      <c r="O1364" s="13"/>
    </row>
    <row r="1365" spans="1:15">
      <c r="A1365" s="38" t="s">
        <v>1618</v>
      </c>
      <c r="B1365" s="8">
        <v>9</v>
      </c>
      <c r="C1365" s="8">
        <v>155</v>
      </c>
      <c r="D1365" s="8">
        <v>6</v>
      </c>
      <c r="E1365" s="8">
        <v>0.2</v>
      </c>
      <c r="F1365" s="9">
        <v>1376</v>
      </c>
      <c r="G1365" s="22" t="s">
        <v>1516</v>
      </c>
      <c r="H1365" s="22" t="s">
        <v>630</v>
      </c>
      <c r="I1365" s="22">
        <v>45</v>
      </c>
      <c r="J1365" s="22">
        <v>26</v>
      </c>
      <c r="K1365" s="22">
        <v>8</v>
      </c>
      <c r="L1365" s="34" t="e">
        <v>#N/A</v>
      </c>
      <c r="M1365" s="12">
        <v>35</v>
      </c>
      <c r="N1365" s="13"/>
      <c r="O1365" s="13"/>
    </row>
    <row r="1366" spans="1:15">
      <c r="A1366" s="38" t="s">
        <v>1619</v>
      </c>
      <c r="B1366" s="8">
        <v>9</v>
      </c>
      <c r="C1366" s="8">
        <v>155</v>
      </c>
      <c r="D1366" s="8">
        <v>6</v>
      </c>
      <c r="E1366" s="8">
        <v>0.2</v>
      </c>
      <c r="F1366" s="9">
        <v>1377</v>
      </c>
      <c r="G1366" s="22" t="s">
        <v>1516</v>
      </c>
      <c r="H1366" s="22" t="s">
        <v>630</v>
      </c>
      <c r="I1366" s="22">
        <v>45</v>
      </c>
      <c r="J1366" s="22">
        <v>26</v>
      </c>
      <c r="K1366" s="22">
        <v>8</v>
      </c>
      <c r="L1366" s="34" t="e">
        <v>#N/A</v>
      </c>
      <c r="M1366" s="12">
        <v>15</v>
      </c>
      <c r="N1366" s="13"/>
      <c r="O1366" s="13"/>
    </row>
    <row r="1367" spans="1:15">
      <c r="A1367" s="38" t="s">
        <v>1620</v>
      </c>
      <c r="B1367" s="8">
        <v>9</v>
      </c>
      <c r="C1367" s="8">
        <v>155</v>
      </c>
      <c r="D1367" s="8">
        <v>6</v>
      </c>
      <c r="E1367" s="8">
        <v>0.2</v>
      </c>
      <c r="F1367" s="9">
        <v>1378</v>
      </c>
      <c r="G1367" s="22" t="s">
        <v>1516</v>
      </c>
      <c r="H1367" s="22" t="s">
        <v>630</v>
      </c>
      <c r="I1367" s="22">
        <v>45</v>
      </c>
      <c r="J1367" s="22">
        <v>26</v>
      </c>
      <c r="K1367" s="22">
        <v>8</v>
      </c>
      <c r="L1367" s="34" t="e">
        <v>#N/A</v>
      </c>
      <c r="M1367" s="12">
        <v>3</v>
      </c>
      <c r="N1367" s="13"/>
      <c r="O1367" s="13"/>
    </row>
    <row r="1368" spans="1:15">
      <c r="A1368" s="38" t="s">
        <v>1621</v>
      </c>
      <c r="B1368" s="8">
        <v>9</v>
      </c>
      <c r="C1368" s="8">
        <v>155</v>
      </c>
      <c r="D1368" s="8">
        <v>6</v>
      </c>
      <c r="E1368" s="8">
        <v>0.2</v>
      </c>
      <c r="F1368" s="9">
        <v>1379</v>
      </c>
      <c r="G1368" s="22" t="s">
        <v>1516</v>
      </c>
      <c r="H1368" s="22" t="s">
        <v>630</v>
      </c>
      <c r="I1368" s="22">
        <v>45</v>
      </c>
      <c r="J1368" s="22">
        <v>26</v>
      </c>
      <c r="K1368" s="22">
        <v>8</v>
      </c>
      <c r="L1368" s="34" t="e">
        <v>#N/A</v>
      </c>
      <c r="M1368" s="12">
        <v>1</v>
      </c>
      <c r="N1368" s="13"/>
      <c r="O1368" s="13"/>
    </row>
    <row r="1369" spans="1:15">
      <c r="A1369" s="38" t="s">
        <v>1622</v>
      </c>
      <c r="B1369" s="8">
        <v>9</v>
      </c>
      <c r="C1369" s="8">
        <v>155</v>
      </c>
      <c r="D1369" s="8">
        <v>6</v>
      </c>
      <c r="E1369" s="8">
        <v>0.2</v>
      </c>
      <c r="F1369" s="9">
        <v>1380</v>
      </c>
      <c r="G1369" s="22" t="s">
        <v>1516</v>
      </c>
      <c r="H1369" s="22" t="s">
        <v>630</v>
      </c>
      <c r="I1369" s="22">
        <v>45</v>
      </c>
      <c r="J1369" s="22">
        <v>26</v>
      </c>
      <c r="K1369" s="22">
        <v>8</v>
      </c>
      <c r="L1369" s="34" t="e">
        <v>#N/A</v>
      </c>
      <c r="M1369" s="12">
        <v>0</v>
      </c>
      <c r="N1369" s="13"/>
      <c r="O1369" s="13"/>
    </row>
    <row r="1370" spans="1:15">
      <c r="A1370" s="38" t="s">
        <v>1623</v>
      </c>
      <c r="B1370" s="8">
        <v>9</v>
      </c>
      <c r="C1370" s="8">
        <v>155</v>
      </c>
      <c r="D1370" s="8">
        <v>6</v>
      </c>
      <c r="E1370" s="8">
        <v>0.2</v>
      </c>
      <c r="F1370" s="9">
        <v>1381</v>
      </c>
      <c r="G1370" s="22" t="s">
        <v>1516</v>
      </c>
      <c r="H1370" s="22" t="s">
        <v>630</v>
      </c>
      <c r="I1370" s="22">
        <v>45</v>
      </c>
      <c r="J1370" s="22">
        <v>26</v>
      </c>
      <c r="K1370" s="22">
        <v>8</v>
      </c>
      <c r="L1370" s="34" t="e">
        <v>#N/A</v>
      </c>
      <c r="M1370" s="12">
        <v>100</v>
      </c>
      <c r="N1370" s="13"/>
      <c r="O1370" s="13"/>
    </row>
    <row r="1371" spans="1:15">
      <c r="A1371" s="7" t="s">
        <v>1624</v>
      </c>
      <c r="B1371" s="8">
        <v>9</v>
      </c>
      <c r="C1371" s="8">
        <v>360</v>
      </c>
      <c r="D1371" s="8">
        <v>50</v>
      </c>
      <c r="E1371" s="8">
        <v>1.5</v>
      </c>
      <c r="F1371" s="9">
        <v>1382</v>
      </c>
      <c r="G1371" s="8" t="s">
        <v>372</v>
      </c>
      <c r="H1371" s="10" t="s">
        <v>1625</v>
      </c>
      <c r="I1371" s="10">
        <v>160</v>
      </c>
      <c r="J1371" s="10">
        <v>29</v>
      </c>
      <c r="K1371" s="10">
        <v>16</v>
      </c>
      <c r="L1371" s="11" t="e">
        <v>#N/A</v>
      </c>
      <c r="M1371" s="12">
        <v>32</v>
      </c>
      <c r="N1371" s="13"/>
      <c r="O1371" s="13" t="s">
        <v>183</v>
      </c>
    </row>
    <row r="1372" spans="1:15">
      <c r="A1372" s="7" t="s">
        <v>1626</v>
      </c>
      <c r="B1372" s="8">
        <v>9</v>
      </c>
      <c r="C1372" s="8">
        <v>360</v>
      </c>
      <c r="D1372" s="8">
        <v>50</v>
      </c>
      <c r="E1372" s="8">
        <v>1.5</v>
      </c>
      <c r="F1372" s="9">
        <v>1383</v>
      </c>
      <c r="G1372" s="8" t="s">
        <v>372</v>
      </c>
      <c r="H1372" s="10" t="s">
        <v>1625</v>
      </c>
      <c r="I1372" s="10">
        <v>160</v>
      </c>
      <c r="J1372" s="10">
        <v>29</v>
      </c>
      <c r="K1372" s="10">
        <v>16</v>
      </c>
      <c r="L1372" s="11" t="e">
        <v>#N/A</v>
      </c>
      <c r="M1372" s="12">
        <v>30</v>
      </c>
      <c r="N1372" s="13"/>
      <c r="O1372" s="13" t="s">
        <v>183</v>
      </c>
    </row>
    <row r="1373" spans="1:15">
      <c r="A1373" s="7" t="s">
        <v>1627</v>
      </c>
      <c r="B1373" s="8">
        <v>9</v>
      </c>
      <c r="C1373" s="8">
        <v>360</v>
      </c>
      <c r="D1373" s="8">
        <v>50</v>
      </c>
      <c r="E1373" s="8">
        <v>1.5</v>
      </c>
      <c r="F1373" s="9">
        <v>1384</v>
      </c>
      <c r="G1373" s="8" t="s">
        <v>372</v>
      </c>
      <c r="H1373" s="10" t="s">
        <v>1625</v>
      </c>
      <c r="I1373" s="10">
        <v>160</v>
      </c>
      <c r="J1373" s="10">
        <v>29</v>
      </c>
      <c r="K1373" s="10">
        <v>16</v>
      </c>
      <c r="L1373" s="11" t="e">
        <v>#N/A</v>
      </c>
      <c r="M1373" s="12">
        <v>14</v>
      </c>
      <c r="N1373" s="13"/>
      <c r="O1373" s="13" t="s">
        <v>183</v>
      </c>
    </row>
    <row r="1374" spans="1:15">
      <c r="A1374" s="7" t="s">
        <v>1628</v>
      </c>
      <c r="B1374" s="8">
        <v>9</v>
      </c>
      <c r="C1374" s="8">
        <v>360</v>
      </c>
      <c r="D1374" s="8">
        <v>50</v>
      </c>
      <c r="E1374" s="8">
        <v>1.5</v>
      </c>
      <c r="F1374" s="9">
        <v>1385</v>
      </c>
      <c r="G1374" s="8" t="s">
        <v>372</v>
      </c>
      <c r="H1374" s="10" t="s">
        <v>1625</v>
      </c>
      <c r="I1374" s="10">
        <v>160</v>
      </c>
      <c r="J1374" s="10">
        <v>29</v>
      </c>
      <c r="K1374" s="10">
        <v>16</v>
      </c>
      <c r="L1374" s="11" t="e">
        <v>#N/A</v>
      </c>
      <c r="M1374" s="12">
        <v>43</v>
      </c>
      <c r="N1374" s="13"/>
      <c r="O1374" s="13" t="s">
        <v>183</v>
      </c>
    </row>
    <row r="1375" spans="1:15">
      <c r="A1375" s="7" t="s">
        <v>1629</v>
      </c>
      <c r="B1375" s="8">
        <v>9</v>
      </c>
      <c r="C1375" s="8">
        <v>360</v>
      </c>
      <c r="D1375" s="8">
        <v>50</v>
      </c>
      <c r="E1375" s="8">
        <v>1.5</v>
      </c>
      <c r="F1375" s="9">
        <v>1386</v>
      </c>
      <c r="G1375" s="8" t="s">
        <v>372</v>
      </c>
      <c r="H1375" s="10" t="s">
        <v>1625</v>
      </c>
      <c r="I1375" s="10">
        <v>160</v>
      </c>
      <c r="J1375" s="10">
        <v>29</v>
      </c>
      <c r="K1375" s="10">
        <v>16</v>
      </c>
      <c r="L1375" s="11" t="e">
        <v>#N/A</v>
      </c>
      <c r="M1375" s="12">
        <v>22</v>
      </c>
      <c r="N1375" s="13"/>
      <c r="O1375" s="13" t="s">
        <v>183</v>
      </c>
    </row>
    <row r="1376" spans="1:15">
      <c r="A1376" s="7" t="s">
        <v>1630</v>
      </c>
      <c r="B1376" s="8">
        <v>9</v>
      </c>
      <c r="C1376" s="8">
        <v>360</v>
      </c>
      <c r="D1376" s="8">
        <v>50</v>
      </c>
      <c r="E1376" s="8">
        <v>1.5</v>
      </c>
      <c r="F1376" s="9">
        <v>1387</v>
      </c>
      <c r="G1376" s="8" t="s">
        <v>372</v>
      </c>
      <c r="H1376" s="10" t="s">
        <v>1625</v>
      </c>
      <c r="I1376" s="10">
        <v>160</v>
      </c>
      <c r="J1376" s="10">
        <v>29</v>
      </c>
      <c r="K1376" s="10">
        <v>16</v>
      </c>
      <c r="L1376" s="11" t="e">
        <v>#N/A</v>
      </c>
      <c r="M1376" s="12">
        <v>14</v>
      </c>
      <c r="N1376" s="13"/>
      <c r="O1376" s="13" t="s">
        <v>183</v>
      </c>
    </row>
    <row r="1377" spans="1:15">
      <c r="A1377" s="7" t="s">
        <v>1631</v>
      </c>
      <c r="B1377" s="8">
        <v>9</v>
      </c>
      <c r="C1377" s="8">
        <v>338</v>
      </c>
      <c r="D1377" s="8">
        <v>1</v>
      </c>
      <c r="E1377" s="8">
        <v>0.5</v>
      </c>
      <c r="F1377" s="9">
        <v>1388</v>
      </c>
      <c r="G1377" s="8" t="s">
        <v>1443</v>
      </c>
      <c r="H1377" s="10" t="s">
        <v>1195</v>
      </c>
      <c r="I1377" s="10">
        <v>89</v>
      </c>
      <c r="J1377" s="10">
        <v>14</v>
      </c>
      <c r="K1377" s="10">
        <v>9</v>
      </c>
      <c r="L1377" s="11" t="s">
        <v>1632</v>
      </c>
      <c r="M1377" s="12">
        <v>0</v>
      </c>
      <c r="N1377" s="13"/>
      <c r="O1377" s="13"/>
    </row>
    <row r="1378" spans="1:15">
      <c r="A1378" s="7" t="s">
        <v>1633</v>
      </c>
      <c r="B1378" s="8">
        <v>9</v>
      </c>
      <c r="C1378" s="8">
        <v>340</v>
      </c>
      <c r="D1378" s="8">
        <v>25</v>
      </c>
      <c r="E1378" s="8">
        <v>2.54</v>
      </c>
      <c r="F1378" s="9">
        <v>1389</v>
      </c>
      <c r="G1378" s="8" t="s">
        <v>1443</v>
      </c>
      <c r="H1378" s="10" t="s">
        <v>523</v>
      </c>
      <c r="I1378" s="10">
        <v>77</v>
      </c>
      <c r="J1378" s="10">
        <v>52</v>
      </c>
      <c r="K1378" s="10">
        <v>32</v>
      </c>
      <c r="L1378" s="11" t="e">
        <v>#N/A</v>
      </c>
      <c r="M1378" s="12">
        <v>0</v>
      </c>
      <c r="N1378" s="13" t="s">
        <v>183</v>
      </c>
      <c r="O1378" s="13"/>
    </row>
    <row r="1379" spans="1:15">
      <c r="A1379" s="7" t="s">
        <v>1634</v>
      </c>
      <c r="B1379" s="8">
        <v>9</v>
      </c>
      <c r="C1379" s="8">
        <v>77</v>
      </c>
      <c r="D1379" s="8">
        <v>50</v>
      </c>
      <c r="E1379" s="8">
        <v>0.64</v>
      </c>
      <c r="F1379" s="9">
        <v>1390</v>
      </c>
      <c r="G1379" s="8" t="s">
        <v>1296</v>
      </c>
      <c r="H1379" s="10" t="s">
        <v>1428</v>
      </c>
      <c r="I1379" s="10">
        <v>130</v>
      </c>
      <c r="J1379" s="10">
        <v>15</v>
      </c>
      <c r="K1379" s="10">
        <v>10</v>
      </c>
      <c r="L1379" s="11" t="s">
        <v>56</v>
      </c>
      <c r="M1379" s="12">
        <v>117</v>
      </c>
      <c r="N1379" s="13"/>
      <c r="O1379" s="13"/>
    </row>
    <row r="1380" spans="1:15">
      <c r="A1380" s="7" t="s">
        <v>1635</v>
      </c>
      <c r="B1380" s="8">
        <v>9</v>
      </c>
      <c r="C1380" s="8">
        <v>71</v>
      </c>
      <c r="D1380" s="8">
        <v>50</v>
      </c>
      <c r="E1380" s="8">
        <v>0.64</v>
      </c>
      <c r="F1380" s="9">
        <v>1391</v>
      </c>
      <c r="G1380" s="8" t="s">
        <v>1296</v>
      </c>
      <c r="H1380" s="10" t="s">
        <v>1428</v>
      </c>
      <c r="I1380" s="10">
        <v>130</v>
      </c>
      <c r="J1380" s="10">
        <v>15</v>
      </c>
      <c r="K1380" s="10">
        <v>10</v>
      </c>
      <c r="L1380" s="11" t="s">
        <v>235</v>
      </c>
      <c r="M1380" s="12">
        <v>115</v>
      </c>
      <c r="N1380" s="13"/>
      <c r="O1380" s="13"/>
    </row>
    <row r="1381" spans="1:15">
      <c r="A1381" s="7" t="s">
        <v>1636</v>
      </c>
      <c r="B1381" s="8">
        <v>9</v>
      </c>
      <c r="C1381" s="8">
        <v>360</v>
      </c>
      <c r="D1381" s="8">
        <v>50</v>
      </c>
      <c r="E1381" s="8">
        <v>1.5</v>
      </c>
      <c r="F1381" s="9">
        <v>1392</v>
      </c>
      <c r="G1381" s="8" t="s">
        <v>372</v>
      </c>
      <c r="H1381" s="10" t="s">
        <v>1625</v>
      </c>
      <c r="I1381" s="10">
        <v>160</v>
      </c>
      <c r="J1381" s="10">
        <v>29</v>
      </c>
      <c r="K1381" s="10">
        <v>16</v>
      </c>
      <c r="L1381" s="11" t="e">
        <v>#N/A</v>
      </c>
      <c r="M1381" s="12">
        <v>0</v>
      </c>
      <c r="N1381" s="13" t="s">
        <v>183</v>
      </c>
      <c r="O1381" s="13"/>
    </row>
    <row r="1382" spans="1:15">
      <c r="A1382" s="7" t="s">
        <v>1637</v>
      </c>
      <c r="B1382" s="8">
        <v>9</v>
      </c>
      <c r="C1382" s="8">
        <v>81</v>
      </c>
      <c r="D1382" s="8">
        <v>50</v>
      </c>
      <c r="E1382" s="8">
        <v>0.6</v>
      </c>
      <c r="F1382" s="9">
        <v>1393</v>
      </c>
      <c r="G1382" s="8" t="s">
        <v>16</v>
      </c>
      <c r="H1382" s="10" t="s">
        <v>17</v>
      </c>
      <c r="I1382" s="10">
        <v>122</v>
      </c>
      <c r="J1382" s="10">
        <v>15</v>
      </c>
      <c r="K1382" s="10">
        <v>10</v>
      </c>
      <c r="L1382" s="11" t="e">
        <v>#N/A</v>
      </c>
      <c r="M1382" s="12">
        <v>358</v>
      </c>
      <c r="N1382" s="13"/>
      <c r="O1382" s="13"/>
    </row>
    <row r="1383" spans="1:15">
      <c r="A1383" s="7" t="s">
        <v>1638</v>
      </c>
      <c r="B1383" s="8">
        <v>9</v>
      </c>
      <c r="C1383" s="8">
        <v>360</v>
      </c>
      <c r="D1383" s="8">
        <v>50</v>
      </c>
      <c r="E1383" s="8">
        <v>1.5</v>
      </c>
      <c r="F1383" s="9">
        <v>1394</v>
      </c>
      <c r="G1383" s="8" t="s">
        <v>372</v>
      </c>
      <c r="H1383" s="10" t="s">
        <v>1625</v>
      </c>
      <c r="I1383" s="10">
        <v>160</v>
      </c>
      <c r="J1383" s="10">
        <v>29</v>
      </c>
      <c r="K1383" s="10">
        <v>16</v>
      </c>
      <c r="L1383" s="11" t="e">
        <v>#N/A</v>
      </c>
      <c r="M1383" s="12">
        <v>56</v>
      </c>
      <c r="N1383" s="13" t="s">
        <v>183</v>
      </c>
      <c r="O1383" s="13"/>
    </row>
    <row r="1384" spans="1:15">
      <c r="A1384" s="7" t="s">
        <v>1639</v>
      </c>
      <c r="B1384" s="8">
        <v>9</v>
      </c>
      <c r="C1384" s="8">
        <v>360</v>
      </c>
      <c r="D1384" s="8">
        <v>50</v>
      </c>
      <c r="E1384" s="8">
        <v>1.5</v>
      </c>
      <c r="F1384" s="9">
        <v>1395</v>
      </c>
      <c r="G1384" s="8" t="s">
        <v>372</v>
      </c>
      <c r="H1384" s="10" t="s">
        <v>1625</v>
      </c>
      <c r="I1384" s="10">
        <v>160</v>
      </c>
      <c r="J1384" s="10">
        <v>29</v>
      </c>
      <c r="K1384" s="10">
        <v>16</v>
      </c>
      <c r="L1384" s="11" t="e">
        <v>#N/A</v>
      </c>
      <c r="M1384" s="12">
        <v>0</v>
      </c>
      <c r="N1384" s="13" t="s">
        <v>183</v>
      </c>
      <c r="O1384" s="13"/>
    </row>
    <row r="1385" spans="1:15">
      <c r="A1385" s="7" t="s">
        <v>1640</v>
      </c>
      <c r="B1385" s="8">
        <v>9</v>
      </c>
      <c r="C1385" s="8">
        <v>380</v>
      </c>
      <c r="D1385" s="8">
        <v>50</v>
      </c>
      <c r="E1385" s="8">
        <v>1.6</v>
      </c>
      <c r="F1385" s="9">
        <v>1396</v>
      </c>
      <c r="G1385" s="8" t="s">
        <v>372</v>
      </c>
      <c r="H1385" s="10" t="s">
        <v>1198</v>
      </c>
      <c r="I1385" s="10">
        <v>183</v>
      </c>
      <c r="J1385" s="10">
        <v>29</v>
      </c>
      <c r="K1385" s="10">
        <v>16</v>
      </c>
      <c r="L1385" s="11" t="s">
        <v>1641</v>
      </c>
      <c r="M1385" s="12">
        <v>2</v>
      </c>
      <c r="N1385" s="13"/>
      <c r="O1385" s="13"/>
    </row>
    <row r="1386" spans="1:15">
      <c r="A1386" s="7" t="s">
        <v>1642</v>
      </c>
      <c r="B1386" s="8">
        <v>9</v>
      </c>
      <c r="C1386" s="8">
        <v>380</v>
      </c>
      <c r="D1386" s="8">
        <v>50</v>
      </c>
      <c r="E1386" s="8">
        <v>1.6</v>
      </c>
      <c r="F1386" s="9">
        <v>1397</v>
      </c>
      <c r="G1386" s="8" t="s">
        <v>372</v>
      </c>
      <c r="H1386" s="10" t="s">
        <v>1198</v>
      </c>
      <c r="I1386" s="10">
        <v>183</v>
      </c>
      <c r="J1386" s="10">
        <v>29</v>
      </c>
      <c r="K1386" s="10">
        <v>16</v>
      </c>
      <c r="L1386" s="11" t="s">
        <v>1641</v>
      </c>
      <c r="M1386" s="12">
        <v>6</v>
      </c>
      <c r="N1386" s="13"/>
      <c r="O1386" s="13"/>
    </row>
    <row r="1387" spans="1:15">
      <c r="A1387" s="7" t="s">
        <v>1643</v>
      </c>
      <c r="B1387" s="8">
        <v>9</v>
      </c>
      <c r="C1387" s="8">
        <v>380</v>
      </c>
      <c r="D1387" s="8">
        <v>50</v>
      </c>
      <c r="E1387" s="8">
        <v>1.6</v>
      </c>
      <c r="F1387" s="9">
        <v>1398</v>
      </c>
      <c r="G1387" s="8" t="s">
        <v>372</v>
      </c>
      <c r="H1387" s="10" t="s">
        <v>1198</v>
      </c>
      <c r="I1387" s="10">
        <v>183</v>
      </c>
      <c r="J1387" s="10">
        <v>29</v>
      </c>
      <c r="K1387" s="10">
        <v>16</v>
      </c>
      <c r="L1387" s="11" t="s">
        <v>1641</v>
      </c>
      <c r="M1387" s="12">
        <v>12</v>
      </c>
      <c r="N1387" s="13"/>
      <c r="O1387" s="13"/>
    </row>
    <row r="1388" spans="1:15">
      <c r="A1388" s="7" t="s">
        <v>1644</v>
      </c>
      <c r="B1388" s="8">
        <v>9</v>
      </c>
      <c r="C1388" s="8">
        <v>320</v>
      </c>
      <c r="D1388" s="8">
        <v>50</v>
      </c>
      <c r="E1388" s="8">
        <v>1.48</v>
      </c>
      <c r="F1388" s="9">
        <v>1399</v>
      </c>
      <c r="G1388" s="8" t="s">
        <v>372</v>
      </c>
      <c r="H1388" s="10" t="s">
        <v>898</v>
      </c>
      <c r="I1388" s="10">
        <v>145</v>
      </c>
      <c r="J1388" s="10">
        <v>29</v>
      </c>
      <c r="K1388" s="10">
        <v>16</v>
      </c>
      <c r="L1388" s="11" t="e">
        <v>#N/A</v>
      </c>
      <c r="M1388" s="12">
        <v>1</v>
      </c>
      <c r="N1388" s="13"/>
      <c r="O1388" s="13" t="s">
        <v>18</v>
      </c>
    </row>
    <row r="1389" spans="1:15">
      <c r="A1389" s="7" t="s">
        <v>1645</v>
      </c>
      <c r="B1389" s="8">
        <v>9</v>
      </c>
      <c r="C1389" s="8">
        <v>320</v>
      </c>
      <c r="D1389" s="8">
        <v>50</v>
      </c>
      <c r="E1389" s="8">
        <v>1.48</v>
      </c>
      <c r="F1389" s="9">
        <v>1400</v>
      </c>
      <c r="G1389" s="8" t="s">
        <v>372</v>
      </c>
      <c r="H1389" s="10" t="s">
        <v>898</v>
      </c>
      <c r="I1389" s="10">
        <v>145</v>
      </c>
      <c r="J1389" s="10">
        <v>29</v>
      </c>
      <c r="K1389" s="10">
        <v>16</v>
      </c>
      <c r="L1389" s="11" t="e">
        <v>#N/A</v>
      </c>
      <c r="M1389" s="12">
        <v>58</v>
      </c>
      <c r="N1389" s="13"/>
      <c r="O1389" s="13" t="s">
        <v>18</v>
      </c>
    </row>
    <row r="1390" spans="1:15">
      <c r="A1390" s="7" t="s">
        <v>1646</v>
      </c>
      <c r="B1390" s="8">
        <v>9</v>
      </c>
      <c r="C1390" s="8">
        <v>360</v>
      </c>
      <c r="D1390" s="8">
        <v>50</v>
      </c>
      <c r="E1390" s="8">
        <v>1.5</v>
      </c>
      <c r="F1390" s="9">
        <v>1401</v>
      </c>
      <c r="G1390" s="8" t="s">
        <v>372</v>
      </c>
      <c r="H1390" s="10" t="s">
        <v>1625</v>
      </c>
      <c r="I1390" s="10">
        <v>160</v>
      </c>
      <c r="J1390" s="10">
        <v>29</v>
      </c>
      <c r="K1390" s="10">
        <v>16</v>
      </c>
      <c r="L1390" s="11" t="e">
        <v>#N/A</v>
      </c>
      <c r="M1390" s="12">
        <v>20</v>
      </c>
      <c r="N1390" s="13"/>
      <c r="O1390" s="13" t="s">
        <v>18</v>
      </c>
    </row>
    <row r="1391" spans="1:15">
      <c r="A1391" s="7" t="s">
        <v>1647</v>
      </c>
      <c r="B1391" s="8">
        <v>9</v>
      </c>
      <c r="C1391" s="8">
        <v>360</v>
      </c>
      <c r="D1391" s="8">
        <v>50</v>
      </c>
      <c r="E1391" s="8">
        <v>1.5</v>
      </c>
      <c r="F1391" s="9">
        <v>1402</v>
      </c>
      <c r="G1391" s="8" t="s">
        <v>372</v>
      </c>
      <c r="H1391" s="10" t="s">
        <v>1625</v>
      </c>
      <c r="I1391" s="10">
        <v>160</v>
      </c>
      <c r="J1391" s="10">
        <v>29</v>
      </c>
      <c r="K1391" s="10">
        <v>16</v>
      </c>
      <c r="L1391" s="11" t="e">
        <v>#N/A</v>
      </c>
      <c r="M1391" s="12">
        <v>0</v>
      </c>
      <c r="N1391" s="13"/>
      <c r="O1391" s="13" t="s">
        <v>18</v>
      </c>
    </row>
    <row r="1392" spans="1:15">
      <c r="A1392" s="7" t="s">
        <v>1648</v>
      </c>
      <c r="B1392" s="8">
        <v>9</v>
      </c>
      <c r="C1392" s="8">
        <v>360</v>
      </c>
      <c r="D1392" s="8">
        <v>50</v>
      </c>
      <c r="E1392" s="8">
        <v>1.5</v>
      </c>
      <c r="F1392" s="9">
        <v>1403</v>
      </c>
      <c r="G1392" s="8" t="s">
        <v>372</v>
      </c>
      <c r="H1392" s="10" t="s">
        <v>1625</v>
      </c>
      <c r="I1392" s="10">
        <v>160</v>
      </c>
      <c r="J1392" s="10">
        <v>29</v>
      </c>
      <c r="K1392" s="10">
        <v>16</v>
      </c>
      <c r="L1392" s="11" t="e">
        <v>#N/A</v>
      </c>
      <c r="M1392" s="12">
        <v>0</v>
      </c>
      <c r="N1392" s="13"/>
      <c r="O1392" s="13" t="s">
        <v>18</v>
      </c>
    </row>
    <row r="1393" spans="1:15">
      <c r="A1393" s="7" t="s">
        <v>1649</v>
      </c>
      <c r="B1393" s="8">
        <v>9</v>
      </c>
      <c r="C1393" s="8">
        <v>360</v>
      </c>
      <c r="D1393" s="8">
        <v>50</v>
      </c>
      <c r="E1393" s="8">
        <v>1.5</v>
      </c>
      <c r="F1393" s="9">
        <v>1404</v>
      </c>
      <c r="G1393" s="8" t="s">
        <v>372</v>
      </c>
      <c r="H1393" s="10" t="s">
        <v>1625</v>
      </c>
      <c r="I1393" s="10">
        <v>160</v>
      </c>
      <c r="J1393" s="10">
        <v>29</v>
      </c>
      <c r="K1393" s="10">
        <v>16</v>
      </c>
      <c r="L1393" s="11" t="e">
        <v>#N/A</v>
      </c>
      <c r="M1393" s="12">
        <v>30</v>
      </c>
      <c r="N1393" s="13" t="s">
        <v>183</v>
      </c>
      <c r="O1393" s="13"/>
    </row>
    <row r="1394" spans="1:15">
      <c r="A1394" s="7" t="s">
        <v>1650</v>
      </c>
      <c r="B1394" s="8">
        <v>9</v>
      </c>
      <c r="C1394" s="8">
        <v>360</v>
      </c>
      <c r="D1394" s="8">
        <v>50</v>
      </c>
      <c r="E1394" s="8">
        <v>1.5</v>
      </c>
      <c r="F1394" s="9">
        <v>1405</v>
      </c>
      <c r="G1394" s="8" t="s">
        <v>372</v>
      </c>
      <c r="H1394" s="10" t="s">
        <v>1625</v>
      </c>
      <c r="I1394" s="10">
        <v>160</v>
      </c>
      <c r="J1394" s="10">
        <v>29</v>
      </c>
      <c r="K1394" s="10">
        <v>16</v>
      </c>
      <c r="L1394" s="11" t="e">
        <v>#N/A</v>
      </c>
      <c r="M1394" s="12">
        <v>4</v>
      </c>
      <c r="N1394" s="13" t="s">
        <v>183</v>
      </c>
      <c r="O1394" s="13"/>
    </row>
    <row r="1395" spans="1:15">
      <c r="A1395" s="7" t="s">
        <v>1651</v>
      </c>
      <c r="B1395" s="8">
        <v>9</v>
      </c>
      <c r="C1395" s="8">
        <v>360</v>
      </c>
      <c r="D1395" s="8">
        <v>50</v>
      </c>
      <c r="E1395" s="8">
        <v>1.5</v>
      </c>
      <c r="F1395" s="9">
        <v>1406</v>
      </c>
      <c r="G1395" s="8" t="s">
        <v>372</v>
      </c>
      <c r="H1395" s="10" t="s">
        <v>1625</v>
      </c>
      <c r="I1395" s="10">
        <v>160</v>
      </c>
      <c r="J1395" s="10">
        <v>29</v>
      </c>
      <c r="K1395" s="10">
        <v>16</v>
      </c>
      <c r="L1395" s="11" t="e">
        <v>#N/A</v>
      </c>
      <c r="M1395" s="12">
        <v>0</v>
      </c>
      <c r="N1395" s="13" t="s">
        <v>183</v>
      </c>
      <c r="O1395" s="13"/>
    </row>
    <row r="1396" spans="1:15">
      <c r="A1396" s="7" t="s">
        <v>1652</v>
      </c>
      <c r="B1396" s="8">
        <v>9</v>
      </c>
      <c r="C1396" s="8">
        <v>360</v>
      </c>
      <c r="D1396" s="8">
        <v>50</v>
      </c>
      <c r="E1396" s="8">
        <v>1.5</v>
      </c>
      <c r="F1396" s="9">
        <v>1407</v>
      </c>
      <c r="G1396" s="8" t="s">
        <v>372</v>
      </c>
      <c r="H1396" s="10" t="s">
        <v>1625</v>
      </c>
      <c r="I1396" s="10">
        <v>160</v>
      </c>
      <c r="J1396" s="10">
        <v>29</v>
      </c>
      <c r="K1396" s="10">
        <v>16</v>
      </c>
      <c r="L1396" s="11" t="e">
        <v>#N/A</v>
      </c>
      <c r="M1396" s="12">
        <v>10</v>
      </c>
      <c r="N1396" s="13" t="s">
        <v>183</v>
      </c>
      <c r="O1396" s="13"/>
    </row>
    <row r="1397" spans="1:15">
      <c r="A1397" s="7" t="s">
        <v>1653</v>
      </c>
      <c r="B1397" s="8">
        <v>9</v>
      </c>
      <c r="C1397" s="8">
        <v>360</v>
      </c>
      <c r="D1397" s="8">
        <v>50</v>
      </c>
      <c r="E1397" s="8">
        <v>1.5</v>
      </c>
      <c r="F1397" s="9">
        <v>1408</v>
      </c>
      <c r="G1397" s="8" t="s">
        <v>372</v>
      </c>
      <c r="H1397" s="10" t="s">
        <v>1625</v>
      </c>
      <c r="I1397" s="10">
        <v>160</v>
      </c>
      <c r="J1397" s="10">
        <v>29</v>
      </c>
      <c r="K1397" s="10">
        <v>16</v>
      </c>
      <c r="L1397" s="11" t="e">
        <v>#N/A</v>
      </c>
      <c r="M1397" s="12">
        <v>19</v>
      </c>
      <c r="N1397" s="13" t="s">
        <v>183</v>
      </c>
      <c r="O1397" s="13"/>
    </row>
    <row r="1398" spans="1:15">
      <c r="A1398" s="7" t="s">
        <v>1654</v>
      </c>
      <c r="B1398" s="8">
        <v>9</v>
      </c>
      <c r="C1398" s="8">
        <v>360</v>
      </c>
      <c r="D1398" s="8">
        <v>50</v>
      </c>
      <c r="E1398" s="8">
        <v>1.5</v>
      </c>
      <c r="F1398" s="9">
        <v>1409</v>
      </c>
      <c r="G1398" s="8" t="s">
        <v>372</v>
      </c>
      <c r="H1398" s="10" t="s">
        <v>1625</v>
      </c>
      <c r="I1398" s="10">
        <v>160</v>
      </c>
      <c r="J1398" s="10">
        <v>29</v>
      </c>
      <c r="K1398" s="10">
        <v>16</v>
      </c>
      <c r="L1398" s="11" t="e">
        <v>#N/A</v>
      </c>
      <c r="M1398" s="12">
        <v>99</v>
      </c>
      <c r="N1398" s="13" t="s">
        <v>183</v>
      </c>
      <c r="O1398" s="13"/>
    </row>
    <row r="1399" spans="1:15">
      <c r="A1399" s="7" t="s">
        <v>1655</v>
      </c>
      <c r="B1399" s="8">
        <v>9</v>
      </c>
      <c r="C1399" s="8">
        <v>360</v>
      </c>
      <c r="D1399" s="8">
        <v>50</v>
      </c>
      <c r="E1399" s="8">
        <v>1.5</v>
      </c>
      <c r="F1399" s="9">
        <v>1410</v>
      </c>
      <c r="G1399" s="8" t="s">
        <v>372</v>
      </c>
      <c r="H1399" s="10" t="s">
        <v>1625</v>
      </c>
      <c r="I1399" s="10">
        <v>160</v>
      </c>
      <c r="J1399" s="10">
        <v>29</v>
      </c>
      <c r="K1399" s="10">
        <v>16</v>
      </c>
      <c r="L1399" s="11" t="e">
        <v>#N/A</v>
      </c>
      <c r="M1399" s="12">
        <v>6</v>
      </c>
      <c r="N1399" s="13" t="s">
        <v>183</v>
      </c>
      <c r="O1399" s="13"/>
    </row>
    <row r="1400" spans="1:15">
      <c r="A1400" s="7" t="s">
        <v>1656</v>
      </c>
      <c r="B1400" s="8">
        <v>9</v>
      </c>
      <c r="C1400" s="8">
        <v>360</v>
      </c>
      <c r="D1400" s="8">
        <v>50</v>
      </c>
      <c r="E1400" s="8">
        <v>1.5</v>
      </c>
      <c r="F1400" s="9">
        <v>1411</v>
      </c>
      <c r="G1400" s="8" t="s">
        <v>372</v>
      </c>
      <c r="H1400" s="10" t="s">
        <v>1625</v>
      </c>
      <c r="I1400" s="10">
        <v>160</v>
      </c>
      <c r="J1400" s="10">
        <v>29</v>
      </c>
      <c r="K1400" s="10">
        <v>16</v>
      </c>
      <c r="L1400" s="11" t="e">
        <v>#N/A</v>
      </c>
      <c r="M1400" s="12">
        <v>0</v>
      </c>
      <c r="N1400" s="13" t="s">
        <v>183</v>
      </c>
      <c r="O1400" s="13"/>
    </row>
    <row r="1401" spans="1:15">
      <c r="A1401" s="7" t="s">
        <v>1657</v>
      </c>
      <c r="B1401" s="8">
        <v>9</v>
      </c>
      <c r="C1401" s="8">
        <v>360</v>
      </c>
      <c r="D1401" s="8">
        <v>50</v>
      </c>
      <c r="E1401" s="8">
        <v>1.5</v>
      </c>
      <c r="F1401" s="9">
        <v>1412</v>
      </c>
      <c r="G1401" s="8" t="s">
        <v>372</v>
      </c>
      <c r="H1401" s="10" t="s">
        <v>1625</v>
      </c>
      <c r="I1401" s="10">
        <v>160</v>
      </c>
      <c r="J1401" s="10">
        <v>29</v>
      </c>
      <c r="K1401" s="10">
        <v>16</v>
      </c>
      <c r="L1401" s="11" t="e">
        <v>#N/A</v>
      </c>
      <c r="M1401" s="12">
        <v>0</v>
      </c>
      <c r="N1401" s="13" t="s">
        <v>183</v>
      </c>
      <c r="O1401" s="13"/>
    </row>
    <row r="1402" spans="1:15">
      <c r="A1402" s="7" t="s">
        <v>1658</v>
      </c>
      <c r="B1402" s="8">
        <v>9</v>
      </c>
      <c r="C1402" s="8">
        <v>360</v>
      </c>
      <c r="D1402" s="8">
        <v>50</v>
      </c>
      <c r="E1402" s="8">
        <v>1.5</v>
      </c>
      <c r="F1402" s="9">
        <v>1413</v>
      </c>
      <c r="G1402" s="8" t="s">
        <v>372</v>
      </c>
      <c r="H1402" s="10" t="s">
        <v>1625</v>
      </c>
      <c r="I1402" s="10">
        <v>160</v>
      </c>
      <c r="J1402" s="10">
        <v>29</v>
      </c>
      <c r="K1402" s="10">
        <v>16</v>
      </c>
      <c r="L1402" s="11" t="e">
        <v>#N/A</v>
      </c>
      <c r="M1402" s="12">
        <v>0</v>
      </c>
      <c r="N1402" s="13"/>
      <c r="O1402" s="13"/>
    </row>
    <row r="1403" spans="1:15">
      <c r="A1403" s="7" t="s">
        <v>1659</v>
      </c>
      <c r="B1403" s="8">
        <v>9</v>
      </c>
      <c r="C1403" s="8">
        <v>360</v>
      </c>
      <c r="D1403" s="8">
        <v>50</v>
      </c>
      <c r="E1403" s="8">
        <v>1.5</v>
      </c>
      <c r="F1403" s="9">
        <v>1414</v>
      </c>
      <c r="G1403" s="8" t="s">
        <v>372</v>
      </c>
      <c r="H1403" s="10" t="s">
        <v>1625</v>
      </c>
      <c r="I1403" s="10">
        <v>160</v>
      </c>
      <c r="J1403" s="10">
        <v>29</v>
      </c>
      <c r="K1403" s="10">
        <v>16</v>
      </c>
      <c r="L1403" s="11" t="e">
        <v>#N/A</v>
      </c>
      <c r="M1403" s="12">
        <v>30</v>
      </c>
      <c r="N1403" s="13" t="s">
        <v>18</v>
      </c>
      <c r="O1403" s="13"/>
    </row>
    <row r="1404" spans="1:15">
      <c r="A1404" s="7" t="s">
        <v>1660</v>
      </c>
      <c r="B1404" s="8">
        <v>9</v>
      </c>
      <c r="C1404" s="8">
        <v>360</v>
      </c>
      <c r="D1404" s="8">
        <v>50</v>
      </c>
      <c r="E1404" s="8">
        <v>1.5</v>
      </c>
      <c r="F1404" s="9">
        <v>1415</v>
      </c>
      <c r="G1404" s="8" t="s">
        <v>372</v>
      </c>
      <c r="H1404" s="10" t="s">
        <v>1625</v>
      </c>
      <c r="I1404" s="10">
        <v>160</v>
      </c>
      <c r="J1404" s="10">
        <v>29</v>
      </c>
      <c r="K1404" s="10">
        <v>16</v>
      </c>
      <c r="L1404" s="11" t="e">
        <v>#N/A</v>
      </c>
      <c r="M1404" s="12">
        <v>10</v>
      </c>
      <c r="N1404" s="13"/>
      <c r="O1404" s="13"/>
    </row>
    <row r="1405" spans="1:15">
      <c r="A1405" s="7" t="s">
        <v>1661</v>
      </c>
      <c r="B1405" s="8">
        <v>9</v>
      </c>
      <c r="C1405" s="8">
        <v>360</v>
      </c>
      <c r="D1405" s="8">
        <v>50</v>
      </c>
      <c r="E1405" s="8">
        <v>1.5</v>
      </c>
      <c r="F1405" s="9">
        <v>1416</v>
      </c>
      <c r="G1405" s="8" t="s">
        <v>372</v>
      </c>
      <c r="H1405" s="10" t="s">
        <v>1625</v>
      </c>
      <c r="I1405" s="10">
        <v>160</v>
      </c>
      <c r="J1405" s="10">
        <v>29</v>
      </c>
      <c r="K1405" s="10">
        <v>16</v>
      </c>
      <c r="L1405" s="11" t="e">
        <v>#N/A</v>
      </c>
      <c r="M1405" s="12">
        <v>16</v>
      </c>
      <c r="N1405" s="13"/>
      <c r="O1405" s="13"/>
    </row>
    <row r="1406" spans="1:15">
      <c r="A1406" s="7" t="s">
        <v>1662</v>
      </c>
      <c r="B1406" s="8">
        <v>9</v>
      </c>
      <c r="C1406" s="8">
        <v>360</v>
      </c>
      <c r="D1406" s="8">
        <v>50</v>
      </c>
      <c r="E1406" s="8">
        <v>1.5</v>
      </c>
      <c r="F1406" s="9">
        <v>1417</v>
      </c>
      <c r="G1406" s="8" t="s">
        <v>372</v>
      </c>
      <c r="H1406" s="10" t="s">
        <v>1625</v>
      </c>
      <c r="I1406" s="10">
        <v>160</v>
      </c>
      <c r="J1406" s="10">
        <v>29</v>
      </c>
      <c r="K1406" s="10">
        <v>16</v>
      </c>
      <c r="L1406" s="11" t="e">
        <v>#N/A</v>
      </c>
      <c r="M1406" s="12">
        <v>3</v>
      </c>
      <c r="N1406" s="13" t="s">
        <v>18</v>
      </c>
      <c r="O1406" s="13"/>
    </row>
    <row r="1407" spans="1:15">
      <c r="A1407" s="7" t="s">
        <v>1663</v>
      </c>
      <c r="B1407" s="8">
        <v>9</v>
      </c>
      <c r="C1407" s="8">
        <v>360</v>
      </c>
      <c r="D1407" s="8">
        <v>50</v>
      </c>
      <c r="E1407" s="8">
        <v>1.5</v>
      </c>
      <c r="F1407" s="9">
        <v>1418</v>
      </c>
      <c r="G1407" s="8" t="s">
        <v>372</v>
      </c>
      <c r="H1407" s="10" t="s">
        <v>1625</v>
      </c>
      <c r="I1407" s="10">
        <v>160</v>
      </c>
      <c r="J1407" s="10">
        <v>29</v>
      </c>
      <c r="K1407" s="10">
        <v>16</v>
      </c>
      <c r="L1407" s="11" t="e">
        <v>#N/A</v>
      </c>
      <c r="M1407" s="12">
        <v>10</v>
      </c>
      <c r="N1407" s="13" t="s">
        <v>18</v>
      </c>
      <c r="O1407" s="13"/>
    </row>
    <row r="1408" spans="1:15">
      <c r="A1408" s="7" t="s">
        <v>1664</v>
      </c>
      <c r="B1408" s="8">
        <v>9</v>
      </c>
      <c r="C1408" s="8">
        <v>360</v>
      </c>
      <c r="D1408" s="8">
        <v>50</v>
      </c>
      <c r="E1408" s="8">
        <v>1.5</v>
      </c>
      <c r="F1408" s="9">
        <v>1419</v>
      </c>
      <c r="G1408" s="8" t="s">
        <v>372</v>
      </c>
      <c r="H1408" s="10" t="s">
        <v>1625</v>
      </c>
      <c r="I1408" s="10">
        <v>160</v>
      </c>
      <c r="J1408" s="10">
        <v>29</v>
      </c>
      <c r="K1408" s="10">
        <v>16</v>
      </c>
      <c r="L1408" s="11" t="e">
        <v>#N/A</v>
      </c>
      <c r="M1408" s="12">
        <v>51</v>
      </c>
      <c r="N1408" s="13" t="s">
        <v>18</v>
      </c>
      <c r="O1408" s="13"/>
    </row>
    <row r="1409" spans="1:15">
      <c r="A1409" s="7" t="s">
        <v>1665</v>
      </c>
      <c r="B1409" s="8">
        <v>9</v>
      </c>
      <c r="C1409" s="8">
        <v>360</v>
      </c>
      <c r="D1409" s="8">
        <v>50</v>
      </c>
      <c r="E1409" s="8">
        <v>1.5</v>
      </c>
      <c r="F1409" s="9">
        <v>1420</v>
      </c>
      <c r="G1409" s="8" t="s">
        <v>372</v>
      </c>
      <c r="H1409" s="10" t="s">
        <v>1625</v>
      </c>
      <c r="I1409" s="10">
        <v>160</v>
      </c>
      <c r="J1409" s="10">
        <v>29</v>
      </c>
      <c r="K1409" s="10">
        <v>16</v>
      </c>
      <c r="L1409" s="11" t="e">
        <v>#N/A</v>
      </c>
      <c r="M1409" s="12">
        <v>20</v>
      </c>
      <c r="N1409" s="13" t="s">
        <v>18</v>
      </c>
      <c r="O1409" s="13"/>
    </row>
    <row r="1410" spans="1:15">
      <c r="A1410" s="7" t="s">
        <v>1666</v>
      </c>
      <c r="B1410" s="8">
        <v>9</v>
      </c>
      <c r="C1410" s="8">
        <v>380</v>
      </c>
      <c r="D1410" s="8">
        <v>50</v>
      </c>
      <c r="E1410" s="8">
        <v>1.6</v>
      </c>
      <c r="F1410" s="9">
        <v>1421</v>
      </c>
      <c r="G1410" s="8" t="s">
        <v>372</v>
      </c>
      <c r="H1410" s="10" t="s">
        <v>73</v>
      </c>
      <c r="I1410" s="10">
        <v>183</v>
      </c>
      <c r="J1410" s="10">
        <v>29</v>
      </c>
      <c r="K1410" s="10">
        <v>16</v>
      </c>
      <c r="L1410" s="11" t="s">
        <v>1641</v>
      </c>
      <c r="M1410" s="12">
        <v>5</v>
      </c>
      <c r="N1410" s="13"/>
      <c r="O1410" s="13"/>
    </row>
    <row r="1411" spans="1:15">
      <c r="A1411" s="7" t="s">
        <v>1667</v>
      </c>
      <c r="B1411" s="8">
        <v>9</v>
      </c>
      <c r="C1411" s="8">
        <v>380</v>
      </c>
      <c r="D1411" s="8">
        <v>50</v>
      </c>
      <c r="E1411" s="8">
        <v>1.6</v>
      </c>
      <c r="F1411" s="9">
        <v>1422</v>
      </c>
      <c r="G1411" s="8" t="s">
        <v>372</v>
      </c>
      <c r="H1411" s="10" t="s">
        <v>73</v>
      </c>
      <c r="I1411" s="10">
        <v>183</v>
      </c>
      <c r="J1411" s="10">
        <v>29</v>
      </c>
      <c r="K1411" s="10">
        <v>16</v>
      </c>
      <c r="L1411" s="11" t="s">
        <v>1641</v>
      </c>
      <c r="M1411" s="12">
        <v>3</v>
      </c>
      <c r="N1411" s="13" t="s">
        <v>18</v>
      </c>
      <c r="O1411" s="13"/>
    </row>
    <row r="1412" spans="1:15">
      <c r="A1412" s="22" t="s">
        <v>1668</v>
      </c>
      <c r="B1412" s="8">
        <v>9</v>
      </c>
      <c r="C1412" s="8">
        <v>360</v>
      </c>
      <c r="D1412" s="8">
        <v>50</v>
      </c>
      <c r="E1412" s="8">
        <v>1.5</v>
      </c>
      <c r="F1412" s="9">
        <v>1423</v>
      </c>
      <c r="G1412" s="8" t="s">
        <v>372</v>
      </c>
      <c r="H1412" s="10" t="s">
        <v>1625</v>
      </c>
      <c r="I1412" s="10">
        <v>160</v>
      </c>
      <c r="J1412" s="10">
        <v>29</v>
      </c>
      <c r="K1412" s="10">
        <v>16</v>
      </c>
      <c r="L1412" s="11" t="e">
        <v>#N/A</v>
      </c>
      <c r="M1412" s="12">
        <v>1</v>
      </c>
      <c r="N1412" s="13" t="s">
        <v>18</v>
      </c>
      <c r="O1412" s="13"/>
    </row>
    <row r="1413" spans="1:15">
      <c r="A1413" s="22" t="s">
        <v>1669</v>
      </c>
      <c r="B1413" s="8">
        <v>9</v>
      </c>
      <c r="C1413" s="8">
        <v>360</v>
      </c>
      <c r="D1413" s="8">
        <v>50</v>
      </c>
      <c r="E1413" s="8">
        <v>1.5</v>
      </c>
      <c r="F1413" s="9">
        <v>1424</v>
      </c>
      <c r="G1413" s="8" t="s">
        <v>372</v>
      </c>
      <c r="H1413" s="10" t="s">
        <v>1625</v>
      </c>
      <c r="I1413" s="10">
        <v>160</v>
      </c>
      <c r="J1413" s="10">
        <v>29</v>
      </c>
      <c r="K1413" s="10">
        <v>16</v>
      </c>
      <c r="L1413" s="11" t="e">
        <v>#N/A</v>
      </c>
      <c r="M1413" s="12">
        <v>23</v>
      </c>
      <c r="N1413" s="13" t="s">
        <v>18</v>
      </c>
      <c r="O1413" s="13"/>
    </row>
    <row r="1414" spans="1:15">
      <c r="A1414" s="7" t="s">
        <v>1670</v>
      </c>
      <c r="B1414" s="8">
        <v>9</v>
      </c>
      <c r="C1414" s="8">
        <v>360</v>
      </c>
      <c r="D1414" s="8">
        <v>50</v>
      </c>
      <c r="E1414" s="8">
        <v>1.5</v>
      </c>
      <c r="F1414" s="9">
        <v>1425</v>
      </c>
      <c r="G1414" s="8" t="s">
        <v>372</v>
      </c>
      <c r="H1414" s="10" t="s">
        <v>1625</v>
      </c>
      <c r="I1414" s="10">
        <v>160</v>
      </c>
      <c r="J1414" s="10">
        <v>29</v>
      </c>
      <c r="K1414" s="10">
        <v>16</v>
      </c>
      <c r="L1414" s="11" t="e">
        <v>#N/A</v>
      </c>
      <c r="M1414" s="12">
        <v>0</v>
      </c>
      <c r="N1414" s="13" t="s">
        <v>18</v>
      </c>
      <c r="O1414" s="13"/>
    </row>
    <row r="1415" spans="1:15">
      <c r="A1415" s="7" t="s">
        <v>1671</v>
      </c>
      <c r="B1415" s="8">
        <v>9</v>
      </c>
      <c r="C1415" s="8">
        <v>360</v>
      </c>
      <c r="D1415" s="8">
        <v>50</v>
      </c>
      <c r="E1415" s="8">
        <v>1.5</v>
      </c>
      <c r="F1415" s="9">
        <v>1426</v>
      </c>
      <c r="G1415" s="8" t="s">
        <v>372</v>
      </c>
      <c r="H1415" s="10" t="s">
        <v>1625</v>
      </c>
      <c r="I1415" s="10">
        <v>160</v>
      </c>
      <c r="J1415" s="10">
        <v>29</v>
      </c>
      <c r="K1415" s="10">
        <v>16</v>
      </c>
      <c r="L1415" s="11" t="e">
        <v>#N/A</v>
      </c>
      <c r="M1415" s="12">
        <v>0</v>
      </c>
      <c r="N1415" s="13" t="s">
        <v>18</v>
      </c>
      <c r="O1415" s="13"/>
    </row>
    <row r="1416" spans="1:15">
      <c r="A1416" s="7" t="s">
        <v>1672</v>
      </c>
      <c r="B1416" s="8">
        <v>9</v>
      </c>
      <c r="C1416" s="8">
        <v>360</v>
      </c>
      <c r="D1416" s="8">
        <v>50</v>
      </c>
      <c r="E1416" s="8">
        <v>1.5</v>
      </c>
      <c r="F1416" s="9">
        <v>1427</v>
      </c>
      <c r="G1416" s="8" t="s">
        <v>372</v>
      </c>
      <c r="H1416" s="10" t="s">
        <v>1625</v>
      </c>
      <c r="I1416" s="10">
        <v>160</v>
      </c>
      <c r="J1416" s="10">
        <v>29</v>
      </c>
      <c r="K1416" s="10">
        <v>16</v>
      </c>
      <c r="L1416" s="11" t="e">
        <v>#N/A</v>
      </c>
      <c r="M1416" s="12">
        <v>9</v>
      </c>
      <c r="N1416" s="13" t="s">
        <v>18</v>
      </c>
      <c r="O1416" s="13"/>
    </row>
    <row r="1417" spans="1:15">
      <c r="A1417" s="7" t="s">
        <v>1673</v>
      </c>
      <c r="B1417" s="8">
        <v>9</v>
      </c>
      <c r="C1417" s="20">
        <v>360</v>
      </c>
      <c r="D1417" s="8">
        <v>50</v>
      </c>
      <c r="E1417" s="8">
        <v>1.5</v>
      </c>
      <c r="F1417" s="9">
        <v>1428</v>
      </c>
      <c r="G1417" s="8" t="s">
        <v>897</v>
      </c>
      <c r="H1417" s="10" t="s">
        <v>1625</v>
      </c>
      <c r="I1417" s="10">
        <v>160</v>
      </c>
      <c r="J1417" s="10">
        <v>29</v>
      </c>
      <c r="K1417" s="10">
        <v>16</v>
      </c>
      <c r="L1417" s="11" t="e">
        <v>#N/A</v>
      </c>
      <c r="M1417" s="12">
        <v>1</v>
      </c>
      <c r="N1417" s="13" t="s">
        <v>1674</v>
      </c>
      <c r="O1417" s="13"/>
    </row>
    <row r="1418" spans="1:15">
      <c r="A1418" s="22" t="s">
        <v>1675</v>
      </c>
      <c r="B1418" s="8">
        <v>9</v>
      </c>
      <c r="C1418" s="8">
        <v>360</v>
      </c>
      <c r="D1418" s="8">
        <v>50</v>
      </c>
      <c r="E1418" s="8">
        <v>1.5</v>
      </c>
      <c r="F1418" s="9">
        <v>1429</v>
      </c>
      <c r="G1418" s="8" t="s">
        <v>372</v>
      </c>
      <c r="H1418" s="10" t="s">
        <v>1625</v>
      </c>
      <c r="I1418" s="10">
        <v>160</v>
      </c>
      <c r="J1418" s="10">
        <v>29</v>
      </c>
      <c r="K1418" s="10">
        <v>16</v>
      </c>
      <c r="L1418" s="11" t="e">
        <v>#N/A</v>
      </c>
      <c r="M1418" s="12">
        <v>0</v>
      </c>
      <c r="N1418" s="13" t="s">
        <v>18</v>
      </c>
      <c r="O1418" s="13"/>
    </row>
    <row r="1419" spans="1:15">
      <c r="A1419" s="14" t="s">
        <v>1676</v>
      </c>
      <c r="B1419" s="8">
        <v>9</v>
      </c>
      <c r="C1419" s="8">
        <v>360</v>
      </c>
      <c r="D1419" s="8">
        <v>50</v>
      </c>
      <c r="E1419" s="8">
        <v>1.5</v>
      </c>
      <c r="F1419" s="9">
        <v>1430</v>
      </c>
      <c r="G1419" s="8" t="s">
        <v>372</v>
      </c>
      <c r="H1419" s="10" t="s">
        <v>1625</v>
      </c>
      <c r="I1419" s="10">
        <v>160</v>
      </c>
      <c r="J1419" s="10">
        <v>29</v>
      </c>
      <c r="K1419" s="10">
        <v>16</v>
      </c>
      <c r="L1419" s="11" t="e">
        <v>#N/A</v>
      </c>
      <c r="M1419" s="12">
        <v>6</v>
      </c>
      <c r="N1419" s="13" t="s">
        <v>18</v>
      </c>
      <c r="O1419" s="13"/>
    </row>
    <row r="1420" spans="1:15">
      <c r="A1420" s="22" t="s">
        <v>1677</v>
      </c>
      <c r="B1420" s="8">
        <v>9</v>
      </c>
      <c r="C1420" s="8">
        <v>360</v>
      </c>
      <c r="D1420" s="8">
        <v>50</v>
      </c>
      <c r="E1420" s="8">
        <v>1.5</v>
      </c>
      <c r="F1420" s="9">
        <v>1431</v>
      </c>
      <c r="G1420" s="8" t="s">
        <v>372</v>
      </c>
      <c r="H1420" s="10" t="s">
        <v>1625</v>
      </c>
      <c r="I1420" s="10">
        <v>160</v>
      </c>
      <c r="J1420" s="10">
        <v>29</v>
      </c>
      <c r="K1420" s="10">
        <v>16</v>
      </c>
      <c r="L1420" s="11" t="e">
        <v>#N/A</v>
      </c>
      <c r="M1420" s="12">
        <v>1</v>
      </c>
      <c r="N1420" s="13" t="s">
        <v>18</v>
      </c>
      <c r="O1420" s="13"/>
    </row>
    <row r="1421" spans="1:15">
      <c r="A1421" s="22" t="s">
        <v>1678</v>
      </c>
      <c r="B1421" s="8">
        <v>9</v>
      </c>
      <c r="C1421" s="8">
        <v>360</v>
      </c>
      <c r="D1421" s="8">
        <v>50</v>
      </c>
      <c r="E1421" s="8">
        <v>1.5</v>
      </c>
      <c r="F1421" s="9">
        <v>1432</v>
      </c>
      <c r="G1421" s="8" t="s">
        <v>372</v>
      </c>
      <c r="H1421" s="10" t="s">
        <v>1625</v>
      </c>
      <c r="I1421" s="10">
        <v>160</v>
      </c>
      <c r="J1421" s="10">
        <v>29</v>
      </c>
      <c r="K1421" s="10">
        <v>16</v>
      </c>
      <c r="L1421" s="11" t="e">
        <v>#N/A</v>
      </c>
      <c r="M1421" s="12">
        <v>2</v>
      </c>
      <c r="N1421" s="13" t="s">
        <v>18</v>
      </c>
      <c r="O1421" s="13"/>
    </row>
    <row r="1422" spans="1:15">
      <c r="A1422" s="22" t="s">
        <v>1679</v>
      </c>
      <c r="B1422" s="8">
        <v>9</v>
      </c>
      <c r="C1422" s="8">
        <v>360</v>
      </c>
      <c r="D1422" s="8">
        <v>50</v>
      </c>
      <c r="E1422" s="8">
        <v>1.5</v>
      </c>
      <c r="F1422" s="9">
        <v>1433</v>
      </c>
      <c r="G1422" s="8" t="s">
        <v>372</v>
      </c>
      <c r="H1422" s="10" t="s">
        <v>1625</v>
      </c>
      <c r="I1422" s="10">
        <v>160</v>
      </c>
      <c r="J1422" s="10">
        <v>29</v>
      </c>
      <c r="K1422" s="10">
        <v>16</v>
      </c>
      <c r="L1422" s="11" t="e">
        <v>#N/A</v>
      </c>
      <c r="M1422" s="12">
        <v>9</v>
      </c>
      <c r="N1422" s="13" t="s">
        <v>18</v>
      </c>
      <c r="O1422" s="13"/>
    </row>
    <row r="1423" spans="1:15">
      <c r="A1423" s="22" t="s">
        <v>1680</v>
      </c>
      <c r="B1423" s="8">
        <v>9</v>
      </c>
      <c r="C1423" s="8">
        <v>360</v>
      </c>
      <c r="D1423" s="8">
        <v>50</v>
      </c>
      <c r="E1423" s="8">
        <v>1.5</v>
      </c>
      <c r="F1423" s="9">
        <v>1434</v>
      </c>
      <c r="G1423" s="8" t="s">
        <v>372</v>
      </c>
      <c r="H1423" s="10" t="s">
        <v>1625</v>
      </c>
      <c r="I1423" s="10">
        <v>160</v>
      </c>
      <c r="J1423" s="10">
        <v>29</v>
      </c>
      <c r="K1423" s="10">
        <v>16</v>
      </c>
      <c r="L1423" s="11" t="e">
        <v>#N/A</v>
      </c>
      <c r="M1423" s="12">
        <v>4</v>
      </c>
      <c r="N1423" s="13" t="s">
        <v>18</v>
      </c>
      <c r="O1423" s="13"/>
    </row>
    <row r="1424" spans="1:15">
      <c r="A1424" s="22" t="s">
        <v>1681</v>
      </c>
      <c r="B1424" s="8">
        <v>9</v>
      </c>
      <c r="C1424" s="8">
        <v>360</v>
      </c>
      <c r="D1424" s="8">
        <v>50</v>
      </c>
      <c r="E1424" s="8">
        <v>1.5</v>
      </c>
      <c r="F1424" s="9">
        <v>1435</v>
      </c>
      <c r="G1424" s="8" t="s">
        <v>372</v>
      </c>
      <c r="H1424" s="10" t="s">
        <v>1625</v>
      </c>
      <c r="I1424" s="10">
        <v>160</v>
      </c>
      <c r="J1424" s="10">
        <v>29</v>
      </c>
      <c r="K1424" s="10">
        <v>16</v>
      </c>
      <c r="L1424" s="11" t="e">
        <v>#N/A</v>
      </c>
      <c r="M1424" s="12">
        <v>0</v>
      </c>
      <c r="N1424" s="13" t="s">
        <v>18</v>
      </c>
      <c r="O1424" s="13"/>
    </row>
    <row r="1425" spans="1:15">
      <c r="A1425" s="22" t="s">
        <v>1682</v>
      </c>
      <c r="B1425" s="8">
        <v>9</v>
      </c>
      <c r="C1425" s="8">
        <v>360</v>
      </c>
      <c r="D1425" s="8">
        <v>50</v>
      </c>
      <c r="E1425" s="8">
        <v>1.5</v>
      </c>
      <c r="F1425" s="9">
        <v>1436</v>
      </c>
      <c r="G1425" s="8" t="s">
        <v>1299</v>
      </c>
      <c r="H1425" s="10" t="s">
        <v>1625</v>
      </c>
      <c r="I1425" s="10">
        <v>160</v>
      </c>
      <c r="J1425" s="10">
        <v>29</v>
      </c>
      <c r="K1425" s="10">
        <v>16</v>
      </c>
      <c r="L1425" s="11" t="e">
        <v>#N/A</v>
      </c>
      <c r="M1425" s="12">
        <v>2</v>
      </c>
      <c r="N1425" s="13"/>
      <c r="O1425" s="13"/>
    </row>
    <row r="1426" spans="1:15">
      <c r="A1426" s="22" t="s">
        <v>1683</v>
      </c>
      <c r="B1426" s="8">
        <v>9</v>
      </c>
      <c r="C1426" s="8">
        <v>360</v>
      </c>
      <c r="D1426" s="8">
        <v>50</v>
      </c>
      <c r="E1426" s="8">
        <v>1.5</v>
      </c>
      <c r="F1426" s="9">
        <v>1437</v>
      </c>
      <c r="G1426" s="8" t="s">
        <v>1299</v>
      </c>
      <c r="H1426" s="10" t="s">
        <v>1625</v>
      </c>
      <c r="I1426" s="10">
        <v>160</v>
      </c>
      <c r="J1426" s="10">
        <v>29</v>
      </c>
      <c r="K1426" s="10">
        <v>16</v>
      </c>
      <c r="L1426" s="11" t="e">
        <v>#N/A</v>
      </c>
      <c r="M1426" s="12">
        <v>3</v>
      </c>
      <c r="N1426" s="13"/>
      <c r="O1426" s="13"/>
    </row>
    <row r="1427" spans="1:15">
      <c r="A1427" s="22" t="s">
        <v>1684</v>
      </c>
      <c r="B1427" s="8">
        <v>9</v>
      </c>
      <c r="C1427" s="8">
        <v>535</v>
      </c>
      <c r="D1427" s="8">
        <v>25</v>
      </c>
      <c r="E1427" s="8">
        <v>2.54</v>
      </c>
      <c r="F1427" s="9">
        <v>1438</v>
      </c>
      <c r="G1427" s="8" t="s">
        <v>1443</v>
      </c>
      <c r="H1427" s="10" t="s">
        <v>523</v>
      </c>
      <c r="I1427" s="10">
        <v>77</v>
      </c>
      <c r="J1427" s="10">
        <v>52</v>
      </c>
      <c r="K1427" s="10">
        <v>32</v>
      </c>
      <c r="L1427" s="11" t="e">
        <v>#N/A</v>
      </c>
      <c r="M1427" s="12">
        <v>0</v>
      </c>
      <c r="N1427" s="13" t="s">
        <v>183</v>
      </c>
      <c r="O1427" s="13"/>
    </row>
    <row r="1428" spans="1:15">
      <c r="A1428" s="22" t="s">
        <v>1685</v>
      </c>
      <c r="B1428" s="8">
        <v>9</v>
      </c>
      <c r="C1428" s="8">
        <v>362</v>
      </c>
      <c r="D1428" s="8">
        <v>50</v>
      </c>
      <c r="E1428" s="8">
        <v>1.6</v>
      </c>
      <c r="F1428" s="9">
        <v>1439</v>
      </c>
      <c r="G1428" s="8" t="s">
        <v>1299</v>
      </c>
      <c r="H1428" s="10" t="s">
        <v>73</v>
      </c>
      <c r="I1428" s="10">
        <v>183</v>
      </c>
      <c r="J1428" s="10">
        <v>29</v>
      </c>
      <c r="K1428" s="10">
        <v>16</v>
      </c>
      <c r="L1428" s="11" t="s">
        <v>1641</v>
      </c>
      <c r="M1428" s="12">
        <v>0</v>
      </c>
      <c r="N1428" s="13"/>
      <c r="O1428" s="13"/>
    </row>
    <row r="1429" spans="1:15">
      <c r="A1429" s="22" t="s">
        <v>1686</v>
      </c>
      <c r="B1429" s="8">
        <v>9</v>
      </c>
      <c r="C1429" s="8">
        <v>535</v>
      </c>
      <c r="D1429" s="8">
        <v>25</v>
      </c>
      <c r="E1429" s="8">
        <v>2.54</v>
      </c>
      <c r="F1429" s="9">
        <v>1440</v>
      </c>
      <c r="G1429" s="8" t="s">
        <v>1443</v>
      </c>
      <c r="H1429" s="10" t="s">
        <v>523</v>
      </c>
      <c r="I1429" s="10">
        <v>77</v>
      </c>
      <c r="J1429" s="10">
        <v>52</v>
      </c>
      <c r="K1429" s="10">
        <v>32</v>
      </c>
      <c r="L1429" s="11" t="e">
        <v>#N/A</v>
      </c>
      <c r="M1429" s="12">
        <v>0</v>
      </c>
      <c r="N1429" s="13" t="s">
        <v>18</v>
      </c>
      <c r="O1429" s="13"/>
    </row>
    <row r="1430" spans="1:15">
      <c r="A1430" s="22" t="s">
        <v>1687</v>
      </c>
      <c r="B1430" s="8">
        <v>9</v>
      </c>
      <c r="C1430" s="8">
        <v>350</v>
      </c>
      <c r="D1430" s="8">
        <v>25</v>
      </c>
      <c r="E1430" s="8">
        <v>2.54</v>
      </c>
      <c r="F1430" s="9">
        <v>1441</v>
      </c>
      <c r="G1430" s="8" t="s">
        <v>1443</v>
      </c>
      <c r="H1430" s="10" t="s">
        <v>523</v>
      </c>
      <c r="I1430" s="10">
        <v>77</v>
      </c>
      <c r="J1430" s="10">
        <v>52</v>
      </c>
      <c r="K1430" s="10">
        <v>32</v>
      </c>
      <c r="L1430" s="11" t="e">
        <v>#N/A</v>
      </c>
      <c r="M1430" s="12">
        <v>1</v>
      </c>
      <c r="N1430" s="13" t="s">
        <v>18</v>
      </c>
      <c r="O1430" s="13"/>
    </row>
    <row r="1431" spans="1:15">
      <c r="A1431" s="22" t="s">
        <v>1688</v>
      </c>
      <c r="B1431" s="8">
        <v>9</v>
      </c>
      <c r="C1431" s="8">
        <v>350</v>
      </c>
      <c r="D1431" s="8">
        <v>25</v>
      </c>
      <c r="E1431" s="8">
        <v>2.54</v>
      </c>
      <c r="F1431" s="9">
        <v>1442</v>
      </c>
      <c r="G1431" s="8" t="s">
        <v>1443</v>
      </c>
      <c r="H1431" s="10" t="s">
        <v>523</v>
      </c>
      <c r="I1431" s="10">
        <v>77</v>
      </c>
      <c r="J1431" s="10">
        <v>52</v>
      </c>
      <c r="K1431" s="10">
        <v>32</v>
      </c>
      <c r="L1431" s="11" t="e">
        <v>#N/A</v>
      </c>
      <c r="M1431" s="12">
        <v>0</v>
      </c>
      <c r="N1431" s="13" t="s">
        <v>18</v>
      </c>
      <c r="O1431" s="13"/>
    </row>
    <row r="1432" spans="1:15">
      <c r="A1432" s="22" t="s">
        <v>1689</v>
      </c>
      <c r="B1432" s="8">
        <v>9</v>
      </c>
      <c r="C1432" s="8">
        <v>340</v>
      </c>
      <c r="D1432" s="8">
        <v>50</v>
      </c>
      <c r="E1432" s="8">
        <v>1.5</v>
      </c>
      <c r="F1432" s="9">
        <v>1443</v>
      </c>
      <c r="G1432" s="8" t="s">
        <v>1299</v>
      </c>
      <c r="H1432" s="10" t="s">
        <v>1625</v>
      </c>
      <c r="I1432" s="10">
        <v>160</v>
      </c>
      <c r="J1432" s="10">
        <v>29</v>
      </c>
      <c r="K1432" s="10">
        <v>16</v>
      </c>
      <c r="L1432" s="11" t="e">
        <v>#N/A</v>
      </c>
      <c r="M1432" s="12">
        <v>3</v>
      </c>
      <c r="N1432" s="13" t="s">
        <v>183</v>
      </c>
      <c r="O1432" s="13"/>
    </row>
    <row r="1433" spans="1:15">
      <c r="A1433" s="22" t="s">
        <v>1690</v>
      </c>
      <c r="B1433" s="8">
        <v>9</v>
      </c>
      <c r="C1433" s="8">
        <v>340</v>
      </c>
      <c r="D1433" s="8">
        <v>50</v>
      </c>
      <c r="E1433" s="8">
        <v>1.5</v>
      </c>
      <c r="F1433" s="9">
        <v>1444</v>
      </c>
      <c r="G1433" s="8" t="s">
        <v>1299</v>
      </c>
      <c r="H1433" s="10" t="s">
        <v>1625</v>
      </c>
      <c r="I1433" s="10">
        <v>160</v>
      </c>
      <c r="J1433" s="10">
        <v>29</v>
      </c>
      <c r="K1433" s="10">
        <v>16</v>
      </c>
      <c r="L1433" s="11" t="e">
        <v>#N/A</v>
      </c>
      <c r="M1433" s="12">
        <v>1</v>
      </c>
      <c r="N1433" s="13" t="s">
        <v>183</v>
      </c>
      <c r="O1433" s="13"/>
    </row>
    <row r="1434" spans="1:15">
      <c r="A1434" s="22" t="s">
        <v>1691</v>
      </c>
      <c r="B1434" s="8">
        <v>9</v>
      </c>
      <c r="C1434" s="8">
        <v>340</v>
      </c>
      <c r="D1434" s="8">
        <v>50</v>
      </c>
      <c r="E1434" s="8">
        <v>1.5</v>
      </c>
      <c r="F1434" s="9">
        <v>1445</v>
      </c>
      <c r="G1434" s="8" t="s">
        <v>372</v>
      </c>
      <c r="H1434" s="10" t="s">
        <v>1625</v>
      </c>
      <c r="I1434" s="10">
        <v>160</v>
      </c>
      <c r="J1434" s="10">
        <v>29</v>
      </c>
      <c r="K1434" s="10">
        <v>16</v>
      </c>
      <c r="L1434" s="11" t="e">
        <v>#N/A</v>
      </c>
      <c r="M1434" s="12">
        <v>8</v>
      </c>
      <c r="N1434" s="13" t="s">
        <v>18</v>
      </c>
      <c r="O1434" s="13"/>
    </row>
    <row r="1435" spans="1:15">
      <c r="A1435" s="22" t="s">
        <v>1692</v>
      </c>
      <c r="B1435" s="8">
        <v>9</v>
      </c>
      <c r="C1435" s="8">
        <v>355</v>
      </c>
      <c r="D1435" s="8">
        <v>25</v>
      </c>
      <c r="E1435" s="8">
        <v>2.54</v>
      </c>
      <c r="F1435" s="9">
        <v>2001</v>
      </c>
      <c r="G1435" s="8" t="s">
        <v>1443</v>
      </c>
      <c r="H1435" s="10" t="s">
        <v>523</v>
      </c>
      <c r="I1435" s="10">
        <v>77</v>
      </c>
      <c r="J1435" s="10">
        <v>52</v>
      </c>
      <c r="K1435" s="10">
        <v>32</v>
      </c>
      <c r="L1435" s="11" t="e">
        <v>#N/A</v>
      </c>
      <c r="M1435" s="12" t="e">
        <v>#N/A</v>
      </c>
      <c r="N1435" s="13" t="s">
        <v>183</v>
      </c>
      <c r="O1435" s="13"/>
    </row>
    <row r="1436" spans="1:15">
      <c r="A1436" s="22" t="s">
        <v>1693</v>
      </c>
      <c r="B1436" s="8">
        <v>9</v>
      </c>
      <c r="C1436" s="8">
        <v>515</v>
      </c>
      <c r="D1436" s="8">
        <v>25</v>
      </c>
      <c r="E1436" s="8">
        <v>2.54</v>
      </c>
      <c r="F1436" s="9">
        <v>2002</v>
      </c>
      <c r="G1436" s="8" t="s">
        <v>1694</v>
      </c>
      <c r="H1436" s="10" t="s">
        <v>523</v>
      </c>
      <c r="I1436" s="10">
        <v>77</v>
      </c>
      <c r="J1436" s="10">
        <v>52</v>
      </c>
      <c r="K1436" s="10">
        <v>32</v>
      </c>
      <c r="L1436" s="11" t="e">
        <v>#N/A</v>
      </c>
      <c r="M1436" s="12" t="e">
        <v>#N/A</v>
      </c>
      <c r="N1436" s="13"/>
      <c r="O1436" s="13"/>
    </row>
    <row r="1437" spans="1:15">
      <c r="A1437" s="22" t="s">
        <v>1695</v>
      </c>
      <c r="B1437" s="8">
        <v>9</v>
      </c>
      <c r="C1437" s="8">
        <v>340</v>
      </c>
      <c r="D1437" s="8">
        <v>50</v>
      </c>
      <c r="E1437" s="8">
        <v>1.5</v>
      </c>
      <c r="F1437" s="9">
        <v>1446</v>
      </c>
      <c r="G1437" s="8" t="s">
        <v>1299</v>
      </c>
      <c r="H1437" s="10" t="s">
        <v>1625</v>
      </c>
      <c r="I1437" s="10">
        <v>160</v>
      </c>
      <c r="J1437" s="10">
        <v>29</v>
      </c>
      <c r="K1437" s="10">
        <v>16</v>
      </c>
      <c r="L1437" s="11" t="e">
        <v>#N/A</v>
      </c>
      <c r="M1437" s="12">
        <v>28</v>
      </c>
      <c r="N1437" s="13" t="s">
        <v>183</v>
      </c>
      <c r="O1437" s="13"/>
    </row>
    <row r="1438" spans="1:15">
      <c r="A1438" s="22" t="s">
        <v>1696</v>
      </c>
      <c r="B1438" s="8">
        <v>9</v>
      </c>
      <c r="C1438" s="8">
        <v>360</v>
      </c>
      <c r="D1438" s="8">
        <v>50</v>
      </c>
      <c r="E1438" s="8">
        <v>1.5</v>
      </c>
      <c r="F1438" s="9">
        <v>1447</v>
      </c>
      <c r="G1438" s="8" t="s">
        <v>1299</v>
      </c>
      <c r="H1438" s="10" t="s">
        <v>1625</v>
      </c>
      <c r="I1438" s="10">
        <v>160</v>
      </c>
      <c r="J1438" s="10">
        <v>29</v>
      </c>
      <c r="K1438" s="10">
        <v>16</v>
      </c>
      <c r="L1438" s="11" t="e">
        <v>#N/A</v>
      </c>
      <c r="M1438" s="12">
        <v>0</v>
      </c>
      <c r="N1438" s="13" t="s">
        <v>183</v>
      </c>
      <c r="O1438" s="13"/>
    </row>
    <row r="1439" spans="1:15">
      <c r="A1439" s="22" t="s">
        <v>1697</v>
      </c>
      <c r="B1439" s="8">
        <v>9</v>
      </c>
      <c r="C1439" s="8">
        <v>340</v>
      </c>
      <c r="D1439" s="8">
        <v>50</v>
      </c>
      <c r="E1439" s="8">
        <v>1.5</v>
      </c>
      <c r="F1439" s="9">
        <v>1448</v>
      </c>
      <c r="G1439" s="8" t="s">
        <v>1299</v>
      </c>
      <c r="H1439" s="10" t="s">
        <v>1625</v>
      </c>
      <c r="I1439" s="10">
        <v>160</v>
      </c>
      <c r="J1439" s="10">
        <v>29</v>
      </c>
      <c r="K1439" s="10">
        <v>16</v>
      </c>
      <c r="L1439" s="11" t="e">
        <v>#N/A</v>
      </c>
      <c r="M1439" s="12">
        <v>0</v>
      </c>
      <c r="N1439" s="13" t="s">
        <v>183</v>
      </c>
      <c r="O1439" s="13"/>
    </row>
    <row r="1440" spans="1:15">
      <c r="A1440" s="22" t="s">
        <v>1698</v>
      </c>
      <c r="B1440" s="8">
        <v>9</v>
      </c>
      <c r="C1440" s="8">
        <v>340</v>
      </c>
      <c r="D1440" s="8">
        <v>50</v>
      </c>
      <c r="E1440" s="8">
        <v>1.5</v>
      </c>
      <c r="F1440" s="9">
        <v>1449</v>
      </c>
      <c r="G1440" s="8" t="s">
        <v>1299</v>
      </c>
      <c r="H1440" s="10" t="s">
        <v>1625</v>
      </c>
      <c r="I1440" s="10">
        <v>160</v>
      </c>
      <c r="J1440" s="10">
        <v>29</v>
      </c>
      <c r="K1440" s="10">
        <v>16</v>
      </c>
      <c r="L1440" s="11" t="e">
        <v>#N/A</v>
      </c>
      <c r="M1440" s="12">
        <v>0</v>
      </c>
      <c r="N1440" s="13" t="s">
        <v>183</v>
      </c>
      <c r="O1440" s="13"/>
    </row>
    <row r="1441" spans="1:15">
      <c r="A1441" s="22" t="s">
        <v>1699</v>
      </c>
      <c r="B1441" s="8">
        <v>9</v>
      </c>
      <c r="C1441" s="8">
        <v>340</v>
      </c>
      <c r="D1441" s="8">
        <v>50</v>
      </c>
      <c r="E1441" s="8">
        <v>1.5</v>
      </c>
      <c r="F1441" s="9">
        <v>1450</v>
      </c>
      <c r="G1441" s="8" t="s">
        <v>1299</v>
      </c>
      <c r="H1441" s="10" t="s">
        <v>1625</v>
      </c>
      <c r="I1441" s="10">
        <v>160</v>
      </c>
      <c r="J1441" s="10">
        <v>29</v>
      </c>
      <c r="K1441" s="10">
        <v>16</v>
      </c>
      <c r="L1441" s="11" t="e">
        <v>#N/A</v>
      </c>
      <c r="M1441" s="12">
        <v>3</v>
      </c>
      <c r="N1441" s="13" t="s">
        <v>183</v>
      </c>
      <c r="O1441" s="13"/>
    </row>
    <row r="1442" spans="1:15">
      <c r="A1442" s="22" t="s">
        <v>1700</v>
      </c>
      <c r="B1442" s="8">
        <v>9</v>
      </c>
      <c r="C1442" s="8">
        <v>340</v>
      </c>
      <c r="D1442" s="8">
        <v>50</v>
      </c>
      <c r="E1442" s="8">
        <v>1.5</v>
      </c>
      <c r="F1442" s="9">
        <v>1451</v>
      </c>
      <c r="G1442" s="8" t="s">
        <v>1299</v>
      </c>
      <c r="H1442" s="10" t="s">
        <v>1625</v>
      </c>
      <c r="I1442" s="10">
        <v>160</v>
      </c>
      <c r="J1442" s="10">
        <v>29</v>
      </c>
      <c r="K1442" s="10">
        <v>16</v>
      </c>
      <c r="L1442" s="11" t="e">
        <v>#N/A</v>
      </c>
      <c r="M1442" s="12">
        <v>0</v>
      </c>
      <c r="N1442" s="13" t="s">
        <v>183</v>
      </c>
      <c r="O1442" s="13"/>
    </row>
    <row r="1443" spans="1:15">
      <c r="A1443" s="22" t="s">
        <v>1701</v>
      </c>
      <c r="B1443" s="8">
        <v>9</v>
      </c>
      <c r="C1443" s="8">
        <v>340</v>
      </c>
      <c r="D1443" s="8">
        <v>50</v>
      </c>
      <c r="E1443" s="8">
        <v>1.5</v>
      </c>
      <c r="F1443" s="9">
        <v>1452</v>
      </c>
      <c r="G1443" s="8" t="s">
        <v>1299</v>
      </c>
      <c r="H1443" s="10" t="s">
        <v>1625</v>
      </c>
      <c r="I1443" s="10">
        <v>160</v>
      </c>
      <c r="J1443" s="10">
        <v>29</v>
      </c>
      <c r="K1443" s="10">
        <v>16</v>
      </c>
      <c r="L1443" s="11" t="e">
        <v>#N/A</v>
      </c>
      <c r="M1443" s="12">
        <v>6</v>
      </c>
      <c r="N1443" s="13" t="s">
        <v>183</v>
      </c>
      <c r="O1443" s="13"/>
    </row>
    <row r="1444" spans="1:15">
      <c r="A1444" s="22" t="s">
        <v>1702</v>
      </c>
      <c r="B1444" s="8">
        <v>9</v>
      </c>
      <c r="C1444" s="8">
        <v>340</v>
      </c>
      <c r="D1444" s="8">
        <v>50</v>
      </c>
      <c r="E1444" s="8">
        <v>1.5</v>
      </c>
      <c r="F1444" s="9">
        <v>1453</v>
      </c>
      <c r="G1444" s="8" t="s">
        <v>1299</v>
      </c>
      <c r="H1444" s="10" t="s">
        <v>1625</v>
      </c>
      <c r="I1444" s="10">
        <v>160</v>
      </c>
      <c r="J1444" s="10">
        <v>29</v>
      </c>
      <c r="K1444" s="10">
        <v>16</v>
      </c>
      <c r="L1444" s="11" t="e">
        <v>#N/A</v>
      </c>
      <c r="M1444" s="12">
        <v>224</v>
      </c>
      <c r="N1444" s="13" t="s">
        <v>183</v>
      </c>
      <c r="O1444" s="13"/>
    </row>
    <row r="1445" spans="1:15">
      <c r="A1445" s="22" t="s">
        <v>1703</v>
      </c>
      <c r="B1445" s="8">
        <v>9</v>
      </c>
      <c r="C1445" s="8">
        <v>340</v>
      </c>
      <c r="D1445" s="8">
        <v>50</v>
      </c>
      <c r="E1445" s="8">
        <v>1.5</v>
      </c>
      <c r="F1445" s="9">
        <v>1454</v>
      </c>
      <c r="G1445" s="8" t="s">
        <v>1299</v>
      </c>
      <c r="H1445" s="10" t="s">
        <v>1625</v>
      </c>
      <c r="I1445" s="10">
        <v>160</v>
      </c>
      <c r="J1445" s="10">
        <v>29</v>
      </c>
      <c r="K1445" s="10">
        <v>16</v>
      </c>
      <c r="L1445" s="11" t="e">
        <v>#N/A</v>
      </c>
      <c r="M1445" s="12">
        <v>2126</v>
      </c>
      <c r="N1445" s="13" t="s">
        <v>183</v>
      </c>
      <c r="O1445" s="13"/>
    </row>
    <row r="1446" spans="1:15">
      <c r="A1446" s="22" t="s">
        <v>1704</v>
      </c>
      <c r="B1446" s="8">
        <v>9</v>
      </c>
      <c r="C1446" s="8">
        <v>340</v>
      </c>
      <c r="D1446" s="8">
        <v>50</v>
      </c>
      <c r="E1446" s="8">
        <v>1.5</v>
      </c>
      <c r="F1446" s="9">
        <v>1455</v>
      </c>
      <c r="G1446" s="8" t="s">
        <v>1299</v>
      </c>
      <c r="H1446" s="10" t="s">
        <v>1625</v>
      </c>
      <c r="I1446" s="10">
        <v>160</v>
      </c>
      <c r="J1446" s="10">
        <v>29</v>
      </c>
      <c r="K1446" s="10">
        <v>16</v>
      </c>
      <c r="L1446" s="11" t="e">
        <v>#N/A</v>
      </c>
      <c r="M1446" s="12">
        <v>19</v>
      </c>
      <c r="N1446" s="13" t="s">
        <v>183</v>
      </c>
      <c r="O1446" s="13"/>
    </row>
    <row r="1447" spans="1:15">
      <c r="A1447" s="22" t="s">
        <v>1705</v>
      </c>
      <c r="B1447" s="8">
        <v>9</v>
      </c>
      <c r="C1447" s="8">
        <v>340</v>
      </c>
      <c r="D1447" s="8">
        <v>50</v>
      </c>
      <c r="E1447" s="8">
        <v>1.5</v>
      </c>
      <c r="F1447" s="9">
        <v>1456</v>
      </c>
      <c r="G1447" s="8" t="s">
        <v>1299</v>
      </c>
      <c r="H1447" s="10" t="s">
        <v>1625</v>
      </c>
      <c r="I1447" s="10">
        <v>160</v>
      </c>
      <c r="J1447" s="10">
        <v>29</v>
      </c>
      <c r="K1447" s="10">
        <v>16</v>
      </c>
      <c r="L1447" s="11" t="e">
        <v>#N/A</v>
      </c>
      <c r="M1447" s="12">
        <v>0</v>
      </c>
      <c r="N1447" s="13" t="s">
        <v>183</v>
      </c>
      <c r="O1447" s="13"/>
    </row>
    <row r="1448" spans="1:15">
      <c r="A1448" s="22" t="s">
        <v>1706</v>
      </c>
      <c r="B1448" s="8">
        <v>9</v>
      </c>
      <c r="C1448" s="8">
        <v>340</v>
      </c>
      <c r="D1448" s="8">
        <v>50</v>
      </c>
      <c r="E1448" s="8">
        <v>1.5</v>
      </c>
      <c r="F1448" s="9">
        <v>1457</v>
      </c>
      <c r="G1448" s="8" t="s">
        <v>1299</v>
      </c>
      <c r="H1448" s="10" t="s">
        <v>1625</v>
      </c>
      <c r="I1448" s="10">
        <v>160</v>
      </c>
      <c r="J1448" s="10">
        <v>29</v>
      </c>
      <c r="K1448" s="10">
        <v>16</v>
      </c>
      <c r="L1448" s="11" t="e">
        <v>#N/A</v>
      </c>
      <c r="M1448" s="12">
        <v>0</v>
      </c>
      <c r="N1448" s="13" t="s">
        <v>183</v>
      </c>
      <c r="O1448" s="13"/>
    </row>
    <row r="1449" spans="1:15">
      <c r="A1449" s="22" t="s">
        <v>1707</v>
      </c>
      <c r="B1449" s="8">
        <v>9</v>
      </c>
      <c r="C1449" s="8">
        <v>76</v>
      </c>
      <c r="D1449" s="8">
        <v>100</v>
      </c>
      <c r="E1449" s="8">
        <v>0.72</v>
      </c>
      <c r="F1449" s="9">
        <v>1458</v>
      </c>
      <c r="G1449" s="8" t="s">
        <v>1296</v>
      </c>
      <c r="H1449" s="10" t="s">
        <v>1708</v>
      </c>
      <c r="I1449" s="10">
        <v>111</v>
      </c>
      <c r="J1449" s="10">
        <v>29</v>
      </c>
      <c r="K1449" s="10">
        <v>10</v>
      </c>
      <c r="L1449" s="11" t="e">
        <v>#N/A</v>
      </c>
      <c r="M1449" s="12">
        <v>4345</v>
      </c>
      <c r="N1449" s="13" t="s">
        <v>183</v>
      </c>
      <c r="O1449" s="13"/>
    </row>
    <row r="1450" spans="1:15">
      <c r="A1450" s="22" t="s">
        <v>1709</v>
      </c>
      <c r="B1450" s="8">
        <v>9</v>
      </c>
      <c r="C1450" s="8">
        <v>76</v>
      </c>
      <c r="D1450" s="8">
        <v>100</v>
      </c>
      <c r="E1450" s="8">
        <v>0.72</v>
      </c>
      <c r="F1450" s="9">
        <v>1459</v>
      </c>
      <c r="G1450" s="8" t="s">
        <v>1296</v>
      </c>
      <c r="H1450" s="10" t="s">
        <v>1708</v>
      </c>
      <c r="I1450" s="10">
        <v>111</v>
      </c>
      <c r="J1450" s="10">
        <v>29</v>
      </c>
      <c r="K1450" s="10">
        <v>10</v>
      </c>
      <c r="L1450" s="11" t="e">
        <v>#N/A</v>
      </c>
      <c r="M1450" s="12">
        <v>6554</v>
      </c>
      <c r="N1450" s="13" t="s">
        <v>183</v>
      </c>
      <c r="O1450" s="13"/>
    </row>
    <row r="1451" spans="1:15">
      <c r="A1451" s="22" t="s">
        <v>1710</v>
      </c>
      <c r="B1451" s="8">
        <v>9</v>
      </c>
      <c r="C1451" s="8">
        <v>76</v>
      </c>
      <c r="D1451" s="8">
        <v>100</v>
      </c>
      <c r="E1451" s="8">
        <v>0.72</v>
      </c>
      <c r="F1451" s="9">
        <v>1460</v>
      </c>
      <c r="G1451" s="8" t="s">
        <v>1296</v>
      </c>
      <c r="H1451" s="10" t="s">
        <v>1708</v>
      </c>
      <c r="I1451" s="10">
        <v>111</v>
      </c>
      <c r="J1451" s="10">
        <v>29</v>
      </c>
      <c r="K1451" s="10">
        <v>10</v>
      </c>
      <c r="L1451" s="11" t="e">
        <v>#N/A</v>
      </c>
      <c r="M1451" s="12">
        <v>1336</v>
      </c>
      <c r="N1451" s="13" t="s">
        <v>183</v>
      </c>
      <c r="O1451" s="13"/>
    </row>
    <row r="1452" spans="1:15">
      <c r="A1452" s="22" t="s">
        <v>1711</v>
      </c>
      <c r="B1452" s="8">
        <v>9</v>
      </c>
      <c r="C1452" s="8">
        <v>76</v>
      </c>
      <c r="D1452" s="8">
        <v>100</v>
      </c>
      <c r="E1452" s="8">
        <v>0.72</v>
      </c>
      <c r="F1452" s="9">
        <v>1461</v>
      </c>
      <c r="G1452" s="8" t="s">
        <v>1296</v>
      </c>
      <c r="H1452" s="10" t="s">
        <v>1708</v>
      </c>
      <c r="I1452" s="10">
        <v>111</v>
      </c>
      <c r="J1452" s="10">
        <v>29</v>
      </c>
      <c r="K1452" s="10">
        <v>10</v>
      </c>
      <c r="L1452" s="11" t="e">
        <v>#N/A</v>
      </c>
      <c r="M1452" s="12">
        <v>18589</v>
      </c>
      <c r="N1452" s="13" t="s">
        <v>183</v>
      </c>
      <c r="O1452" s="13"/>
    </row>
    <row r="1453" spans="1:15">
      <c r="A1453" s="22" t="s">
        <v>1712</v>
      </c>
      <c r="B1453" s="8">
        <v>9</v>
      </c>
      <c r="C1453" s="8">
        <v>76</v>
      </c>
      <c r="D1453" s="8">
        <v>100</v>
      </c>
      <c r="E1453" s="8">
        <v>0.72</v>
      </c>
      <c r="F1453" s="9">
        <v>1462</v>
      </c>
      <c r="G1453" s="8" t="s">
        <v>1296</v>
      </c>
      <c r="H1453" s="10" t="s">
        <v>1708</v>
      </c>
      <c r="I1453" s="10">
        <v>111</v>
      </c>
      <c r="J1453" s="10">
        <v>29</v>
      </c>
      <c r="K1453" s="10">
        <v>10</v>
      </c>
      <c r="L1453" s="11" t="e">
        <v>#N/A</v>
      </c>
      <c r="M1453" s="12">
        <v>47545</v>
      </c>
      <c r="N1453" s="13" t="s">
        <v>183</v>
      </c>
      <c r="O1453" s="13"/>
    </row>
    <row r="1454" spans="1:15">
      <c r="A1454" s="22" t="s">
        <v>1713</v>
      </c>
      <c r="B1454" s="8">
        <v>9</v>
      </c>
      <c r="C1454" s="8">
        <v>76</v>
      </c>
      <c r="D1454" s="8">
        <v>100</v>
      </c>
      <c r="E1454" s="8">
        <v>0.72</v>
      </c>
      <c r="F1454" s="9">
        <v>1463</v>
      </c>
      <c r="G1454" s="8" t="s">
        <v>1296</v>
      </c>
      <c r="H1454" s="10" t="s">
        <v>1708</v>
      </c>
      <c r="I1454" s="10">
        <v>111</v>
      </c>
      <c r="J1454" s="10">
        <v>29</v>
      </c>
      <c r="K1454" s="10">
        <v>10</v>
      </c>
      <c r="L1454" s="11" t="e">
        <v>#N/A</v>
      </c>
      <c r="M1454" s="12">
        <v>1416</v>
      </c>
      <c r="N1454" s="13" t="s">
        <v>183</v>
      </c>
      <c r="O1454" s="13"/>
    </row>
    <row r="1455" spans="1:15">
      <c r="A1455" s="22" t="s">
        <v>1714</v>
      </c>
      <c r="B1455" s="8">
        <v>9</v>
      </c>
      <c r="C1455" s="8">
        <v>80</v>
      </c>
      <c r="D1455" s="8">
        <v>50</v>
      </c>
      <c r="E1455" s="8">
        <v>0.6</v>
      </c>
      <c r="F1455" s="9">
        <v>1467</v>
      </c>
      <c r="G1455" s="8" t="s">
        <v>1296</v>
      </c>
      <c r="H1455" s="10" t="s">
        <v>17</v>
      </c>
      <c r="I1455" s="10">
        <v>122</v>
      </c>
      <c r="J1455" s="10">
        <v>15</v>
      </c>
      <c r="K1455" s="10">
        <v>10</v>
      </c>
      <c r="L1455" s="11" t="e">
        <v>#N/A</v>
      </c>
      <c r="M1455" s="12">
        <v>1</v>
      </c>
      <c r="N1455" s="13" t="s">
        <v>183</v>
      </c>
      <c r="O1455" s="13"/>
    </row>
    <row r="1456" spans="1:15">
      <c r="A1456" s="22" t="s">
        <v>1715</v>
      </c>
      <c r="B1456" s="8">
        <v>9</v>
      </c>
      <c r="C1456" s="8">
        <v>340</v>
      </c>
      <c r="D1456" s="8">
        <v>50</v>
      </c>
      <c r="E1456" s="8">
        <v>1.5</v>
      </c>
      <c r="F1456" s="9">
        <v>1464</v>
      </c>
      <c r="G1456" s="8" t="s">
        <v>1299</v>
      </c>
      <c r="H1456" s="10" t="s">
        <v>1625</v>
      </c>
      <c r="I1456" s="10">
        <v>160</v>
      </c>
      <c r="J1456" s="10">
        <v>29</v>
      </c>
      <c r="K1456" s="10">
        <v>16</v>
      </c>
      <c r="L1456" s="11" t="e">
        <v>#N/A</v>
      </c>
      <c r="M1456" s="12">
        <v>0</v>
      </c>
      <c r="N1456" s="13" t="s">
        <v>183</v>
      </c>
      <c r="O1456" s="13"/>
    </row>
    <row r="1457" spans="1:15">
      <c r="A1457" s="22" t="s">
        <v>1716</v>
      </c>
      <c r="B1457" s="8">
        <v>9</v>
      </c>
      <c r="C1457" s="8">
        <v>340</v>
      </c>
      <c r="D1457" s="8">
        <v>50</v>
      </c>
      <c r="E1457" s="8">
        <v>1.5</v>
      </c>
      <c r="F1457" s="9">
        <v>1465</v>
      </c>
      <c r="G1457" s="8" t="s">
        <v>1299</v>
      </c>
      <c r="H1457" s="10" t="s">
        <v>1625</v>
      </c>
      <c r="I1457" s="10">
        <v>160</v>
      </c>
      <c r="J1457" s="10">
        <v>29</v>
      </c>
      <c r="K1457" s="10">
        <v>16</v>
      </c>
      <c r="L1457" s="11" t="e">
        <v>#N/A</v>
      </c>
      <c r="M1457" s="12">
        <v>0</v>
      </c>
      <c r="N1457" s="13" t="s">
        <v>183</v>
      </c>
      <c r="O1457" s="13"/>
    </row>
    <row r="1458" spans="1:15">
      <c r="A1458" s="22" t="s">
        <v>1717</v>
      </c>
      <c r="B1458" s="8">
        <v>9</v>
      </c>
      <c r="C1458" s="8">
        <v>340</v>
      </c>
      <c r="D1458" s="8">
        <v>50</v>
      </c>
      <c r="E1458" s="8">
        <v>1.5</v>
      </c>
      <c r="F1458" s="9">
        <v>1466</v>
      </c>
      <c r="G1458" s="8" t="s">
        <v>1299</v>
      </c>
      <c r="H1458" s="10" t="s">
        <v>1625</v>
      </c>
      <c r="I1458" s="10">
        <v>160</v>
      </c>
      <c r="J1458" s="10">
        <v>29</v>
      </c>
      <c r="K1458" s="10">
        <v>16</v>
      </c>
      <c r="L1458" s="11" t="e">
        <v>#N/A</v>
      </c>
      <c r="M1458" s="12">
        <v>919</v>
      </c>
      <c r="N1458" s="13" t="s">
        <v>183</v>
      </c>
      <c r="O1458" s="13"/>
    </row>
    <row r="1459" spans="1:15">
      <c r="A1459" s="22" t="s">
        <v>1718</v>
      </c>
      <c r="B1459" s="8">
        <v>9</v>
      </c>
      <c r="C1459" s="8">
        <v>340</v>
      </c>
      <c r="D1459" s="8">
        <v>50</v>
      </c>
      <c r="E1459" s="8">
        <v>1.5</v>
      </c>
      <c r="F1459" s="9">
        <v>1468</v>
      </c>
      <c r="G1459" s="8" t="s">
        <v>1299</v>
      </c>
      <c r="H1459" s="10" t="s">
        <v>1625</v>
      </c>
      <c r="I1459" s="10">
        <v>160</v>
      </c>
      <c r="J1459" s="10">
        <v>29</v>
      </c>
      <c r="K1459" s="10">
        <v>16</v>
      </c>
      <c r="L1459" s="11" t="e">
        <v>#N/A</v>
      </c>
      <c r="M1459" s="12">
        <v>605</v>
      </c>
      <c r="N1459" s="13" t="s">
        <v>183</v>
      </c>
      <c r="O1459" s="13"/>
    </row>
    <row r="1460" spans="1:15">
      <c r="A1460" s="22" t="s">
        <v>1719</v>
      </c>
      <c r="B1460" s="8">
        <v>9</v>
      </c>
      <c r="C1460" s="8">
        <v>340</v>
      </c>
      <c r="D1460" s="8">
        <v>50</v>
      </c>
      <c r="E1460" s="8">
        <v>1.5</v>
      </c>
      <c r="F1460" s="9">
        <v>1469</v>
      </c>
      <c r="G1460" s="8" t="s">
        <v>1299</v>
      </c>
      <c r="H1460" s="10" t="s">
        <v>1625</v>
      </c>
      <c r="I1460" s="10">
        <v>160</v>
      </c>
      <c r="J1460" s="10">
        <v>29</v>
      </c>
      <c r="K1460" s="10">
        <v>16</v>
      </c>
      <c r="L1460" s="11" t="e">
        <v>#N/A</v>
      </c>
      <c r="M1460" s="12">
        <v>0</v>
      </c>
      <c r="N1460" s="13" t="s">
        <v>183</v>
      </c>
      <c r="O1460" s="13"/>
    </row>
    <row r="1461" spans="1:15">
      <c r="A1461" s="22" t="s">
        <v>1720</v>
      </c>
      <c r="B1461" s="8">
        <v>9</v>
      </c>
      <c r="C1461" s="8">
        <v>340</v>
      </c>
      <c r="D1461" s="8">
        <v>50</v>
      </c>
      <c r="E1461" s="8">
        <v>1.5</v>
      </c>
      <c r="F1461" s="9">
        <v>1470</v>
      </c>
      <c r="G1461" s="8" t="s">
        <v>372</v>
      </c>
      <c r="H1461" s="10" t="s">
        <v>1625</v>
      </c>
      <c r="I1461" s="10">
        <v>160</v>
      </c>
      <c r="J1461" s="10">
        <v>29</v>
      </c>
      <c r="K1461" s="10">
        <v>16</v>
      </c>
      <c r="L1461" s="11" t="e">
        <v>#N/A</v>
      </c>
      <c r="M1461" s="12">
        <v>119</v>
      </c>
      <c r="N1461" s="13" t="s">
        <v>18</v>
      </c>
      <c r="O1461" s="13"/>
    </row>
    <row r="1462" spans="1:15">
      <c r="A1462" s="22" t="s">
        <v>1721</v>
      </c>
      <c r="B1462" s="8">
        <v>9</v>
      </c>
      <c r="C1462" s="8">
        <v>340</v>
      </c>
      <c r="D1462" s="8">
        <v>50</v>
      </c>
      <c r="E1462" s="8">
        <v>1.5</v>
      </c>
      <c r="F1462" s="9">
        <v>1471</v>
      </c>
      <c r="G1462" s="8" t="s">
        <v>372</v>
      </c>
      <c r="H1462" s="10" t="s">
        <v>1625</v>
      </c>
      <c r="I1462" s="10">
        <v>160</v>
      </c>
      <c r="J1462" s="10">
        <v>29</v>
      </c>
      <c r="K1462" s="10">
        <v>16</v>
      </c>
      <c r="L1462" s="11" t="e">
        <v>#N/A</v>
      </c>
      <c r="M1462" s="12">
        <v>1</v>
      </c>
      <c r="N1462" s="13" t="s">
        <v>18</v>
      </c>
      <c r="O1462" s="13"/>
    </row>
    <row r="1463" spans="1:15">
      <c r="A1463" s="22" t="s">
        <v>1722</v>
      </c>
      <c r="B1463" s="8">
        <v>9</v>
      </c>
      <c r="C1463" s="8">
        <v>340</v>
      </c>
      <c r="D1463" s="8">
        <v>50</v>
      </c>
      <c r="E1463" s="8">
        <v>1.5</v>
      </c>
      <c r="F1463" s="9">
        <v>1472</v>
      </c>
      <c r="G1463" s="8" t="s">
        <v>372</v>
      </c>
      <c r="H1463" s="10" t="s">
        <v>1625</v>
      </c>
      <c r="I1463" s="10">
        <v>160</v>
      </c>
      <c r="J1463" s="10">
        <v>29</v>
      </c>
      <c r="K1463" s="10">
        <v>16</v>
      </c>
      <c r="L1463" s="11" t="e">
        <v>#N/A</v>
      </c>
      <c r="M1463" s="12">
        <v>7</v>
      </c>
      <c r="N1463" s="13" t="s">
        <v>18</v>
      </c>
      <c r="O1463" s="13"/>
    </row>
    <row r="1464" spans="1:15">
      <c r="A1464" s="22" t="s">
        <v>1723</v>
      </c>
      <c r="B1464" s="8">
        <v>9</v>
      </c>
      <c r="C1464" s="8">
        <v>340</v>
      </c>
      <c r="D1464" s="8">
        <v>50</v>
      </c>
      <c r="E1464" s="8">
        <v>1.5</v>
      </c>
      <c r="F1464" s="9">
        <v>1473</v>
      </c>
      <c r="G1464" s="8" t="s">
        <v>372</v>
      </c>
      <c r="H1464" s="10" t="s">
        <v>1625</v>
      </c>
      <c r="I1464" s="10">
        <v>160</v>
      </c>
      <c r="J1464" s="10">
        <v>29</v>
      </c>
      <c r="K1464" s="10">
        <v>16</v>
      </c>
      <c r="L1464" s="11" t="e">
        <v>#N/A</v>
      </c>
      <c r="M1464" s="12">
        <v>0</v>
      </c>
      <c r="N1464" s="13" t="s">
        <v>18</v>
      </c>
      <c r="O1464" s="13"/>
    </row>
    <row r="1465" spans="1:15">
      <c r="A1465" s="22" t="s">
        <v>1724</v>
      </c>
      <c r="B1465" s="8">
        <v>9</v>
      </c>
      <c r="C1465" s="8">
        <v>76</v>
      </c>
      <c r="D1465" s="8">
        <v>100</v>
      </c>
      <c r="E1465" s="8">
        <v>0.72</v>
      </c>
      <c r="F1465" s="9">
        <v>1474</v>
      </c>
      <c r="G1465" s="8" t="s">
        <v>16</v>
      </c>
      <c r="H1465" s="10" t="s">
        <v>1725</v>
      </c>
      <c r="I1465" s="10">
        <v>111</v>
      </c>
      <c r="J1465" s="10">
        <v>25</v>
      </c>
      <c r="K1465" s="10">
        <v>10</v>
      </c>
      <c r="L1465" s="11" t="e">
        <v>#N/A</v>
      </c>
      <c r="M1465" s="12">
        <v>3424</v>
      </c>
      <c r="N1465" s="13" t="s">
        <v>1353</v>
      </c>
      <c r="O1465" s="13"/>
    </row>
    <row r="1466" spans="1:15">
      <c r="A1466" s="22" t="s">
        <v>1726</v>
      </c>
      <c r="B1466" s="8">
        <v>9</v>
      </c>
      <c r="C1466" s="8">
        <v>740</v>
      </c>
      <c r="D1466" s="8">
        <v>12</v>
      </c>
      <c r="E1466" s="8">
        <v>2.2200000000000002</v>
      </c>
      <c r="F1466" s="9">
        <v>1476</v>
      </c>
      <c r="G1466" s="22" t="s">
        <v>1377</v>
      </c>
      <c r="H1466" s="10" t="s">
        <v>1503</v>
      </c>
      <c r="I1466" s="10">
        <v>179</v>
      </c>
      <c r="J1466" s="10">
        <v>42</v>
      </c>
      <c r="K1466" s="10">
        <v>15</v>
      </c>
      <c r="L1466" s="11" t="e">
        <v>#N/A</v>
      </c>
      <c r="M1466" s="12">
        <v>15</v>
      </c>
      <c r="N1466" s="13"/>
      <c r="O1466" s="13"/>
    </row>
    <row r="1467" spans="1:15" ht="15.6">
      <c r="A1467" s="22" t="s">
        <v>1727</v>
      </c>
      <c r="B1467" s="8">
        <v>9</v>
      </c>
      <c r="C1467" s="8">
        <v>321</v>
      </c>
      <c r="D1467" s="8">
        <v>50</v>
      </c>
      <c r="E1467" s="8">
        <v>1.48</v>
      </c>
      <c r="F1467" s="9">
        <v>1477</v>
      </c>
      <c r="G1467" s="8" t="s">
        <v>372</v>
      </c>
      <c r="H1467" s="10" t="s">
        <v>1728</v>
      </c>
      <c r="I1467" s="10">
        <v>145</v>
      </c>
      <c r="J1467" s="10">
        <v>29</v>
      </c>
      <c r="K1467" s="10">
        <v>16</v>
      </c>
      <c r="L1467" s="11" t="s">
        <v>1729</v>
      </c>
      <c r="M1467" s="12">
        <v>16</v>
      </c>
      <c r="N1467" s="13"/>
      <c r="O1467" s="13"/>
    </row>
    <row r="1468" spans="1:15" ht="15.6">
      <c r="A1468" s="22" t="s">
        <v>1730</v>
      </c>
      <c r="B1468" s="8">
        <v>9</v>
      </c>
      <c r="C1468" s="8">
        <v>338</v>
      </c>
      <c r="D1468" s="8">
        <v>50</v>
      </c>
      <c r="E1468" s="8">
        <v>1.48</v>
      </c>
      <c r="F1468" s="9">
        <v>1478</v>
      </c>
      <c r="G1468" s="8" t="s">
        <v>372</v>
      </c>
      <c r="H1468" s="10" t="s">
        <v>1728</v>
      </c>
      <c r="I1468" s="10">
        <v>145</v>
      </c>
      <c r="J1468" s="10">
        <v>29</v>
      </c>
      <c r="K1468" s="10">
        <v>16</v>
      </c>
      <c r="L1468" s="11" t="s">
        <v>1731</v>
      </c>
      <c r="M1468" s="12">
        <v>2</v>
      </c>
      <c r="N1468" s="13"/>
      <c r="O1468" s="13"/>
    </row>
    <row r="1469" spans="1:15">
      <c r="A1469" s="22" t="s">
        <v>1732</v>
      </c>
      <c r="B1469" s="8">
        <v>9</v>
      </c>
      <c r="C1469" s="8">
        <v>340</v>
      </c>
      <c r="D1469" s="8">
        <v>50</v>
      </c>
      <c r="E1469" s="8">
        <v>1.48</v>
      </c>
      <c r="F1469" s="9">
        <v>1475</v>
      </c>
      <c r="G1469" s="8" t="s">
        <v>372</v>
      </c>
      <c r="H1469" s="10" t="s">
        <v>83</v>
      </c>
      <c r="I1469" s="10">
        <v>145</v>
      </c>
      <c r="J1469" s="10">
        <v>29</v>
      </c>
      <c r="K1469" s="10">
        <v>16</v>
      </c>
      <c r="L1469" s="11" t="e">
        <v>#N/A</v>
      </c>
      <c r="M1469" s="12">
        <v>738</v>
      </c>
      <c r="N1469" s="13"/>
      <c r="O1469" s="13" t="s">
        <v>183</v>
      </c>
    </row>
    <row r="1470" spans="1:15">
      <c r="A1470" s="22" t="s">
        <v>1733</v>
      </c>
      <c r="B1470" s="8">
        <v>9</v>
      </c>
      <c r="C1470" s="8">
        <v>340</v>
      </c>
      <c r="D1470" s="8">
        <v>50</v>
      </c>
      <c r="E1470" s="8">
        <v>1.48</v>
      </c>
      <c r="F1470" s="9">
        <v>1479</v>
      </c>
      <c r="G1470" s="8" t="s">
        <v>372</v>
      </c>
      <c r="H1470" s="10" t="s">
        <v>83</v>
      </c>
      <c r="I1470" s="10">
        <v>145</v>
      </c>
      <c r="J1470" s="10">
        <v>29</v>
      </c>
      <c r="K1470" s="10">
        <v>16</v>
      </c>
      <c r="L1470" s="11" t="e">
        <v>#N/A</v>
      </c>
      <c r="M1470" s="12">
        <v>481</v>
      </c>
      <c r="N1470" s="13"/>
      <c r="O1470" s="13" t="s">
        <v>183</v>
      </c>
    </row>
    <row r="1471" spans="1:15">
      <c r="A1471" s="22" t="s">
        <v>1734</v>
      </c>
      <c r="B1471" s="8">
        <v>9</v>
      </c>
      <c r="C1471" s="8">
        <v>340</v>
      </c>
      <c r="D1471" s="8">
        <v>50</v>
      </c>
      <c r="E1471" s="8">
        <v>1.48</v>
      </c>
      <c r="F1471" s="9">
        <v>1480</v>
      </c>
      <c r="G1471" s="8" t="s">
        <v>372</v>
      </c>
      <c r="H1471" s="10" t="s">
        <v>83</v>
      </c>
      <c r="I1471" s="10">
        <v>145</v>
      </c>
      <c r="J1471" s="10">
        <v>29</v>
      </c>
      <c r="K1471" s="10">
        <v>16</v>
      </c>
      <c r="L1471" s="11" t="e">
        <v>#N/A</v>
      </c>
      <c r="M1471" s="12">
        <v>251</v>
      </c>
      <c r="N1471" s="13"/>
      <c r="O1471" s="13" t="s">
        <v>183</v>
      </c>
    </row>
    <row r="1472" spans="1:15">
      <c r="A1472" s="22" t="s">
        <v>1735</v>
      </c>
      <c r="B1472" s="8">
        <v>9</v>
      </c>
      <c r="C1472" s="8">
        <v>340</v>
      </c>
      <c r="D1472" s="8">
        <v>50</v>
      </c>
      <c r="E1472" s="8">
        <v>1.48</v>
      </c>
      <c r="F1472" s="9">
        <v>1481</v>
      </c>
      <c r="G1472" s="8" t="s">
        <v>372</v>
      </c>
      <c r="H1472" s="10" t="s">
        <v>83</v>
      </c>
      <c r="I1472" s="10">
        <v>145</v>
      </c>
      <c r="J1472" s="10">
        <v>29</v>
      </c>
      <c r="K1472" s="10">
        <v>16</v>
      </c>
      <c r="L1472" s="11" t="e">
        <v>#N/A</v>
      </c>
      <c r="M1472" s="12">
        <v>2</v>
      </c>
      <c r="N1472" s="13"/>
      <c r="O1472" s="13" t="s">
        <v>183</v>
      </c>
    </row>
    <row r="1473" spans="1:15">
      <c r="A1473" s="22" t="s">
        <v>1736</v>
      </c>
      <c r="B1473" s="8">
        <v>9</v>
      </c>
      <c r="C1473" s="8">
        <v>420</v>
      </c>
      <c r="D1473" s="8">
        <v>50</v>
      </c>
      <c r="E1473" s="8">
        <v>1.5</v>
      </c>
      <c r="F1473" s="9">
        <v>1482</v>
      </c>
      <c r="G1473" s="8" t="s">
        <v>372</v>
      </c>
      <c r="H1473" s="10" t="s">
        <v>1625</v>
      </c>
      <c r="I1473" s="10">
        <v>160</v>
      </c>
      <c r="J1473" s="10">
        <v>29</v>
      </c>
      <c r="K1473" s="10">
        <v>16</v>
      </c>
      <c r="L1473" s="11" t="e">
        <v>#N/A</v>
      </c>
      <c r="M1473" s="12">
        <v>3</v>
      </c>
      <c r="N1473" s="13"/>
      <c r="O1473" s="13" t="s">
        <v>183</v>
      </c>
    </row>
    <row r="1474" spans="1:15">
      <c r="A1474" s="22" t="s">
        <v>1737</v>
      </c>
      <c r="B1474" s="8">
        <v>9</v>
      </c>
      <c r="C1474" s="8">
        <v>420</v>
      </c>
      <c r="D1474" s="8">
        <v>50</v>
      </c>
      <c r="E1474" s="8">
        <v>1.5</v>
      </c>
      <c r="F1474" s="9">
        <v>1483</v>
      </c>
      <c r="G1474" s="8" t="s">
        <v>372</v>
      </c>
      <c r="H1474" s="10" t="s">
        <v>1625</v>
      </c>
      <c r="I1474" s="10">
        <v>160</v>
      </c>
      <c r="J1474" s="10">
        <v>29</v>
      </c>
      <c r="K1474" s="10">
        <v>16</v>
      </c>
      <c r="L1474" s="11" t="e">
        <v>#N/A</v>
      </c>
      <c r="M1474" s="12">
        <v>11</v>
      </c>
      <c r="N1474" s="13"/>
      <c r="O1474" s="13" t="s">
        <v>183</v>
      </c>
    </row>
    <row r="1475" spans="1:15">
      <c r="A1475" s="22" t="s">
        <v>1738</v>
      </c>
      <c r="B1475" s="8">
        <v>9</v>
      </c>
      <c r="C1475" s="28">
        <v>64</v>
      </c>
      <c r="D1475" s="8">
        <v>50</v>
      </c>
      <c r="E1475" s="8">
        <v>0.6</v>
      </c>
      <c r="F1475" s="9">
        <v>1484</v>
      </c>
      <c r="G1475" s="8" t="s">
        <v>16</v>
      </c>
      <c r="H1475" s="10" t="s">
        <v>17</v>
      </c>
      <c r="I1475" s="10">
        <v>122</v>
      </c>
      <c r="J1475" s="10">
        <v>15</v>
      </c>
      <c r="K1475" s="10">
        <v>10</v>
      </c>
      <c r="L1475" s="11" t="e">
        <v>#N/A</v>
      </c>
      <c r="M1475" s="12">
        <v>77</v>
      </c>
      <c r="N1475" s="13"/>
      <c r="O1475" s="13" t="s">
        <v>183</v>
      </c>
    </row>
    <row r="1476" spans="1:15">
      <c r="A1476" s="22" t="s">
        <v>1739</v>
      </c>
      <c r="B1476" s="8">
        <v>9</v>
      </c>
      <c r="C1476" s="8">
        <v>340</v>
      </c>
      <c r="D1476" s="8">
        <v>50</v>
      </c>
      <c r="E1476" s="8">
        <v>1.48</v>
      </c>
      <c r="F1476" s="9">
        <v>1485</v>
      </c>
      <c r="G1476" s="8" t="s">
        <v>372</v>
      </c>
      <c r="H1476" s="10" t="s">
        <v>83</v>
      </c>
      <c r="I1476" s="10">
        <v>145</v>
      </c>
      <c r="J1476" s="10">
        <v>29</v>
      </c>
      <c r="K1476" s="10">
        <v>16</v>
      </c>
      <c r="L1476" s="11" t="e">
        <v>#N/A</v>
      </c>
      <c r="M1476" s="12">
        <v>0</v>
      </c>
      <c r="N1476" s="13"/>
      <c r="O1476" s="13" t="s">
        <v>183</v>
      </c>
    </row>
    <row r="1477" spans="1:15">
      <c r="A1477" s="22" t="s">
        <v>1740</v>
      </c>
      <c r="B1477" s="8">
        <v>9</v>
      </c>
      <c r="C1477" s="8">
        <v>323</v>
      </c>
      <c r="D1477" s="8">
        <v>50</v>
      </c>
      <c r="E1477" s="8">
        <v>1.48</v>
      </c>
      <c r="F1477" s="9">
        <v>1486</v>
      </c>
      <c r="G1477" s="8" t="s">
        <v>897</v>
      </c>
      <c r="H1477" s="10" t="s">
        <v>898</v>
      </c>
      <c r="I1477" s="10">
        <v>145</v>
      </c>
      <c r="J1477" s="10">
        <v>29</v>
      </c>
      <c r="K1477" s="10">
        <v>16</v>
      </c>
      <c r="L1477" s="40" t="s">
        <v>1741</v>
      </c>
      <c r="M1477" s="13">
        <v>1</v>
      </c>
      <c r="N1477" s="13"/>
      <c r="O1477" s="13"/>
    </row>
    <row r="1478" spans="1:15">
      <c r="A1478" s="22" t="s">
        <v>1742</v>
      </c>
      <c r="B1478" s="8">
        <v>9</v>
      </c>
      <c r="C1478" s="8">
        <v>323</v>
      </c>
      <c r="D1478" s="8">
        <v>50</v>
      </c>
      <c r="E1478" s="8">
        <v>1.48</v>
      </c>
      <c r="F1478" s="9">
        <v>1487</v>
      </c>
      <c r="G1478" s="8" t="s">
        <v>897</v>
      </c>
      <c r="H1478" s="10" t="s">
        <v>898</v>
      </c>
      <c r="I1478" s="10">
        <v>145</v>
      </c>
      <c r="J1478" s="10">
        <v>29</v>
      </c>
      <c r="K1478" s="10">
        <v>16</v>
      </c>
      <c r="L1478" s="40" t="s">
        <v>1741</v>
      </c>
      <c r="M1478" s="13">
        <v>5</v>
      </c>
      <c r="N1478" s="13"/>
      <c r="O1478" s="13"/>
    </row>
    <row r="1479" spans="1:15">
      <c r="A1479" s="22" t="s">
        <v>1743</v>
      </c>
      <c r="B1479" s="8">
        <v>9</v>
      </c>
      <c r="C1479" s="8">
        <v>323</v>
      </c>
      <c r="D1479" s="8">
        <v>50</v>
      </c>
      <c r="E1479" s="8">
        <v>1.48</v>
      </c>
      <c r="F1479" s="9">
        <v>1488</v>
      </c>
      <c r="G1479" s="8" t="s">
        <v>897</v>
      </c>
      <c r="H1479" s="10" t="s">
        <v>898</v>
      </c>
      <c r="I1479" s="10">
        <v>145</v>
      </c>
      <c r="J1479" s="10">
        <v>29</v>
      </c>
      <c r="K1479" s="10">
        <v>16</v>
      </c>
      <c r="L1479" s="40" t="s">
        <v>1741</v>
      </c>
      <c r="M1479" s="13">
        <v>1</v>
      </c>
      <c r="N1479" s="13"/>
      <c r="O1479" s="13"/>
    </row>
    <row r="1480" spans="1:15">
      <c r="A1480" s="22" t="s">
        <v>1744</v>
      </c>
      <c r="B1480" s="8">
        <v>9</v>
      </c>
      <c r="C1480" s="8">
        <v>450</v>
      </c>
      <c r="D1480" s="8">
        <v>25</v>
      </c>
      <c r="E1480" s="8">
        <v>1.6</v>
      </c>
      <c r="F1480" s="9">
        <v>1489</v>
      </c>
      <c r="G1480" s="8" t="s">
        <v>897</v>
      </c>
      <c r="H1480" s="22" t="s">
        <v>1198</v>
      </c>
      <c r="I1480" s="22">
        <v>183</v>
      </c>
      <c r="J1480" s="10">
        <v>29</v>
      </c>
      <c r="K1480" s="10">
        <v>16</v>
      </c>
      <c r="L1480" s="40" t="s">
        <v>1133</v>
      </c>
      <c r="M1480" s="13">
        <v>18</v>
      </c>
      <c r="N1480" s="13"/>
      <c r="O1480" s="13"/>
    </row>
    <row r="1481" spans="1:15">
      <c r="A1481" s="41" t="s">
        <v>1745</v>
      </c>
      <c r="B1481" s="8">
        <v>9</v>
      </c>
      <c r="C1481" s="8">
        <v>30</v>
      </c>
      <c r="D1481" s="8">
        <v>500</v>
      </c>
      <c r="E1481" s="8">
        <v>3.46</v>
      </c>
      <c r="F1481" s="9" t="e">
        <v>#N/A</v>
      </c>
      <c r="G1481" s="8" t="s">
        <v>1746</v>
      </c>
      <c r="H1481" s="10" t="s">
        <v>523</v>
      </c>
      <c r="I1481" s="10">
        <v>77</v>
      </c>
      <c r="J1481" s="10">
        <v>52</v>
      </c>
      <c r="K1481" s="10">
        <v>32</v>
      </c>
      <c r="L1481" s="40" t="e">
        <v>#N/A</v>
      </c>
      <c r="M1481" s="13" t="e">
        <v>#N/A</v>
      </c>
      <c r="N1481" s="13"/>
      <c r="O1481" s="13" t="s">
        <v>183</v>
      </c>
    </row>
    <row r="1482" spans="1:15">
      <c r="A1482" s="22" t="s">
        <v>1747</v>
      </c>
      <c r="B1482" s="8">
        <v>9</v>
      </c>
      <c r="C1482" s="8">
        <v>323</v>
      </c>
      <c r="D1482" s="8">
        <v>50</v>
      </c>
      <c r="E1482" s="8">
        <v>1.48</v>
      </c>
      <c r="F1482" s="9">
        <v>1487</v>
      </c>
      <c r="G1482" s="8" t="s">
        <v>1299</v>
      </c>
      <c r="H1482" s="22" t="s">
        <v>898</v>
      </c>
      <c r="I1482" s="22">
        <v>145</v>
      </c>
      <c r="J1482" s="10">
        <v>29</v>
      </c>
      <c r="K1482" s="10">
        <v>16</v>
      </c>
      <c r="L1482" s="40" t="s">
        <v>1741</v>
      </c>
      <c r="M1482" s="13">
        <v>5</v>
      </c>
      <c r="N1482" s="13"/>
      <c r="O1482" s="13"/>
    </row>
    <row r="1483" spans="1:15">
      <c r="A1483" s="22" t="s">
        <v>1748</v>
      </c>
      <c r="B1483" s="8">
        <v>9</v>
      </c>
      <c r="C1483" s="8">
        <v>323</v>
      </c>
      <c r="D1483" s="8">
        <v>50</v>
      </c>
      <c r="E1483" s="8">
        <v>1.48</v>
      </c>
      <c r="F1483" s="9">
        <v>1488</v>
      </c>
      <c r="G1483" s="8" t="s">
        <v>1299</v>
      </c>
      <c r="H1483" s="22" t="s">
        <v>898</v>
      </c>
      <c r="I1483" s="22">
        <v>145</v>
      </c>
      <c r="J1483" s="10">
        <v>29</v>
      </c>
      <c r="K1483" s="10">
        <v>16</v>
      </c>
      <c r="L1483" s="40" t="s">
        <v>1741</v>
      </c>
      <c r="M1483" s="13">
        <v>1</v>
      </c>
      <c r="N1483" s="13"/>
      <c r="O1483" s="13"/>
    </row>
    <row r="1484" spans="1:15">
      <c r="A1484" s="22" t="s">
        <v>1744</v>
      </c>
      <c r="B1484" s="8">
        <v>9</v>
      </c>
      <c r="C1484" s="8">
        <v>450</v>
      </c>
      <c r="D1484" s="8">
        <v>25</v>
      </c>
      <c r="E1484" s="8">
        <v>1.6</v>
      </c>
      <c r="F1484" s="9">
        <v>1489</v>
      </c>
      <c r="G1484" s="8" t="s">
        <v>1749</v>
      </c>
      <c r="H1484" s="22" t="s">
        <v>1198</v>
      </c>
      <c r="I1484" s="22">
        <v>183</v>
      </c>
      <c r="J1484" s="10">
        <v>29</v>
      </c>
      <c r="K1484" s="10">
        <v>16</v>
      </c>
      <c r="L1484" s="40" t="s">
        <v>1133</v>
      </c>
      <c r="M1484" s="13">
        <v>18</v>
      </c>
      <c r="N1484" s="13"/>
      <c r="O1484" s="13"/>
    </row>
    <row r="1485" spans="1:15">
      <c r="A1485" s="22" t="s">
        <v>1750</v>
      </c>
      <c r="B1485" s="8">
        <v>9</v>
      </c>
      <c r="C1485" s="8">
        <v>360</v>
      </c>
      <c r="D1485" s="8">
        <v>50</v>
      </c>
      <c r="E1485" s="8">
        <v>1.5</v>
      </c>
      <c r="F1485" s="9">
        <v>1490</v>
      </c>
      <c r="G1485" s="8" t="s">
        <v>372</v>
      </c>
      <c r="H1485" s="22" t="s">
        <v>1625</v>
      </c>
      <c r="I1485" s="22">
        <v>160</v>
      </c>
      <c r="J1485" s="10">
        <v>29</v>
      </c>
      <c r="K1485" s="10">
        <v>16</v>
      </c>
      <c r="L1485" s="40" t="e">
        <v>#N/A</v>
      </c>
      <c r="M1485" s="13">
        <v>6</v>
      </c>
      <c r="N1485" s="13"/>
      <c r="O1485" s="13"/>
    </row>
    <row r="1486" spans="1:15">
      <c r="A1486" s="22" t="s">
        <v>1751</v>
      </c>
      <c r="B1486" s="8">
        <v>9</v>
      </c>
      <c r="C1486" s="8">
        <v>80</v>
      </c>
      <c r="D1486" s="8">
        <v>50</v>
      </c>
      <c r="E1486" s="8">
        <v>0.6</v>
      </c>
      <c r="F1486" s="9">
        <v>1491</v>
      </c>
      <c r="G1486" s="8" t="s">
        <v>1296</v>
      </c>
      <c r="H1486" s="22" t="s">
        <v>997</v>
      </c>
      <c r="I1486" s="22">
        <v>122</v>
      </c>
      <c r="J1486" s="10">
        <v>15</v>
      </c>
      <c r="K1486" s="10">
        <v>10</v>
      </c>
      <c r="L1486" s="40" t="e">
        <v>#N/A</v>
      </c>
      <c r="M1486" s="13">
        <v>44</v>
      </c>
      <c r="N1486" s="13" t="s">
        <v>183</v>
      </c>
      <c r="O1486" s="13"/>
    </row>
    <row r="1487" spans="1:15">
      <c r="A1487" s="22" t="s">
        <v>1752</v>
      </c>
      <c r="B1487" s="8">
        <v>9</v>
      </c>
      <c r="C1487" s="8">
        <v>450</v>
      </c>
      <c r="D1487" s="8">
        <v>25</v>
      </c>
      <c r="E1487" s="8">
        <v>1.6</v>
      </c>
      <c r="F1487" s="9">
        <v>1492</v>
      </c>
      <c r="G1487" s="8" t="s">
        <v>1749</v>
      </c>
      <c r="H1487" s="22" t="s">
        <v>997</v>
      </c>
      <c r="I1487" s="22">
        <v>122</v>
      </c>
      <c r="J1487" s="10">
        <v>15</v>
      </c>
      <c r="K1487" s="10">
        <v>10</v>
      </c>
      <c r="L1487" s="40" t="s">
        <v>1133</v>
      </c>
      <c r="M1487" s="13">
        <v>36</v>
      </c>
      <c r="N1487" s="13"/>
      <c r="O1487" s="13"/>
    </row>
    <row r="1488" spans="1:15">
      <c r="A1488" s="22" t="s">
        <v>1753</v>
      </c>
      <c r="B1488" s="8">
        <v>9</v>
      </c>
      <c r="C1488" s="8">
        <v>70</v>
      </c>
      <c r="D1488" s="8">
        <v>50</v>
      </c>
      <c r="E1488" s="8">
        <v>0.6</v>
      </c>
      <c r="F1488" s="9">
        <v>1493</v>
      </c>
      <c r="G1488" s="8" t="s">
        <v>1296</v>
      </c>
      <c r="H1488" s="22" t="s">
        <v>997</v>
      </c>
      <c r="I1488" s="22">
        <v>122</v>
      </c>
      <c r="J1488" s="10">
        <v>15</v>
      </c>
      <c r="K1488" s="10">
        <v>10</v>
      </c>
      <c r="L1488" s="40" t="e">
        <v>#N/A</v>
      </c>
      <c r="M1488" s="13">
        <v>60</v>
      </c>
      <c r="N1488" s="13" t="s">
        <v>183</v>
      </c>
      <c r="O1488" s="13"/>
    </row>
    <row r="1489" spans="1:15">
      <c r="A1489" s="22" t="s">
        <v>1754</v>
      </c>
      <c r="B1489" s="8">
        <v>9</v>
      </c>
      <c r="C1489" s="8">
        <v>740</v>
      </c>
      <c r="D1489" s="8">
        <v>12</v>
      </c>
      <c r="E1489" s="8">
        <v>2.2200000000000002</v>
      </c>
      <c r="F1489" s="9">
        <v>1494</v>
      </c>
      <c r="G1489" s="22" t="s">
        <v>1377</v>
      </c>
      <c r="H1489" s="22" t="s">
        <v>1503</v>
      </c>
      <c r="I1489" s="22">
        <v>179</v>
      </c>
      <c r="J1489" s="10">
        <v>42</v>
      </c>
      <c r="K1489" s="10">
        <v>15</v>
      </c>
      <c r="L1489" s="40" t="s">
        <v>1504</v>
      </c>
      <c r="M1489" s="13">
        <v>3</v>
      </c>
      <c r="N1489" s="13"/>
      <c r="O1489" s="13"/>
    </row>
    <row r="1490" spans="1:15">
      <c r="A1490" s="22" t="s">
        <v>1755</v>
      </c>
      <c r="B1490" s="8">
        <v>9</v>
      </c>
      <c r="C1490" s="8">
        <v>340</v>
      </c>
      <c r="D1490" s="8">
        <v>50</v>
      </c>
      <c r="E1490" s="8">
        <v>1.5</v>
      </c>
      <c r="F1490" s="9">
        <v>1495</v>
      </c>
      <c r="G1490" s="8" t="s">
        <v>372</v>
      </c>
      <c r="H1490" s="22" t="s">
        <v>1625</v>
      </c>
      <c r="I1490" s="22">
        <v>160</v>
      </c>
      <c r="J1490" s="10">
        <v>29</v>
      </c>
      <c r="K1490" s="10">
        <v>16</v>
      </c>
      <c r="L1490" s="40" t="e">
        <v>#N/A</v>
      </c>
      <c r="M1490" s="13">
        <v>3</v>
      </c>
      <c r="N1490" s="13"/>
      <c r="O1490" s="13"/>
    </row>
    <row r="1491" spans="1:15">
      <c r="A1491" s="22" t="s">
        <v>1756</v>
      </c>
      <c r="B1491" s="8">
        <v>9</v>
      </c>
      <c r="C1491" s="8">
        <v>740</v>
      </c>
      <c r="D1491" s="8">
        <v>12</v>
      </c>
      <c r="E1491" s="8">
        <v>2.2200000000000002</v>
      </c>
      <c r="F1491" s="9">
        <v>1496</v>
      </c>
      <c r="G1491" s="22" t="s">
        <v>1377</v>
      </c>
      <c r="H1491" s="22" t="s">
        <v>1503</v>
      </c>
      <c r="I1491" s="22">
        <v>179</v>
      </c>
      <c r="J1491" s="10">
        <v>42</v>
      </c>
      <c r="K1491" s="10">
        <v>15</v>
      </c>
      <c r="L1491" s="40" t="s">
        <v>1504</v>
      </c>
      <c r="M1491" s="13">
        <v>0</v>
      </c>
      <c r="N1491" s="13"/>
      <c r="O1491" s="13"/>
    </row>
    <row r="1492" spans="1:15">
      <c r="A1492" s="22" t="s">
        <v>1757</v>
      </c>
      <c r="B1492" s="8">
        <v>9</v>
      </c>
      <c r="C1492" s="8">
        <v>740</v>
      </c>
      <c r="D1492" s="8">
        <v>12</v>
      </c>
      <c r="E1492" s="8">
        <v>2.2200000000000002</v>
      </c>
      <c r="F1492" s="9">
        <v>1497</v>
      </c>
      <c r="G1492" s="22" t="s">
        <v>1377</v>
      </c>
      <c r="H1492" s="22" t="s">
        <v>1503</v>
      </c>
      <c r="I1492" s="22">
        <v>179</v>
      </c>
      <c r="J1492" s="10">
        <v>42</v>
      </c>
      <c r="K1492" s="10">
        <v>15</v>
      </c>
      <c r="L1492" s="40" t="s">
        <v>1504</v>
      </c>
      <c r="M1492" s="13">
        <v>0</v>
      </c>
      <c r="N1492" s="13"/>
      <c r="O1492" s="13"/>
    </row>
  </sheetData>
  <protectedRanges>
    <protectedRange password="EF63" sqref="E838:E842" name="区域1_2"/>
  </protectedRanges>
  <phoneticPr fontId="1" type="noConversion"/>
  <conditionalFormatting sqref="N1412:O1413 G1419:N1419 N1414:N1417 C1097:C1098 C1194:C1213 C1063:C1064 A2:B61 O65:O1303 N65:N1411 N2:O64 G2:L61 L65:L1417 D65:D1417 C953 C943 C940 C930:C932 C937:C938 C923:C924 E65:E1213 C65:C919 E2:E35 C2:C35 D2:D61 C62:E64 A1:O1 M2:M1417 G62:K1417 G1418:O1418 E1467:E1476 E1466:O1466 C1467:C1476 F2:F1465 B62:B1465 A65:A1465 E1300:E1465 G1420:O1465 C1300:C1465 A1466:C1466 F1467:O1492 A1467:B1492 C1477:E1492">
    <cfRule type="expression" dxfId="54" priority="1" stopIfTrue="1">
      <formula>MOD(ROW(),2)=0</formula>
    </cfRule>
  </conditionalFormatting>
  <dataValidations count="2">
    <dataValidation allowBlank="1" showInputMessage="1" showErrorMessage="1" prompt="golf&#10;shaft" sqref="G836:G843"/>
    <dataValidation imeMode="off" allowBlank="1" showInputMessage="1" showErrorMessage="1" sqref="H836:K837 H843:K843 H859:K859 H873:K883 E859:E866 C859:D867 D836:D842 E836:E837 D843:E843 E871:E885 D871:D888 E887 D895:E895 D898:E913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制单</vt:lpstr>
      <vt:lpstr>INVOICE</vt:lpstr>
      <vt:lpstr>PACKING LIST</vt:lpstr>
      <vt:lpstr>重量与单价数据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dcterms:created xsi:type="dcterms:W3CDTF">2006-09-13T11:21:51Z</dcterms:created>
  <dcterms:modified xsi:type="dcterms:W3CDTF">2018-01-30T13:45:25Z</dcterms:modified>
</cp:coreProperties>
</file>