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/>
  </bookViews>
  <sheets>
    <sheet name="Sheet4 (2)" sheetId="106" r:id="rId1"/>
    <sheet name="Sheet1" sheetId="102" r:id="rId2"/>
    <sheet name="Sheet2" sheetId="103" r:id="rId3"/>
    <sheet name="Sheet3" sheetId="104" r:id="rId4"/>
    <sheet name="Sheet4" sheetId="105" r:id="rId5"/>
  </sheets>
  <functionGroups/>
  <calcPr calcId="124519"/>
</workbook>
</file>

<file path=xl/calcChain.xml><?xml version="1.0" encoding="utf-8"?>
<calcChain xmlns="http://schemas.openxmlformats.org/spreadsheetml/2006/main">
  <c r="I19" i="104"/>
  <c r="I20"/>
  <c r="I21"/>
  <c r="I14"/>
  <c r="I15"/>
  <c r="I16"/>
  <c r="I17"/>
  <c r="I18"/>
  <c r="I3"/>
  <c r="I4"/>
  <c r="I5"/>
  <c r="I6"/>
  <c r="I7"/>
  <c r="I8"/>
  <c r="I9"/>
  <c r="I10"/>
  <c r="I11"/>
  <c r="I12"/>
  <c r="I13"/>
  <c r="I2"/>
  <c r="E15" i="103"/>
  <c r="E16"/>
  <c r="E17"/>
  <c r="E18"/>
  <c r="E19"/>
  <c r="E20"/>
  <c r="E21"/>
  <c r="B8" i="106"/>
  <c r="K2" i="105"/>
  <c r="E7" i="106"/>
  <c r="C7"/>
  <c r="E6"/>
  <c r="C6"/>
  <c r="E5"/>
  <c r="C5"/>
  <c r="E4"/>
  <c r="C4"/>
  <c r="E3"/>
  <c r="C3"/>
  <c r="J3" i="105"/>
  <c r="J5"/>
  <c r="J7"/>
  <c r="L2"/>
  <c r="L3"/>
  <c r="K4"/>
  <c r="M4"/>
  <c r="L5"/>
  <c r="K6"/>
  <c r="M6"/>
  <c r="L7"/>
  <c r="K8"/>
  <c r="M8"/>
  <c r="B3"/>
  <c r="D3"/>
  <c r="C4"/>
  <c r="B5"/>
  <c r="D5"/>
  <c r="C6"/>
  <c r="B7"/>
  <c r="D7"/>
  <c r="C8"/>
  <c r="D2"/>
  <c r="C2"/>
  <c r="B2" i="106"/>
  <c r="J2" i="105"/>
  <c r="D7" i="106"/>
  <c r="B7"/>
  <c r="D6"/>
  <c r="B6"/>
  <c r="D5"/>
  <c r="B5"/>
  <c r="D4"/>
  <c r="B4"/>
  <c r="D3"/>
  <c r="B3"/>
  <c r="J4" i="105"/>
  <c r="J6"/>
  <c r="J8"/>
  <c r="K3"/>
  <c r="M3"/>
  <c r="L4"/>
  <c r="K5"/>
  <c r="M5"/>
  <c r="L6"/>
  <c r="K7"/>
  <c r="M7"/>
  <c r="L8"/>
  <c r="M2"/>
  <c r="C3"/>
  <c r="B4"/>
  <c r="D4"/>
  <c r="C5"/>
  <c r="B6"/>
  <c r="D6"/>
  <c r="C7"/>
  <c r="B8"/>
  <c r="D8"/>
  <c r="B2"/>
  <c r="D8" i="106"/>
  <c r="E8"/>
  <c r="C8"/>
  <c r="D2"/>
  <c r="E2"/>
  <c r="C2"/>
  <c r="J4" i="104"/>
  <c r="J6"/>
  <c r="J8"/>
  <c r="J10"/>
  <c r="J12"/>
  <c r="J14"/>
  <c r="J16"/>
  <c r="J18"/>
  <c r="J20"/>
  <c r="B11" i="103"/>
  <c r="I11"/>
  <c r="J3" i="104"/>
  <c r="J5"/>
  <c r="J7"/>
  <c r="J9"/>
  <c r="J11"/>
  <c r="J13"/>
  <c r="J15"/>
  <c r="J17"/>
  <c r="J19"/>
  <c r="J21"/>
  <c r="J2"/>
</calcChain>
</file>

<file path=xl/sharedStrings.xml><?xml version="1.0" encoding="utf-8"?>
<sst xmlns="http://schemas.openxmlformats.org/spreadsheetml/2006/main" count="171" uniqueCount="114">
  <si>
    <t>$BB$6</t>
    <phoneticPr fontId="3" type="noConversion"/>
  </si>
  <si>
    <t>BB$6</t>
    <phoneticPr fontId="3" type="noConversion"/>
  </si>
  <si>
    <t>11dd</t>
    <phoneticPr fontId="3" type="noConversion"/>
  </si>
  <si>
    <t>红</t>
  </si>
  <si>
    <t>red</t>
  </si>
  <si>
    <t>橙</t>
  </si>
  <si>
    <t>orange</t>
  </si>
  <si>
    <t>黄</t>
  </si>
  <si>
    <t>yellow</t>
  </si>
  <si>
    <t>绿</t>
  </si>
  <si>
    <t>green</t>
  </si>
  <si>
    <t>青</t>
  </si>
  <si>
    <t>cyan</t>
  </si>
  <si>
    <t>蓝</t>
  </si>
  <si>
    <t>blue</t>
  </si>
  <si>
    <t>紫</t>
  </si>
  <si>
    <t>purple</t>
  </si>
  <si>
    <t>red</t>
    <phoneticPr fontId="3" type="noConversion"/>
  </si>
  <si>
    <t>orange</t>
    <phoneticPr fontId="3" type="noConversion"/>
  </si>
  <si>
    <t>yellow</t>
    <phoneticPr fontId="3" type="noConversion"/>
  </si>
  <si>
    <t>green</t>
    <phoneticPr fontId="3" type="noConversion"/>
  </si>
  <si>
    <t>cyan</t>
    <phoneticPr fontId="3" type="noConversion"/>
  </si>
  <si>
    <t>blue</t>
    <phoneticPr fontId="3" type="noConversion"/>
  </si>
  <si>
    <t>purple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</si>
  <si>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</si>
  <si>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</si>
  <si>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</si>
  <si>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</si>
  <si>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</si>
  <si>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</si>
  <si>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</si>
  <si>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红-red</t>
    <phoneticPr fontId="3" type="noConversion"/>
  </si>
  <si>
    <t>橙-orange</t>
    <phoneticPr fontId="3" type="noConversion"/>
  </si>
  <si>
    <t>黄-yellow</t>
    <phoneticPr fontId="3" type="noConversion"/>
  </si>
  <si>
    <t>绿-green</t>
    <phoneticPr fontId="3" type="noConversion"/>
  </si>
  <si>
    <t>青-cyan</t>
    <phoneticPr fontId="3" type="noConversion"/>
  </si>
  <si>
    <t>蓝-blue</t>
    <phoneticPr fontId="3" type="noConversion"/>
  </si>
  <si>
    <t>紫-purple</t>
    <phoneticPr fontId="3" type="noConversion"/>
  </si>
  <si>
    <t>红,red,橙12,orange,黄14,yellow,绿,green,青,cyan,蓝,blue,紫,purple,</t>
    <phoneticPr fontId="3" type="noConversion"/>
  </si>
  <si>
    <t>q</t>
    <phoneticPr fontId="3" type="noConversion"/>
  </si>
  <si>
    <t>v</t>
    <phoneticPr fontId="3" type="noConversion"/>
  </si>
  <si>
    <t>￥</t>
    <phoneticPr fontId="3" type="noConversion"/>
  </si>
  <si>
    <t>,</t>
    <phoneticPr fontId="3" type="noConversion"/>
  </si>
  <si>
    <t>.</t>
    <phoneticPr fontId="3" type="noConversion"/>
  </si>
  <si>
    <t>，</t>
    <phoneticPr fontId="3" type="noConversion"/>
  </si>
  <si>
    <t>。</t>
    <phoneticPr fontId="3" type="noConversion"/>
  </si>
  <si>
    <t>《</t>
    <phoneticPr fontId="3" type="noConversion"/>
  </si>
  <si>
    <t>！</t>
    <phoneticPr fontId="3" type="noConversion"/>
  </si>
  <si>
    <t>—</t>
    <phoneticPr fontId="3" type="noConversion"/>
  </si>
  <si>
    <t>……</t>
    <phoneticPr fontId="3" type="noConversion"/>
  </si>
  <si>
    <t>%</t>
    <phoneticPr fontId="3" type="noConversion"/>
  </si>
  <si>
    <t>）</t>
    <phoneticPr fontId="3" type="noConversion"/>
  </si>
  <si>
    <t>z</t>
    <phoneticPr fontId="3" type="noConversion"/>
  </si>
  <si>
    <t>A</t>
    <phoneticPr fontId="3" type="noConversion"/>
  </si>
  <si>
    <t>Z</t>
    <phoneticPr fontId="3" type="noConversion"/>
  </si>
  <si>
    <t>一</t>
    <phoneticPr fontId="3" type="noConversion"/>
  </si>
  <si>
    <t>vba.asc</t>
    <phoneticPr fontId="3" type="noConversion"/>
  </si>
  <si>
    <t>F</t>
    <phoneticPr fontId="3" type="noConversion"/>
  </si>
  <si>
    <t>文本</t>
    <phoneticPr fontId="3" type="noConversion"/>
  </si>
  <si>
    <t>提取数字</t>
    <phoneticPr fontId="3" type="noConversion"/>
  </si>
  <si>
    <t>提取英文</t>
    <phoneticPr fontId="3" type="noConversion"/>
  </si>
  <si>
    <t>提取中文</t>
    <phoneticPr fontId="3" type="noConversion"/>
  </si>
  <si>
    <t>1红-red1色</t>
  </si>
  <si>
    <t>2橙-orange2色</t>
  </si>
  <si>
    <t>3黄-yellow3色</t>
  </si>
  <si>
    <t>4绿-green4色</t>
  </si>
  <si>
    <t>5青-cyan5色</t>
  </si>
  <si>
    <t>6蓝-blue6色</t>
  </si>
  <si>
    <t>7紫-purple7色</t>
  </si>
  <si>
    <t>红色</t>
  </si>
  <si>
    <t>橙色</t>
  </si>
  <si>
    <t>黄色</t>
  </si>
  <si>
    <t>绿色</t>
  </si>
  <si>
    <t>青色</t>
  </si>
  <si>
    <t>蓝色</t>
  </si>
  <si>
    <t>紫色</t>
  </si>
  <si>
    <t>→</t>
    <phoneticPr fontId="3" type="noConversion"/>
  </si>
  <si>
    <t>龥</t>
    <phoneticPr fontId="3" type="noConversion"/>
  </si>
  <si>
    <t>7A</t>
    <phoneticPr fontId="3" type="noConversion"/>
  </si>
  <si>
    <t>5A</t>
    <phoneticPr fontId="3" type="noConversion"/>
  </si>
  <si>
    <t>2C</t>
    <phoneticPr fontId="3" type="noConversion"/>
  </si>
  <si>
    <t>2E</t>
    <phoneticPr fontId="3" type="noConversion"/>
  </si>
  <si>
    <t>FFFFA3AC</t>
    <phoneticPr fontId="3" type="noConversion"/>
  </si>
  <si>
    <t>FFFFA1A3</t>
    <phoneticPr fontId="3" type="noConversion"/>
  </si>
  <si>
    <t>FFFFA1B6</t>
    <phoneticPr fontId="3" type="noConversion"/>
  </si>
  <si>
    <t>FFFFA3A1</t>
    <phoneticPr fontId="3" type="noConversion"/>
  </si>
  <si>
    <t>FFFFA1AA</t>
    <phoneticPr fontId="3" type="noConversion"/>
  </si>
  <si>
    <t>FFFFA1AD</t>
    <phoneticPr fontId="3" type="noConversion"/>
  </si>
  <si>
    <t>FFFFA3A9</t>
    <phoneticPr fontId="3" type="noConversion"/>
  </si>
  <si>
    <t>FFFFD2BB</t>
    <phoneticPr fontId="3" type="noConversion"/>
  </si>
  <si>
    <t>FFFFFD9B</t>
    <phoneticPr fontId="3" type="noConversion"/>
  </si>
  <si>
    <t>字符</t>
    <phoneticPr fontId="3" type="noConversion"/>
  </si>
  <si>
    <t>vba.hex</t>
    <phoneticPr fontId="3" type="noConversion"/>
  </si>
  <si>
    <t>ab</t>
    <phoneticPr fontId="3" type="noConversion"/>
  </si>
  <si>
    <t>2橙-orange-12色</t>
    <phoneticPr fontId="3" type="noConversion"/>
  </si>
  <si>
    <t>StringType</t>
    <phoneticPr fontId="3" type="noConversion"/>
  </si>
  <si>
    <t>提取文字，B1输入公式=sep("[一-龥]",$A2)</t>
    <phoneticPr fontId="3" type="noConversion"/>
  </si>
  <si>
    <t>提取字母，C1输入公式=sep("[a-zA-Z]",$A2)</t>
    <phoneticPr fontId="3" type="noConversion"/>
  </si>
  <si>
    <t>提取数字，D1输入公式=sep("\d",$A2)</t>
    <phoneticPr fontId="3" type="noConversion"/>
  </si>
  <si>
    <t>提取符号，E1输入公式=sep("[^a-zA-Z0-9\u4e00-\u9fff\+]",$A2)</t>
    <phoneticPr fontId="3" type="noConversion"/>
  </si>
  <si>
    <t>7紫-purple1.7色</t>
    <phoneticPr fontId="3" type="noConversion"/>
  </si>
  <si>
    <t>-.</t>
  </si>
  <si>
    <t>2-12</t>
  </si>
  <si>
    <t>--</t>
  </si>
  <si>
    <t>33</t>
  </si>
  <si>
    <t>-</t>
  </si>
  <si>
    <t>44</t>
  </si>
  <si>
    <t>55</t>
  </si>
  <si>
    <t>66</t>
  </si>
  <si>
    <t>71.7</t>
  </si>
  <si>
    <t>1红-red1.1色。</t>
    <phoneticPr fontId="3" type="noConversion"/>
  </si>
  <si>
    <t>其它字符</t>
    <phoneticPr fontId="3" type="noConversion"/>
  </si>
  <si>
    <t>1红-red331.144色</t>
    <phoneticPr fontId="3" type="noConversion"/>
  </si>
  <si>
    <t>7紫-purple61.7222色</t>
    <phoneticPr fontId="3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</si>
</sst>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4"/>
      <color rgb="FFFF00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</cellStyleXfs>
  <cellXfs count="16">
    <xf numFmtId="0" fontId="0" fillId="0" borderId="0" xfId="0">
      <alignment vertical="center"/>
    </xf>
    <xf numFmtId="0" fontId="7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7" fillId="2" borderId="2" xfId="0" applyFont="1" applyFill="1" applyBorder="1">
      <alignment vertical="center"/>
    </xf>
    <xf numFmtId="0" fontId="0" fillId="0" borderId="2" xfId="0" applyBorder="1">
      <alignment vertical="center"/>
    </xf>
    <xf numFmtId="0" fontId="8" fillId="0" borderId="2" xfId="0" applyFont="1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8" fillId="0" borderId="2" xfId="0" applyFont="1" applyBorder="1" applyAlignment="1">
      <alignment vertical="center"/>
    </xf>
  </cellXfs>
  <cellStyles count="12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样式 1" xfId="2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J8"/>
  <sheetViews>
    <sheetView showGridLines="0" tabSelected="1" workbookViewId="0">
      <pane ySplit="1" topLeftCell="A2" activePane="bottomLeft" state="frozen"/>
      <selection pane="bottomLeft" activeCell="N6" sqref="N6"/>
    </sheetView>
  </sheetViews>
  <sheetFormatPr defaultRowHeight="25.2" customHeight="1"/>
  <cols>
    <col min="1" max="1" width="18.33203125" style="12" bestFit="1" customWidth="1"/>
    <col min="2" max="2" width="10" style="12" bestFit="1" customWidth="1"/>
    <col min="3" max="5" width="6.44140625" style="12" bestFit="1" customWidth="1"/>
    <col min="6" max="6" width="2.109375" style="12" customWidth="1"/>
    <col min="7" max="10" width="5.109375" style="12" bestFit="1" customWidth="1"/>
    <col min="11" max="16384" width="8.88671875" style="12"/>
  </cols>
  <sheetData>
    <row r="1" spans="1:10" ht="25.2" customHeight="1">
      <c r="A1" s="10" t="s">
        <v>58</v>
      </c>
      <c r="B1" s="10" t="s">
        <v>59</v>
      </c>
      <c r="C1" s="10" t="s">
        <v>60</v>
      </c>
      <c r="D1" s="10" t="s">
        <v>61</v>
      </c>
      <c r="E1" s="10" t="s">
        <v>111</v>
      </c>
      <c r="F1" s="11"/>
      <c r="G1" s="10" t="s">
        <v>59</v>
      </c>
      <c r="H1" s="10" t="s">
        <v>61</v>
      </c>
      <c r="I1" s="10" t="s">
        <v>60</v>
      </c>
      <c r="J1" s="10" t="s">
        <v>111</v>
      </c>
    </row>
    <row r="2" spans="1:10" ht="25.2" customHeight="1">
      <c r="A2" s="13" t="s">
        <v>112</v>
      </c>
      <c r="B2" s="13" t="str">
        <f>sep($A2,0)</f>
        <v>1331.144</v>
      </c>
      <c r="C2" s="13" t="str">
        <f>sep($A2,1)</f>
        <v>红色</v>
      </c>
      <c r="D2" s="13" t="str">
        <f>sep($A2,2)</f>
        <v>red</v>
      </c>
      <c r="E2" s="13" t="str">
        <f>sep($A2,3)</f>
        <v>-.</v>
      </c>
      <c r="F2" s="14"/>
      <c r="G2" s="13">
        <v>11.1</v>
      </c>
      <c r="H2" s="13" t="s">
        <v>69</v>
      </c>
      <c r="I2" s="13" t="s">
        <v>4</v>
      </c>
      <c r="J2" s="13" t="s">
        <v>101</v>
      </c>
    </row>
    <row r="3" spans="1:10" ht="25.2" customHeight="1">
      <c r="A3" s="13" t="s">
        <v>94</v>
      </c>
      <c r="B3" s="13" t="str">
        <f t="shared" ref="B3:B8" si="0">sep($A3,0)</f>
        <v>2-12</v>
      </c>
      <c r="C3" s="13" t="str">
        <f t="shared" ref="C3:C8" si="1">sep($A3,1)</f>
        <v>橙色</v>
      </c>
      <c r="D3" s="13" t="str">
        <f t="shared" ref="D3:D8" si="2">sep($A3,2)</f>
        <v>orange</v>
      </c>
      <c r="E3" s="13" t="str">
        <f t="shared" ref="E3:E8" si="3">sep($A3,3)</f>
        <v>--</v>
      </c>
      <c r="F3" s="14"/>
      <c r="G3" s="13" t="s">
        <v>102</v>
      </c>
      <c r="H3" s="13" t="s">
        <v>70</v>
      </c>
      <c r="I3" s="13" t="s">
        <v>6</v>
      </c>
      <c r="J3" s="13" t="s">
        <v>103</v>
      </c>
    </row>
    <row r="4" spans="1:10" ht="25.2" customHeight="1">
      <c r="A4" s="13" t="s">
        <v>64</v>
      </c>
      <c r="B4" s="13" t="str">
        <f t="shared" si="0"/>
        <v>33</v>
      </c>
      <c r="C4" s="13" t="str">
        <f t="shared" si="1"/>
        <v>黄色</v>
      </c>
      <c r="D4" s="13" t="str">
        <f t="shared" si="2"/>
        <v>yellow</v>
      </c>
      <c r="E4" s="13" t="str">
        <f t="shared" si="3"/>
        <v>-</v>
      </c>
      <c r="F4" s="15" t="s">
        <v>76</v>
      </c>
      <c r="G4" s="13" t="s">
        <v>104</v>
      </c>
      <c r="H4" s="13" t="s">
        <v>71</v>
      </c>
      <c r="I4" s="13" t="s">
        <v>8</v>
      </c>
      <c r="J4" s="13" t="s">
        <v>105</v>
      </c>
    </row>
    <row r="5" spans="1:10" ht="25.2" customHeight="1">
      <c r="A5" s="13" t="s">
        <v>65</v>
      </c>
      <c r="B5" s="13" t="str">
        <f t="shared" si="0"/>
        <v>44</v>
      </c>
      <c r="C5" s="13" t="str">
        <f t="shared" si="1"/>
        <v>绿色</v>
      </c>
      <c r="D5" s="13" t="str">
        <f t="shared" si="2"/>
        <v>green</v>
      </c>
      <c r="E5" s="13" t="str">
        <f t="shared" si="3"/>
        <v>-</v>
      </c>
      <c r="F5" s="14"/>
      <c r="G5" s="13" t="s">
        <v>106</v>
      </c>
      <c r="H5" s="13" t="s">
        <v>72</v>
      </c>
      <c r="I5" s="13" t="s">
        <v>10</v>
      </c>
      <c r="J5" s="13" t="s">
        <v>105</v>
      </c>
    </row>
    <row r="6" spans="1:10" ht="25.2" customHeight="1">
      <c r="A6" s="13" t="s">
        <v>66</v>
      </c>
      <c r="B6" s="13" t="str">
        <f t="shared" si="0"/>
        <v>55</v>
      </c>
      <c r="C6" s="13" t="str">
        <f t="shared" si="1"/>
        <v>青色</v>
      </c>
      <c r="D6" s="13" t="str">
        <f t="shared" si="2"/>
        <v>cyan</v>
      </c>
      <c r="E6" s="13" t="str">
        <f t="shared" si="3"/>
        <v>-</v>
      </c>
      <c r="F6" s="14"/>
      <c r="G6" s="13" t="s">
        <v>107</v>
      </c>
      <c r="H6" s="13" t="s">
        <v>73</v>
      </c>
      <c r="I6" s="13" t="s">
        <v>12</v>
      </c>
      <c r="J6" s="13" t="s">
        <v>105</v>
      </c>
    </row>
    <row r="7" spans="1:10" ht="25.2" customHeight="1">
      <c r="A7" s="13" t="s">
        <v>67</v>
      </c>
      <c r="B7" s="13" t="str">
        <f t="shared" si="0"/>
        <v>66</v>
      </c>
      <c r="C7" s="13" t="str">
        <f t="shared" si="1"/>
        <v>蓝色</v>
      </c>
      <c r="D7" s="13" t="str">
        <f t="shared" si="2"/>
        <v>blue</v>
      </c>
      <c r="E7" s="13" t="str">
        <f t="shared" si="3"/>
        <v>-</v>
      </c>
      <c r="F7" s="14"/>
      <c r="G7" s="13" t="s">
        <v>108</v>
      </c>
      <c r="H7" s="13" t="s">
        <v>74</v>
      </c>
      <c r="I7" s="13" t="s">
        <v>14</v>
      </c>
      <c r="J7" s="13" t="s">
        <v>105</v>
      </c>
    </row>
    <row r="8" spans="1:10" ht="25.2" customHeight="1">
      <c r="A8" s="13" t="s">
        <v>113</v>
      </c>
      <c r="B8" s="13" t="str">
        <f>sep($A8,0)</f>
        <v>761.7222</v>
      </c>
      <c r="C8" s="13" t="str">
        <f t="shared" si="1"/>
        <v>紫色</v>
      </c>
      <c r="D8" s="13" t="str">
        <f t="shared" si="2"/>
        <v>purple</v>
      </c>
      <c r="E8" s="13" t="str">
        <f t="shared" si="3"/>
        <v>-.</v>
      </c>
      <c r="F8" s="14"/>
      <c r="G8" s="13" t="s">
        <v>109</v>
      </c>
      <c r="H8" s="13" t="s">
        <v>75</v>
      </c>
      <c r="I8" s="13" t="s">
        <v>16</v>
      </c>
      <c r="J8" s="13" t="s">
        <v>101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4"/>
  <sheetViews>
    <sheetView workbookViewId="0">
      <selection activeCell="B10" sqref="B10"/>
    </sheetView>
  </sheetViews>
  <sheetFormatPr defaultRowHeight="14.4"/>
  <cols>
    <col min="1" max="1" width="22" customWidth="1"/>
    <col min="2" max="2" width="3" customWidth="1"/>
    <col min="4" max="4" width="22" customWidth="1"/>
    <col min="5" max="5" width="3" customWidth="1"/>
  </cols>
  <sheetData>
    <row r="1" spans="1:1">
      <c r="A1" t="s">
        <v>2</v>
      </c>
    </row>
    <row r="2" spans="1:1">
      <c r="A2" t="s">
        <v>0</v>
      </c>
    </row>
    <row r="3" spans="1:1">
      <c r="A3" t="s">
        <v>1</v>
      </c>
    </row>
    <row r="4" spans="1:1">
      <c r="A4" t="s"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21"/>
  <sheetViews>
    <sheetView workbookViewId="0">
      <selection activeCell="D1" sqref="D1:D7"/>
    </sheetView>
  </sheetViews>
  <sheetFormatPr defaultRowHeight="14.4"/>
  <cols>
    <col min="1" max="1" width="73.109375" bestFit="1" customWidth="1"/>
    <col min="2" max="2" width="7.5546875" bestFit="1" customWidth="1"/>
    <col min="4" max="4" width="18.44140625" customWidth="1"/>
  </cols>
  <sheetData>
    <row r="1" spans="1:9">
      <c r="A1" t="s">
        <v>3</v>
      </c>
      <c r="B1" t="s">
        <v>4</v>
      </c>
      <c r="D1" t="s">
        <v>31</v>
      </c>
      <c r="E1" t="s">
        <v>17</v>
      </c>
      <c r="H1" t="s">
        <v>24</v>
      </c>
      <c r="I1" t="s">
        <v>17</v>
      </c>
    </row>
    <row r="2" spans="1:9">
      <c r="A2" t="s">
        <v>5</v>
      </c>
      <c r="B2" t="s">
        <v>6</v>
      </c>
      <c r="D2" t="s">
        <v>32</v>
      </c>
      <c r="E2" t="s">
        <v>18</v>
      </c>
      <c r="H2" t="s">
        <v>25</v>
      </c>
      <c r="I2" t="s">
        <v>18</v>
      </c>
    </row>
    <row r="3" spans="1:9">
      <c r="A3" t="s">
        <v>7</v>
      </c>
      <c r="B3" t="s">
        <v>8</v>
      </c>
      <c r="D3" t="s">
        <v>33</v>
      </c>
      <c r="E3" t="s">
        <v>19</v>
      </c>
      <c r="H3" t="s">
        <v>26</v>
      </c>
      <c r="I3" t="s">
        <v>19</v>
      </c>
    </row>
    <row r="4" spans="1:9">
      <c r="A4" t="s">
        <v>9</v>
      </c>
      <c r="B4" t="s">
        <v>10</v>
      </c>
      <c r="D4" t="s">
        <v>34</v>
      </c>
      <c r="E4" t="s">
        <v>20</v>
      </c>
      <c r="H4" t="s">
        <v>27</v>
      </c>
      <c r="I4" t="s">
        <v>20</v>
      </c>
    </row>
    <row r="5" spans="1:9">
      <c r="A5" t="s">
        <v>11</v>
      </c>
      <c r="B5" t="s">
        <v>12</v>
      </c>
      <c r="D5" t="s">
        <v>35</v>
      </c>
      <c r="E5" t="s">
        <v>21</v>
      </c>
      <c r="H5" t="s">
        <v>28</v>
      </c>
      <c r="I5" t="s">
        <v>21</v>
      </c>
    </row>
    <row r="6" spans="1:9">
      <c r="A6" t="s">
        <v>13</v>
      </c>
      <c r="B6" t="s">
        <v>14</v>
      </c>
      <c r="D6" t="s">
        <v>36</v>
      </c>
      <c r="E6" t="s">
        <v>22</v>
      </c>
      <c r="H6" t="s">
        <v>29</v>
      </c>
      <c r="I6" t="s">
        <v>22</v>
      </c>
    </row>
    <row r="7" spans="1:9">
      <c r="A7" t="s">
        <v>15</v>
      </c>
      <c r="B7" t="s">
        <v>16</v>
      </c>
      <c r="D7" t="s">
        <v>37</v>
      </c>
      <c r="E7" t="s">
        <v>23</v>
      </c>
      <c r="H7" t="s">
        <v>30</v>
      </c>
      <c r="I7" t="s">
        <v>23</v>
      </c>
    </row>
    <row r="11" spans="1:9">
      <c r="A11" t="s">
        <v>38</v>
      </c>
      <c r="B11" t="e">
        <f ca="1">myget2(A11,1,4)</f>
        <v>#NAME?</v>
      </c>
      <c r="I11" t="e">
        <f ca="1">myget2(A11,2)</f>
        <v>#NAME?</v>
      </c>
    </row>
    <row r="15" spans="1:9">
      <c r="A15" t="s">
        <v>41</v>
      </c>
      <c r="E15" t="str">
        <f>ASC(A15)</f>
        <v>￥</v>
      </c>
    </row>
    <row r="16" spans="1:9">
      <c r="A16">
        <v>1</v>
      </c>
      <c r="E16" t="str">
        <f t="shared" ref="E16:E21" si="0">ASC(A16)</f>
        <v>1</v>
      </c>
    </row>
    <row r="17" spans="1:5">
      <c r="A17">
        <v>2</v>
      </c>
      <c r="E17" t="str">
        <f t="shared" si="0"/>
        <v>2</v>
      </c>
    </row>
    <row r="18" spans="1:5">
      <c r="A18" t="s">
        <v>39</v>
      </c>
      <c r="E18" t="str">
        <f t="shared" si="0"/>
        <v>q</v>
      </c>
    </row>
    <row r="19" spans="1:5">
      <c r="A19" t="s">
        <v>40</v>
      </c>
      <c r="E19" t="str">
        <f t="shared" si="0"/>
        <v>v</v>
      </c>
    </row>
    <row r="20" spans="1:5">
      <c r="A20" t="s">
        <v>13</v>
      </c>
      <c r="E20" t="str">
        <f t="shared" si="0"/>
        <v>蓝</v>
      </c>
    </row>
    <row r="21" spans="1:5">
      <c r="A21" t="s">
        <v>15</v>
      </c>
      <c r="E21" t="str">
        <f t="shared" si="0"/>
        <v>紫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21"/>
  <sheetViews>
    <sheetView showGridLines="0" workbookViewId="0">
      <pane ySplit="1" topLeftCell="A2" activePane="bottomLeft" state="frozen"/>
      <selection pane="bottomLeft" activeCell="C21" sqref="A1:C21"/>
    </sheetView>
  </sheetViews>
  <sheetFormatPr defaultRowHeight="18.600000000000001" customHeight="1"/>
  <cols>
    <col min="1" max="2" width="8.88671875" style="8"/>
    <col min="3" max="3" width="66.6640625" style="8" customWidth="1"/>
    <col min="4" max="6" width="8.88671875" style="8"/>
    <col min="7" max="7" width="12.77734375" style="8" customWidth="1"/>
    <col min="8" max="16384" width="8.88671875" style="8"/>
  </cols>
  <sheetData>
    <row r="1" spans="1:10" ht="18.600000000000001" customHeight="1">
      <c r="A1" s="6" t="s">
        <v>91</v>
      </c>
      <c r="B1" s="6" t="s">
        <v>56</v>
      </c>
      <c r="C1" s="6"/>
      <c r="D1" s="6"/>
      <c r="E1" s="6"/>
      <c r="F1" s="6"/>
      <c r="G1" s="6" t="s">
        <v>92</v>
      </c>
      <c r="H1" s="7"/>
    </row>
    <row r="2" spans="1:10" ht="18.600000000000001" customHeight="1">
      <c r="A2" s="7" t="s">
        <v>93</v>
      </c>
      <c r="B2" s="7">
        <v>97</v>
      </c>
      <c r="C2" s="7"/>
      <c r="D2" s="7"/>
      <c r="E2" s="7"/>
      <c r="F2" s="7"/>
      <c r="G2" s="7">
        <v>61</v>
      </c>
      <c r="H2" s="7">
        <v>54</v>
      </c>
      <c r="I2" s="8" t="str">
        <f>ASC(B2)</f>
        <v>97</v>
      </c>
      <c r="J2" s="8" t="e">
        <f ca="1">_xludf.dbcs(A2)</f>
        <v>#NAME?</v>
      </c>
    </row>
    <row r="3" spans="1:10" ht="18.600000000000001" customHeight="1">
      <c r="A3" s="7" t="s">
        <v>52</v>
      </c>
      <c r="B3" s="7">
        <v>122</v>
      </c>
      <c r="C3" s="7"/>
      <c r="D3" s="7"/>
      <c r="E3" s="7"/>
      <c r="F3" s="7"/>
      <c r="G3" s="7" t="s">
        <v>78</v>
      </c>
      <c r="H3" s="7">
        <v>55</v>
      </c>
      <c r="I3" s="8" t="str">
        <f t="shared" ref="I3:I18" si="0">ASC(B3)</f>
        <v>122</v>
      </c>
      <c r="J3" s="8" t="e">
        <f t="shared" ref="J3:J21" ca="1" si="1">_xludf.dbcs(A3)</f>
        <v>#NAME?</v>
      </c>
    </row>
    <row r="4" spans="1:10" ht="18.600000000000001" customHeight="1">
      <c r="A4" s="7" t="s">
        <v>53</v>
      </c>
      <c r="B4" s="7">
        <v>65</v>
      </c>
      <c r="C4" s="7"/>
      <c r="D4" s="7"/>
      <c r="E4" s="7"/>
      <c r="F4" s="7"/>
      <c r="G4" s="7">
        <v>41</v>
      </c>
      <c r="H4" s="7">
        <v>52</v>
      </c>
      <c r="I4" s="8" t="str">
        <f t="shared" si="0"/>
        <v>65</v>
      </c>
      <c r="J4" s="8" t="e">
        <f t="shared" ca="1" si="1"/>
        <v>#NAME?</v>
      </c>
    </row>
    <row r="5" spans="1:10" ht="18.600000000000001" customHeight="1">
      <c r="A5" s="7" t="s">
        <v>54</v>
      </c>
      <c r="B5" s="7">
        <v>90</v>
      </c>
      <c r="C5" s="7"/>
      <c r="D5" s="7"/>
      <c r="E5" s="7"/>
      <c r="F5" s="7"/>
      <c r="G5" s="7" t="s">
        <v>79</v>
      </c>
      <c r="H5" s="7">
        <v>53</v>
      </c>
      <c r="I5" s="8" t="str">
        <f t="shared" si="0"/>
        <v>90</v>
      </c>
      <c r="J5" s="8" t="e">
        <f t="shared" ca="1" si="1"/>
        <v>#NAME?</v>
      </c>
    </row>
    <row r="6" spans="1:10" ht="18.600000000000001" customHeight="1">
      <c r="A6" s="7" t="s">
        <v>57</v>
      </c>
      <c r="B6" s="7">
        <v>70</v>
      </c>
      <c r="C6" s="7"/>
      <c r="D6" s="7"/>
      <c r="E6" s="7"/>
      <c r="F6" s="7"/>
      <c r="G6" s="7">
        <v>46</v>
      </c>
      <c r="H6" s="7">
        <v>52</v>
      </c>
      <c r="I6" s="8" t="str">
        <f t="shared" si="0"/>
        <v>70</v>
      </c>
      <c r="J6" s="8" t="e">
        <f t="shared" ca="1" si="1"/>
        <v>#NAME?</v>
      </c>
    </row>
    <row r="7" spans="1:10" ht="18.600000000000001" customHeight="1">
      <c r="A7" s="7">
        <v>0</v>
      </c>
      <c r="B7" s="7">
        <v>48</v>
      </c>
      <c r="C7" s="7"/>
      <c r="D7" s="7"/>
      <c r="E7" s="7"/>
      <c r="F7" s="7"/>
      <c r="G7" s="7">
        <v>30</v>
      </c>
      <c r="H7" s="7">
        <v>51</v>
      </c>
      <c r="I7" s="8" t="str">
        <f t="shared" si="0"/>
        <v>48</v>
      </c>
      <c r="J7" s="8" t="e">
        <f t="shared" ca="1" si="1"/>
        <v>#NAME?</v>
      </c>
    </row>
    <row r="8" spans="1:10" ht="18.600000000000001" customHeight="1">
      <c r="A8" s="7">
        <v>1</v>
      </c>
      <c r="B8" s="7">
        <v>49</v>
      </c>
      <c r="C8" s="7"/>
      <c r="D8" s="7"/>
      <c r="E8" s="7"/>
      <c r="F8" s="7"/>
      <c r="G8" s="7">
        <v>31</v>
      </c>
      <c r="H8" s="7">
        <v>51</v>
      </c>
      <c r="I8" s="8" t="str">
        <f t="shared" si="0"/>
        <v>49</v>
      </c>
      <c r="J8" s="8" t="e">
        <f t="shared" ca="1" si="1"/>
        <v>#NAME?</v>
      </c>
    </row>
    <row r="9" spans="1:10" ht="18.600000000000001" customHeight="1">
      <c r="A9" s="7">
        <v>9</v>
      </c>
      <c r="B9" s="7">
        <v>57</v>
      </c>
      <c r="C9" s="7"/>
      <c r="D9" s="7"/>
      <c r="E9" s="7"/>
      <c r="F9" s="7"/>
      <c r="G9" s="7">
        <v>39</v>
      </c>
      <c r="H9" s="7">
        <v>51</v>
      </c>
      <c r="I9" s="8" t="str">
        <f t="shared" si="0"/>
        <v>57</v>
      </c>
      <c r="J9" s="8" t="e">
        <f t="shared" ca="1" si="1"/>
        <v>#NAME?</v>
      </c>
    </row>
    <row r="10" spans="1:10" ht="18.600000000000001" customHeight="1">
      <c r="A10" s="7" t="s">
        <v>42</v>
      </c>
      <c r="B10" s="7">
        <v>44</v>
      </c>
      <c r="C10" s="7"/>
      <c r="D10" s="7"/>
      <c r="E10" s="7"/>
      <c r="F10" s="7"/>
      <c r="G10" s="7" t="s">
        <v>80</v>
      </c>
      <c r="H10" s="7">
        <v>50</v>
      </c>
      <c r="I10" s="8" t="str">
        <f t="shared" si="0"/>
        <v>44</v>
      </c>
      <c r="J10" s="8" t="e">
        <f t="shared" ca="1" si="1"/>
        <v>#NAME?</v>
      </c>
    </row>
    <row r="11" spans="1:10" ht="18.600000000000001" customHeight="1">
      <c r="A11" s="7" t="s">
        <v>43</v>
      </c>
      <c r="B11" s="7">
        <v>46</v>
      </c>
      <c r="C11" s="7"/>
      <c r="D11" s="7"/>
      <c r="E11" s="7"/>
      <c r="F11" s="7"/>
      <c r="G11" s="7" t="s">
        <v>81</v>
      </c>
      <c r="H11" s="7">
        <v>50</v>
      </c>
      <c r="I11" s="8" t="str">
        <f t="shared" si="0"/>
        <v>46</v>
      </c>
      <c r="J11" s="8" t="e">
        <f t="shared" ca="1" si="1"/>
        <v>#NAME?</v>
      </c>
    </row>
    <row r="12" spans="1:10" ht="18.600000000000001" customHeight="1">
      <c r="A12" s="7" t="s">
        <v>50</v>
      </c>
      <c r="B12" s="7">
        <v>37</v>
      </c>
      <c r="C12" s="7"/>
      <c r="D12" s="7"/>
      <c r="E12" s="7"/>
      <c r="F12" s="7"/>
      <c r="G12" s="7">
        <v>25</v>
      </c>
      <c r="H12" s="7">
        <v>50</v>
      </c>
      <c r="I12" s="8" t="str">
        <f t="shared" si="0"/>
        <v>37</v>
      </c>
      <c r="J12" s="8" t="e">
        <f t="shared" ca="1" si="1"/>
        <v>#NAME?</v>
      </c>
    </row>
    <row r="13" spans="1:10" ht="18.600000000000001" customHeight="1">
      <c r="A13" s="7" t="s">
        <v>44</v>
      </c>
      <c r="B13" s="7">
        <v>-23636</v>
      </c>
      <c r="C13" s="7"/>
      <c r="D13" s="7"/>
      <c r="E13" s="7"/>
      <c r="F13" s="7"/>
      <c r="G13" s="7" t="s">
        <v>82</v>
      </c>
      <c r="H13" s="7">
        <v>70</v>
      </c>
      <c r="I13" s="8" t="str">
        <f t="shared" si="0"/>
        <v>-23636</v>
      </c>
      <c r="J13" s="8" t="e">
        <f t="shared" ca="1" si="1"/>
        <v>#NAME?</v>
      </c>
    </row>
    <row r="14" spans="1:10" ht="18.600000000000001" customHeight="1">
      <c r="A14" s="7" t="s">
        <v>45</v>
      </c>
      <c r="B14" s="7">
        <v>-24157</v>
      </c>
      <c r="C14" s="7"/>
      <c r="D14" s="7"/>
      <c r="E14" s="7"/>
      <c r="F14" s="7"/>
      <c r="G14" s="7" t="s">
        <v>83</v>
      </c>
      <c r="H14" s="7">
        <v>70</v>
      </c>
      <c r="I14" s="8" t="str">
        <f>ASC(B14)</f>
        <v>-24157</v>
      </c>
      <c r="J14" s="8" t="e">
        <f t="shared" ca="1" si="1"/>
        <v>#NAME?</v>
      </c>
    </row>
    <row r="15" spans="1:10" ht="18.600000000000001" customHeight="1">
      <c r="A15" s="7" t="s">
        <v>46</v>
      </c>
      <c r="B15" s="7">
        <v>-24138</v>
      </c>
      <c r="C15" s="7"/>
      <c r="D15" s="7"/>
      <c r="E15" s="7"/>
      <c r="F15" s="7"/>
      <c r="G15" s="7" t="s">
        <v>84</v>
      </c>
      <c r="H15" s="7">
        <v>70</v>
      </c>
      <c r="I15" s="8" t="str">
        <f t="shared" si="0"/>
        <v>-24138</v>
      </c>
      <c r="J15" s="8" t="e">
        <f t="shared" ca="1" si="1"/>
        <v>#NAME?</v>
      </c>
    </row>
    <row r="16" spans="1:10" ht="18.600000000000001" customHeight="1">
      <c r="A16" s="7" t="s">
        <v>47</v>
      </c>
      <c r="B16" s="7">
        <v>-23647</v>
      </c>
      <c r="C16" s="7"/>
      <c r="D16" s="7"/>
      <c r="E16" s="7"/>
      <c r="F16" s="7"/>
      <c r="G16" s="7" t="s">
        <v>85</v>
      </c>
      <c r="H16" s="7">
        <v>70</v>
      </c>
      <c r="I16" s="8" t="str">
        <f t="shared" si="0"/>
        <v>-23647</v>
      </c>
      <c r="J16" s="8" t="e">
        <f t="shared" ca="1" si="1"/>
        <v>#NAME?</v>
      </c>
    </row>
    <row r="17" spans="1:10" ht="18.600000000000001" customHeight="1">
      <c r="A17" s="7" t="s">
        <v>48</v>
      </c>
      <c r="B17" s="7">
        <v>-24150</v>
      </c>
      <c r="C17" s="7"/>
      <c r="D17" s="7"/>
      <c r="E17" s="7"/>
      <c r="F17" s="7"/>
      <c r="G17" s="7" t="s">
        <v>86</v>
      </c>
      <c r="H17" s="7">
        <v>70</v>
      </c>
      <c r="I17" s="8" t="str">
        <f t="shared" si="0"/>
        <v>-24150</v>
      </c>
      <c r="J17" s="8" t="e">
        <f t="shared" ca="1" si="1"/>
        <v>#NAME?</v>
      </c>
    </row>
    <row r="18" spans="1:10" ht="18.600000000000001" customHeight="1">
      <c r="A18" s="7" t="s">
        <v>49</v>
      </c>
      <c r="B18" s="7">
        <v>-24147</v>
      </c>
      <c r="C18" s="7"/>
      <c r="D18" s="7"/>
      <c r="E18" s="7"/>
      <c r="F18" s="7"/>
      <c r="G18" s="7" t="s">
        <v>87</v>
      </c>
      <c r="H18" s="7">
        <v>70</v>
      </c>
      <c r="I18" s="8" t="str">
        <f t="shared" si="0"/>
        <v>-24147</v>
      </c>
      <c r="J18" s="8" t="e">
        <f t="shared" ca="1" si="1"/>
        <v>#NAME?</v>
      </c>
    </row>
    <row r="19" spans="1:10" ht="18.600000000000001" customHeight="1">
      <c r="A19" s="7" t="s">
        <v>51</v>
      </c>
      <c r="B19" s="7">
        <v>-23639</v>
      </c>
      <c r="C19" s="7"/>
      <c r="D19" s="7"/>
      <c r="E19" s="7"/>
      <c r="F19" s="7"/>
      <c r="G19" s="7" t="s">
        <v>88</v>
      </c>
      <c r="H19" s="7">
        <v>70</v>
      </c>
      <c r="I19" s="8" t="str">
        <f t="shared" ref="I19:I21" si="2">ASC(B19)</f>
        <v>-23639</v>
      </c>
      <c r="J19" s="8" t="e">
        <f t="shared" ca="1" si="1"/>
        <v>#NAME?</v>
      </c>
    </row>
    <row r="20" spans="1:10" ht="18.600000000000001" customHeight="1">
      <c r="A20" s="7" t="s">
        <v>55</v>
      </c>
      <c r="B20" s="7">
        <v>-11589</v>
      </c>
      <c r="C20" s="7"/>
      <c r="D20" s="7"/>
      <c r="E20" s="7"/>
      <c r="F20" s="7"/>
      <c r="G20" s="7" t="s">
        <v>89</v>
      </c>
      <c r="H20" s="7">
        <v>70</v>
      </c>
      <c r="I20" s="8" t="str">
        <f t="shared" si="2"/>
        <v>-11589</v>
      </c>
      <c r="J20" s="8" t="e">
        <f t="shared" ca="1" si="1"/>
        <v>#NAME?</v>
      </c>
    </row>
    <row r="21" spans="1:10" ht="18.600000000000001" customHeight="1">
      <c r="A21" s="7" t="s">
        <v>77</v>
      </c>
      <c r="B21" s="7">
        <v>-613</v>
      </c>
      <c r="C21" s="7"/>
      <c r="D21" s="7"/>
      <c r="E21" s="7"/>
      <c r="F21" s="7"/>
      <c r="G21" s="7" t="s">
        <v>90</v>
      </c>
      <c r="H21" s="7">
        <v>70</v>
      </c>
      <c r="I21" s="8" t="str">
        <f t="shared" si="2"/>
        <v>-613</v>
      </c>
      <c r="J21" s="8" t="e">
        <f t="shared" ca="1" si="1"/>
        <v>#NAME?</v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M17"/>
  <sheetViews>
    <sheetView showGridLines="0" workbookViewId="0">
      <pane ySplit="1" topLeftCell="A2" activePane="bottomLeft" state="frozen"/>
      <selection pane="bottomLeft" activeCell="K3" sqref="K3"/>
    </sheetView>
  </sheetViews>
  <sheetFormatPr defaultRowHeight="17.399999999999999" customHeight="1"/>
  <cols>
    <col min="1" max="1" width="15" bestFit="1" customWidth="1"/>
    <col min="2" max="4" width="10" bestFit="1" customWidth="1"/>
    <col min="5" max="5" width="4.109375" bestFit="1" customWidth="1"/>
    <col min="6" max="6" width="15" bestFit="1" customWidth="1"/>
    <col min="7" max="9" width="10" bestFit="1" customWidth="1"/>
    <col min="10" max="10" width="17.44140625" customWidth="1"/>
  </cols>
  <sheetData>
    <row r="1" spans="1:13" ht="17.399999999999999" customHeight="1">
      <c r="A1" s="1" t="s">
        <v>58</v>
      </c>
      <c r="B1" s="1" t="s">
        <v>59</v>
      </c>
      <c r="C1" s="1" t="s">
        <v>60</v>
      </c>
      <c r="D1" s="1" t="s">
        <v>61</v>
      </c>
      <c r="E1" s="3"/>
      <c r="F1" s="1" t="s">
        <v>58</v>
      </c>
      <c r="G1" s="1" t="s">
        <v>59</v>
      </c>
      <c r="H1" s="1" t="s">
        <v>60</v>
      </c>
      <c r="I1" s="1" t="s">
        <v>61</v>
      </c>
    </row>
    <row r="2" spans="1:13" ht="17.399999999999999" customHeight="1">
      <c r="A2" s="2" t="s">
        <v>110</v>
      </c>
      <c r="B2" s="2">
        <f>septxt(A2,0)</f>
        <v>111</v>
      </c>
      <c r="C2" s="2" t="str">
        <f>septxt(A2,1)</f>
        <v>红色。</v>
      </c>
      <c r="D2" s="2" t="str">
        <f>septxt(A2,2)</f>
        <v>red</v>
      </c>
      <c r="E2" s="4"/>
      <c r="F2" s="2" t="s">
        <v>62</v>
      </c>
      <c r="G2" s="2">
        <v>11</v>
      </c>
      <c r="H2" s="2" t="s">
        <v>69</v>
      </c>
      <c r="I2" s="2" t="s">
        <v>4</v>
      </c>
      <c r="J2" t="str">
        <f>sep($A2,0)</f>
        <v>11.1</v>
      </c>
      <c r="K2" t="str">
        <f>sep($A2,1)</f>
        <v>红色</v>
      </c>
      <c r="L2" t="str">
        <f>sep($A2,2)</f>
        <v>red</v>
      </c>
      <c r="M2" t="str">
        <f>sep($A2,3)</f>
        <v>-.。</v>
      </c>
    </row>
    <row r="3" spans="1:13" ht="17.399999999999999" customHeight="1">
      <c r="A3" s="2" t="s">
        <v>94</v>
      </c>
      <c r="B3" s="2">
        <f t="shared" ref="B3:B8" si="0">septxt(A3,0)</f>
        <v>212</v>
      </c>
      <c r="C3" s="2" t="str">
        <f t="shared" ref="C3:C8" si="1">septxt(A3,1)</f>
        <v>橙色</v>
      </c>
      <c r="D3" s="2" t="str">
        <f t="shared" ref="D3:D8" si="2">septxt(A3,2)</f>
        <v>orange</v>
      </c>
      <c r="E3" s="4"/>
      <c r="F3" s="2" t="s">
        <v>63</v>
      </c>
      <c r="G3" s="2">
        <v>22</v>
      </c>
      <c r="H3" s="2" t="s">
        <v>70</v>
      </c>
      <c r="I3" s="2" t="s">
        <v>6</v>
      </c>
      <c r="J3" t="str">
        <f t="shared" ref="J3:J8" si="3">sep($A3,0)</f>
        <v>2-12</v>
      </c>
      <c r="K3" t="str">
        <f t="shared" ref="K3:K8" si="4">sep($A3,1)</f>
        <v>橙色</v>
      </c>
      <c r="L3" t="str">
        <f t="shared" ref="L3:L8" si="5">sep($A3,2)</f>
        <v>orange</v>
      </c>
      <c r="M3" t="str">
        <f t="shared" ref="M3:M8" si="6">sep($A3,3)</f>
        <v>--</v>
      </c>
    </row>
    <row r="4" spans="1:13" ht="17.399999999999999" customHeight="1">
      <c r="A4" s="2" t="s">
        <v>64</v>
      </c>
      <c r="B4" s="2">
        <f t="shared" si="0"/>
        <v>33</v>
      </c>
      <c r="C4" s="2" t="str">
        <f t="shared" si="1"/>
        <v>黄色</v>
      </c>
      <c r="D4" s="2" t="str">
        <f t="shared" si="2"/>
        <v>yellow</v>
      </c>
      <c r="E4" s="5" t="s">
        <v>76</v>
      </c>
      <c r="F4" s="2" t="s">
        <v>64</v>
      </c>
      <c r="G4" s="2">
        <v>33</v>
      </c>
      <c r="H4" s="2" t="s">
        <v>71</v>
      </c>
      <c r="I4" s="2" t="s">
        <v>8</v>
      </c>
      <c r="J4" t="str">
        <f t="shared" si="3"/>
        <v>33</v>
      </c>
      <c r="K4" t="str">
        <f t="shared" si="4"/>
        <v>黄色</v>
      </c>
      <c r="L4" t="str">
        <f t="shared" si="5"/>
        <v>yellow</v>
      </c>
      <c r="M4" t="str">
        <f t="shared" si="6"/>
        <v>-</v>
      </c>
    </row>
    <row r="5" spans="1:13" ht="17.399999999999999" customHeight="1">
      <c r="A5" s="2" t="s">
        <v>65</v>
      </c>
      <c r="B5" s="2">
        <f t="shared" si="0"/>
        <v>44</v>
      </c>
      <c r="C5" s="2" t="str">
        <f t="shared" si="1"/>
        <v>绿色</v>
      </c>
      <c r="D5" s="2" t="str">
        <f t="shared" si="2"/>
        <v>green</v>
      </c>
      <c r="E5" s="4"/>
      <c r="F5" s="2" t="s">
        <v>65</v>
      </c>
      <c r="G5" s="2">
        <v>44</v>
      </c>
      <c r="H5" s="2" t="s">
        <v>72</v>
      </c>
      <c r="I5" s="2" t="s">
        <v>10</v>
      </c>
      <c r="J5" t="str">
        <f t="shared" si="3"/>
        <v>44</v>
      </c>
      <c r="K5" t="str">
        <f t="shared" si="4"/>
        <v>绿色</v>
      </c>
      <c r="L5" t="str">
        <f t="shared" si="5"/>
        <v>green</v>
      </c>
      <c r="M5" t="str">
        <f t="shared" si="6"/>
        <v>-</v>
      </c>
    </row>
    <row r="6" spans="1:13" ht="17.399999999999999" customHeight="1">
      <c r="A6" s="2" t="s">
        <v>66</v>
      </c>
      <c r="B6" s="2">
        <f t="shared" si="0"/>
        <v>55</v>
      </c>
      <c r="C6" s="2" t="str">
        <f t="shared" si="1"/>
        <v>青色</v>
      </c>
      <c r="D6" s="2" t="str">
        <f t="shared" si="2"/>
        <v>cyan</v>
      </c>
      <c r="E6" s="4"/>
      <c r="F6" s="2" t="s">
        <v>66</v>
      </c>
      <c r="G6" s="2">
        <v>55</v>
      </c>
      <c r="H6" s="2" t="s">
        <v>73</v>
      </c>
      <c r="I6" s="2" t="s">
        <v>12</v>
      </c>
      <c r="J6" t="str">
        <f t="shared" si="3"/>
        <v>55</v>
      </c>
      <c r="K6" t="str">
        <f t="shared" si="4"/>
        <v>青色</v>
      </c>
      <c r="L6" t="str">
        <f t="shared" si="5"/>
        <v>cyan</v>
      </c>
      <c r="M6" t="str">
        <f t="shared" si="6"/>
        <v>-</v>
      </c>
    </row>
    <row r="7" spans="1:13" ht="17.399999999999999" customHeight="1">
      <c r="A7" s="2" t="s">
        <v>67</v>
      </c>
      <c r="B7" s="2">
        <f t="shared" si="0"/>
        <v>66</v>
      </c>
      <c r="C7" s="2" t="str">
        <f t="shared" si="1"/>
        <v>蓝色</v>
      </c>
      <c r="D7" s="2" t="str">
        <f t="shared" si="2"/>
        <v>blue</v>
      </c>
      <c r="E7" s="4"/>
      <c r="F7" s="2" t="s">
        <v>67</v>
      </c>
      <c r="G7" s="2">
        <v>66</v>
      </c>
      <c r="H7" s="2" t="s">
        <v>74</v>
      </c>
      <c r="I7" s="2" t="s">
        <v>14</v>
      </c>
      <c r="J7" t="str">
        <f t="shared" si="3"/>
        <v>66</v>
      </c>
      <c r="K7" t="str">
        <f t="shared" si="4"/>
        <v>蓝色</v>
      </c>
      <c r="L7" t="str">
        <f t="shared" si="5"/>
        <v>blue</v>
      </c>
      <c r="M7" t="str">
        <f t="shared" si="6"/>
        <v>-</v>
      </c>
    </row>
    <row r="8" spans="1:13" ht="17.399999999999999" customHeight="1">
      <c r="A8" s="2" t="s">
        <v>100</v>
      </c>
      <c r="B8" s="2">
        <f t="shared" si="0"/>
        <v>717</v>
      </c>
      <c r="C8" s="2" t="str">
        <f t="shared" si="1"/>
        <v>紫色</v>
      </c>
      <c r="D8" s="2" t="str">
        <f t="shared" si="2"/>
        <v>purple</v>
      </c>
      <c r="E8" s="4"/>
      <c r="F8" s="2" t="s">
        <v>68</v>
      </c>
      <c r="G8" s="2">
        <v>77</v>
      </c>
      <c r="H8" s="2" t="s">
        <v>75</v>
      </c>
      <c r="I8" s="2" t="s">
        <v>16</v>
      </c>
      <c r="J8" t="str">
        <f t="shared" si="3"/>
        <v>71.7</v>
      </c>
      <c r="K8" t="str">
        <f t="shared" si="4"/>
        <v>紫色</v>
      </c>
      <c r="L8" t="str">
        <f t="shared" si="5"/>
        <v>purple</v>
      </c>
      <c r="M8" t="str">
        <f t="shared" si="6"/>
        <v>-.</v>
      </c>
    </row>
    <row r="12" spans="1:13" ht="17.399999999999999" customHeight="1">
      <c r="J12" t="s">
        <v>95</v>
      </c>
    </row>
    <row r="14" spans="1:13" ht="17.399999999999999" customHeight="1">
      <c r="F14" s="9" t="s">
        <v>96</v>
      </c>
    </row>
    <row r="15" spans="1:13" ht="17.399999999999999" customHeight="1">
      <c r="F15" s="9" t="s">
        <v>97</v>
      </c>
    </row>
    <row r="16" spans="1:13" ht="17.399999999999999" customHeight="1">
      <c r="F16" s="9" t="s">
        <v>98</v>
      </c>
    </row>
    <row r="17" spans="6:6" ht="17.399999999999999" customHeight="1">
      <c r="F17" s="9" t="s">
        <v>99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Sheet4 (2)</vt:lpstr>
      <vt:lpstr>Sheet1</vt:lpstr>
      <vt:lpstr>Sheet2</vt:lpstr>
      <vt:lpstr>Sheet3</vt:lpstr>
      <vt:lpstr>Sheet4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2018-01-24T10:07:26Z</cp:lastPrinted>
  <dcterms:created xsi:type="dcterms:W3CDTF">2018-01-20T14:40:16Z</dcterms:created>
  <dcterms:modified xsi:type="dcterms:W3CDTF">2018-07-22T07:11:24Z</dcterms:modified>
</cp:coreProperties>
</file>