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HorizontalScroll="0" showVerticalScroll="0" showSheetTabs="0" xWindow="420" yWindow="192" windowWidth="11436" windowHeight="6312" tabRatio="272" firstSheet="4" activeTab="13" autoFilterDateGrouping="0"/>
  </bookViews>
  <sheets>
    <sheet name="商品信息" sheetId="1" r:id="rId1"/>
    <sheet name="销货" sheetId="2" r:id="rId2"/>
    <sheet name="供货" sheetId="3" r:id="rId3"/>
    <sheet name="存货统计" sheetId="4" r:id="rId4"/>
    <sheet name="供货单" sheetId="5" r:id="rId5"/>
    <sheet name="销货单" sheetId="6" r:id="rId6"/>
    <sheet name="销售报表" sheetId="7" r:id="rId7"/>
    <sheet name="Chart1" sheetId="15" r:id="rId8"/>
    <sheet name="进货报表" sheetId="8" r:id="rId9"/>
    <sheet name="商品明细账" sheetId="9" r:id="rId10"/>
    <sheet name="销售业绩报表" sheetId="10" r:id="rId11"/>
    <sheet name="销售人员" sheetId="11" r:id="rId12"/>
    <sheet name="商品查询" sheetId="12" r:id="rId13"/>
    <sheet name="主界面" sheetId="14" r:id="rId14"/>
  </sheets>
  <definedNames>
    <definedName name="xsry">OFFSET(销售人员!$A$1,1,0,COUNTA(销售人员!$A:$A)-1,1)</definedName>
  </definedNames>
  <calcPr calcId="124519" fullPrecision="0"/>
</workbook>
</file>

<file path=xl/calcChain.xml><?xml version="1.0" encoding="utf-8"?>
<calcChain xmlns="http://schemas.openxmlformats.org/spreadsheetml/2006/main">
  <c r="K10" i="9"/>
  <c r="I10"/>
  <c r="H10"/>
  <c r="F10"/>
  <c r="E10"/>
  <c r="C10"/>
  <c r="D6" i="12"/>
  <c r="E6"/>
  <c r="F6"/>
  <c r="D7"/>
  <c r="E7"/>
  <c r="F7" s="1"/>
  <c r="D8"/>
  <c r="E8"/>
  <c r="F8" s="1"/>
  <c r="D9"/>
  <c r="E9"/>
  <c r="F9" s="1"/>
  <c r="D10"/>
  <c r="E10"/>
  <c r="F10" s="1"/>
  <c r="D11"/>
  <c r="E11"/>
  <c r="F11" s="1"/>
  <c r="D12"/>
  <c r="E12"/>
  <c r="J9" i="10"/>
  <c r="I9"/>
  <c r="H9"/>
  <c r="I8" i="7"/>
  <c r="G8"/>
  <c r="F6" i="6"/>
  <c r="F7"/>
  <c r="F8"/>
  <c r="F9"/>
  <c r="F10"/>
  <c r="F11"/>
  <c r="F12"/>
  <c r="F5"/>
  <c r="G5" s="1"/>
  <c r="H3" i="9"/>
  <c r="E3"/>
  <c r="B3"/>
  <c r="D6" i="6"/>
  <c r="D7"/>
  <c r="D8"/>
  <c r="D9"/>
  <c r="D10"/>
  <c r="D11"/>
  <c r="D12"/>
  <c r="D5"/>
  <c r="C6"/>
  <c r="C7"/>
  <c r="C8"/>
  <c r="C9"/>
  <c r="C10"/>
  <c r="C11"/>
  <c r="C12"/>
  <c r="C5"/>
  <c r="I14" i="5"/>
  <c r="H7"/>
  <c r="H8"/>
  <c r="H9"/>
  <c r="H10"/>
  <c r="H11"/>
  <c r="H12"/>
  <c r="H13"/>
  <c r="H6"/>
  <c r="G7"/>
  <c r="G8"/>
  <c r="G9"/>
  <c r="G10"/>
  <c r="G11"/>
  <c r="G12"/>
  <c r="G13"/>
  <c r="G6"/>
  <c r="F7"/>
  <c r="J7" s="1"/>
  <c r="F8"/>
  <c r="J8" s="1"/>
  <c r="F9"/>
  <c r="J9" s="1"/>
  <c r="F10"/>
  <c r="J10" s="1"/>
  <c r="F11"/>
  <c r="J11" s="1"/>
  <c r="F12"/>
  <c r="J12" s="1"/>
  <c r="F13"/>
  <c r="J13" s="1"/>
  <c r="F6"/>
  <c r="J6" s="1"/>
  <c r="E7"/>
  <c r="E8"/>
  <c r="E9"/>
  <c r="E10"/>
  <c r="E11"/>
  <c r="E12"/>
  <c r="E13"/>
  <c r="E6"/>
  <c r="D7"/>
  <c r="D8"/>
  <c r="D9"/>
  <c r="D10"/>
  <c r="D11"/>
  <c r="D12"/>
  <c r="D13"/>
  <c r="D6"/>
  <c r="C7"/>
  <c r="C8"/>
  <c r="C9"/>
  <c r="C10"/>
  <c r="C11"/>
  <c r="C12"/>
  <c r="C13"/>
  <c r="C6"/>
  <c r="H13" i="6"/>
  <c r="G12"/>
  <c r="G11"/>
  <c r="G10"/>
  <c r="G9"/>
  <c r="G8"/>
  <c r="G7"/>
  <c r="G6"/>
  <c r="I3" i="5"/>
  <c r="F12" i="12" l="1"/>
  <c r="D13"/>
  <c r="E13"/>
  <c r="G13" i="6"/>
  <c r="E15" s="1"/>
  <c r="B35" i="5"/>
  <c r="B16"/>
  <c r="J14"/>
  <c r="F13" i="12" l="1"/>
</calcChain>
</file>

<file path=xl/sharedStrings.xml><?xml version="1.0" encoding="utf-8"?>
<sst xmlns="http://schemas.openxmlformats.org/spreadsheetml/2006/main" count="524" uniqueCount="160">
  <si>
    <t>货号</t>
    <phoneticPr fontId="3" type="noConversion"/>
  </si>
  <si>
    <t>名称</t>
    <phoneticPr fontId="3" type="noConversion"/>
  </si>
  <si>
    <t>型号</t>
    <phoneticPr fontId="3" type="noConversion"/>
  </si>
  <si>
    <t>产地</t>
    <phoneticPr fontId="3" type="noConversion"/>
  </si>
  <si>
    <t>进价</t>
    <phoneticPr fontId="3" type="noConversion"/>
  </si>
  <si>
    <t>批价</t>
    <phoneticPr fontId="3" type="noConversion"/>
  </si>
  <si>
    <t>零售</t>
    <phoneticPr fontId="3" type="noConversion"/>
  </si>
  <si>
    <t>备注</t>
    <phoneticPr fontId="3" type="noConversion"/>
  </si>
  <si>
    <t>1-111</t>
  </si>
  <si>
    <t>长虹</t>
  </si>
  <si>
    <t>29寸</t>
  </si>
  <si>
    <t>四川</t>
  </si>
  <si>
    <t>1-112</t>
  </si>
  <si>
    <t>34寸</t>
  </si>
  <si>
    <t>1-113</t>
  </si>
  <si>
    <t>长虹空调</t>
  </si>
  <si>
    <t>1.5P</t>
  </si>
  <si>
    <t>1-121</t>
  </si>
  <si>
    <t>长虹冰箱</t>
  </si>
  <si>
    <t>190升</t>
  </si>
  <si>
    <t>2-100</t>
  </si>
  <si>
    <t>海尔空调</t>
  </si>
  <si>
    <t>青岛</t>
  </si>
  <si>
    <t/>
  </si>
  <si>
    <t>2-111</t>
  </si>
  <si>
    <t>海尔冰箱</t>
  </si>
  <si>
    <t>180升</t>
  </si>
  <si>
    <t>日期</t>
    <phoneticPr fontId="3" type="noConversion"/>
  </si>
  <si>
    <t>货号</t>
    <phoneticPr fontId="3" type="noConversion"/>
  </si>
  <si>
    <t>名称</t>
    <phoneticPr fontId="3" type="noConversion"/>
  </si>
  <si>
    <t>型号</t>
    <phoneticPr fontId="3" type="noConversion"/>
  </si>
  <si>
    <t>数量</t>
    <phoneticPr fontId="3" type="noConversion"/>
  </si>
  <si>
    <t>单价</t>
    <phoneticPr fontId="3" type="noConversion"/>
  </si>
  <si>
    <t>金额</t>
    <phoneticPr fontId="3" type="noConversion"/>
  </si>
  <si>
    <t>调整价</t>
    <phoneticPr fontId="3" type="noConversion"/>
  </si>
  <si>
    <t>备注</t>
    <phoneticPr fontId="3" type="noConversion"/>
  </si>
  <si>
    <t>产地</t>
    <phoneticPr fontId="3" type="noConversion"/>
  </si>
  <si>
    <t>进价</t>
    <phoneticPr fontId="3" type="noConversion"/>
  </si>
  <si>
    <t>1-111</t>
    <phoneticPr fontId="3" type="noConversion"/>
  </si>
  <si>
    <t>1800</t>
  </si>
  <si>
    <t>1700</t>
  </si>
  <si>
    <t>1850</t>
  </si>
  <si>
    <t>1950</t>
  </si>
  <si>
    <t>2100</t>
  </si>
  <si>
    <t>长丰公司</t>
  </si>
  <si>
    <t>商品供货录入</t>
    <phoneticPr fontId="3" type="noConversion"/>
  </si>
  <si>
    <t>供货商：</t>
    <phoneticPr fontId="3" type="noConversion"/>
  </si>
  <si>
    <t>时间：</t>
    <phoneticPr fontId="3" type="noConversion"/>
  </si>
  <si>
    <t>货 号</t>
    <phoneticPr fontId="3" type="noConversion"/>
  </si>
  <si>
    <t>名 称</t>
    <phoneticPr fontId="3" type="noConversion"/>
  </si>
  <si>
    <t>型 号</t>
    <phoneticPr fontId="3" type="noConversion"/>
  </si>
  <si>
    <t>产 地</t>
    <phoneticPr fontId="3" type="noConversion"/>
  </si>
  <si>
    <t>进 价</t>
    <phoneticPr fontId="3" type="noConversion"/>
  </si>
  <si>
    <t>批 价</t>
    <phoneticPr fontId="3" type="noConversion"/>
  </si>
  <si>
    <t>零 售</t>
    <phoneticPr fontId="3" type="noConversion"/>
  </si>
  <si>
    <t>数 量</t>
    <phoneticPr fontId="3" type="noConversion"/>
  </si>
  <si>
    <t>金 额</t>
    <phoneticPr fontId="3" type="noConversion"/>
  </si>
  <si>
    <t>合计</t>
    <phoneticPr fontId="3" type="noConversion"/>
  </si>
  <si>
    <t>商品信息数据录入</t>
    <phoneticPr fontId="3" type="noConversion"/>
  </si>
  <si>
    <t xml:space="preserve">名 称 </t>
    <phoneticPr fontId="3" type="noConversion"/>
  </si>
  <si>
    <t>单 价</t>
    <phoneticPr fontId="3" type="noConversion"/>
  </si>
  <si>
    <t>商品销售录入</t>
    <phoneticPr fontId="3" type="noConversion"/>
  </si>
  <si>
    <t>购买人：</t>
    <phoneticPr fontId="3" type="noConversion"/>
  </si>
  <si>
    <t>预交款：</t>
    <phoneticPr fontId="3" type="noConversion"/>
  </si>
  <si>
    <t>余额：</t>
    <phoneticPr fontId="3" type="noConversion"/>
  </si>
  <si>
    <t>销售人员：</t>
    <phoneticPr fontId="3" type="noConversion"/>
  </si>
  <si>
    <t>李四</t>
  </si>
  <si>
    <t>销售报表</t>
    <phoneticPr fontId="3" type="noConversion"/>
  </si>
  <si>
    <t>日期：</t>
    <phoneticPr fontId="3" type="noConversion"/>
  </si>
  <si>
    <t>至</t>
    <phoneticPr fontId="3" type="noConversion"/>
  </si>
  <si>
    <t>日期</t>
    <phoneticPr fontId="3" type="noConversion"/>
  </si>
  <si>
    <t>数量</t>
    <phoneticPr fontId="3" type="noConversion"/>
  </si>
  <si>
    <t>单价</t>
    <phoneticPr fontId="3" type="noConversion"/>
  </si>
  <si>
    <t>金额</t>
    <phoneticPr fontId="3" type="noConversion"/>
  </si>
  <si>
    <t>毛利润</t>
    <phoneticPr fontId="3" type="noConversion"/>
  </si>
  <si>
    <t>合计</t>
  </si>
  <si>
    <t>进货报表</t>
    <phoneticPr fontId="3" type="noConversion"/>
  </si>
  <si>
    <t>日期：</t>
    <phoneticPr fontId="3" type="noConversion"/>
  </si>
  <si>
    <t>至</t>
    <phoneticPr fontId="3" type="noConversion"/>
  </si>
  <si>
    <t>批发价</t>
    <phoneticPr fontId="3" type="noConversion"/>
  </si>
  <si>
    <t>零售价</t>
    <phoneticPr fontId="3" type="noConversion"/>
  </si>
  <si>
    <t>商品明细账</t>
    <phoneticPr fontId="3" type="noConversion"/>
  </si>
  <si>
    <t>货号：</t>
    <phoneticPr fontId="3" type="noConversion"/>
  </si>
  <si>
    <t>名称：</t>
    <phoneticPr fontId="3" type="noConversion"/>
  </si>
  <si>
    <t>型号：</t>
    <phoneticPr fontId="3" type="noConversion"/>
  </si>
  <si>
    <t>产地：</t>
    <phoneticPr fontId="3" type="noConversion"/>
  </si>
  <si>
    <t>进货</t>
    <phoneticPr fontId="3" type="noConversion"/>
  </si>
  <si>
    <t>销售数量</t>
    <phoneticPr fontId="3" type="noConversion"/>
  </si>
  <si>
    <t>结存</t>
    <phoneticPr fontId="3" type="noConversion"/>
  </si>
  <si>
    <r>
      <t>供应商</t>
    </r>
    <r>
      <rPr>
        <b/>
        <sz val="12"/>
        <rFont val="Verdana"/>
        <family val="2"/>
      </rPr>
      <t>/</t>
    </r>
    <r>
      <rPr>
        <b/>
        <sz val="12"/>
        <rFont val="宋体"/>
        <family val="3"/>
        <charset val="134"/>
      </rPr>
      <t>客户</t>
    </r>
    <phoneticPr fontId="3" type="noConversion"/>
  </si>
  <si>
    <t>销售业绩报表</t>
    <phoneticPr fontId="3" type="noConversion"/>
  </si>
  <si>
    <t>销售员：</t>
    <phoneticPr fontId="3" type="noConversion"/>
  </si>
  <si>
    <t>姓名</t>
    <phoneticPr fontId="3" type="noConversion"/>
  </si>
  <si>
    <t>张三</t>
    <phoneticPr fontId="3" type="noConversion"/>
  </si>
  <si>
    <t>李四</t>
    <phoneticPr fontId="3" type="noConversion"/>
  </si>
  <si>
    <t>王五</t>
    <phoneticPr fontId="3" type="noConversion"/>
  </si>
  <si>
    <t>商品查询</t>
    <phoneticPr fontId="3" type="noConversion"/>
  </si>
  <si>
    <t>供货</t>
    <phoneticPr fontId="3" type="noConversion"/>
  </si>
  <si>
    <t>销货</t>
    <phoneticPr fontId="3" type="noConversion"/>
  </si>
  <si>
    <t>库存</t>
    <phoneticPr fontId="3" type="noConversion"/>
  </si>
  <si>
    <t>名 称：</t>
    <phoneticPr fontId="3" type="noConversion"/>
  </si>
  <si>
    <t>型 号：</t>
    <phoneticPr fontId="3" type="noConversion"/>
  </si>
  <si>
    <t>产 地：</t>
    <phoneticPr fontId="3" type="noConversion"/>
  </si>
  <si>
    <t>进 价：</t>
    <phoneticPr fontId="3" type="noConversion"/>
  </si>
  <si>
    <t>批 价：</t>
    <phoneticPr fontId="3" type="noConversion"/>
  </si>
  <si>
    <t>零 售：</t>
    <phoneticPr fontId="3" type="noConversion"/>
  </si>
  <si>
    <t>数 量：</t>
    <phoneticPr fontId="3" type="noConversion"/>
  </si>
  <si>
    <t>金 额：</t>
    <phoneticPr fontId="3" type="noConversion"/>
  </si>
  <si>
    <t>销售人员</t>
  </si>
  <si>
    <t>日期</t>
  </si>
  <si>
    <t>货号</t>
  </si>
  <si>
    <t>名称</t>
  </si>
  <si>
    <t>型号</t>
  </si>
  <si>
    <t>数量</t>
  </si>
  <si>
    <t>单价</t>
  </si>
  <si>
    <t>金额</t>
  </si>
  <si>
    <t>调整价</t>
  </si>
  <si>
    <t>备注</t>
  </si>
  <si>
    <t>购货人</t>
  </si>
  <si>
    <t>性别</t>
    <phoneticPr fontId="1" type="noConversion"/>
  </si>
  <si>
    <t>年龄</t>
    <phoneticPr fontId="1" type="noConversion"/>
  </si>
  <si>
    <t>住址</t>
    <phoneticPr fontId="1" type="noConversion"/>
  </si>
  <si>
    <t>产地</t>
  </si>
  <si>
    <t>进价</t>
  </si>
  <si>
    <t>批价</t>
  </si>
  <si>
    <t>零售</t>
  </si>
  <si>
    <t>供应商</t>
  </si>
  <si>
    <t>1-111</t>
    <phoneticPr fontId="1" type="noConversion"/>
  </si>
  <si>
    <t>总进量</t>
  </si>
  <si>
    <t>总出量</t>
  </si>
  <si>
    <t>库存量</t>
  </si>
  <si>
    <t>请输入查询货号：</t>
    <phoneticPr fontId="3" type="noConversion"/>
  </si>
  <si>
    <t>单价</t>
    <phoneticPr fontId="1" type="noConversion"/>
  </si>
  <si>
    <t>金额</t>
    <phoneticPr fontId="1" type="noConversion"/>
  </si>
  <si>
    <t>电话</t>
    <phoneticPr fontId="1" type="noConversion"/>
  </si>
  <si>
    <t>长发公司</t>
    <phoneticPr fontId="1" type="noConversion"/>
  </si>
  <si>
    <t>长虹手机</t>
  </si>
  <si>
    <t>N888</t>
  </si>
  <si>
    <t>兴发公司</t>
  </si>
  <si>
    <t>1-222</t>
    <phoneticPr fontId="1" type="noConversion"/>
  </si>
  <si>
    <t>1-222</t>
    <phoneticPr fontId="1" type="noConversion"/>
  </si>
  <si>
    <t>1-111</t>
    <phoneticPr fontId="1" type="noConversion"/>
  </si>
  <si>
    <t>1-222</t>
  </si>
  <si>
    <t>长发公司</t>
  </si>
  <si>
    <t>1-222</t>
    <phoneticPr fontId="1" type="noConversion"/>
  </si>
  <si>
    <t>长虹手机</t>
    <phoneticPr fontId="1" type="noConversion"/>
  </si>
  <si>
    <t>1-222</t>
    <phoneticPr fontId="1" type="noConversion"/>
  </si>
  <si>
    <t>2-100</t>
    <phoneticPr fontId="1" type="noConversion"/>
  </si>
  <si>
    <t>海尔空调</t>
    <phoneticPr fontId="1" type="noConversion"/>
  </si>
  <si>
    <t>1850</t>
    <phoneticPr fontId="1" type="noConversion"/>
  </si>
  <si>
    <t>2-111</t>
    <phoneticPr fontId="1" type="noConversion"/>
  </si>
  <si>
    <t>海尔冰箱</t>
    <phoneticPr fontId="1" type="noConversion"/>
  </si>
  <si>
    <t>1-121</t>
    <phoneticPr fontId="1" type="noConversion"/>
  </si>
  <si>
    <t>长虹冰箱</t>
    <phoneticPr fontId="1" type="noConversion"/>
  </si>
  <si>
    <t>1-112</t>
    <phoneticPr fontId="1" type="noConversion"/>
  </si>
  <si>
    <t>长虹</t>
    <phoneticPr fontId="1" type="noConversion"/>
  </si>
  <si>
    <t>1-113</t>
    <phoneticPr fontId="1" type="noConversion"/>
  </si>
  <si>
    <t>长虹空调</t>
    <phoneticPr fontId="1" type="noConversion"/>
  </si>
  <si>
    <t>1-111</t>
    <phoneticPr fontId="1" type="noConversion"/>
  </si>
  <si>
    <t>1-111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</si>
</sst>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￥&quot;#,##0.00_);\(&quot;￥&quot;#,##0.00\)"/>
    <numFmt numFmtId="177" formatCode="yyyy/m/d\ h:mm;@"/>
    <numFmt numFmtId="178" formatCode="0.00&quot;元&quot;"/>
    <numFmt numFmtId="179" formatCode="#,##0.00_ "/>
    <numFmt numFmtId="180" formatCode="yyyy\-m\-d\ h:mm;@"/>
  </numFmts>
  <fonts count="2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24"/>
      <name val="黑体"/>
      <family val="3"/>
      <charset val="134"/>
    </font>
    <font>
      <b/>
      <sz val="12"/>
      <name val="Verdana"/>
      <family val="2"/>
    </font>
    <font>
      <sz val="26"/>
      <name val="黑体"/>
      <family val="3"/>
      <charset val="134"/>
    </font>
    <font>
      <sz val="12"/>
      <name val="Verdana"/>
      <family val="2"/>
    </font>
    <font>
      <sz val="14"/>
      <name val="宋体"/>
      <family val="3"/>
      <charset val="134"/>
    </font>
    <font>
      <sz val="16"/>
      <name val="宋体"/>
      <family val="3"/>
      <charset val="134"/>
    </font>
    <font>
      <sz val="24"/>
      <color indexed="11"/>
      <name val="华文行楷"/>
      <family val="3"/>
      <charset val="134"/>
    </font>
    <font>
      <sz val="12"/>
      <name val="华文行楷"/>
      <family val="3"/>
      <charset val="134"/>
    </font>
    <font>
      <b/>
      <sz val="14"/>
      <name val="宋体"/>
      <family val="3"/>
      <charset val="134"/>
    </font>
    <font>
      <b/>
      <sz val="12"/>
      <name val="Arial"/>
      <family val="2"/>
    </font>
    <font>
      <sz val="11"/>
      <color theme="0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name val="宋体"/>
      <family val="2"/>
      <charset val="134"/>
      <scheme val="minor"/>
    </font>
    <font>
      <sz val="12"/>
      <color theme="0"/>
      <name val="Verdana"/>
      <family val="2"/>
    </font>
    <font>
      <sz val="10"/>
      <color theme="0"/>
      <name val="Verdana"/>
      <family val="2"/>
    </font>
    <font>
      <sz val="24"/>
      <color theme="0"/>
      <name val="华文行楷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auto="1"/>
        <bgColor auto="1"/>
      </patternFill>
    </fill>
    <fill>
      <patternFill patternType="solid">
        <fgColor indexed="65"/>
        <bgColor auto="1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/>
    <xf numFmtId="0" fontId="2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hidden="1"/>
    </xf>
    <xf numFmtId="0" fontId="4" fillId="2" borderId="0" xfId="0" applyFont="1" applyFill="1" applyAlignment="1" applyProtection="1">
      <alignment horizontal="right" vertical="center"/>
      <protection hidden="1"/>
    </xf>
    <xf numFmtId="22" fontId="0" fillId="2" borderId="0" xfId="0" applyNumberFormat="1" applyFill="1" applyAlignment="1" applyProtection="1">
      <alignment vertical="center"/>
      <protection hidden="1"/>
    </xf>
    <xf numFmtId="22" fontId="4" fillId="2" borderId="0" xfId="0" applyNumberFormat="1" applyFont="1" applyFill="1" applyAlignment="1" applyProtection="1">
      <alignment horizontal="right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locked="0"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0" fillId="0" borderId="0" xfId="0" applyFill="1" applyAlignment="1" applyProtection="1"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0" fillId="0" borderId="0" xfId="0" applyFill="1" applyProtection="1">
      <alignment vertical="center"/>
      <protection hidden="1"/>
    </xf>
    <xf numFmtId="0" fontId="0" fillId="2" borderId="0" xfId="0" applyFill="1" applyBorder="1" applyAlignment="1" applyProtection="1">
      <alignment horizontal="center" vertical="center"/>
      <protection hidden="1"/>
    </xf>
    <xf numFmtId="0" fontId="2" fillId="2" borderId="0" xfId="0" applyFont="1" applyFill="1" applyBorder="1" applyAlignment="1" applyProtection="1">
      <alignment horizontal="right" vertical="center"/>
      <protection hidden="1"/>
    </xf>
    <xf numFmtId="14" fontId="4" fillId="2" borderId="0" xfId="0" applyNumberFormat="1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Border="1" applyAlignment="1" applyProtection="1">
      <alignment horizontal="center" vertical="center"/>
      <protection hidden="1"/>
    </xf>
    <xf numFmtId="14" fontId="4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>
      <alignment vertical="center"/>
    </xf>
    <xf numFmtId="0" fontId="9" fillId="2" borderId="0" xfId="0" applyFont="1" applyFill="1" applyBorder="1" applyAlignment="1" applyProtection="1">
      <alignment horizontal="right" vertical="center"/>
      <protection hidden="1"/>
    </xf>
    <xf numFmtId="0" fontId="9" fillId="2" borderId="0" xfId="0" applyNumberFormat="1" applyFont="1" applyFill="1" applyBorder="1" applyAlignment="1" applyProtection="1">
      <alignment vertical="center"/>
      <protection locked="0"/>
    </xf>
    <xf numFmtId="14" fontId="9" fillId="2" borderId="0" xfId="0" applyNumberFormat="1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/>
      <protection hidden="1"/>
    </xf>
    <xf numFmtId="0" fontId="4" fillId="2" borderId="0" xfId="0" applyFont="1" applyFill="1" applyBorder="1" applyAlignment="1" applyProtection="1">
      <alignment vertical="center"/>
      <protection hidden="1"/>
    </xf>
    <xf numFmtId="0" fontId="0" fillId="2" borderId="0" xfId="0" applyFill="1" applyAlignment="1"/>
    <xf numFmtId="0" fontId="2" fillId="2" borderId="1" xfId="0" applyFont="1" applyFill="1" applyBorder="1" applyAlignment="1">
      <alignment horizontal="center"/>
    </xf>
    <xf numFmtId="0" fontId="0" fillId="2" borderId="0" xfId="0" applyFill="1">
      <alignment vertical="center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>
      <alignment vertical="center"/>
    </xf>
    <xf numFmtId="0" fontId="19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3" xfId="0" applyFont="1" applyFill="1" applyBorder="1" applyAlignment="1" applyProtection="1">
      <alignment horizontal="center" vertical="center"/>
      <protection hidden="1"/>
    </xf>
    <xf numFmtId="0" fontId="10" fillId="2" borderId="1" xfId="0" applyFont="1" applyFill="1" applyBorder="1" applyAlignment="1" applyProtection="1">
      <alignment horizontal="center" vertical="center"/>
      <protection hidden="1"/>
    </xf>
    <xf numFmtId="0" fontId="13" fillId="2" borderId="1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176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 vertical="center"/>
      <protection locked="0" hidden="1"/>
    </xf>
    <xf numFmtId="0" fontId="10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0" borderId="5" xfId="0" applyNumberFormat="1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5" xfId="0" applyFill="1" applyBorder="1">
      <alignment vertical="center"/>
    </xf>
    <xf numFmtId="0" fontId="0" fillId="0" borderId="5" xfId="0" applyBorder="1">
      <alignment vertical="center"/>
    </xf>
    <xf numFmtId="0" fontId="2" fillId="0" borderId="5" xfId="0" applyFont="1" applyBorder="1" applyAlignment="1">
      <alignment horizontal="center"/>
    </xf>
    <xf numFmtId="0" fontId="21" fillId="0" borderId="5" xfId="0" applyFont="1" applyBorder="1" applyAlignment="1">
      <alignment horizontal="center" vertical="center"/>
    </xf>
    <xf numFmtId="0" fontId="4" fillId="0" borderId="5" xfId="0" applyFont="1" applyBorder="1" applyAlignment="1"/>
    <xf numFmtId="49" fontId="4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>
      <alignment vertical="center"/>
    </xf>
    <xf numFmtId="0" fontId="0" fillId="3" borderId="0" xfId="0" applyFill="1" applyAlignment="1" applyProtection="1"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4" fillId="3" borderId="0" xfId="0" applyFont="1" applyFill="1" applyAlignment="1" applyProtection="1">
      <alignment horizontal="right" vertical="center"/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58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78" fontId="8" fillId="3" borderId="1" xfId="0" applyNumberFormat="1" applyFont="1" applyFill="1" applyBorder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right" vertical="center"/>
      <protection hidden="1"/>
    </xf>
    <xf numFmtId="178" fontId="0" fillId="3" borderId="1" xfId="0" applyNumberFormat="1" applyFill="1" applyBorder="1" applyAlignment="1" applyProtection="1">
      <alignment horizontal="center" vertical="center"/>
      <protection locked="0"/>
    </xf>
    <xf numFmtId="178" fontId="0" fillId="3" borderId="1" xfId="0" applyNumberFormat="1" applyFill="1" applyBorder="1" applyAlignment="1" applyProtection="1">
      <alignment horizontal="center" vertical="center"/>
      <protection hidden="1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0" fontId="21" fillId="2" borderId="5" xfId="0" applyFont="1" applyFill="1" applyBorder="1" applyAlignment="1">
      <alignment horizontal="center" vertical="center"/>
    </xf>
    <xf numFmtId="177" fontId="0" fillId="2" borderId="5" xfId="0" applyNumberFormat="1" applyFill="1" applyBorder="1">
      <alignment vertical="center"/>
    </xf>
    <xf numFmtId="0" fontId="0" fillId="2" borderId="5" xfId="0" applyFill="1" applyBorder="1">
      <alignment vertical="center"/>
    </xf>
    <xf numFmtId="177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80" fontId="0" fillId="2" borderId="5" xfId="0" applyNumberFormat="1" applyFill="1" applyBorder="1">
      <alignment vertical="center"/>
    </xf>
    <xf numFmtId="0" fontId="21" fillId="0" borderId="5" xfId="0" applyFont="1" applyFill="1" applyBorder="1" applyAlignment="1">
      <alignment horizontal="center" vertical="center"/>
    </xf>
    <xf numFmtId="177" fontId="0" fillId="0" borderId="5" xfId="0" applyNumberFormat="1" applyFill="1" applyBorder="1">
      <alignment vertical="center"/>
    </xf>
    <xf numFmtId="180" fontId="0" fillId="0" borderId="5" xfId="0" applyNumberFormat="1" applyFill="1" applyBorder="1">
      <alignment vertical="center"/>
    </xf>
    <xf numFmtId="0" fontId="0" fillId="0" borderId="0" xfId="0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178" fontId="4" fillId="2" borderId="0" xfId="0" applyNumberFormat="1" applyFont="1" applyFill="1" applyAlignment="1" applyProtection="1">
      <alignment horizontal="left" vertical="center"/>
      <protection locked="0"/>
    </xf>
    <xf numFmtId="178" fontId="16" fillId="2" borderId="0" xfId="0" applyNumberFormat="1" applyFont="1" applyFill="1" applyAlignment="1" applyProtection="1">
      <alignment horizontal="left" vertical="center"/>
      <protection locked="0"/>
    </xf>
    <xf numFmtId="22" fontId="0" fillId="2" borderId="0" xfId="0" applyNumberForma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78" fontId="4" fillId="3" borderId="2" xfId="0" applyNumberFormat="1" applyFont="1" applyFill="1" applyBorder="1" applyAlignment="1" applyProtection="1">
      <alignment horizontal="left" vertical="center"/>
      <protection locked="0"/>
    </xf>
    <xf numFmtId="178" fontId="0" fillId="3" borderId="2" xfId="0" applyNumberFormat="1" applyFill="1" applyBorder="1" applyAlignment="1" applyProtection="1">
      <alignment horizontal="left" vertical="center"/>
      <protection locked="0"/>
    </xf>
    <xf numFmtId="22" fontId="0" fillId="3" borderId="2" xfId="0" applyNumberFormat="1" applyFill="1" applyBorder="1" applyAlignment="1" applyProtection="1">
      <alignment horizontal="center" vertical="center"/>
      <protection hidden="1"/>
    </xf>
    <xf numFmtId="0" fontId="4" fillId="2" borderId="0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" fillId="2" borderId="0" xfId="0" applyNumberFormat="1" applyFont="1" applyFill="1" applyBorder="1" applyAlignment="1" applyProtection="1">
      <alignment horizontal="left" vertical="center"/>
      <protection locked="0"/>
    </xf>
    <xf numFmtId="14" fontId="4" fillId="2" borderId="0" xfId="0" applyNumberFormat="1" applyFont="1" applyFill="1" applyBorder="1" applyAlignment="1" applyProtection="1">
      <alignment horizontal="right" vertical="center"/>
      <protection locked="0"/>
    </xf>
    <xf numFmtId="0" fontId="4" fillId="2" borderId="0" xfId="0" applyNumberFormat="1" applyFont="1" applyFill="1" applyBorder="1" applyAlignment="1" applyProtection="1">
      <alignment horizontal="right" vertical="center"/>
      <protection locked="0"/>
    </xf>
    <xf numFmtId="14" fontId="4" fillId="2" borderId="0" xfId="0" applyNumberFormat="1" applyFont="1" applyFill="1" applyBorder="1" applyAlignment="1" applyProtection="1">
      <alignment horizontal="left" vertical="center"/>
      <protection locked="0"/>
    </xf>
    <xf numFmtId="0" fontId="9" fillId="2" borderId="0" xfId="0" applyFont="1" applyFill="1" applyAlignment="1" applyProtection="1">
      <alignment horizontal="center" vertical="center"/>
      <protection hidden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进货报表!$A$1:$E$1</c:f>
              <c:strCache>
                <c:ptCount val="1"/>
                <c:pt idx="0">
                  <c:v>进货报表</c:v>
                </c:pt>
              </c:strCache>
            </c:strRef>
          </c:tx>
          <c:val>
            <c:numRef>
              <c:f>进货报表!$F$1:$J$1</c:f>
              <c:numCache>
                <c:formatCode>General</c:formatCode>
                <c:ptCount val="5"/>
              </c:numCache>
            </c:numRef>
          </c:val>
        </c:ser>
        <c:ser>
          <c:idx val="1"/>
          <c:order val="1"/>
          <c:tx>
            <c:strRef>
              <c:f>进货报表!$A$2:$E$2</c:f>
              <c:strCache>
                <c:ptCount val="1"/>
                <c:pt idx="0">
                  <c:v>进货报表 日期： 1/1/2008 至 5/1/2008</c:v>
                </c:pt>
              </c:strCache>
            </c:strRef>
          </c:tx>
          <c:val>
            <c:numRef>
              <c:f>进货报表!$F$2:$J$2</c:f>
              <c:numCache>
                <c:formatCode>General</c:formatCode>
                <c:ptCount val="5"/>
              </c:numCache>
            </c:numRef>
          </c:val>
        </c:ser>
        <c:axId val="116066176"/>
        <c:axId val="116067712"/>
      </c:barChart>
      <c:catAx>
        <c:axId val="116066176"/>
        <c:scaling>
          <c:orientation val="minMax"/>
        </c:scaling>
        <c:axPos val="b"/>
        <c:tickLblPos val="nextTo"/>
        <c:crossAx val="116067712"/>
        <c:crosses val="autoZero"/>
        <c:auto val="1"/>
        <c:lblAlgn val="ctr"/>
        <c:lblOffset val="100"/>
      </c:catAx>
      <c:valAx>
        <c:axId val="116067712"/>
        <c:scaling>
          <c:orientation val="minMax"/>
        </c:scaling>
        <c:axPos val="l"/>
        <c:majorGridlines/>
        <c:numFmt formatCode="General" sourceLinked="1"/>
        <c:tickLblPos val="nextTo"/>
        <c:crossAx val="116066176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677" cy="606083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274256</xdr:colOff>
      <xdr:row>10</xdr:row>
      <xdr:rowOff>111442</xdr:rowOff>
    </xdr:from>
    <xdr:ext cx="5095882" cy="992579"/>
    <xdr:sp macro="" textlink="">
      <xdr:nvSpPr>
        <xdr:cNvPr id="2" name="title"/>
        <xdr:cNvSpPr/>
      </xdr:nvSpPr>
      <xdr:spPr>
        <a:xfrm>
          <a:off x="1645856" y="1825942"/>
          <a:ext cx="5095882" cy="992579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zh-CN" altLang="en-US" sz="5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进销存管理系统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howOutlineSymbols="0"/>
  </sheetPr>
  <dimension ref="A1:H24"/>
  <sheetViews>
    <sheetView showGridLines="0" showRowColHeaders="0" showZeros="0" showOutlineSymbols="0" workbookViewId="0">
      <selection activeCell="A17" sqref="A17"/>
    </sheetView>
  </sheetViews>
  <sheetFormatPr defaultRowHeight="14.4"/>
  <sheetData>
    <row r="1" spans="1:8" ht="15.6">
      <c r="A1" s="52" t="s">
        <v>0</v>
      </c>
      <c r="B1" s="53" t="s">
        <v>1</v>
      </c>
      <c r="C1" s="52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</row>
    <row r="2" spans="1:8">
      <c r="A2" s="54" t="s">
        <v>8</v>
      </c>
      <c r="B2" s="54" t="s">
        <v>9</v>
      </c>
      <c r="C2" s="54" t="s">
        <v>10</v>
      </c>
      <c r="D2" s="54" t="s">
        <v>11</v>
      </c>
      <c r="E2" s="54">
        <v>1800</v>
      </c>
      <c r="F2" s="54">
        <v>1850</v>
      </c>
      <c r="G2" s="54">
        <v>1900</v>
      </c>
      <c r="H2" s="55" t="s">
        <v>23</v>
      </c>
    </row>
    <row r="3" spans="1:8">
      <c r="A3" s="54" t="s">
        <v>14</v>
      </c>
      <c r="B3" s="54" t="s">
        <v>15</v>
      </c>
      <c r="C3" s="54" t="s">
        <v>16</v>
      </c>
      <c r="D3" s="54" t="s">
        <v>11</v>
      </c>
      <c r="E3" s="54">
        <v>1500</v>
      </c>
      <c r="F3" s="54">
        <v>1600</v>
      </c>
      <c r="G3" s="54" t="s">
        <v>39</v>
      </c>
      <c r="H3" s="55" t="s">
        <v>23</v>
      </c>
    </row>
    <row r="4" spans="1:8">
      <c r="A4" s="54" t="s">
        <v>12</v>
      </c>
      <c r="B4" s="54" t="s">
        <v>9</v>
      </c>
      <c r="C4" s="54" t="s">
        <v>13</v>
      </c>
      <c r="D4" s="54" t="s">
        <v>11</v>
      </c>
      <c r="E4" s="54">
        <v>2400</v>
      </c>
      <c r="F4" s="54">
        <v>2600</v>
      </c>
      <c r="G4" s="54">
        <v>2800</v>
      </c>
      <c r="H4" s="55" t="s">
        <v>23</v>
      </c>
    </row>
    <row r="5" spans="1:8">
      <c r="A5" s="54" t="s">
        <v>17</v>
      </c>
      <c r="B5" s="54" t="s">
        <v>18</v>
      </c>
      <c r="C5" s="54" t="s">
        <v>19</v>
      </c>
      <c r="D5" s="54" t="s">
        <v>11</v>
      </c>
      <c r="E5" s="54">
        <v>1500</v>
      </c>
      <c r="F5" s="54">
        <v>1600</v>
      </c>
      <c r="G5" s="54" t="s">
        <v>40</v>
      </c>
      <c r="H5" s="55" t="s">
        <v>23</v>
      </c>
    </row>
    <row r="6" spans="1:8">
      <c r="A6" s="54" t="s">
        <v>24</v>
      </c>
      <c r="B6" s="54" t="s">
        <v>25</v>
      </c>
      <c r="C6" s="54" t="s">
        <v>26</v>
      </c>
      <c r="D6" s="54" t="s">
        <v>22</v>
      </c>
      <c r="E6" s="54">
        <v>1400</v>
      </c>
      <c r="F6" s="54">
        <v>1500</v>
      </c>
      <c r="G6" s="54">
        <v>1700</v>
      </c>
      <c r="H6" s="55"/>
    </row>
    <row r="7" spans="1:8">
      <c r="A7" s="54" t="s">
        <v>20</v>
      </c>
      <c r="B7" s="54" t="s">
        <v>21</v>
      </c>
      <c r="C7" s="54" t="s">
        <v>16</v>
      </c>
      <c r="D7" s="54" t="s">
        <v>22</v>
      </c>
      <c r="E7" s="54" t="s">
        <v>41</v>
      </c>
      <c r="F7" s="54" t="s">
        <v>42</v>
      </c>
      <c r="G7" s="54" t="s">
        <v>43</v>
      </c>
      <c r="H7" s="55"/>
    </row>
    <row r="8" spans="1:8">
      <c r="A8" s="55" t="s">
        <v>140</v>
      </c>
      <c r="B8" s="55" t="s">
        <v>136</v>
      </c>
      <c r="C8" s="55" t="s">
        <v>137</v>
      </c>
      <c r="D8" s="55" t="s">
        <v>11</v>
      </c>
      <c r="E8" s="55">
        <v>1200</v>
      </c>
      <c r="F8" s="55">
        <v>1000</v>
      </c>
      <c r="G8" s="55">
        <v>1400</v>
      </c>
      <c r="H8" s="55" t="s">
        <v>23</v>
      </c>
    </row>
    <row r="9" spans="1:8">
      <c r="A9" s="55" t="s">
        <v>142</v>
      </c>
      <c r="B9" s="55" t="s">
        <v>136</v>
      </c>
      <c r="C9" s="55" t="s">
        <v>137</v>
      </c>
      <c r="D9" s="55" t="s">
        <v>11</v>
      </c>
      <c r="E9" s="55">
        <v>1200</v>
      </c>
      <c r="F9" s="55">
        <v>1000</v>
      </c>
      <c r="G9" s="55">
        <v>1400</v>
      </c>
      <c r="H9" s="55" t="s">
        <v>23</v>
      </c>
    </row>
    <row r="10" spans="1:8">
      <c r="A10" s="55" t="s">
        <v>23</v>
      </c>
      <c r="B10" s="55" t="s">
        <v>23</v>
      </c>
      <c r="C10" s="55" t="s">
        <v>23</v>
      </c>
      <c r="D10" s="55" t="s">
        <v>23</v>
      </c>
      <c r="E10" s="55" t="s">
        <v>23</v>
      </c>
      <c r="F10" s="55" t="s">
        <v>23</v>
      </c>
      <c r="G10" s="55" t="s">
        <v>23</v>
      </c>
      <c r="H10" s="55" t="s">
        <v>23</v>
      </c>
    </row>
    <row r="11" spans="1:8">
      <c r="A11" s="55" t="s">
        <v>23</v>
      </c>
      <c r="B11" s="55" t="s">
        <v>23</v>
      </c>
      <c r="C11" s="55" t="s">
        <v>23</v>
      </c>
      <c r="D11" s="55" t="s">
        <v>23</v>
      </c>
      <c r="E11" s="55" t="s">
        <v>23</v>
      </c>
      <c r="F11" s="55" t="s">
        <v>23</v>
      </c>
      <c r="G11" s="55" t="s">
        <v>23</v>
      </c>
      <c r="H11" s="55" t="s">
        <v>23</v>
      </c>
    </row>
    <row r="12" spans="1:8">
      <c r="A12" s="55" t="s">
        <v>23</v>
      </c>
      <c r="B12" s="55" t="s">
        <v>23</v>
      </c>
      <c r="C12" s="55" t="s">
        <v>23</v>
      </c>
      <c r="D12" s="55" t="s">
        <v>23</v>
      </c>
      <c r="E12" s="55" t="s">
        <v>23</v>
      </c>
      <c r="F12" s="55" t="s">
        <v>23</v>
      </c>
      <c r="G12" s="55" t="s">
        <v>23</v>
      </c>
      <c r="H12" s="55" t="s">
        <v>23</v>
      </c>
    </row>
    <row r="13" spans="1:8">
      <c r="A13" s="55" t="s">
        <v>23</v>
      </c>
      <c r="B13" s="55" t="s">
        <v>23</v>
      </c>
      <c r="C13" s="55" t="s">
        <v>23</v>
      </c>
      <c r="D13" s="55" t="s">
        <v>23</v>
      </c>
      <c r="E13" s="55" t="s">
        <v>23</v>
      </c>
      <c r="F13" s="55" t="s">
        <v>23</v>
      </c>
      <c r="G13" s="55" t="s">
        <v>23</v>
      </c>
      <c r="H13" s="55" t="s">
        <v>23</v>
      </c>
    </row>
    <row r="14" spans="1:8">
      <c r="A14" s="55" t="s">
        <v>23</v>
      </c>
      <c r="B14" s="55" t="s">
        <v>23</v>
      </c>
      <c r="C14" s="55" t="s">
        <v>23</v>
      </c>
      <c r="D14" s="55" t="s">
        <v>23</v>
      </c>
      <c r="E14" s="55" t="s">
        <v>23</v>
      </c>
      <c r="F14" s="55" t="s">
        <v>23</v>
      </c>
      <c r="G14" s="55" t="s">
        <v>23</v>
      </c>
      <c r="H14" s="55" t="s">
        <v>23</v>
      </c>
    </row>
    <row r="15" spans="1:8">
      <c r="A15" s="55" t="s">
        <v>23</v>
      </c>
      <c r="B15" s="55" t="s">
        <v>23</v>
      </c>
      <c r="C15" s="55" t="s">
        <v>23</v>
      </c>
      <c r="D15" s="55" t="s">
        <v>23</v>
      </c>
      <c r="E15" s="55" t="s">
        <v>23</v>
      </c>
      <c r="F15" s="55" t="s">
        <v>23</v>
      </c>
      <c r="G15" s="55" t="s">
        <v>23</v>
      </c>
      <c r="H15" s="55" t="s">
        <v>23</v>
      </c>
    </row>
    <row r="16" spans="1:8">
      <c r="A16" s="55" t="s">
        <v>23</v>
      </c>
      <c r="B16" s="55" t="s">
        <v>23</v>
      </c>
      <c r="C16" s="55" t="s">
        <v>23</v>
      </c>
      <c r="D16" s="55" t="s">
        <v>23</v>
      </c>
      <c r="E16" s="55" t="s">
        <v>23</v>
      </c>
      <c r="F16" s="55" t="s">
        <v>23</v>
      </c>
      <c r="G16" s="55" t="s">
        <v>23</v>
      </c>
      <c r="H16" s="55" t="s">
        <v>23</v>
      </c>
    </row>
    <row r="17" spans="1:8">
      <c r="A17" t="s">
        <v>23</v>
      </c>
      <c r="B17" t="s">
        <v>23</v>
      </c>
      <c r="C17" t="s">
        <v>23</v>
      </c>
      <c r="D17" t="s">
        <v>23</v>
      </c>
      <c r="E17" t="s">
        <v>23</v>
      </c>
      <c r="F17" t="s">
        <v>23</v>
      </c>
      <c r="G17" t="s">
        <v>23</v>
      </c>
      <c r="H17" t="s">
        <v>23</v>
      </c>
    </row>
    <row r="18" spans="1:8">
      <c r="A18" t="s">
        <v>23</v>
      </c>
      <c r="B18" t="s">
        <v>23</v>
      </c>
      <c r="C18" t="s">
        <v>23</v>
      </c>
      <c r="D18" t="s">
        <v>23</v>
      </c>
      <c r="E18" t="s">
        <v>23</v>
      </c>
      <c r="F18" t="s">
        <v>23</v>
      </c>
      <c r="G18" t="s">
        <v>23</v>
      </c>
      <c r="H18" t="s">
        <v>23</v>
      </c>
    </row>
    <row r="19" spans="1:8">
      <c r="A19" t="s">
        <v>23</v>
      </c>
      <c r="B19" t="s">
        <v>23</v>
      </c>
      <c r="C19" t="s">
        <v>23</v>
      </c>
      <c r="D19" t="s">
        <v>23</v>
      </c>
      <c r="E19" t="s">
        <v>23</v>
      </c>
      <c r="F19" t="s">
        <v>23</v>
      </c>
      <c r="G19" t="s">
        <v>23</v>
      </c>
      <c r="H19" t="s">
        <v>23</v>
      </c>
    </row>
    <row r="20" spans="1:8">
      <c r="A20" t="s">
        <v>23</v>
      </c>
      <c r="B20" t="s">
        <v>23</v>
      </c>
      <c r="C20" t="s">
        <v>23</v>
      </c>
      <c r="D20" t="s">
        <v>23</v>
      </c>
      <c r="E20" t="s">
        <v>23</v>
      </c>
      <c r="F20" t="s">
        <v>23</v>
      </c>
      <c r="G20" t="s">
        <v>23</v>
      </c>
      <c r="H20" t="s">
        <v>23</v>
      </c>
    </row>
    <row r="21" spans="1:8">
      <c r="A21" t="s">
        <v>23</v>
      </c>
      <c r="B21" t="s">
        <v>23</v>
      </c>
      <c r="C21" t="s">
        <v>23</v>
      </c>
      <c r="D21" t="s">
        <v>23</v>
      </c>
      <c r="E21" t="s">
        <v>23</v>
      </c>
      <c r="F21" t="s">
        <v>23</v>
      </c>
      <c r="G21" t="s">
        <v>23</v>
      </c>
      <c r="H21" t="s">
        <v>23</v>
      </c>
    </row>
    <row r="22" spans="1:8">
      <c r="A22" t="s">
        <v>23</v>
      </c>
      <c r="B22" t="s">
        <v>23</v>
      </c>
      <c r="C22" t="s">
        <v>23</v>
      </c>
      <c r="D22" t="s">
        <v>23</v>
      </c>
      <c r="E22" t="s">
        <v>23</v>
      </c>
      <c r="F22" t="s">
        <v>23</v>
      </c>
      <c r="G22" t="s">
        <v>23</v>
      </c>
      <c r="H22" t="s">
        <v>23</v>
      </c>
    </row>
    <row r="23" spans="1:8">
      <c r="A23" t="s">
        <v>23</v>
      </c>
      <c r="B23" t="s">
        <v>23</v>
      </c>
      <c r="C23" t="s">
        <v>23</v>
      </c>
      <c r="D23" t="s">
        <v>23</v>
      </c>
      <c r="E23" t="s">
        <v>23</v>
      </c>
      <c r="F23" t="s">
        <v>23</v>
      </c>
      <c r="G23" t="s">
        <v>23</v>
      </c>
      <c r="H23" t="s">
        <v>23</v>
      </c>
    </row>
    <row r="24" spans="1:8">
      <c r="A24" t="s">
        <v>23</v>
      </c>
      <c r="B24" t="s">
        <v>23</v>
      </c>
      <c r="C24" t="s">
        <v>23</v>
      </c>
      <c r="D24" t="s">
        <v>23</v>
      </c>
      <c r="E24" t="s">
        <v>23</v>
      </c>
      <c r="F24" t="s">
        <v>23</v>
      </c>
      <c r="G24" t="s">
        <v>23</v>
      </c>
      <c r="H24" t="s">
        <v>23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outlinePr showOutlineSymbols="0"/>
  </sheetPr>
  <dimension ref="A1:K5"/>
  <sheetViews>
    <sheetView showGridLines="0" showRowColHeaders="0" showZeros="0" showOutlineSymbols="0" workbookViewId="0">
      <selection activeCell="I2" sqref="I2"/>
    </sheetView>
  </sheetViews>
  <sheetFormatPr defaultColWidth="9" defaultRowHeight="14.4"/>
  <cols>
    <col min="1" max="1" width="18.33203125" style="31" bestFit="1" customWidth="1"/>
    <col min="2" max="16384" width="9" style="31"/>
  </cols>
  <sheetData>
    <row r="1" spans="1:11">
      <c r="A1" s="80" t="s">
        <v>109</v>
      </c>
      <c r="B1" s="80" t="s">
        <v>110</v>
      </c>
      <c r="C1" s="80" t="s">
        <v>111</v>
      </c>
      <c r="D1" s="80" t="s">
        <v>112</v>
      </c>
      <c r="E1" s="80" t="s">
        <v>113</v>
      </c>
      <c r="F1" s="80" t="s">
        <v>114</v>
      </c>
      <c r="G1" s="80" t="s">
        <v>115</v>
      </c>
      <c r="H1" s="80" t="s">
        <v>116</v>
      </c>
      <c r="I1" s="80" t="s">
        <v>117</v>
      </c>
      <c r="J1" s="80" t="s">
        <v>118</v>
      </c>
      <c r="K1" s="80" t="s">
        <v>108</v>
      </c>
    </row>
    <row r="2" spans="1:11">
      <c r="A2" s="81">
        <v>39555.6315888889</v>
      </c>
      <c r="B2" s="82" t="s">
        <v>8</v>
      </c>
      <c r="C2" s="82" t="s">
        <v>9</v>
      </c>
      <c r="D2" s="82" t="s">
        <v>10</v>
      </c>
      <c r="E2" s="82">
        <v>2</v>
      </c>
      <c r="F2" s="82">
        <v>1900</v>
      </c>
      <c r="G2" s="82">
        <v>3800</v>
      </c>
      <c r="H2" s="82"/>
      <c r="I2" s="82"/>
      <c r="J2" s="82" t="s">
        <v>138</v>
      </c>
      <c r="K2" s="82" t="s">
        <v>66</v>
      </c>
    </row>
    <row r="3" spans="1:11">
      <c r="A3" s="81">
        <v>39556.662520601902</v>
      </c>
      <c r="B3" s="82" t="s">
        <v>127</v>
      </c>
      <c r="C3" s="82" t="s">
        <v>9</v>
      </c>
      <c r="D3" s="82" t="s">
        <v>10</v>
      </c>
      <c r="E3" s="82">
        <v>1</v>
      </c>
      <c r="F3" s="82">
        <v>1900</v>
      </c>
      <c r="G3" s="82">
        <v>1900</v>
      </c>
      <c r="H3" s="82"/>
      <c r="I3" s="82"/>
      <c r="J3" s="82"/>
      <c r="K3" s="82" t="s">
        <v>66</v>
      </c>
    </row>
    <row r="4" spans="1:11">
      <c r="A4" s="81">
        <v>39556.662520601902</v>
      </c>
      <c r="B4" s="82" t="s">
        <v>20</v>
      </c>
      <c r="C4" s="82" t="s">
        <v>21</v>
      </c>
      <c r="D4" s="82" t="s">
        <v>16</v>
      </c>
      <c r="E4" s="82">
        <v>2</v>
      </c>
      <c r="F4" s="82" t="s">
        <v>43</v>
      </c>
      <c r="G4" s="82">
        <v>4200</v>
      </c>
      <c r="H4" s="82"/>
      <c r="I4" s="82"/>
      <c r="J4" s="82"/>
      <c r="K4" s="82" t="s">
        <v>66</v>
      </c>
    </row>
    <row r="5" spans="1:11">
      <c r="A5" s="85">
        <v>41233.425171990697</v>
      </c>
      <c r="B5" s="82" t="s">
        <v>8</v>
      </c>
      <c r="C5" s="82" t="s">
        <v>9</v>
      </c>
      <c r="D5" s="82" t="s">
        <v>10</v>
      </c>
      <c r="E5" s="82">
        <v>2</v>
      </c>
      <c r="F5" s="82">
        <v>1900</v>
      </c>
      <c r="G5" s="82">
        <v>3800</v>
      </c>
      <c r="H5" s="82"/>
      <c r="I5" s="82"/>
      <c r="J5" s="82" t="s">
        <v>138</v>
      </c>
      <c r="K5" s="82" t="s">
        <v>66</v>
      </c>
    </row>
  </sheetData>
  <sheetProtection password="CC7A" sheet="1" objects="1" scenarios="1"/>
  <sortState ref="A2:K4">
    <sortCondition ref="A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outlinePr showOutlineSymbols="0"/>
  </sheetPr>
  <dimension ref="A1:K11"/>
  <sheetViews>
    <sheetView showGridLines="0" showRowColHeaders="0" showZeros="0" showOutlineSymbols="0" workbookViewId="0">
      <selection activeCell="D2" sqref="D2"/>
    </sheetView>
  </sheetViews>
  <sheetFormatPr defaultColWidth="9" defaultRowHeight="14.4"/>
  <cols>
    <col min="1" max="1" width="18.33203125" style="41" bestFit="1" customWidth="1"/>
    <col min="2" max="2" width="6.44140625" style="41" bestFit="1" customWidth="1"/>
    <col min="3" max="3" width="9.44140625" style="41" bestFit="1" customWidth="1"/>
    <col min="4" max="4" width="6.33203125" style="41" bestFit="1" customWidth="1"/>
    <col min="5" max="10" width="6" style="41" bestFit="1" customWidth="1"/>
    <col min="11" max="11" width="17.21875" style="41" bestFit="1" customWidth="1"/>
    <col min="12" max="16384" width="9" style="41"/>
  </cols>
  <sheetData>
    <row r="1" spans="1:11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122</v>
      </c>
      <c r="F1" s="86" t="s">
        <v>123</v>
      </c>
      <c r="G1" s="86" t="s">
        <v>124</v>
      </c>
      <c r="H1" s="86" t="s">
        <v>125</v>
      </c>
      <c r="I1" s="86" t="s">
        <v>113</v>
      </c>
      <c r="J1" s="86" t="s">
        <v>115</v>
      </c>
      <c r="K1" s="86" t="s">
        <v>126</v>
      </c>
    </row>
    <row r="2" spans="1:11">
      <c r="A2" s="87">
        <v>39555.6605815972</v>
      </c>
      <c r="B2" s="54" t="s">
        <v>12</v>
      </c>
      <c r="C2" s="54" t="s">
        <v>9</v>
      </c>
      <c r="D2" s="54" t="s">
        <v>13</v>
      </c>
      <c r="E2" s="54" t="s">
        <v>11</v>
      </c>
      <c r="F2" s="54">
        <v>2400</v>
      </c>
      <c r="G2" s="54">
        <v>2600</v>
      </c>
      <c r="H2" s="54">
        <v>2800</v>
      </c>
      <c r="I2" s="54">
        <v>5</v>
      </c>
      <c r="J2" s="54">
        <v>12000</v>
      </c>
      <c r="K2" s="54" t="s">
        <v>44</v>
      </c>
    </row>
    <row r="3" spans="1:11">
      <c r="A3" s="87">
        <v>39555.6605815972</v>
      </c>
      <c r="B3" s="54" t="s">
        <v>14</v>
      </c>
      <c r="C3" s="54" t="s">
        <v>15</v>
      </c>
      <c r="D3" s="54" t="s">
        <v>16</v>
      </c>
      <c r="E3" s="54" t="s">
        <v>11</v>
      </c>
      <c r="F3" s="54">
        <v>1500</v>
      </c>
      <c r="G3" s="54">
        <v>1600</v>
      </c>
      <c r="H3" s="54" t="s">
        <v>39</v>
      </c>
      <c r="I3" s="54">
        <v>5</v>
      </c>
      <c r="J3" s="54">
        <v>7500</v>
      </c>
      <c r="K3" s="54" t="s">
        <v>44</v>
      </c>
    </row>
    <row r="4" spans="1:11">
      <c r="A4" s="87">
        <v>39555.6605815972</v>
      </c>
      <c r="B4" s="54" t="s">
        <v>24</v>
      </c>
      <c r="C4" s="54" t="s">
        <v>25</v>
      </c>
      <c r="D4" s="54" t="s">
        <v>26</v>
      </c>
      <c r="E4" s="54" t="s">
        <v>22</v>
      </c>
      <c r="F4" s="54">
        <v>1400</v>
      </c>
      <c r="G4" s="54">
        <v>1500</v>
      </c>
      <c r="H4" s="54">
        <v>1700</v>
      </c>
      <c r="I4" s="54">
        <v>15</v>
      </c>
      <c r="J4" s="54">
        <v>21000</v>
      </c>
      <c r="K4" s="54" t="s">
        <v>44</v>
      </c>
    </row>
    <row r="5" spans="1:11">
      <c r="A5" s="87">
        <v>39555.660907754602</v>
      </c>
      <c r="B5" s="54" t="s">
        <v>17</v>
      </c>
      <c r="C5" s="54" t="s">
        <v>18</v>
      </c>
      <c r="D5" s="54" t="s">
        <v>19</v>
      </c>
      <c r="E5" s="54" t="s">
        <v>11</v>
      </c>
      <c r="F5" s="54">
        <v>1500</v>
      </c>
      <c r="G5" s="54">
        <v>1600</v>
      </c>
      <c r="H5" s="54" t="s">
        <v>40</v>
      </c>
      <c r="I5" s="54">
        <v>10</v>
      </c>
      <c r="J5" s="54">
        <v>15000</v>
      </c>
      <c r="K5" s="54" t="s">
        <v>44</v>
      </c>
    </row>
    <row r="6" spans="1:11">
      <c r="A6" s="87">
        <v>39555.660907754602</v>
      </c>
      <c r="B6" s="54" t="s">
        <v>20</v>
      </c>
      <c r="C6" s="54" t="s">
        <v>21</v>
      </c>
      <c r="D6" s="54" t="s">
        <v>16</v>
      </c>
      <c r="E6" s="54" t="s">
        <v>22</v>
      </c>
      <c r="F6" s="54" t="s">
        <v>41</v>
      </c>
      <c r="G6" s="54" t="s">
        <v>42</v>
      </c>
      <c r="H6" s="54" t="s">
        <v>43</v>
      </c>
      <c r="I6" s="54">
        <v>10</v>
      </c>
      <c r="J6" s="54">
        <v>18500</v>
      </c>
      <c r="K6" s="54" t="s">
        <v>44</v>
      </c>
    </row>
    <row r="7" spans="1:11">
      <c r="A7" s="87">
        <v>39556.6631694444</v>
      </c>
      <c r="B7" s="54" t="s">
        <v>8</v>
      </c>
      <c r="C7" s="54" t="s">
        <v>9</v>
      </c>
      <c r="D7" s="54" t="s">
        <v>10</v>
      </c>
      <c r="E7" s="54" t="s">
        <v>11</v>
      </c>
      <c r="F7" s="54">
        <v>1800</v>
      </c>
      <c r="G7" s="54">
        <v>1850</v>
      </c>
      <c r="H7" s="54">
        <v>1900</v>
      </c>
      <c r="I7" s="54">
        <v>10</v>
      </c>
      <c r="J7" s="54">
        <v>18000</v>
      </c>
      <c r="K7" s="54" t="s">
        <v>44</v>
      </c>
    </row>
    <row r="8" spans="1:11">
      <c r="A8" s="88">
        <v>43032.467472338001</v>
      </c>
      <c r="B8" s="54" t="s">
        <v>8</v>
      </c>
      <c r="C8" s="54" t="s">
        <v>9</v>
      </c>
      <c r="D8" s="54" t="s">
        <v>10</v>
      </c>
      <c r="E8" s="54" t="s">
        <v>11</v>
      </c>
      <c r="F8" s="54">
        <v>1800</v>
      </c>
      <c r="G8" s="54">
        <v>1850</v>
      </c>
      <c r="H8" s="54">
        <v>1900</v>
      </c>
      <c r="I8" s="54">
        <v>5</v>
      </c>
      <c r="J8" s="54">
        <v>9000</v>
      </c>
      <c r="K8" s="54" t="s">
        <v>143</v>
      </c>
    </row>
    <row r="9" spans="1:11">
      <c r="A9" s="88">
        <v>43032.467472338001</v>
      </c>
      <c r="B9" s="54" t="s">
        <v>142</v>
      </c>
      <c r="C9" s="54" t="s">
        <v>136</v>
      </c>
      <c r="D9" s="54" t="s">
        <v>137</v>
      </c>
      <c r="E9" s="54" t="s">
        <v>11</v>
      </c>
      <c r="F9" s="54">
        <v>1200</v>
      </c>
      <c r="G9" s="54">
        <v>1000</v>
      </c>
      <c r="H9" s="54">
        <v>1400</v>
      </c>
      <c r="I9" s="54">
        <v>1</v>
      </c>
      <c r="J9" s="54">
        <v>1200</v>
      </c>
      <c r="K9" s="54" t="s">
        <v>143</v>
      </c>
    </row>
    <row r="10" spans="1:11">
      <c r="A10" s="88">
        <v>43032.467472338001</v>
      </c>
      <c r="B10" s="54" t="s">
        <v>142</v>
      </c>
      <c r="C10" s="54" t="s">
        <v>136</v>
      </c>
      <c r="D10" s="54" t="s">
        <v>137</v>
      </c>
      <c r="E10" s="54" t="s">
        <v>11</v>
      </c>
      <c r="F10" s="54">
        <v>1200</v>
      </c>
      <c r="G10" s="54">
        <v>1000</v>
      </c>
      <c r="H10" s="54">
        <v>1400</v>
      </c>
      <c r="I10" s="54">
        <v>2</v>
      </c>
      <c r="J10" s="54">
        <v>2400</v>
      </c>
      <c r="K10" s="54" t="s">
        <v>143</v>
      </c>
    </row>
    <row r="11" spans="1:11">
      <c r="A11" s="88">
        <v>43032.467978240697</v>
      </c>
      <c r="B11" s="54" t="s">
        <v>142</v>
      </c>
      <c r="C11" s="54" t="s">
        <v>136</v>
      </c>
      <c r="D11" s="54" t="s">
        <v>137</v>
      </c>
      <c r="E11" s="54" t="s">
        <v>11</v>
      </c>
      <c r="F11" s="54">
        <v>1200</v>
      </c>
      <c r="G11" s="54">
        <v>1000</v>
      </c>
      <c r="H11" s="54">
        <v>1400</v>
      </c>
      <c r="I11" s="54">
        <v>3</v>
      </c>
      <c r="J11" s="54">
        <v>3600</v>
      </c>
      <c r="K11" s="54" t="s">
        <v>143</v>
      </c>
    </row>
  </sheetData>
  <sheetProtection password="CC7A" sheet="1" objects="1" scenarios="1"/>
  <sortState ref="A2:K11">
    <sortCondition ref="A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outlinePr showOutlineSymbols="0"/>
  </sheetPr>
  <dimension ref="A1:H16"/>
  <sheetViews>
    <sheetView showGridLines="0" showRowColHeaders="0" showZeros="0" showOutlineSymbols="0" workbookViewId="0"/>
  </sheetViews>
  <sheetFormatPr defaultRowHeight="14.4"/>
  <sheetData>
    <row r="1" spans="1:8">
      <c r="A1" s="55" t="s">
        <v>110</v>
      </c>
      <c r="B1" s="55" t="s">
        <v>111</v>
      </c>
      <c r="C1" s="55" t="s">
        <v>128</v>
      </c>
      <c r="D1" s="55" t="s">
        <v>129</v>
      </c>
      <c r="E1" s="55" t="s">
        <v>130</v>
      </c>
      <c r="F1" s="55" t="s">
        <v>132</v>
      </c>
      <c r="G1" s="55" t="s">
        <v>133</v>
      </c>
      <c r="H1" s="55" t="s">
        <v>117</v>
      </c>
    </row>
    <row r="2" spans="1:8">
      <c r="A2" s="55" t="s">
        <v>159</v>
      </c>
      <c r="B2" s="55" t="s">
        <v>155</v>
      </c>
      <c r="C2" s="55">
        <v>15</v>
      </c>
      <c r="D2" s="55">
        <v>5</v>
      </c>
      <c r="E2" s="55">
        <v>10</v>
      </c>
      <c r="F2" s="55">
        <v>1800</v>
      </c>
      <c r="G2" s="55">
        <v>18000</v>
      </c>
      <c r="H2" s="55"/>
    </row>
    <row r="3" spans="1:8">
      <c r="A3" s="55" t="s">
        <v>156</v>
      </c>
      <c r="B3" s="55" t="s">
        <v>157</v>
      </c>
      <c r="C3" s="55">
        <v>5</v>
      </c>
      <c r="D3" s="55">
        <v>0</v>
      </c>
      <c r="E3" s="55">
        <v>5</v>
      </c>
      <c r="F3" s="55">
        <v>1500</v>
      </c>
      <c r="G3" s="55">
        <v>7500</v>
      </c>
      <c r="H3" s="55"/>
    </row>
    <row r="4" spans="1:8">
      <c r="A4" s="55" t="s">
        <v>154</v>
      </c>
      <c r="B4" s="55" t="s">
        <v>155</v>
      </c>
      <c r="C4" s="55">
        <v>5</v>
      </c>
      <c r="D4" s="55">
        <v>0</v>
      </c>
      <c r="E4" s="55">
        <v>5</v>
      </c>
      <c r="F4" s="55">
        <v>2400</v>
      </c>
      <c r="G4" s="55">
        <v>12000</v>
      </c>
      <c r="H4" s="55"/>
    </row>
    <row r="5" spans="1:8">
      <c r="A5" s="55" t="s">
        <v>152</v>
      </c>
      <c r="B5" s="55" t="s">
        <v>153</v>
      </c>
      <c r="C5" s="55">
        <v>10</v>
      </c>
      <c r="D5" s="55">
        <v>0</v>
      </c>
      <c r="E5" s="55">
        <v>10</v>
      </c>
      <c r="F5" s="55">
        <v>1500</v>
      </c>
      <c r="G5" s="55">
        <v>15000</v>
      </c>
      <c r="H5" s="55"/>
    </row>
    <row r="6" spans="1:8">
      <c r="A6" s="55" t="s">
        <v>150</v>
      </c>
      <c r="B6" s="55" t="s">
        <v>151</v>
      </c>
      <c r="C6" s="55">
        <v>15</v>
      </c>
      <c r="D6" s="55">
        <v>0</v>
      </c>
      <c r="E6" s="55">
        <v>15</v>
      </c>
      <c r="F6" s="55">
        <v>1400</v>
      </c>
      <c r="G6" s="55">
        <v>21000</v>
      </c>
      <c r="H6" s="55"/>
    </row>
    <row r="7" spans="1:8">
      <c r="A7" s="55" t="s">
        <v>147</v>
      </c>
      <c r="B7" s="55" t="s">
        <v>148</v>
      </c>
      <c r="C7" s="55">
        <v>10</v>
      </c>
      <c r="D7" s="55">
        <v>2</v>
      </c>
      <c r="E7" s="55">
        <v>8</v>
      </c>
      <c r="F7" s="55" t="s">
        <v>149</v>
      </c>
      <c r="G7" s="55">
        <v>14800</v>
      </c>
      <c r="H7" s="55"/>
    </row>
    <row r="8" spans="1:8">
      <c r="A8" s="55" t="s">
        <v>146</v>
      </c>
      <c r="B8" s="55" t="s">
        <v>145</v>
      </c>
      <c r="C8" s="55">
        <v>6</v>
      </c>
      <c r="D8" s="55">
        <v>0</v>
      </c>
      <c r="E8" s="55">
        <v>6</v>
      </c>
      <c r="F8" s="55">
        <v>1200</v>
      </c>
      <c r="G8" s="55">
        <v>7200</v>
      </c>
      <c r="H8" s="55"/>
    </row>
    <row r="9" spans="1:8">
      <c r="A9" s="55" t="s">
        <v>144</v>
      </c>
      <c r="B9" s="55" t="s">
        <v>145</v>
      </c>
      <c r="C9" s="55">
        <v>6</v>
      </c>
      <c r="D9" s="55">
        <v>0</v>
      </c>
      <c r="E9" s="55">
        <v>6</v>
      </c>
      <c r="F9" s="55">
        <v>1200</v>
      </c>
      <c r="G9" s="55">
        <v>7200</v>
      </c>
      <c r="H9" s="55"/>
    </row>
    <row r="10" spans="1:8">
      <c r="A10" s="55" t="s">
        <v>23</v>
      </c>
      <c r="B10" s="55" t="e">
        <v>#N/A</v>
      </c>
      <c r="C10" s="55">
        <v>0</v>
      </c>
      <c r="D10" s="55">
        <v>0</v>
      </c>
      <c r="E10" s="55">
        <v>0</v>
      </c>
      <c r="F10" s="55" t="e">
        <v>#N/A</v>
      </c>
      <c r="G10" s="55" t="e">
        <v>#N/A</v>
      </c>
      <c r="H10" s="55"/>
    </row>
    <row r="11" spans="1:8">
      <c r="A11" s="55" t="s">
        <v>23</v>
      </c>
      <c r="B11" s="55" t="e">
        <v>#N/A</v>
      </c>
      <c r="C11" s="55">
        <v>0</v>
      </c>
      <c r="D11" s="55">
        <v>0</v>
      </c>
      <c r="E11" s="55">
        <v>0</v>
      </c>
      <c r="F11" s="55" t="e">
        <v>#N/A</v>
      </c>
      <c r="G11" s="55" t="e">
        <v>#N/A</v>
      </c>
      <c r="H11" s="55"/>
    </row>
    <row r="12" spans="1:8">
      <c r="A12" s="55" t="s">
        <v>23</v>
      </c>
      <c r="B12" s="55" t="e">
        <v>#N/A</v>
      </c>
      <c r="C12" s="55">
        <v>0</v>
      </c>
      <c r="D12" s="55">
        <v>0</v>
      </c>
      <c r="E12" s="55">
        <v>0</v>
      </c>
      <c r="F12" s="55" t="e">
        <v>#N/A</v>
      </c>
      <c r="G12" s="55" t="e">
        <v>#N/A</v>
      </c>
      <c r="H12" s="55"/>
    </row>
    <row r="13" spans="1:8">
      <c r="A13" s="55" t="s">
        <v>23</v>
      </c>
      <c r="B13" s="55" t="e">
        <v>#N/A</v>
      </c>
      <c r="C13" s="55">
        <v>0</v>
      </c>
      <c r="D13" s="55">
        <v>0</v>
      </c>
      <c r="E13" s="55">
        <v>0</v>
      </c>
      <c r="F13" s="55" t="e">
        <v>#N/A</v>
      </c>
      <c r="G13" s="55" t="e">
        <v>#N/A</v>
      </c>
      <c r="H13" s="55"/>
    </row>
    <row r="14" spans="1:8">
      <c r="A14" s="55" t="s">
        <v>23</v>
      </c>
      <c r="B14" s="55" t="e">
        <v>#N/A</v>
      </c>
      <c r="C14" s="55">
        <v>0</v>
      </c>
      <c r="D14" s="55">
        <v>0</v>
      </c>
      <c r="E14" s="55">
        <v>0</v>
      </c>
      <c r="F14" s="55" t="e">
        <v>#N/A</v>
      </c>
      <c r="G14" s="55" t="e">
        <v>#N/A</v>
      </c>
      <c r="H14" s="55"/>
    </row>
    <row r="15" spans="1:8">
      <c r="A15" s="55" t="s">
        <v>23</v>
      </c>
      <c r="B15" s="55" t="e">
        <v>#N/A</v>
      </c>
      <c r="C15" s="55">
        <v>0</v>
      </c>
      <c r="D15" s="55">
        <v>0</v>
      </c>
      <c r="E15" s="55">
        <v>0</v>
      </c>
      <c r="F15" s="55" t="e">
        <v>#N/A</v>
      </c>
      <c r="G15" s="55" t="e">
        <v>#N/A</v>
      </c>
      <c r="H15" s="55"/>
    </row>
    <row r="16" spans="1:8">
      <c r="A16" s="55" t="s">
        <v>23</v>
      </c>
      <c r="B16" s="55" t="e">
        <v>#N/A</v>
      </c>
      <c r="C16" s="55">
        <v>0</v>
      </c>
      <c r="D16" s="55">
        <v>0</v>
      </c>
      <c r="E16" s="55">
        <v>0</v>
      </c>
      <c r="F16" s="55" t="e">
        <v>#N/A</v>
      </c>
      <c r="G16" s="55" t="e">
        <v>#N/A</v>
      </c>
      <c r="H16" s="55"/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outlinePr showOutlineSymbols="0"/>
  </sheetPr>
  <dimension ref="A1:K45"/>
  <sheetViews>
    <sheetView showGridLines="0" showRowColHeaders="0" showZeros="0" showOutlineSymbols="0" topLeftCell="A32" workbookViewId="0">
      <selection activeCell="N37" sqref="N37"/>
    </sheetView>
  </sheetViews>
  <sheetFormatPr defaultRowHeight="14.4"/>
  <cols>
    <col min="1" max="1" width="4.88671875" customWidth="1"/>
    <col min="10" max="10" width="15.44140625" customWidth="1"/>
  </cols>
  <sheetData>
    <row r="1" spans="1:10" ht="20.25" customHeight="1"/>
    <row r="2" spans="1:10" ht="44.25" customHeight="1">
      <c r="A2" s="90" t="s">
        <v>45</v>
      </c>
      <c r="B2" s="90"/>
      <c r="C2" s="90"/>
      <c r="D2" s="90"/>
      <c r="E2" s="90"/>
      <c r="F2" s="90"/>
      <c r="G2" s="90"/>
      <c r="H2" s="90"/>
      <c r="I2" s="90"/>
      <c r="J2" s="90"/>
    </row>
    <row r="3" spans="1:10" ht="15.6">
      <c r="A3" s="3"/>
      <c r="B3" s="4" t="s">
        <v>46</v>
      </c>
      <c r="C3" s="91" t="s">
        <v>135</v>
      </c>
      <c r="D3" s="92"/>
      <c r="E3" s="3"/>
      <c r="F3" s="3"/>
      <c r="G3" s="5"/>
      <c r="H3" s="6" t="s">
        <v>47</v>
      </c>
      <c r="I3" s="93">
        <f ca="1">NOW()</f>
        <v>43516.352783680602</v>
      </c>
      <c r="J3" s="93"/>
    </row>
    <row r="4" spans="1:10">
      <c r="A4" s="3"/>
      <c r="B4" s="3"/>
      <c r="C4" s="3"/>
      <c r="D4" s="3"/>
      <c r="E4" s="3"/>
      <c r="F4" s="3"/>
      <c r="G4" s="3"/>
      <c r="H4" s="3"/>
      <c r="I4" s="3"/>
      <c r="J4" s="3"/>
    </row>
    <row r="5" spans="1:10" ht="15.6">
      <c r="A5" s="3"/>
      <c r="B5" s="7" t="s">
        <v>48</v>
      </c>
      <c r="C5" s="7" t="s">
        <v>49</v>
      </c>
      <c r="D5" s="7" t="s">
        <v>50</v>
      </c>
      <c r="E5" s="7" t="s">
        <v>51</v>
      </c>
      <c r="F5" s="7" t="s">
        <v>52</v>
      </c>
      <c r="G5" s="7" t="s">
        <v>53</v>
      </c>
      <c r="H5" s="7" t="s">
        <v>54</v>
      </c>
      <c r="I5" s="7" t="s">
        <v>55</v>
      </c>
      <c r="J5" s="7" t="s">
        <v>56</v>
      </c>
    </row>
    <row r="6" spans="1:10" ht="15.6">
      <c r="A6" s="3"/>
      <c r="B6" s="19" t="s">
        <v>139</v>
      </c>
      <c r="C6" s="9" t="str">
        <f>IF($B6="","",VLOOKUP($B6,商品信息!$A:$H,2,FALSE))</f>
        <v>长虹手机</v>
      </c>
      <c r="D6" s="9" t="str">
        <f>IF($B6="","",VLOOKUP($B6,商品信息!$A:$H,3,FALSE))</f>
        <v>N888</v>
      </c>
      <c r="E6" s="9" t="str">
        <f>IF($B6="","",VLOOKUP($B6,商品信息!$A:$H,4,FALSE))</f>
        <v>四川</v>
      </c>
      <c r="F6" s="9">
        <f>IF($B6="","",VLOOKUP($B6,商品信息!$A:$H,5,FALSE))</f>
        <v>1200</v>
      </c>
      <c r="G6" s="9">
        <f>IF($B6="","",VLOOKUP($B6,商品信息!$A:$H,6,FALSE))</f>
        <v>1000</v>
      </c>
      <c r="H6" s="9">
        <f>IF($B6="","",VLOOKUP($B6,商品信息!$A:$H,7,FALSE))</f>
        <v>1400</v>
      </c>
      <c r="I6" s="8"/>
      <c r="J6" s="9">
        <f>IF(F6="","",F6*I6)</f>
        <v>0</v>
      </c>
    </row>
    <row r="7" spans="1:10" ht="15.6">
      <c r="A7" s="3"/>
      <c r="B7" s="8" t="s">
        <v>23</v>
      </c>
      <c r="C7" s="9" t="str">
        <f>IF($B7="","",VLOOKUP($B7,商品信息!$A:$H,2,FALSE))</f>
        <v/>
      </c>
      <c r="D7" s="9" t="str">
        <f>IF($B7="","",VLOOKUP($B7,商品信息!$A:$H,3,FALSE))</f>
        <v/>
      </c>
      <c r="E7" s="9" t="str">
        <f>IF($B7="","",VLOOKUP($B7,商品信息!$A:$H,4,FALSE))</f>
        <v/>
      </c>
      <c r="F7" s="9" t="str">
        <f>IF($B7="","",VLOOKUP($B7,商品信息!$A:$H,5,FALSE))</f>
        <v/>
      </c>
      <c r="G7" s="9" t="str">
        <f>IF($B7="","",VLOOKUP($B7,商品信息!$A:$H,6,FALSE))</f>
        <v/>
      </c>
      <c r="H7" s="9" t="str">
        <f>IF($B7="","",VLOOKUP($B7,商品信息!$A:$H,7,FALSE))</f>
        <v/>
      </c>
      <c r="I7" s="8"/>
      <c r="J7" s="9" t="str">
        <f t="shared" ref="J7:J13" si="0">IF(F7="","",F7*I7)</f>
        <v/>
      </c>
    </row>
    <row r="8" spans="1:10" ht="15.6">
      <c r="A8" s="3"/>
      <c r="B8" s="8" t="s">
        <v>23</v>
      </c>
      <c r="C8" s="9" t="str">
        <f>IF($B8="","",VLOOKUP($B8,商品信息!$A:$H,2,FALSE))</f>
        <v/>
      </c>
      <c r="D8" s="9" t="str">
        <f>IF($B8="","",VLOOKUP($B8,商品信息!$A:$H,3,FALSE))</f>
        <v/>
      </c>
      <c r="E8" s="9" t="str">
        <f>IF($B8="","",VLOOKUP($B8,商品信息!$A:$H,4,FALSE))</f>
        <v/>
      </c>
      <c r="F8" s="9" t="str">
        <f>IF($B8="","",VLOOKUP($B8,商品信息!$A:$H,5,FALSE))</f>
        <v/>
      </c>
      <c r="G8" s="9" t="str">
        <f>IF($B8="","",VLOOKUP($B8,商品信息!$A:$H,6,FALSE))</f>
        <v/>
      </c>
      <c r="H8" s="9" t="str">
        <f>IF($B8="","",VLOOKUP($B8,商品信息!$A:$H,7,FALSE))</f>
        <v/>
      </c>
      <c r="I8" s="8"/>
      <c r="J8" s="9" t="str">
        <f t="shared" si="0"/>
        <v/>
      </c>
    </row>
    <row r="9" spans="1:10" ht="15.6">
      <c r="A9" s="3"/>
      <c r="B9" s="8" t="s">
        <v>23</v>
      </c>
      <c r="C9" s="9" t="str">
        <f>IF($B9="","",VLOOKUP($B9,商品信息!$A:$H,2,FALSE))</f>
        <v/>
      </c>
      <c r="D9" s="9" t="str">
        <f>IF($B9="","",VLOOKUP($B9,商品信息!$A:$H,3,FALSE))</f>
        <v/>
      </c>
      <c r="E9" s="9" t="str">
        <f>IF($B9="","",VLOOKUP($B9,商品信息!$A:$H,4,FALSE))</f>
        <v/>
      </c>
      <c r="F9" s="9" t="str">
        <f>IF($B9="","",VLOOKUP($B9,商品信息!$A:$H,5,FALSE))</f>
        <v/>
      </c>
      <c r="G9" s="9" t="str">
        <f>IF($B9="","",VLOOKUP($B9,商品信息!$A:$H,6,FALSE))</f>
        <v/>
      </c>
      <c r="H9" s="9" t="str">
        <f>IF($B9="","",VLOOKUP($B9,商品信息!$A:$H,7,FALSE))</f>
        <v/>
      </c>
      <c r="I9" s="8"/>
      <c r="J9" s="9" t="str">
        <f t="shared" si="0"/>
        <v/>
      </c>
    </row>
    <row r="10" spans="1:10" ht="15.6">
      <c r="A10" s="3"/>
      <c r="B10" s="8" t="s">
        <v>23</v>
      </c>
      <c r="C10" s="9" t="str">
        <f>IF($B10="","",VLOOKUP($B10,商品信息!$A:$H,2,FALSE))</f>
        <v/>
      </c>
      <c r="D10" s="9" t="str">
        <f>IF($B10="","",VLOOKUP($B10,商品信息!$A:$H,3,FALSE))</f>
        <v/>
      </c>
      <c r="E10" s="9" t="str">
        <f>IF($B10="","",VLOOKUP($B10,商品信息!$A:$H,4,FALSE))</f>
        <v/>
      </c>
      <c r="F10" s="9" t="str">
        <f>IF($B10="","",VLOOKUP($B10,商品信息!$A:$H,5,FALSE))</f>
        <v/>
      </c>
      <c r="G10" s="9" t="str">
        <f>IF($B10="","",VLOOKUP($B10,商品信息!$A:$H,6,FALSE))</f>
        <v/>
      </c>
      <c r="H10" s="9" t="str">
        <f>IF($B10="","",VLOOKUP($B10,商品信息!$A:$H,7,FALSE))</f>
        <v/>
      </c>
      <c r="I10" s="8"/>
      <c r="J10" s="9" t="str">
        <f t="shared" si="0"/>
        <v/>
      </c>
    </row>
    <row r="11" spans="1:10" ht="15.6">
      <c r="A11" s="3"/>
      <c r="B11" s="8" t="s">
        <v>23</v>
      </c>
      <c r="C11" s="9" t="str">
        <f>IF($B11="","",VLOOKUP($B11,商品信息!$A:$H,2,FALSE))</f>
        <v/>
      </c>
      <c r="D11" s="9" t="str">
        <f>IF($B11="","",VLOOKUP($B11,商品信息!$A:$H,3,FALSE))</f>
        <v/>
      </c>
      <c r="E11" s="9" t="str">
        <f>IF($B11="","",VLOOKUP($B11,商品信息!$A:$H,4,FALSE))</f>
        <v/>
      </c>
      <c r="F11" s="9" t="str">
        <f>IF($B11="","",VLOOKUP($B11,商品信息!$A:$H,5,FALSE))</f>
        <v/>
      </c>
      <c r="G11" s="9" t="str">
        <f>IF($B11="","",VLOOKUP($B11,商品信息!$A:$H,6,FALSE))</f>
        <v/>
      </c>
      <c r="H11" s="9" t="str">
        <f>IF($B11="","",VLOOKUP($B11,商品信息!$A:$H,7,FALSE))</f>
        <v/>
      </c>
      <c r="I11" s="8"/>
      <c r="J11" s="9" t="str">
        <f t="shared" si="0"/>
        <v/>
      </c>
    </row>
    <row r="12" spans="1:10" ht="15.6">
      <c r="A12" s="3"/>
      <c r="B12" s="8" t="s">
        <v>23</v>
      </c>
      <c r="C12" s="9" t="str">
        <f>IF($B12="","",VLOOKUP($B12,商品信息!$A:$H,2,FALSE))</f>
        <v/>
      </c>
      <c r="D12" s="9" t="str">
        <f>IF($B12="","",VLOOKUP($B12,商品信息!$A:$H,3,FALSE))</f>
        <v/>
      </c>
      <c r="E12" s="9" t="str">
        <f>IF($B12="","",VLOOKUP($B12,商品信息!$A:$H,4,FALSE))</f>
        <v/>
      </c>
      <c r="F12" s="9" t="str">
        <f>IF($B12="","",VLOOKUP($B12,商品信息!$A:$H,5,FALSE))</f>
        <v/>
      </c>
      <c r="G12" s="9" t="str">
        <f>IF($B12="","",VLOOKUP($B12,商品信息!$A:$H,6,FALSE))</f>
        <v/>
      </c>
      <c r="H12" s="9" t="str">
        <f>IF($B12="","",VLOOKUP($B12,商品信息!$A:$H,7,FALSE))</f>
        <v/>
      </c>
      <c r="I12" s="8"/>
      <c r="J12" s="9" t="str">
        <f t="shared" si="0"/>
        <v/>
      </c>
    </row>
    <row r="13" spans="1:10" ht="15.6">
      <c r="A13" s="3"/>
      <c r="B13" s="8" t="s">
        <v>23</v>
      </c>
      <c r="C13" s="9" t="str">
        <f>IF($B13="","",VLOOKUP($B13,商品信息!$A:$H,2,FALSE))</f>
        <v/>
      </c>
      <c r="D13" s="9" t="str">
        <f>IF($B13="","",VLOOKUP($B13,商品信息!$A:$H,3,FALSE))</f>
        <v/>
      </c>
      <c r="E13" s="9" t="str">
        <f>IF($B13="","",VLOOKUP($B13,商品信息!$A:$H,4,FALSE))</f>
        <v/>
      </c>
      <c r="F13" s="9" t="str">
        <f>IF($B13="","",VLOOKUP($B13,商品信息!$A:$H,5,FALSE))</f>
        <v/>
      </c>
      <c r="G13" s="9" t="str">
        <f>IF($B13="","",VLOOKUP($B13,商品信息!$A:$H,6,FALSE))</f>
        <v/>
      </c>
      <c r="H13" s="9" t="str">
        <f>IF($B13="","",VLOOKUP($B13,商品信息!$A:$H,7,FALSE))</f>
        <v/>
      </c>
      <c r="I13" s="8"/>
      <c r="J13" s="9" t="str">
        <f t="shared" si="0"/>
        <v/>
      </c>
    </row>
    <row r="14" spans="1:10" ht="16.2">
      <c r="A14" s="3"/>
      <c r="B14" s="42">
        <v>1</v>
      </c>
      <c r="C14" s="10" t="s">
        <v>57</v>
      </c>
      <c r="D14" s="11"/>
      <c r="E14" s="12"/>
      <c r="F14" s="12"/>
      <c r="G14" s="12"/>
      <c r="H14" s="12"/>
      <c r="I14" s="12">
        <f>SUM(I6:I13)</f>
        <v>0</v>
      </c>
      <c r="J14" s="23">
        <f>SUM(J6:J13)</f>
        <v>0</v>
      </c>
    </row>
    <row r="15" spans="1:10">
      <c r="A15" s="3"/>
      <c r="B15" s="13"/>
      <c r="C15" s="3"/>
      <c r="D15" s="3"/>
      <c r="E15" s="3"/>
      <c r="F15" s="3"/>
      <c r="G15" s="3"/>
      <c r="H15" s="3"/>
      <c r="I15" s="3"/>
      <c r="J15" s="3"/>
    </row>
    <row r="16" spans="1:10">
      <c r="A16" s="3"/>
      <c r="B16" s="94" t="str">
        <f>"以下货号无资料："&amp;IF(ISERROR(C6),B6,"")&amp;"；"&amp;IF(ISERROR(C7),B7,"")&amp;"；"&amp;IF(ISERROR(C8),B8,"")&amp;"；"&amp;IF(ISERROR(C9),B9,"")&amp;"；"&amp;IF(ISERROR(C10),B10,"")&amp;"；"&amp;IF(ISERROR(C11),B11,"")&amp;"；"&amp;IF(ISERROR(C12),B12,"")&amp;"；"&amp;IF(ISERROR(C13),B13,"")&amp;"；"</f>
        <v>以下货号无资料：；；；；；；；；</v>
      </c>
      <c r="C16" s="94"/>
      <c r="D16" s="94"/>
      <c r="E16" s="94"/>
      <c r="F16" s="94"/>
      <c r="G16" s="94"/>
      <c r="H16" s="94"/>
      <c r="I16" s="94"/>
      <c r="J16" s="94"/>
    </row>
    <row r="17" spans="1:10">
      <c r="A17" s="3"/>
      <c r="B17" s="3"/>
      <c r="C17" s="3"/>
      <c r="D17" s="3"/>
      <c r="E17" s="3"/>
      <c r="F17" s="3"/>
      <c r="G17" s="3"/>
      <c r="H17" s="3"/>
      <c r="I17" s="3"/>
      <c r="J17" s="3"/>
    </row>
    <row r="18" spans="1:10">
      <c r="A18" s="3"/>
      <c r="B18" s="3"/>
      <c r="C18" s="3"/>
      <c r="D18" s="3"/>
      <c r="E18" s="3"/>
      <c r="F18" s="3"/>
      <c r="G18" s="3"/>
      <c r="H18" s="3"/>
      <c r="I18" s="3"/>
      <c r="J18" s="3"/>
    </row>
    <row r="19" spans="1:10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>
      <c r="A30" s="24"/>
      <c r="B30" s="24"/>
      <c r="C30" s="24"/>
      <c r="D30" s="24"/>
      <c r="E30" s="24"/>
      <c r="F30" s="24"/>
      <c r="G30" s="24"/>
      <c r="H30" s="24"/>
      <c r="I30" s="24"/>
      <c r="J30" s="24"/>
    </row>
    <row r="31" spans="1:10">
      <c r="A31" s="24"/>
      <c r="B31" s="24"/>
      <c r="C31" s="24"/>
      <c r="D31" s="24"/>
      <c r="E31" s="24"/>
      <c r="F31" s="24"/>
      <c r="G31" s="24"/>
      <c r="H31" s="24"/>
      <c r="I31" s="24"/>
      <c r="J31" s="24"/>
    </row>
    <row r="32" spans="1:10">
      <c r="A32" s="24"/>
      <c r="B32" s="24"/>
      <c r="C32" s="24"/>
      <c r="D32" s="24"/>
      <c r="E32" s="24"/>
      <c r="F32" s="24"/>
      <c r="G32" s="24"/>
      <c r="H32" s="24"/>
      <c r="I32" s="24"/>
      <c r="J32" s="24"/>
    </row>
    <row r="33" spans="1:11" ht="32.4">
      <c r="A33" s="25"/>
      <c r="B33" s="95" t="s">
        <v>58</v>
      </c>
      <c r="C33" s="95"/>
      <c r="D33" s="95"/>
      <c r="E33" s="95"/>
      <c r="F33" s="95"/>
      <c r="G33" s="95"/>
      <c r="H33" s="95"/>
      <c r="I33" s="95"/>
      <c r="J33" s="15"/>
      <c r="K33" s="14"/>
    </row>
    <row r="34" spans="1:11">
      <c r="A34" s="25"/>
      <c r="B34" s="16"/>
      <c r="C34" s="16"/>
      <c r="D34" s="16"/>
      <c r="E34" s="16"/>
      <c r="F34" s="16"/>
      <c r="G34" s="16"/>
      <c r="H34" s="16"/>
      <c r="I34" s="16"/>
      <c r="J34" s="16"/>
      <c r="K34" s="14"/>
    </row>
    <row r="35" spans="1:11">
      <c r="A35" s="25"/>
      <c r="B35" s="89" t="str">
        <f>"需录入资料的货号："&amp;IF(ISERROR(C6),B6,"")&amp;"；"&amp;IF(ISERROR(C7),B7,"")&amp;"；"&amp;IF(ISERROR(C8),B8,"")&amp;"；"&amp;IF(ISERROR(C9),B9,"")&amp;"；"&amp;IF(ISERROR(C10),B10,"")&amp;"；"&amp;IF(ISERROR(C11),B11,"")&amp;"；"&amp;IF(ISERROR(C12),B12,"")&amp;"；"&amp;IF(ISERROR(C13),B13,"")&amp;"；"</f>
        <v>需录入资料的货号：；；；；；；；；</v>
      </c>
      <c r="C35" s="89"/>
      <c r="D35" s="89"/>
      <c r="E35" s="89"/>
      <c r="F35" s="89"/>
      <c r="G35" s="89"/>
      <c r="H35" s="89"/>
      <c r="I35" s="89"/>
      <c r="J35" s="17"/>
      <c r="K35" s="14"/>
    </row>
    <row r="36" spans="1:11">
      <c r="A36" s="25"/>
      <c r="B36" s="16"/>
      <c r="C36" s="16"/>
      <c r="D36" s="16"/>
      <c r="E36" s="16"/>
      <c r="F36" s="16"/>
      <c r="G36" s="16"/>
      <c r="H36" s="16"/>
      <c r="I36" s="16"/>
      <c r="J36" s="16"/>
      <c r="K36" s="14"/>
    </row>
    <row r="37" spans="1:11" ht="15.6">
      <c r="A37" s="14"/>
      <c r="B37" s="18" t="s">
        <v>48</v>
      </c>
      <c r="C37" s="18" t="s">
        <v>59</v>
      </c>
      <c r="D37" s="18" t="s">
        <v>50</v>
      </c>
      <c r="E37" s="18" t="s">
        <v>51</v>
      </c>
      <c r="F37" s="18" t="s">
        <v>60</v>
      </c>
      <c r="G37" s="18" t="s">
        <v>53</v>
      </c>
      <c r="H37" s="18" t="s">
        <v>54</v>
      </c>
      <c r="I37" s="18" t="s">
        <v>35</v>
      </c>
      <c r="J37" s="16"/>
      <c r="K37" s="14"/>
    </row>
    <row r="38" spans="1:11" ht="15.6">
      <c r="A38" s="14"/>
      <c r="B38" s="19" t="s">
        <v>23</v>
      </c>
      <c r="C38" s="59" t="s">
        <v>23</v>
      </c>
      <c r="D38" s="19" t="s">
        <v>23</v>
      </c>
      <c r="E38" s="59" t="s">
        <v>23</v>
      </c>
      <c r="F38" s="20" t="s">
        <v>23</v>
      </c>
      <c r="G38" s="20" t="s">
        <v>23</v>
      </c>
      <c r="H38" s="20" t="s">
        <v>23</v>
      </c>
      <c r="I38" s="19" t="s">
        <v>23</v>
      </c>
      <c r="J38" s="16"/>
      <c r="K38" s="14"/>
    </row>
    <row r="39" spans="1:11" ht="15.6">
      <c r="A39" s="14"/>
      <c r="B39" s="21" t="s">
        <v>23</v>
      </c>
      <c r="C39" s="22" t="s">
        <v>23</v>
      </c>
      <c r="D39" s="19" t="s">
        <v>23</v>
      </c>
      <c r="E39" s="22" t="s">
        <v>23</v>
      </c>
      <c r="F39" s="21" t="s">
        <v>23</v>
      </c>
      <c r="G39" s="21" t="s">
        <v>23</v>
      </c>
      <c r="H39" s="21" t="s">
        <v>23</v>
      </c>
      <c r="I39" s="21" t="s">
        <v>23</v>
      </c>
      <c r="J39" s="16"/>
      <c r="K39" s="14"/>
    </row>
    <row r="40" spans="1:11" ht="15.6">
      <c r="A40" s="14"/>
      <c r="B40" s="21" t="s">
        <v>23</v>
      </c>
      <c r="C40" s="22" t="s">
        <v>23</v>
      </c>
      <c r="D40" s="19" t="s">
        <v>23</v>
      </c>
      <c r="E40" s="21" t="s">
        <v>23</v>
      </c>
      <c r="F40" s="21" t="s">
        <v>23</v>
      </c>
      <c r="G40" s="21" t="s">
        <v>23</v>
      </c>
      <c r="H40" s="21" t="s">
        <v>23</v>
      </c>
      <c r="I40" s="21" t="s">
        <v>23</v>
      </c>
      <c r="J40" s="16"/>
      <c r="K40" s="14"/>
    </row>
    <row r="41" spans="1:11" ht="15.6">
      <c r="A41" s="14"/>
      <c r="B41" s="21" t="s">
        <v>23</v>
      </c>
      <c r="C41" s="22" t="s">
        <v>23</v>
      </c>
      <c r="D41" s="19" t="s">
        <v>23</v>
      </c>
      <c r="E41" s="21" t="s">
        <v>23</v>
      </c>
      <c r="F41" s="21" t="s">
        <v>23</v>
      </c>
      <c r="G41" s="21" t="s">
        <v>23</v>
      </c>
      <c r="H41" s="21" t="s">
        <v>23</v>
      </c>
      <c r="I41" s="21" t="s">
        <v>23</v>
      </c>
      <c r="J41" s="16"/>
      <c r="K41" s="14"/>
    </row>
    <row r="42" spans="1:11" ht="15.6">
      <c r="A42" s="14"/>
      <c r="B42" s="21" t="s">
        <v>23</v>
      </c>
      <c r="C42" s="22" t="s">
        <v>23</v>
      </c>
      <c r="D42" s="19" t="s">
        <v>23</v>
      </c>
      <c r="E42" s="21" t="s">
        <v>23</v>
      </c>
      <c r="F42" s="21" t="s">
        <v>23</v>
      </c>
      <c r="G42" s="21" t="s">
        <v>23</v>
      </c>
      <c r="H42" s="21" t="s">
        <v>23</v>
      </c>
      <c r="I42" s="21" t="s">
        <v>23</v>
      </c>
      <c r="J42" s="16"/>
      <c r="K42" s="14"/>
    </row>
    <row r="43" spans="1:11">
      <c r="A43" s="14"/>
      <c r="B43" s="21" t="s">
        <v>23</v>
      </c>
      <c r="C43" s="21" t="s">
        <v>23</v>
      </c>
      <c r="D43" s="19" t="s">
        <v>23</v>
      </c>
      <c r="E43" s="21" t="s">
        <v>23</v>
      </c>
      <c r="F43" s="21" t="s">
        <v>23</v>
      </c>
      <c r="G43" s="21" t="s">
        <v>23</v>
      </c>
      <c r="H43" s="21" t="s">
        <v>23</v>
      </c>
      <c r="I43" s="21" t="s">
        <v>23</v>
      </c>
      <c r="J43" s="16"/>
      <c r="K43" s="14"/>
    </row>
    <row r="44" spans="1:11">
      <c r="A44" s="14"/>
      <c r="B44" s="21" t="s">
        <v>23</v>
      </c>
      <c r="C44" s="21" t="s">
        <v>23</v>
      </c>
      <c r="D44" s="19" t="s">
        <v>23</v>
      </c>
      <c r="E44" s="21" t="s">
        <v>23</v>
      </c>
      <c r="F44" s="21" t="s">
        <v>23</v>
      </c>
      <c r="G44" s="21" t="s">
        <v>23</v>
      </c>
      <c r="H44" s="21" t="s">
        <v>23</v>
      </c>
      <c r="I44" s="21" t="s">
        <v>23</v>
      </c>
      <c r="J44" s="16"/>
      <c r="K44" s="14"/>
    </row>
    <row r="45" spans="1:11">
      <c r="A45" s="14"/>
      <c r="B45" s="21" t="s">
        <v>23</v>
      </c>
      <c r="C45" s="21" t="s">
        <v>23</v>
      </c>
      <c r="D45" s="19" t="s">
        <v>23</v>
      </c>
      <c r="E45" s="21" t="s">
        <v>23</v>
      </c>
      <c r="F45" s="21" t="s">
        <v>23</v>
      </c>
      <c r="G45" s="21" t="s">
        <v>23</v>
      </c>
      <c r="H45" s="21" t="s">
        <v>23</v>
      </c>
      <c r="I45" s="21" t="s">
        <v>23</v>
      </c>
      <c r="J45" s="16"/>
      <c r="K45" s="14"/>
    </row>
  </sheetData>
  <sheetProtection selectLockedCells="1"/>
  <mergeCells count="6">
    <mergeCell ref="B35:I35"/>
    <mergeCell ref="A2:J2"/>
    <mergeCell ref="C3:D3"/>
    <mergeCell ref="I3:J3"/>
    <mergeCell ref="B16:J16"/>
    <mergeCell ref="B33:I33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outlinePr showOutlineSymbols="0"/>
  </sheetPr>
  <dimension ref="A1:I21"/>
  <sheetViews>
    <sheetView showGridLines="0" showRowColHeaders="0" showZeros="0" showOutlineSymbols="0" workbookViewId="0">
      <selection activeCell="G9" sqref="G9"/>
    </sheetView>
  </sheetViews>
  <sheetFormatPr defaultColWidth="9" defaultRowHeight="14.4"/>
  <cols>
    <col min="1" max="2" width="9" style="61"/>
    <col min="3" max="3" width="10.33203125" style="61" bestFit="1" customWidth="1"/>
    <col min="4" max="4" width="9" style="61"/>
    <col min="5" max="5" width="11" style="61" customWidth="1"/>
    <col min="6" max="6" width="9" style="61"/>
    <col min="7" max="7" width="12.109375" style="61" bestFit="1" customWidth="1"/>
    <col min="8" max="16384" width="9" style="61"/>
  </cols>
  <sheetData>
    <row r="1" spans="1:9" ht="30.6">
      <c r="A1" s="60"/>
      <c r="B1" s="96" t="s">
        <v>61</v>
      </c>
      <c r="C1" s="96"/>
      <c r="D1" s="96"/>
      <c r="E1" s="96"/>
      <c r="F1" s="96"/>
      <c r="G1" s="96"/>
      <c r="H1" s="96"/>
      <c r="I1" s="96"/>
    </row>
    <row r="2" spans="1:9">
      <c r="A2" s="60"/>
      <c r="B2" s="62"/>
      <c r="C2" s="62"/>
      <c r="D2" s="62"/>
      <c r="E2" s="62"/>
      <c r="F2" s="62"/>
      <c r="G2" s="62"/>
      <c r="H2" s="60"/>
      <c r="I2" s="62"/>
    </row>
    <row r="3" spans="1:9" ht="15.6">
      <c r="A3" s="60"/>
      <c r="B3" s="63" t="s">
        <v>62</v>
      </c>
      <c r="C3" s="97"/>
      <c r="D3" s="98"/>
      <c r="E3" s="98"/>
      <c r="F3" s="64" t="s">
        <v>47</v>
      </c>
      <c r="G3" s="99">
        <v>39555.631249999999</v>
      </c>
      <c r="H3" s="99"/>
      <c r="I3" s="62"/>
    </row>
    <row r="4" spans="1:9" ht="15.6">
      <c r="A4" s="60"/>
      <c r="B4" s="65" t="s">
        <v>48</v>
      </c>
      <c r="C4" s="65" t="s">
        <v>49</v>
      </c>
      <c r="D4" s="65" t="s">
        <v>50</v>
      </c>
      <c r="E4" s="65" t="s">
        <v>55</v>
      </c>
      <c r="F4" s="65" t="s">
        <v>60</v>
      </c>
      <c r="G4" s="65" t="s">
        <v>56</v>
      </c>
      <c r="H4" s="65" t="s">
        <v>34</v>
      </c>
      <c r="I4" s="65" t="s">
        <v>35</v>
      </c>
    </row>
    <row r="5" spans="1:9" ht="16.2">
      <c r="A5" s="60"/>
      <c r="B5" s="66" t="s">
        <v>141</v>
      </c>
      <c r="C5" s="67" t="str">
        <f>IF($B5="","",VLOOKUP($B5,商品信息!$A:$H,2,FALSE))</f>
        <v>长虹</v>
      </c>
      <c r="D5" s="67" t="str">
        <f>IF($B5="","",VLOOKUP($B5,商品信息!$A:$H,3,FALSE))</f>
        <v>29寸</v>
      </c>
      <c r="E5" s="68">
        <v>2</v>
      </c>
      <c r="F5" s="67">
        <f>IF(B5="","",IF($E5&lt;10,VLOOKUP($B5,商品信息!$A:$H,7,FALSE),VLOOKUP($B5,商品信息!$A:$H,6,FALSE)))</f>
        <v>1900</v>
      </c>
      <c r="G5" s="69">
        <f>IF(B5="","",IF($H5&gt;0,E5*H5,E5*F5))</f>
        <v>3800</v>
      </c>
      <c r="H5" s="70"/>
      <c r="I5" s="70"/>
    </row>
    <row r="6" spans="1:9" ht="16.2">
      <c r="A6" s="60"/>
      <c r="B6" s="68"/>
      <c r="C6" s="67" t="str">
        <f>IF($B6="","",VLOOKUP($B6,商品信息!$A:$H,2,FALSE))</f>
        <v/>
      </c>
      <c r="D6" s="67" t="str">
        <f>IF($B6="","",VLOOKUP($B6,商品信息!$A:$H,3,FALSE))</f>
        <v/>
      </c>
      <c r="E6" s="68"/>
      <c r="F6" s="67" t="str">
        <f>IF(B6="","",IF($E6&lt;10,VLOOKUP($B6,商品信息!$A:$H,7,FALSE),VLOOKUP($B6,商品信息!$A:$H,6,FALSE)))</f>
        <v/>
      </c>
      <c r="G6" s="69" t="str">
        <f t="shared" ref="G6:G12" si="0">IF(B6="","",IF($H6&gt;0,E6*H6,E6*F6))</f>
        <v/>
      </c>
      <c r="H6" s="70"/>
      <c r="I6" s="70"/>
    </row>
    <row r="7" spans="1:9" ht="16.2">
      <c r="A7" s="60"/>
      <c r="B7" s="68"/>
      <c r="C7" s="67" t="str">
        <f>IF($B7="","",VLOOKUP($B7,商品信息!$A:$H,2,FALSE))</f>
        <v/>
      </c>
      <c r="D7" s="67" t="str">
        <f>IF($B7="","",VLOOKUP($B7,商品信息!$A:$H,3,FALSE))</f>
        <v/>
      </c>
      <c r="E7" s="68"/>
      <c r="F7" s="67" t="str">
        <f>IF(B7="","",IF($E7&lt;10,VLOOKUP($B7,商品信息!$A:$H,7,FALSE),VLOOKUP($B7,商品信息!$A:$H,6,FALSE)))</f>
        <v/>
      </c>
      <c r="G7" s="69" t="str">
        <f t="shared" si="0"/>
        <v/>
      </c>
      <c r="H7" s="70"/>
      <c r="I7" s="70"/>
    </row>
    <row r="8" spans="1:9" ht="16.2">
      <c r="A8" s="60"/>
      <c r="B8" s="68"/>
      <c r="C8" s="67" t="str">
        <f>IF($B8="","",VLOOKUP($B8,商品信息!$A:$H,2,FALSE))</f>
        <v/>
      </c>
      <c r="D8" s="67" t="str">
        <f>IF($B8="","",VLOOKUP($B8,商品信息!$A:$H,3,FALSE))</f>
        <v/>
      </c>
      <c r="E8" s="68"/>
      <c r="F8" s="67" t="str">
        <f>IF(B8="","",IF($E8&lt;10,VLOOKUP($B8,商品信息!$A:$H,7,FALSE),VLOOKUP($B8,商品信息!$A:$H,6,FALSE)))</f>
        <v/>
      </c>
      <c r="G8" s="69" t="str">
        <f t="shared" si="0"/>
        <v/>
      </c>
      <c r="H8" s="70"/>
      <c r="I8" s="70"/>
    </row>
    <row r="9" spans="1:9" ht="16.2">
      <c r="A9" s="60"/>
      <c r="B9" s="68"/>
      <c r="C9" s="67" t="str">
        <f>IF($B9="","",VLOOKUP($B9,商品信息!$A:$H,2,FALSE))</f>
        <v/>
      </c>
      <c r="D9" s="67" t="str">
        <f>IF($B9="","",VLOOKUP($B9,商品信息!$A:$H,3,FALSE))</f>
        <v/>
      </c>
      <c r="E9" s="68"/>
      <c r="F9" s="67" t="str">
        <f>IF(B9="","",IF($E9&lt;10,VLOOKUP($B9,商品信息!$A:$H,7,FALSE),VLOOKUP($B9,商品信息!$A:$H,6,FALSE)))</f>
        <v/>
      </c>
      <c r="G9" s="69" t="str">
        <f t="shared" si="0"/>
        <v/>
      </c>
      <c r="H9" s="70"/>
      <c r="I9" s="70"/>
    </row>
    <row r="10" spans="1:9" ht="16.2">
      <c r="A10" s="60"/>
      <c r="B10" s="68"/>
      <c r="C10" s="67" t="str">
        <f>IF($B10="","",VLOOKUP($B10,商品信息!$A:$H,2,FALSE))</f>
        <v/>
      </c>
      <c r="D10" s="67" t="str">
        <f>IF($B10="","",VLOOKUP($B10,商品信息!$A:$H,3,FALSE))</f>
        <v/>
      </c>
      <c r="E10" s="68"/>
      <c r="F10" s="67" t="str">
        <f>IF(B10="","",IF($E10&lt;10,VLOOKUP($B10,商品信息!$A:$H,7,FALSE),VLOOKUP($B10,商品信息!$A:$H,6,FALSE)))</f>
        <v/>
      </c>
      <c r="G10" s="69" t="str">
        <f t="shared" si="0"/>
        <v/>
      </c>
      <c r="H10" s="70"/>
      <c r="I10" s="70"/>
    </row>
    <row r="11" spans="1:9" ht="16.2">
      <c r="A11" s="60"/>
      <c r="B11" s="68"/>
      <c r="C11" s="67" t="str">
        <f>IF($B11="","",VLOOKUP($B11,商品信息!$A:$H,2,FALSE))</f>
        <v/>
      </c>
      <c r="D11" s="67" t="str">
        <f>IF($B11="","",VLOOKUP($B11,商品信息!$A:$H,3,FALSE))</f>
        <v/>
      </c>
      <c r="E11" s="68"/>
      <c r="F11" s="67" t="str">
        <f>IF(B11="","",IF($E11&lt;10,VLOOKUP($B11,商品信息!$A:$H,7,FALSE),VLOOKUP($B11,商品信息!$A:$H,6,FALSE)))</f>
        <v/>
      </c>
      <c r="G11" s="69" t="str">
        <f t="shared" si="0"/>
        <v/>
      </c>
      <c r="H11" s="70"/>
      <c r="I11" s="70"/>
    </row>
    <row r="12" spans="1:9" ht="16.2">
      <c r="A12" s="60"/>
      <c r="B12" s="68"/>
      <c r="C12" s="67" t="str">
        <f>IF($B12="","",VLOOKUP($B12,商品信息!$A:$H,2,FALSE))</f>
        <v/>
      </c>
      <c r="D12" s="67" t="str">
        <f>IF($B12="","",VLOOKUP($B12,商品信息!$A:$H,3,FALSE))</f>
        <v/>
      </c>
      <c r="E12" s="68"/>
      <c r="F12" s="67" t="str">
        <f>IF(B12="","",IF($E12&lt;10,VLOOKUP($B12,商品信息!$A:$H,7,FALSE),VLOOKUP($B12,商品信息!$A:$H,6,FALSE)))</f>
        <v/>
      </c>
      <c r="G12" s="69" t="str">
        <f t="shared" si="0"/>
        <v/>
      </c>
      <c r="H12" s="70"/>
      <c r="I12" s="70"/>
    </row>
    <row r="13" spans="1:9" ht="16.2">
      <c r="A13" s="60"/>
      <c r="B13" s="71"/>
      <c r="C13" s="72" t="s">
        <v>57</v>
      </c>
      <c r="D13" s="73"/>
      <c r="E13" s="69"/>
      <c r="F13" s="69"/>
      <c r="G13" s="74">
        <f>SUM(G5:G12)</f>
        <v>3800</v>
      </c>
      <c r="H13" s="74">
        <f>SUM(H5:H12)</f>
        <v>0</v>
      </c>
      <c r="I13" s="70"/>
    </row>
    <row r="14" spans="1:9">
      <c r="A14" s="60"/>
      <c r="B14" s="75">
        <v>0</v>
      </c>
      <c r="C14" s="60"/>
      <c r="D14" s="60"/>
      <c r="E14" s="60"/>
      <c r="F14" s="60"/>
      <c r="G14" s="60"/>
      <c r="H14" s="60"/>
      <c r="I14" s="62"/>
    </row>
    <row r="15" spans="1:9" ht="15.6">
      <c r="A15" s="60"/>
      <c r="B15" s="76" t="s">
        <v>63</v>
      </c>
      <c r="C15" s="77">
        <v>3000</v>
      </c>
      <c r="D15" s="76" t="s">
        <v>64</v>
      </c>
      <c r="E15" s="78">
        <f>IF(C15=0,"",C15-G13-H13)</f>
        <v>-800</v>
      </c>
      <c r="F15" s="60"/>
      <c r="G15" s="60"/>
      <c r="H15" s="76" t="s">
        <v>65</v>
      </c>
      <c r="I15" s="79" t="s">
        <v>66</v>
      </c>
    </row>
    <row r="16" spans="1:9">
      <c r="A16" s="60"/>
      <c r="B16" s="60"/>
      <c r="C16" s="60"/>
      <c r="D16" s="60"/>
      <c r="E16" s="60"/>
      <c r="F16" s="60"/>
      <c r="G16" s="60"/>
      <c r="H16" s="60"/>
      <c r="I16" s="62"/>
    </row>
    <row r="17" spans="1:9">
      <c r="A17" s="60"/>
      <c r="B17" s="60"/>
      <c r="C17" s="60"/>
      <c r="D17" s="60"/>
      <c r="E17" s="60"/>
      <c r="F17" s="60"/>
      <c r="G17" s="60"/>
      <c r="H17" s="60"/>
      <c r="I17" s="62"/>
    </row>
    <row r="18" spans="1:9">
      <c r="A18" s="60"/>
      <c r="B18" s="60"/>
      <c r="C18" s="60"/>
      <c r="D18" s="60"/>
      <c r="E18" s="60"/>
      <c r="F18" s="60"/>
      <c r="G18" s="60"/>
      <c r="H18" s="60"/>
      <c r="I18" s="62"/>
    </row>
    <row r="19" spans="1:9">
      <c r="A19" s="60"/>
      <c r="B19" s="60"/>
      <c r="C19" s="60"/>
      <c r="D19" s="60"/>
      <c r="E19" s="60"/>
      <c r="F19" s="60"/>
      <c r="G19" s="60"/>
      <c r="H19" s="60"/>
      <c r="I19" s="62"/>
    </row>
    <row r="20" spans="1:9">
      <c r="A20" s="60"/>
      <c r="B20" s="60"/>
      <c r="C20" s="60"/>
      <c r="D20" s="60"/>
      <c r="E20" s="60"/>
      <c r="F20" s="60"/>
      <c r="G20" s="60"/>
      <c r="H20" s="60"/>
      <c r="I20" s="62"/>
    </row>
    <row r="21" spans="1:9">
      <c r="A21" s="60"/>
      <c r="B21" s="60"/>
      <c r="C21" s="60"/>
      <c r="D21" s="60"/>
      <c r="E21" s="60"/>
      <c r="F21" s="60"/>
      <c r="G21" s="60"/>
      <c r="H21" s="60"/>
      <c r="I21" s="62"/>
    </row>
  </sheetData>
  <mergeCells count="3">
    <mergeCell ref="B1:I1"/>
    <mergeCell ref="C3:E3"/>
    <mergeCell ref="G3:H3"/>
  </mergeCells>
  <phoneticPr fontId="1" type="noConversion"/>
  <dataValidations count="1">
    <dataValidation type="list" allowBlank="1" showInputMessage="1" showErrorMessage="1" sqref="I15">
      <formula1>xsry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outlinePr showOutlineSymbols="0"/>
  </sheetPr>
  <dimension ref="A1:I8"/>
  <sheetViews>
    <sheetView showGridLines="0" showRowColHeaders="0" showZeros="0" showOutlineSymbols="0" workbookViewId="0">
      <selection activeCell="C2" sqref="C2"/>
    </sheetView>
  </sheetViews>
  <sheetFormatPr defaultRowHeight="14.4"/>
  <cols>
    <col min="1" max="1" width="17.21875" bestFit="1" customWidth="1"/>
    <col min="3" max="3" width="9.44140625" bestFit="1" customWidth="1"/>
    <col min="5" max="5" width="9.44140625" bestFit="1" customWidth="1"/>
  </cols>
  <sheetData>
    <row r="1" spans="1:9" ht="30.6">
      <c r="A1" s="90" t="s">
        <v>67</v>
      </c>
      <c r="B1" s="90"/>
      <c r="C1" s="90"/>
      <c r="D1" s="90"/>
      <c r="E1" s="90"/>
      <c r="F1" s="90"/>
      <c r="G1" s="90"/>
      <c r="H1" s="90"/>
      <c r="I1" s="90"/>
    </row>
    <row r="2" spans="1:9" ht="19.5" customHeight="1">
      <c r="A2" s="26"/>
      <c r="B2" s="27" t="s">
        <v>68</v>
      </c>
      <c r="C2" s="28">
        <v>39448</v>
      </c>
      <c r="D2" s="29" t="s">
        <v>69</v>
      </c>
      <c r="E2" s="30">
        <v>39569</v>
      </c>
      <c r="F2" s="26"/>
      <c r="G2" s="26"/>
      <c r="H2" s="26"/>
      <c r="I2" s="26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 ht="15.6">
      <c r="A4" s="2" t="s">
        <v>70</v>
      </c>
      <c r="B4" s="2" t="s">
        <v>0</v>
      </c>
      <c r="C4" s="2" t="s">
        <v>1</v>
      </c>
      <c r="D4" s="2" t="s">
        <v>2</v>
      </c>
      <c r="E4" s="2" t="s">
        <v>71</v>
      </c>
      <c r="F4" s="2" t="s">
        <v>72</v>
      </c>
      <c r="G4" s="2" t="s">
        <v>73</v>
      </c>
      <c r="H4" s="2" t="s">
        <v>4</v>
      </c>
      <c r="I4" s="2" t="s">
        <v>74</v>
      </c>
    </row>
    <row r="5" spans="1:9">
      <c r="A5" s="83">
        <v>39555.6315888889</v>
      </c>
      <c r="B5" s="55" t="s">
        <v>8</v>
      </c>
      <c r="C5" s="55" t="s">
        <v>9</v>
      </c>
      <c r="D5" s="55" t="s">
        <v>10</v>
      </c>
      <c r="E5" s="55">
        <v>2</v>
      </c>
      <c r="F5" s="55">
        <v>1900</v>
      </c>
      <c r="G5" s="55">
        <v>3800</v>
      </c>
      <c r="H5" s="55">
        <v>3600</v>
      </c>
      <c r="I5" s="55">
        <v>200</v>
      </c>
    </row>
    <row r="6" spans="1:9">
      <c r="A6" s="83">
        <v>39556.662520601902</v>
      </c>
      <c r="B6" s="55" t="s">
        <v>8</v>
      </c>
      <c r="C6" s="55" t="s">
        <v>9</v>
      </c>
      <c r="D6" s="55" t="s">
        <v>10</v>
      </c>
      <c r="E6" s="55">
        <v>1</v>
      </c>
      <c r="F6" s="55">
        <v>1900</v>
      </c>
      <c r="G6" s="55">
        <v>1900</v>
      </c>
      <c r="H6" s="55">
        <v>1800</v>
      </c>
      <c r="I6" s="55">
        <v>100</v>
      </c>
    </row>
    <row r="7" spans="1:9">
      <c r="A7" s="83">
        <v>39556.662520601902</v>
      </c>
      <c r="B7" s="55" t="s">
        <v>20</v>
      </c>
      <c r="C7" s="55" t="s">
        <v>21</v>
      </c>
      <c r="D7" s="55" t="s">
        <v>16</v>
      </c>
      <c r="E7" s="55">
        <v>2</v>
      </c>
      <c r="F7" s="55" t="s">
        <v>43</v>
      </c>
      <c r="G7" s="55">
        <v>4200</v>
      </c>
      <c r="H7" s="55">
        <v>3700</v>
      </c>
      <c r="I7" s="55">
        <v>500</v>
      </c>
    </row>
    <row r="8" spans="1:9">
      <c r="A8" s="55" t="s">
        <v>75</v>
      </c>
      <c r="B8" s="55"/>
      <c r="C8" s="55"/>
      <c r="D8" s="55"/>
      <c r="E8" s="55"/>
      <c r="F8" s="55"/>
      <c r="G8" s="55">
        <f>SUM(G5:G7)</f>
        <v>9900</v>
      </c>
      <c r="H8" s="55"/>
      <c r="I8" s="55">
        <f>SUM(I5:I7)</f>
        <v>800</v>
      </c>
    </row>
  </sheetData>
  <sheetProtection password="CC7A" sheet="1" objects="1" scenarios="1"/>
  <mergeCells count="1">
    <mergeCell ref="A1:I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outlinePr showOutlineSymbols="0"/>
  </sheetPr>
  <dimension ref="A1:J4"/>
  <sheetViews>
    <sheetView showGridLines="0" showRowColHeaders="0" showZeros="0" showOutlineSymbols="0" workbookViewId="0">
      <selection activeCell="C2" sqref="C2"/>
    </sheetView>
  </sheetViews>
  <sheetFormatPr defaultRowHeight="14.4"/>
  <cols>
    <col min="1" max="1" width="16.109375" bestFit="1" customWidth="1"/>
    <col min="2" max="2" width="8.109375" bestFit="1" customWidth="1"/>
    <col min="3" max="3" width="9.44140625" bestFit="1" customWidth="1"/>
    <col min="4" max="4" width="6.33203125" bestFit="1" customWidth="1"/>
    <col min="5" max="5" width="9.44140625" bestFit="1" customWidth="1"/>
    <col min="6" max="6" width="6" bestFit="1" customWidth="1"/>
    <col min="7" max="7" width="10.44140625" bestFit="1" customWidth="1"/>
    <col min="8" max="8" width="11.6640625" bestFit="1" customWidth="1"/>
    <col min="9" max="10" width="10.44140625" bestFit="1" customWidth="1"/>
  </cols>
  <sheetData>
    <row r="1" spans="1:10" ht="30.6">
      <c r="A1" s="90" t="s">
        <v>76</v>
      </c>
      <c r="B1" s="90"/>
      <c r="C1" s="90"/>
      <c r="D1" s="90"/>
      <c r="E1" s="90"/>
      <c r="F1" s="90"/>
      <c r="G1" s="90"/>
      <c r="H1" s="90"/>
      <c r="I1" s="90"/>
      <c r="J1" s="90"/>
    </row>
    <row r="2" spans="1:10" ht="18.75" customHeight="1">
      <c r="A2" s="26"/>
      <c r="B2" s="27" t="s">
        <v>77</v>
      </c>
      <c r="C2" s="28">
        <v>39448</v>
      </c>
      <c r="D2" s="29" t="s">
        <v>78</v>
      </c>
      <c r="E2" s="30">
        <v>39569</v>
      </c>
      <c r="F2" s="26"/>
      <c r="G2" s="26"/>
      <c r="H2" s="26"/>
      <c r="I2" s="26"/>
      <c r="J2" s="26"/>
    </row>
    <row r="3" spans="1:10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ht="15.6">
      <c r="A4" s="2" t="s">
        <v>27</v>
      </c>
      <c r="B4" s="2" t="s">
        <v>28</v>
      </c>
      <c r="C4" s="2" t="s">
        <v>29</v>
      </c>
      <c r="D4" s="2" t="s">
        <v>30</v>
      </c>
      <c r="E4" s="2" t="s">
        <v>36</v>
      </c>
      <c r="F4" s="2" t="s">
        <v>31</v>
      </c>
      <c r="G4" s="2" t="s">
        <v>37</v>
      </c>
      <c r="H4" s="2" t="s">
        <v>33</v>
      </c>
      <c r="I4" s="2" t="s">
        <v>79</v>
      </c>
      <c r="J4" s="2" t="s">
        <v>80</v>
      </c>
    </row>
  </sheetData>
  <mergeCells count="1">
    <mergeCell ref="A1:J1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outlinePr showOutlineSymbols="0"/>
  </sheetPr>
  <dimension ref="A1:K10"/>
  <sheetViews>
    <sheetView showGridLines="0" showRowColHeaders="0" showZeros="0" showOutlineSymbols="0" workbookViewId="0">
      <selection activeCell="B2" sqref="B2"/>
    </sheetView>
  </sheetViews>
  <sheetFormatPr defaultRowHeight="14.4"/>
  <cols>
    <col min="1" max="1" width="17.21875" bestFit="1" customWidth="1"/>
    <col min="2" max="2" width="14.109375" bestFit="1" customWidth="1"/>
    <col min="3" max="3" width="6" bestFit="1" customWidth="1"/>
    <col min="4" max="4" width="10.44140625" bestFit="1" customWidth="1"/>
    <col min="5" max="5" width="11.88671875" bestFit="1" customWidth="1"/>
    <col min="6" max="6" width="6" bestFit="1" customWidth="1"/>
    <col min="7" max="7" width="11.88671875" bestFit="1" customWidth="1"/>
    <col min="8" max="8" width="10.44140625" bestFit="1" customWidth="1"/>
    <col min="9" max="9" width="6" bestFit="1" customWidth="1"/>
    <col min="10" max="10" width="10.44140625" bestFit="1" customWidth="1"/>
    <col min="11" max="11" width="11.6640625" bestFit="1" customWidth="1"/>
  </cols>
  <sheetData>
    <row r="1" spans="1:11" ht="30.6">
      <c r="A1" s="90" t="s">
        <v>81</v>
      </c>
      <c r="B1" s="90"/>
      <c r="C1" s="90"/>
      <c r="D1" s="90"/>
      <c r="E1" s="90"/>
      <c r="F1" s="90"/>
      <c r="G1" s="90"/>
      <c r="H1" s="90"/>
      <c r="I1" s="90"/>
      <c r="J1" s="90"/>
      <c r="K1" s="90"/>
    </row>
    <row r="2" spans="1:11" ht="17.399999999999999">
      <c r="A2" s="32" t="s">
        <v>82</v>
      </c>
      <c r="B2" s="33" t="s">
        <v>38</v>
      </c>
      <c r="C2" s="29"/>
      <c r="D2" s="32" t="s">
        <v>77</v>
      </c>
      <c r="E2" s="34">
        <v>39448</v>
      </c>
      <c r="F2" s="29" t="s">
        <v>78</v>
      </c>
      <c r="G2" s="34">
        <v>39569</v>
      </c>
      <c r="H2" s="29"/>
      <c r="I2" s="29"/>
      <c r="J2" s="26"/>
      <c r="K2" s="26"/>
    </row>
    <row r="3" spans="1:11" ht="17.399999999999999">
      <c r="A3" s="32" t="s">
        <v>83</v>
      </c>
      <c r="B3" s="35" t="str">
        <f>VLOOKUP($B$2,供货!$B:$J,2,FALSE)</f>
        <v>长虹</v>
      </c>
      <c r="C3" s="36"/>
      <c r="D3" s="32" t="s">
        <v>84</v>
      </c>
      <c r="E3" s="100" t="str">
        <f>VLOOKUP($B$2,供货!$B:$J,3,FALSE)</f>
        <v>29寸</v>
      </c>
      <c r="F3" s="100"/>
      <c r="G3" s="32" t="s">
        <v>85</v>
      </c>
      <c r="H3" s="100" t="str">
        <f>VLOOKUP($B$2,供货!$B:$J,4,FALSE)</f>
        <v>四川</v>
      </c>
      <c r="I3" s="100"/>
      <c r="J3" s="101"/>
      <c r="K3" s="101"/>
    </row>
    <row r="4" spans="1:11" ht="14.25" customHeight="1">
      <c r="A4" s="102"/>
      <c r="B4" s="103"/>
      <c r="C4" s="102" t="s">
        <v>86</v>
      </c>
      <c r="D4" s="103"/>
      <c r="E4" s="103"/>
      <c r="F4" s="102" t="s">
        <v>87</v>
      </c>
      <c r="G4" s="103"/>
      <c r="H4" s="103"/>
      <c r="I4" s="102" t="s">
        <v>88</v>
      </c>
      <c r="J4" s="103"/>
      <c r="K4" s="103"/>
    </row>
    <row r="5" spans="1:11" hidden="1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1:11" ht="16.2">
      <c r="A6" s="38" t="s">
        <v>27</v>
      </c>
      <c r="B6" s="38" t="s">
        <v>89</v>
      </c>
      <c r="C6" s="38" t="s">
        <v>31</v>
      </c>
      <c r="D6" s="38" t="s">
        <v>32</v>
      </c>
      <c r="E6" s="38" t="s">
        <v>33</v>
      </c>
      <c r="F6" s="38" t="s">
        <v>31</v>
      </c>
      <c r="G6" s="38" t="s">
        <v>32</v>
      </c>
      <c r="H6" s="38" t="s">
        <v>33</v>
      </c>
      <c r="I6" s="38" t="s">
        <v>31</v>
      </c>
      <c r="J6" s="38" t="s">
        <v>32</v>
      </c>
      <c r="K6" s="38" t="s">
        <v>33</v>
      </c>
    </row>
    <row r="7" spans="1:11">
      <c r="A7" s="83">
        <v>39555.6315888889</v>
      </c>
      <c r="B7" s="55" t="s">
        <v>138</v>
      </c>
      <c r="C7" s="55"/>
      <c r="D7" s="55"/>
      <c r="E7" s="55"/>
      <c r="F7" s="55">
        <v>2</v>
      </c>
      <c r="G7" s="84">
        <v>1900</v>
      </c>
      <c r="H7" s="84">
        <v>3800</v>
      </c>
      <c r="I7" s="55">
        <v>-2</v>
      </c>
      <c r="J7" s="84">
        <v>0</v>
      </c>
      <c r="K7" s="84">
        <v>0</v>
      </c>
    </row>
    <row r="8" spans="1:11">
      <c r="A8" s="83">
        <v>39556.662520601902</v>
      </c>
      <c r="B8" s="55"/>
      <c r="C8" s="55"/>
      <c r="D8" s="55"/>
      <c r="E8" s="55"/>
      <c r="F8" s="55">
        <v>1</v>
      </c>
      <c r="G8" s="84">
        <v>1900</v>
      </c>
      <c r="H8" s="84">
        <v>1900</v>
      </c>
      <c r="I8" s="55">
        <v>-3</v>
      </c>
      <c r="J8" s="84">
        <v>0</v>
      </c>
      <c r="K8" s="84">
        <v>0</v>
      </c>
    </row>
    <row r="9" spans="1:11">
      <c r="A9" s="83">
        <v>39556.6631694444</v>
      </c>
      <c r="B9" s="55" t="s">
        <v>44</v>
      </c>
      <c r="C9" s="55">
        <v>10</v>
      </c>
      <c r="D9" s="84">
        <v>1800</v>
      </c>
      <c r="E9" s="84">
        <v>18000</v>
      </c>
      <c r="F9" s="55"/>
      <c r="G9" s="55"/>
      <c r="H9" s="55"/>
      <c r="I9" s="55">
        <v>7</v>
      </c>
      <c r="J9" s="84">
        <v>2571.4299999999998</v>
      </c>
      <c r="K9" s="84">
        <v>18000</v>
      </c>
    </row>
    <row r="10" spans="1:11">
      <c r="A10" s="55" t="s">
        <v>75</v>
      </c>
      <c r="B10" s="55"/>
      <c r="C10" s="55">
        <f>SUM(C7:C9)</f>
        <v>10</v>
      </c>
      <c r="D10" s="55"/>
      <c r="E10" s="84">
        <f>SUM(E7:E9)</f>
        <v>18000</v>
      </c>
      <c r="F10" s="55">
        <f>SUM(F7:F9)</f>
        <v>3</v>
      </c>
      <c r="G10" s="55"/>
      <c r="H10" s="84">
        <f>SUM(H7:H9)</f>
        <v>5700</v>
      </c>
      <c r="I10" s="55">
        <f>SUM(I7:I9)</f>
        <v>2</v>
      </c>
      <c r="J10" s="84">
        <v>9000</v>
      </c>
      <c r="K10" s="84">
        <f>SUM(K7:K9)</f>
        <v>18000</v>
      </c>
    </row>
  </sheetData>
  <sheetProtection password="CC7A" sheet="1" objects="1" scenarios="1"/>
  <sortState ref="A7:K9">
    <sortCondition ref="A7"/>
  </sortState>
  <mergeCells count="8">
    <mergeCell ref="A1:K1"/>
    <mergeCell ref="E3:F3"/>
    <mergeCell ref="H3:I3"/>
    <mergeCell ref="J3:K3"/>
    <mergeCell ref="A4:B4"/>
    <mergeCell ref="C4:E4"/>
    <mergeCell ref="F4:H4"/>
    <mergeCell ref="I4:K4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outlinePr showOutlineSymbols="0"/>
  </sheetPr>
  <dimension ref="A1:J9"/>
  <sheetViews>
    <sheetView showGridLines="0" showRowColHeaders="0" showZeros="0" showOutlineSymbols="0" workbookViewId="0">
      <selection activeCell="B2" sqref="B2:C2"/>
    </sheetView>
  </sheetViews>
  <sheetFormatPr defaultRowHeight="14.4"/>
  <cols>
    <col min="1" max="1" width="17.21875" bestFit="1" customWidth="1"/>
    <col min="2" max="2" width="6.44140625" bestFit="1" customWidth="1"/>
    <col min="3" max="3" width="9" bestFit="1" customWidth="1"/>
    <col min="4" max="9" width="6" bestFit="1" customWidth="1"/>
    <col min="10" max="10" width="8.109375" bestFit="1" customWidth="1"/>
  </cols>
  <sheetData>
    <row r="1" spans="1:10" ht="30.6">
      <c r="A1" s="90" t="s">
        <v>90</v>
      </c>
      <c r="B1" s="90"/>
      <c r="C1" s="90"/>
      <c r="D1" s="90"/>
      <c r="E1" s="90"/>
      <c r="F1" s="90"/>
      <c r="G1" s="90"/>
      <c r="H1" s="90"/>
      <c r="I1" s="90"/>
      <c r="J1" s="90"/>
    </row>
    <row r="2" spans="1:10" ht="16.2">
      <c r="A2" s="27" t="s">
        <v>91</v>
      </c>
      <c r="B2" s="104" t="s">
        <v>66</v>
      </c>
      <c r="C2" s="104"/>
      <c r="D2" s="29"/>
      <c r="E2" s="40"/>
      <c r="F2" s="40"/>
      <c r="G2" s="40"/>
      <c r="H2" s="40"/>
      <c r="I2" s="40"/>
      <c r="J2" s="40"/>
    </row>
    <row r="3" spans="1:10" ht="16.2">
      <c r="A3" s="27" t="s">
        <v>68</v>
      </c>
      <c r="B3" s="105">
        <v>39448</v>
      </c>
      <c r="C3" s="106"/>
      <c r="D3" s="29" t="s">
        <v>69</v>
      </c>
      <c r="E3" s="107">
        <v>39569</v>
      </c>
      <c r="F3" s="104"/>
      <c r="G3" s="40"/>
      <c r="H3" s="40"/>
      <c r="I3" s="40"/>
      <c r="J3" s="40"/>
    </row>
    <row r="4" spans="1:10">
      <c r="A4" s="37"/>
      <c r="B4" s="37"/>
      <c r="C4" s="37"/>
      <c r="D4" s="37"/>
      <c r="E4" s="37"/>
      <c r="F4" s="37"/>
      <c r="G4" s="37"/>
      <c r="H4" s="37"/>
      <c r="I4" s="37"/>
      <c r="J4" s="37"/>
    </row>
    <row r="5" spans="1:10" ht="15.6">
      <c r="A5" s="38" t="s">
        <v>70</v>
      </c>
      <c r="B5" s="38" t="s">
        <v>0</v>
      </c>
      <c r="C5" s="38" t="s">
        <v>1</v>
      </c>
      <c r="D5" s="38" t="s">
        <v>2</v>
      </c>
      <c r="E5" s="38" t="s">
        <v>3</v>
      </c>
      <c r="F5" s="38" t="s">
        <v>71</v>
      </c>
      <c r="G5" s="38" t="s">
        <v>72</v>
      </c>
      <c r="H5" s="38" t="s">
        <v>73</v>
      </c>
      <c r="I5" s="38" t="s">
        <v>4</v>
      </c>
      <c r="J5" s="38" t="s">
        <v>74</v>
      </c>
    </row>
    <row r="6" spans="1:10">
      <c r="A6" s="83">
        <v>39555.6315888889</v>
      </c>
      <c r="B6" s="55" t="s">
        <v>8</v>
      </c>
      <c r="C6" s="55" t="s">
        <v>9</v>
      </c>
      <c r="D6" s="55" t="s">
        <v>10</v>
      </c>
      <c r="E6" s="55" t="s">
        <v>11</v>
      </c>
      <c r="F6" s="55">
        <v>2</v>
      </c>
      <c r="G6" s="55">
        <v>1900</v>
      </c>
      <c r="H6" s="55">
        <v>3800</v>
      </c>
      <c r="I6" s="55">
        <v>1800</v>
      </c>
      <c r="J6" s="55">
        <v>200</v>
      </c>
    </row>
    <row r="7" spans="1:10">
      <c r="A7" s="83">
        <v>39556.662520601902</v>
      </c>
      <c r="B7" s="55" t="s">
        <v>8</v>
      </c>
      <c r="C7" s="55" t="s">
        <v>9</v>
      </c>
      <c r="D7" s="55" t="s">
        <v>10</v>
      </c>
      <c r="E7" s="55" t="s">
        <v>11</v>
      </c>
      <c r="F7" s="55">
        <v>1</v>
      </c>
      <c r="G7" s="55">
        <v>1900</v>
      </c>
      <c r="H7" s="55">
        <v>1900</v>
      </c>
      <c r="I7" s="55">
        <v>1800</v>
      </c>
      <c r="J7" s="55">
        <v>100</v>
      </c>
    </row>
    <row r="8" spans="1:10">
      <c r="A8" s="83">
        <v>39556.662520601902</v>
      </c>
      <c r="B8" s="55" t="s">
        <v>20</v>
      </c>
      <c r="C8" s="55" t="s">
        <v>21</v>
      </c>
      <c r="D8" s="55" t="s">
        <v>16</v>
      </c>
      <c r="E8" s="55" t="s">
        <v>22</v>
      </c>
      <c r="F8" s="55">
        <v>2</v>
      </c>
      <c r="G8" s="55" t="s">
        <v>43</v>
      </c>
      <c r="H8" s="55">
        <v>4200</v>
      </c>
      <c r="I8" s="55" t="s">
        <v>41</v>
      </c>
      <c r="J8" s="55">
        <v>500</v>
      </c>
    </row>
    <row r="9" spans="1:10">
      <c r="A9" s="55" t="s">
        <v>75</v>
      </c>
      <c r="B9" s="55"/>
      <c r="C9" s="55"/>
      <c r="D9" s="55"/>
      <c r="E9" s="55"/>
      <c r="F9" s="55"/>
      <c r="G9" s="55"/>
      <c r="H9" s="55">
        <f>SUM(H6:H8)</f>
        <v>9900</v>
      </c>
      <c r="I9" s="55">
        <f>SUM(I6:I8)</f>
        <v>3600</v>
      </c>
      <c r="J9" s="55">
        <f>SUM(J6:J8)</f>
        <v>800</v>
      </c>
    </row>
  </sheetData>
  <sheetProtection password="CC7A" sheet="1" objects="1" scenarios="1"/>
  <mergeCells count="4">
    <mergeCell ref="A1:J1"/>
    <mergeCell ref="B2:C2"/>
    <mergeCell ref="B3:C3"/>
    <mergeCell ref="E3:F3"/>
  </mergeCells>
  <phoneticPr fontId="1" type="noConversion"/>
  <dataValidations count="1">
    <dataValidation type="list" allowBlank="1" showInputMessage="1" showErrorMessage="1" sqref="B2">
      <formula1>xsry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outlinePr showOutlineSymbols="0"/>
  </sheetPr>
  <dimension ref="A1:E4"/>
  <sheetViews>
    <sheetView showGridLines="0" showRowColHeaders="0" showZeros="0" showOutlineSymbols="0" workbookViewId="0">
      <selection activeCell="A5" sqref="A5"/>
    </sheetView>
  </sheetViews>
  <sheetFormatPr defaultRowHeight="14.4"/>
  <sheetData>
    <row r="1" spans="1:5" ht="15.6">
      <c r="A1" s="56" t="s">
        <v>92</v>
      </c>
      <c r="B1" s="57" t="s">
        <v>119</v>
      </c>
      <c r="C1" s="57" t="s">
        <v>120</v>
      </c>
      <c r="D1" s="57" t="s">
        <v>134</v>
      </c>
      <c r="E1" s="57" t="s">
        <v>121</v>
      </c>
    </row>
    <row r="2" spans="1:5" ht="15.6">
      <c r="A2" s="58" t="s">
        <v>93</v>
      </c>
      <c r="B2" s="55"/>
      <c r="C2" s="55"/>
      <c r="D2" s="55"/>
      <c r="E2" s="55"/>
    </row>
    <row r="3" spans="1:5" ht="15.6">
      <c r="A3" s="58" t="s">
        <v>94</v>
      </c>
      <c r="B3" s="55"/>
      <c r="C3" s="55"/>
      <c r="D3" s="55"/>
      <c r="E3" s="55"/>
    </row>
    <row r="4" spans="1:5" ht="15.6">
      <c r="A4" s="58" t="s">
        <v>95</v>
      </c>
      <c r="B4" s="55"/>
      <c r="C4" s="55"/>
      <c r="D4" s="55"/>
      <c r="E4" s="55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outlinePr showOutlineSymbols="0"/>
  </sheetPr>
  <dimension ref="A1:G14"/>
  <sheetViews>
    <sheetView showGridLines="0" showRowColHeaders="0" showZeros="0" showOutlineSymbols="0" workbookViewId="0">
      <selection activeCell="D3" sqref="D3"/>
    </sheetView>
  </sheetViews>
  <sheetFormatPr defaultRowHeight="14.4"/>
  <cols>
    <col min="3" max="3" width="13.44140625" customWidth="1"/>
    <col min="4" max="6" width="13" bestFit="1" customWidth="1"/>
  </cols>
  <sheetData>
    <row r="1" spans="1:7" ht="11.25" customHeight="1">
      <c r="A1" s="3"/>
      <c r="B1" s="3"/>
      <c r="C1" s="3"/>
      <c r="D1" s="3"/>
      <c r="E1" s="3"/>
      <c r="F1" s="3"/>
      <c r="G1" s="3"/>
    </row>
    <row r="2" spans="1:7" ht="42.75" customHeight="1">
      <c r="A2" s="3"/>
      <c r="B2" s="90" t="s">
        <v>96</v>
      </c>
      <c r="C2" s="90"/>
      <c r="D2" s="90"/>
      <c r="E2" s="90"/>
      <c r="F2" s="90"/>
      <c r="G2" s="90"/>
    </row>
    <row r="3" spans="1:7" ht="32.25" customHeight="1">
      <c r="A3" s="3"/>
      <c r="B3" s="108" t="s">
        <v>131</v>
      </c>
      <c r="C3" s="108"/>
      <c r="D3" s="51" t="s">
        <v>158</v>
      </c>
      <c r="E3" s="50">
        <v>4</v>
      </c>
      <c r="F3" s="43"/>
      <c r="G3" s="43"/>
    </row>
    <row r="4" spans="1:7" ht="4.5" customHeight="1">
      <c r="A4" s="3"/>
      <c r="B4" s="44"/>
      <c r="C4" s="44"/>
      <c r="D4" s="43"/>
      <c r="E4" s="43"/>
      <c r="F4" s="43"/>
      <c r="G4" s="43"/>
    </row>
    <row r="5" spans="1:7" ht="31.8">
      <c r="A5" s="3"/>
      <c r="B5" s="44"/>
      <c r="C5" s="45"/>
      <c r="D5" s="46" t="s">
        <v>97</v>
      </c>
      <c r="E5" s="46" t="s">
        <v>98</v>
      </c>
      <c r="F5" s="46" t="s">
        <v>99</v>
      </c>
      <c r="G5" s="43"/>
    </row>
    <row r="6" spans="1:7" ht="17.399999999999999">
      <c r="A6" s="3"/>
      <c r="B6" s="29"/>
      <c r="C6" s="47" t="s">
        <v>100</v>
      </c>
      <c r="D6" s="48" t="str">
        <f>VLOOKUP($D$3,供货!$B:$J,2,FALSE)</f>
        <v>长虹</v>
      </c>
      <c r="E6" s="48" t="str">
        <f>VLOOKUP($D$3,供货!$B:$J,2,FALSE)</f>
        <v>长虹</v>
      </c>
      <c r="F6" s="48" t="str">
        <f>VLOOKUP($D$3,供货!$B:$J,2,FALSE)</f>
        <v>长虹</v>
      </c>
      <c r="G6" s="3"/>
    </row>
    <row r="7" spans="1:7" ht="17.399999999999999">
      <c r="A7" s="3"/>
      <c r="B7" s="26"/>
      <c r="C7" s="47" t="s">
        <v>101</v>
      </c>
      <c r="D7" s="48" t="str">
        <f>VLOOKUP($D$3,供货!$B:$J,3,FALSE)</f>
        <v>29寸</v>
      </c>
      <c r="E7" s="48" t="str">
        <f>VLOOKUP($D$3,供货!$B:$J,3,FALSE)</f>
        <v>29寸</v>
      </c>
      <c r="F7" s="48" t="str">
        <f>E7</f>
        <v>29寸</v>
      </c>
      <c r="G7" s="3"/>
    </row>
    <row r="8" spans="1:7" ht="17.399999999999999">
      <c r="A8" s="3"/>
      <c r="B8" s="26"/>
      <c r="C8" s="47" t="s">
        <v>102</v>
      </c>
      <c r="D8" s="48" t="str">
        <f>VLOOKUP($D$3,供货!$B:$J,4,FALSE)</f>
        <v>四川</v>
      </c>
      <c r="E8" s="48" t="str">
        <f>VLOOKUP($D$3,供货!$B:$J,4,FALSE)</f>
        <v>四川</v>
      </c>
      <c r="F8" s="48" t="str">
        <f>E8</f>
        <v>四川</v>
      </c>
      <c r="G8" s="3"/>
    </row>
    <row r="9" spans="1:7" ht="17.399999999999999">
      <c r="A9" s="3"/>
      <c r="B9" s="26"/>
      <c r="C9" s="47" t="s">
        <v>103</v>
      </c>
      <c r="D9" s="48">
        <f>VLOOKUP($D$3,供货!$B:$J,5,FALSE)</f>
        <v>1800</v>
      </c>
      <c r="E9" s="48">
        <f>VLOOKUP($D$3,供货!$B:$J,5,FALSE)</f>
        <v>1800</v>
      </c>
      <c r="F9" s="48">
        <f>E9</f>
        <v>1800</v>
      </c>
      <c r="G9" s="3"/>
    </row>
    <row r="10" spans="1:7" ht="17.399999999999999">
      <c r="A10" s="3"/>
      <c r="B10" s="26"/>
      <c r="C10" s="47" t="s">
        <v>104</v>
      </c>
      <c r="D10" s="48">
        <f>VLOOKUP($D$3,供货!$B:$J,6,FALSE)</f>
        <v>1850</v>
      </c>
      <c r="E10" s="48">
        <f>VLOOKUP($D$3,供货!$B:$J,6,FALSE)</f>
        <v>1850</v>
      </c>
      <c r="F10" s="48">
        <f>E10</f>
        <v>1850</v>
      </c>
      <c r="G10" s="3"/>
    </row>
    <row r="11" spans="1:7" ht="17.399999999999999">
      <c r="A11" s="3"/>
      <c r="B11" s="26"/>
      <c r="C11" s="47" t="s">
        <v>105</v>
      </c>
      <c r="D11" s="48">
        <f>VLOOKUP($D$3,供货!$B:$J,7,FALSE)</f>
        <v>1900</v>
      </c>
      <c r="E11" s="48">
        <f>VLOOKUP($D$3,供货!$B:$J,7,FALSE)</f>
        <v>1900</v>
      </c>
      <c r="F11" s="48">
        <f>E11</f>
        <v>1900</v>
      </c>
      <c r="G11" s="3"/>
    </row>
    <row r="12" spans="1:7" ht="17.399999999999999">
      <c r="A12" s="3"/>
      <c r="B12" s="26"/>
      <c r="C12" s="47" t="s">
        <v>106</v>
      </c>
      <c r="D12" s="48">
        <f>SUMIF(供货!B:B,D3,供货!I:I)</f>
        <v>15</v>
      </c>
      <c r="E12" s="48">
        <f>SUMIF(销货!B:B,D3,销货!E:E)</f>
        <v>5</v>
      </c>
      <c r="F12" s="48">
        <f>D12-E12</f>
        <v>10</v>
      </c>
      <c r="G12" s="3"/>
    </row>
    <row r="13" spans="1:7" ht="17.399999999999999">
      <c r="A13" s="3"/>
      <c r="B13" s="26"/>
      <c r="C13" s="47" t="s">
        <v>107</v>
      </c>
      <c r="D13" s="49">
        <f>D9*D12</f>
        <v>27000</v>
      </c>
      <c r="E13" s="49">
        <f>E9*E12</f>
        <v>9000</v>
      </c>
      <c r="F13" s="49">
        <f>D13-E13</f>
        <v>18000</v>
      </c>
      <c r="G13" s="3"/>
    </row>
    <row r="14" spans="1:7">
      <c r="A14" s="39"/>
      <c r="B14" s="39"/>
      <c r="C14" s="39"/>
      <c r="D14" s="39"/>
      <c r="E14" s="39"/>
      <c r="F14" s="39"/>
      <c r="G14" s="39"/>
    </row>
  </sheetData>
  <mergeCells count="2">
    <mergeCell ref="B2:G2"/>
    <mergeCell ref="B3:C3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outlinePr showOutlineSymbols="0"/>
  </sheetPr>
  <dimension ref="A1"/>
  <sheetViews>
    <sheetView showGridLines="0" showRowColHeaders="0" showZeros="0" tabSelected="1" showOutlineSymbols="0" topLeftCell="B1" workbookViewId="0">
      <selection activeCell="G9" sqref="G9"/>
    </sheetView>
  </sheetViews>
  <sheetFormatPr defaultRowHeight="14.4"/>
  <sheetData/>
  <sheetProtection password="CC7A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commands>
    <command idMso="FileNew" enabled="false"/>
    <command idMso="FileSaveAs" enabled="false"/>
    <command idMso="FileSaveAsMenu" enabled="false"/>
    <command idMso="FileOpen" enabled="false"/>
    <command idMso="FilePrintQuick" enabled="false"/>
    <command idMso="FileClose" onAction="MyClose"/>
    <command idMso="MergeCenterMenu" enabled="false"/>
  </commands>
  <ribbon>
    <tabs>
      <tab idMso="TabHome" visible="false"/>
      <tab idMso="TabInsert" visible="false"/>
      <tab idMso="TabPageLayoutExcel" visible="false"/>
      <tab idMso="TabFormulas" visible="false"/>
      <tab idMso="TabData" visible="false"/>
      <tab idMso="TabReview" visible="false"/>
      <tab idMso="TabView" visible="false"/>
      <tab idMso="TabDeveloper" visible="false"/>
      <tab idMso="TabAddIns" visible="false"/>
      <tab id="tabJXC" label="进销存">
        <group id="gpIN" label="进货">
          <button id="btIN_INPUT" imageMso="ReviewNextChange" size="large" label="录入" onAction="btIN_INPUT_onAction"/>
          <button id="btIN_REPROT" imageMso="RecordsMoreRecordsMenu" size="large" label="报表" onAction="btIN_REPORT_onAction"/>
        </group>
        <group id="gpOUT" label="销售">
          <button id="btOUT_INPUT" imageMso="ReviewPreviousChange" size="large" label="录入" onAction="btOUT_INPUT_onAction"/>
          <button id="btOUT_REPROT" imageMso="RecordsMoreRecordsMenu" size="large" label="报表" onAction="btOUT_REPORT_onAction"/>
          <button id="btOUT_RESULTS" imageMso="ControlLayoutStacked" size="large" label="销售业绩" onAction="btOUT_RESULTS_onAction"/>
        </group>
        <group id="gpSTOCK" label="库存">
          <button id="btSTOCK_FIND" imageMso="FileDocumentManagementInformation" size="large" label="存货查询" onAction="btSTOCK_FIND_onAction"/>
          <button id="btSTOCK_SUM" imageMso="AccessFormDatasheet" size="large" label="存货统计" onAction="btSTOCK_SUM_onAction"/>
          <button id="btSTOCK_DETAILS" imageMso="ControlLayoutTabular" size="large" label="库存明细" onAction="btSTOCK_DETAILS_onAction"/>
        </group>
        <group id="gpDATA" label="数据">
          <button id="btDATA_COMM" imageMso="SmartArtAddBullet" size="large" label="商品信息" onAction="btDATA_COMM_onAction"/>
          <button id="btDATA_SALES" imageMso="DistributionListUpdateMembers" size="large" label="销售人员" onAction="btDATA_SALES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图表</vt:lpstr>
      </vt:variant>
      <vt:variant>
        <vt:i4>1</vt:i4>
      </vt:variant>
    </vt:vector>
  </HeadingPairs>
  <TitlesOfParts>
    <vt:vector size="14" baseType="lpstr">
      <vt:lpstr>商品信息</vt:lpstr>
      <vt:lpstr>销货</vt:lpstr>
      <vt:lpstr>供货</vt:lpstr>
      <vt:lpstr>存货统计</vt:lpstr>
      <vt:lpstr>供货单</vt:lpstr>
      <vt:lpstr>销货单</vt:lpstr>
      <vt:lpstr>销售报表</vt:lpstr>
      <vt:lpstr>进货报表</vt:lpstr>
      <vt:lpstr>商品明细账</vt:lpstr>
      <vt:lpstr>销售业绩报表</vt:lpstr>
      <vt:lpstr>销售人员</vt:lpstr>
      <vt:lpstr>商品查询</vt:lpstr>
      <vt:lpstr>主界面</vt:lpstr>
      <vt:lpstr>Chart1</vt:lpstr>
    </vt:vector>
  </TitlesOfParts>
  <Company>WWW.HYASXP.COM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伍远高</dc:creator>
  <cp:lastModifiedBy>wwuhnwu01</cp:lastModifiedBy>
  <dcterms:created xsi:type="dcterms:W3CDTF">2008-05-17T01:36:03Z</dcterms:created>
  <dcterms:modified xsi:type="dcterms:W3CDTF">2019-02-20T00:28:15Z</dcterms:modified>
</cp:coreProperties>
</file>