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6" windowWidth="15576" windowHeight="9816"/>
  </bookViews>
  <sheets>
    <sheet name="Sheet1" sheetId="8" r:id="rId1"/>
    <sheet name="明细" sheetId="2" r:id="rId2"/>
  </sheets>
  <definedNames>
    <definedName name="_xlnm._FilterDatabase" localSheetId="1" hidden="1">明细!$A$1:$I$10</definedName>
  </definedNames>
  <calcPr calcId="124519"/>
  <pivotCaches>
    <pivotCache cacheId="9" r:id="rId3"/>
  </pivotCaches>
</workbook>
</file>

<file path=xl/calcChain.xml><?xml version="1.0" encoding="utf-8"?>
<calcChain xmlns="http://schemas.openxmlformats.org/spreadsheetml/2006/main">
  <c r="H11" i="2"/>
  <c r="H12"/>
  <c r="H3"/>
  <c r="H4"/>
  <c r="H5"/>
  <c r="H6"/>
  <c r="H7"/>
  <c r="H8"/>
  <c r="H9"/>
  <c r="H10"/>
  <c r="H2"/>
</calcChain>
</file>

<file path=xl/sharedStrings.xml><?xml version="1.0" encoding="utf-8"?>
<sst xmlns="http://schemas.openxmlformats.org/spreadsheetml/2006/main" count="87" uniqueCount="46">
  <si>
    <t>日期</t>
    <phoneticPr fontId="1" type="noConversion"/>
  </si>
  <si>
    <t>单号</t>
    <phoneticPr fontId="1" type="noConversion"/>
  </si>
  <si>
    <t>编号</t>
  </si>
  <si>
    <t>编号</t>
    <phoneticPr fontId="1" type="noConversion"/>
  </si>
  <si>
    <t>收入</t>
    <phoneticPr fontId="1" type="noConversion"/>
  </si>
  <si>
    <t>发出</t>
    <phoneticPr fontId="1" type="noConversion"/>
  </si>
  <si>
    <t>结存</t>
    <phoneticPr fontId="1" type="noConversion"/>
  </si>
  <si>
    <t>备注</t>
    <phoneticPr fontId="1" type="noConversion"/>
  </si>
  <si>
    <t>(空白)</t>
  </si>
  <si>
    <t>总计</t>
  </si>
  <si>
    <t>求和项:结存</t>
  </si>
  <si>
    <t>名称</t>
  </si>
  <si>
    <t>名称</t>
    <phoneticPr fontId="1" type="noConversion"/>
  </si>
  <si>
    <t>规格</t>
  </si>
  <si>
    <t>规格</t>
    <phoneticPr fontId="1" type="noConversion"/>
  </si>
  <si>
    <t>平底鞋</t>
  </si>
  <si>
    <t>平底鞋</t>
    <phoneticPr fontId="1" type="noConversion"/>
  </si>
  <si>
    <t>休闲鞋</t>
  </si>
  <si>
    <t>休闲鞋</t>
    <phoneticPr fontId="1" type="noConversion"/>
  </si>
  <si>
    <t>red39</t>
  </si>
  <si>
    <t>red39</t>
    <phoneticPr fontId="1" type="noConversion"/>
  </si>
  <si>
    <t>值</t>
  </si>
  <si>
    <t>求和项:收入</t>
  </si>
  <si>
    <t>求和项:发出</t>
  </si>
  <si>
    <t>ULAUNCHADFWR-44</t>
  </si>
  <si>
    <t>UPRLTRAM33WS-45</t>
  </si>
  <si>
    <t>UPRLTRAM33WL-45</t>
  </si>
  <si>
    <t>SHR-FF3-09052P-1</t>
  </si>
  <si>
    <t>SHR-TF-09552P-1</t>
  </si>
  <si>
    <t>ULAUNCHADFWS-44</t>
  </si>
  <si>
    <t>UMGMC60WR-45</t>
  </si>
  <si>
    <t>UMGMC60WS-45</t>
  </si>
  <si>
    <t>UMGMC60WA-45</t>
  </si>
  <si>
    <t>UMGMC60WL-45</t>
  </si>
  <si>
    <t>UPRLTPS35WR-46</t>
  </si>
  <si>
    <t>red40</t>
  </si>
  <si>
    <t>red41</t>
  </si>
  <si>
    <t>red42</t>
  </si>
  <si>
    <t>red43</t>
  </si>
  <si>
    <t>red44</t>
  </si>
  <si>
    <t>red45</t>
  </si>
  <si>
    <t>red46</t>
  </si>
  <si>
    <t>red47</t>
  </si>
  <si>
    <t>red48</t>
  </si>
  <si>
    <t>red49</t>
  </si>
  <si>
    <t>求和项:字段1</t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</si>
</sst>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2" fillId="0" borderId="1" xfId="0" applyFont="1" applyFill="1" applyBorder="1" applyAlignment="1" applyProtection="1">
      <alignment horizontal="left" vertical="center" shrinkToFit="1"/>
      <protection locked="0"/>
    </xf>
  </cellXfs>
  <cellStyles count="1">
    <cellStyle name="常规" xfId="0" builtinId="0"/>
  </cellStyles>
  <dxfs count="1">
    <dxf>
      <font>
        <condense val="0"/>
        <extend val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2594.506748032407" createdVersion="3" refreshedVersion="3" minRefreshableVersion="3" recordCount="12">
  <cacheSource type="worksheet">
    <worksheetSource ref="A1:I1048576" sheet="明细"/>
  </cacheSource>
  <cacheFields count="10">
    <cacheField name="日期" numFmtId="0">
      <sharedItems containsNonDate="0" containsDate="1" containsString="0" containsBlank="1" minDate="2016-08-07T00:00:00" maxDate="2016-08-16T00:00:00"/>
    </cacheField>
    <cacheField name="单号" numFmtId="0">
      <sharedItems containsString="0" containsBlank="1" containsNumber="1" containsInteger="1" minValue="1223" maxValue="1223"/>
    </cacheField>
    <cacheField name="编号" numFmtId="0">
      <sharedItems containsBlank="1" count="12">
        <s v="ULAUNCHADFWR-44"/>
        <s v="UPRLTRAM33WS-45"/>
        <s v="UPRLTRAM33WL-45"/>
        <s v="SHR-FF3-09052P-1"/>
        <s v="SHR-TF-09552P-1"/>
        <s v="ULAUNCHADFWS-44"/>
        <s v="UMGMC60WR-45"/>
        <s v="UMGMC60WS-45"/>
        <s v="UMGMC60WA-45"/>
        <s v="UMGMC60WL-45"/>
        <s v="UPRLTPS35WR-46"/>
        <m/>
      </sharedItems>
    </cacheField>
    <cacheField name="名称" numFmtId="0">
      <sharedItems containsBlank="1" count="3">
        <s v="平底鞋"/>
        <s v="休闲鞋"/>
        <m/>
      </sharedItems>
    </cacheField>
    <cacheField name="规格" numFmtId="0">
      <sharedItems containsBlank="1" count="12">
        <s v="red39"/>
        <s v="red40"/>
        <s v="red41"/>
        <s v="red42"/>
        <s v="red43"/>
        <s v="red44"/>
        <s v="red45"/>
        <s v="red46"/>
        <s v="red47"/>
        <s v="red48"/>
        <s v="red49"/>
        <m/>
      </sharedItems>
    </cacheField>
    <cacheField name="收入" numFmtId="0">
      <sharedItems containsString="0" containsBlank="1" containsNumber="1" containsInteger="1" minValue="12" maxValue="12"/>
    </cacheField>
    <cacheField name="发出" numFmtId="0">
      <sharedItems containsString="0" containsBlank="1" containsNumber="1" containsInteger="1" minValue="15" maxValue="15"/>
    </cacheField>
    <cacheField name="结存" numFmtId="0">
      <sharedItems containsString="0" containsBlank="1" containsNumber="1" containsInteger="1" minValue="-15" maxValue="12"/>
    </cacheField>
    <cacheField name="备注" numFmtId="0">
      <sharedItems containsNonDate="0" containsString="0" containsBlank="1"/>
    </cacheField>
    <cacheField name="字段1" numFmtId="0" formula="收入 -发出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d v="2016-08-07T00:00:00"/>
    <n v="1223"/>
    <x v="0"/>
    <x v="0"/>
    <x v="0"/>
    <n v="12"/>
    <m/>
    <n v="12"/>
    <m/>
  </r>
  <r>
    <d v="2016-08-08T00:00:00"/>
    <n v="1223"/>
    <x v="1"/>
    <x v="1"/>
    <x v="1"/>
    <n v="12"/>
    <m/>
    <n v="12"/>
    <m/>
  </r>
  <r>
    <d v="2016-08-09T00:00:00"/>
    <n v="1223"/>
    <x v="2"/>
    <x v="0"/>
    <x v="2"/>
    <n v="12"/>
    <m/>
    <n v="12"/>
    <m/>
  </r>
  <r>
    <d v="2016-08-10T00:00:00"/>
    <n v="1223"/>
    <x v="3"/>
    <x v="1"/>
    <x v="3"/>
    <n v="12"/>
    <m/>
    <n v="12"/>
    <m/>
  </r>
  <r>
    <d v="2016-08-11T00:00:00"/>
    <n v="1223"/>
    <x v="4"/>
    <x v="0"/>
    <x v="4"/>
    <n v="12"/>
    <m/>
    <n v="12"/>
    <m/>
  </r>
  <r>
    <d v="2016-08-12T00:00:00"/>
    <n v="1223"/>
    <x v="5"/>
    <x v="0"/>
    <x v="5"/>
    <n v="12"/>
    <m/>
    <n v="12"/>
    <m/>
  </r>
  <r>
    <d v="2016-08-13T00:00:00"/>
    <n v="1223"/>
    <x v="6"/>
    <x v="0"/>
    <x v="6"/>
    <m/>
    <n v="15"/>
    <n v="-15"/>
    <m/>
  </r>
  <r>
    <d v="2016-08-14T00:00:00"/>
    <n v="1223"/>
    <x v="7"/>
    <x v="0"/>
    <x v="7"/>
    <m/>
    <n v="15"/>
    <n v="-15"/>
    <m/>
  </r>
  <r>
    <d v="2016-08-15T00:00:00"/>
    <n v="1223"/>
    <x v="8"/>
    <x v="0"/>
    <x v="8"/>
    <m/>
    <n v="15"/>
    <n v="-15"/>
    <m/>
  </r>
  <r>
    <d v="2016-08-15T00:00:00"/>
    <n v="1223"/>
    <x v="9"/>
    <x v="1"/>
    <x v="9"/>
    <m/>
    <n v="15"/>
    <n v="-15"/>
    <m/>
  </r>
  <r>
    <d v="2016-08-15T00:00:00"/>
    <n v="1223"/>
    <x v="10"/>
    <x v="1"/>
    <x v="10"/>
    <m/>
    <n v="15"/>
    <n v="-15"/>
    <m/>
  </r>
  <r>
    <m/>
    <m/>
    <x v="11"/>
    <x v="2"/>
    <x v="11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9" applyNumberFormats="0" applyBorderFormats="0" applyFontFormats="0" applyPatternFormats="0" applyAlignmentFormats="0" applyWidthHeightFormats="1" dataCaption="值" updatedVersion="3" minRefreshableVersion="3" showCalcMbrs="0" useAutoFormatting="1" itemPrintTitles="1" createdVersion="3" indent="0" compact="0" compactData="0" multipleFieldFilters="0">
  <location ref="A3:G17" firstHeaderRow="1" firstDataRow="2" firstDataCol="3"/>
  <pivotFields count="10">
    <pivotField compact="0" outline="0" showAll="0" defaultSubtotal="0"/>
    <pivotField compact="0" outline="0" showAll="0" defaultSubtotal="0"/>
    <pivotField axis="axisRow" compact="0" outline="0" showAll="0" defaultSubtotal="0">
      <items count="12">
        <item x="3"/>
        <item x="4"/>
        <item x="0"/>
        <item x="5"/>
        <item x="8"/>
        <item x="9"/>
        <item x="6"/>
        <item x="7"/>
        <item x="10"/>
        <item x="2"/>
        <item x="1"/>
        <item x="11"/>
      </items>
    </pivotField>
    <pivotField axis="axisRow" compact="0" outline="0" showAll="0" defaultSubtotal="0">
      <items count="3">
        <item x="0"/>
        <item x="1"/>
        <item x="2"/>
      </items>
    </pivotField>
    <pivotField axis="axisRow" compact="0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3">
    <field x="2"/>
    <field x="3"/>
    <field x="4"/>
  </rowFields>
  <rowItems count="13">
    <i>
      <x/>
      <x v="1"/>
      <x v="3"/>
    </i>
    <i>
      <x v="1"/>
      <x/>
      <x v="4"/>
    </i>
    <i>
      <x v="2"/>
      <x/>
      <x/>
    </i>
    <i>
      <x v="3"/>
      <x/>
      <x v="5"/>
    </i>
    <i>
      <x v="4"/>
      <x/>
      <x v="8"/>
    </i>
    <i>
      <x v="5"/>
      <x v="1"/>
      <x v="9"/>
    </i>
    <i>
      <x v="6"/>
      <x/>
      <x v="6"/>
    </i>
    <i>
      <x v="7"/>
      <x/>
      <x v="7"/>
    </i>
    <i>
      <x v="8"/>
      <x v="1"/>
      <x v="10"/>
    </i>
    <i>
      <x v="9"/>
      <x/>
      <x v="2"/>
    </i>
    <i>
      <x v="10"/>
      <x v="1"/>
      <x v="1"/>
    </i>
    <i>
      <x v="11"/>
      <x v="2"/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求和项:收入" fld="5" baseField="0" baseItem="0"/>
    <dataField name="求和项:发出" fld="6" baseField="0" baseItem="0"/>
    <dataField name="求和项:结存" fld="7" baseField="0" baseItem="0"/>
    <dataField name="求和项:字段1" fld="9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3:G17"/>
  <sheetViews>
    <sheetView tabSelected="1" workbookViewId="0">
      <selection activeCell="A9" sqref="A9"/>
    </sheetView>
  </sheetViews>
  <sheetFormatPr defaultRowHeight="14.4"/>
  <cols>
    <col min="1" max="1" width="22.21875" bestFit="1" customWidth="1"/>
    <col min="2" max="2" width="13.5546875" bestFit="1" customWidth="1"/>
    <col min="3" max="3" width="8" bestFit="1" customWidth="1"/>
    <col min="4" max="6" width="13.5546875" bestFit="1" customWidth="1"/>
    <col min="7" max="7" width="14.77734375" bestFit="1" customWidth="1"/>
  </cols>
  <sheetData>
    <row r="3" spans="1:7">
      <c r="D3" s="3" t="s">
        <v>21</v>
      </c>
    </row>
    <row r="4" spans="1:7">
      <c r="A4" s="3" t="s">
        <v>2</v>
      </c>
      <c r="B4" s="3" t="s">
        <v>11</v>
      </c>
      <c r="C4" s="3" t="s">
        <v>13</v>
      </c>
      <c r="D4" t="s">
        <v>22</v>
      </c>
      <c r="E4" t="s">
        <v>23</v>
      </c>
      <c r="F4" t="s">
        <v>10</v>
      </c>
      <c r="G4" t="s">
        <v>45</v>
      </c>
    </row>
    <row r="5" spans="1:7">
      <c r="A5" t="s">
        <v>27</v>
      </c>
      <c r="B5" t="s">
        <v>17</v>
      </c>
      <c r="C5" t="s">
        <v>37</v>
      </c>
      <c r="D5" s="4">
        <v>12</v>
      </c>
      <c r="E5" s="4"/>
      <c r="F5" s="4">
        <v>12</v>
      </c>
      <c r="G5" s="4">
        <v>12</v>
      </c>
    </row>
    <row r="6" spans="1:7">
      <c r="A6" t="s">
        <v>28</v>
      </c>
      <c r="B6" t="s">
        <v>15</v>
      </c>
      <c r="C6" t="s">
        <v>38</v>
      </c>
      <c r="D6" s="4">
        <v>12</v>
      </c>
      <c r="E6" s="4"/>
      <c r="F6" s="4">
        <v>12</v>
      </c>
      <c r="G6" s="4">
        <v>12</v>
      </c>
    </row>
    <row r="7" spans="1:7">
      <c r="A7" t="s">
        <v>24</v>
      </c>
      <c r="B7" t="s">
        <v>15</v>
      </c>
      <c r="C7" t="s">
        <v>19</v>
      </c>
      <c r="D7" s="4">
        <v>12</v>
      </c>
      <c r="E7" s="4"/>
      <c r="F7" s="4">
        <v>12</v>
      </c>
      <c r="G7" s="4">
        <v>12</v>
      </c>
    </row>
    <row r="8" spans="1:7">
      <c r="A8" t="s">
        <v>29</v>
      </c>
      <c r="B8" t="s">
        <v>15</v>
      </c>
      <c r="C8" t="s">
        <v>39</v>
      </c>
      <c r="D8" s="4">
        <v>12</v>
      </c>
      <c r="E8" s="4"/>
      <c r="F8" s="4">
        <v>12</v>
      </c>
      <c r="G8" s="4">
        <v>12</v>
      </c>
    </row>
    <row r="9" spans="1:7">
      <c r="A9" t="s">
        <v>32</v>
      </c>
      <c r="B9" t="s">
        <v>15</v>
      </c>
      <c r="C9" t="s">
        <v>42</v>
      </c>
      <c r="D9" s="4"/>
      <c r="E9" s="4">
        <v>15</v>
      </c>
      <c r="F9" s="4">
        <v>-15</v>
      </c>
      <c r="G9" s="4">
        <v>-15</v>
      </c>
    </row>
    <row r="10" spans="1:7">
      <c r="A10" t="s">
        <v>33</v>
      </c>
      <c r="B10" t="s">
        <v>17</v>
      </c>
      <c r="C10" t="s">
        <v>43</v>
      </c>
      <c r="D10" s="4"/>
      <c r="E10" s="4">
        <v>15</v>
      </c>
      <c r="F10" s="4">
        <v>-15</v>
      </c>
      <c r="G10" s="4">
        <v>-15</v>
      </c>
    </row>
    <row r="11" spans="1:7">
      <c r="A11" t="s">
        <v>30</v>
      </c>
      <c r="B11" t="s">
        <v>15</v>
      </c>
      <c r="C11" t="s">
        <v>40</v>
      </c>
      <c r="D11" s="4"/>
      <c r="E11" s="4">
        <v>15</v>
      </c>
      <c r="F11" s="4">
        <v>-15</v>
      </c>
      <c r="G11" s="4">
        <v>-15</v>
      </c>
    </row>
    <row r="12" spans="1:7">
      <c r="A12" t="s">
        <v>31</v>
      </c>
      <c r="B12" t="s">
        <v>15</v>
      </c>
      <c r="C12" t="s">
        <v>41</v>
      </c>
      <c r="D12" s="4"/>
      <c r="E12" s="4">
        <v>15</v>
      </c>
      <c r="F12" s="4">
        <v>-15</v>
      </c>
      <c r="G12" s="4">
        <v>-15</v>
      </c>
    </row>
    <row r="13" spans="1:7">
      <c r="A13" t="s">
        <v>34</v>
      </c>
      <c r="B13" t="s">
        <v>17</v>
      </c>
      <c r="C13" t="s">
        <v>44</v>
      </c>
      <c r="D13" s="4"/>
      <c r="E13" s="4">
        <v>15</v>
      </c>
      <c r="F13" s="4">
        <v>-15</v>
      </c>
      <c r="G13" s="4">
        <v>-15</v>
      </c>
    </row>
    <row r="14" spans="1:7">
      <c r="A14" t="s">
        <v>26</v>
      </c>
      <c r="B14" t="s">
        <v>15</v>
      </c>
      <c r="C14" t="s">
        <v>36</v>
      </c>
      <c r="D14" s="4">
        <v>12</v>
      </c>
      <c r="E14" s="4"/>
      <c r="F14" s="4">
        <v>12</v>
      </c>
      <c r="G14" s="4">
        <v>12</v>
      </c>
    </row>
    <row r="15" spans="1:7">
      <c r="A15" t="s">
        <v>25</v>
      </c>
      <c r="B15" t="s">
        <v>17</v>
      </c>
      <c r="C15" t="s">
        <v>35</v>
      </c>
      <c r="D15" s="4">
        <v>12</v>
      </c>
      <c r="E15" s="4"/>
      <c r="F15" s="4">
        <v>12</v>
      </c>
      <c r="G15" s="4">
        <v>12</v>
      </c>
    </row>
    <row r="16" spans="1:7">
      <c r="A16" t="s">
        <v>8</v>
      </c>
      <c r="B16" t="s">
        <v>8</v>
      </c>
      <c r="C16" t="s">
        <v>8</v>
      </c>
      <c r="D16" s="4"/>
      <c r="E16" s="4"/>
      <c r="F16" s="4"/>
      <c r="G16" s="4">
        <v>0</v>
      </c>
    </row>
    <row r="17" spans="1:7">
      <c r="A17" t="s">
        <v>9</v>
      </c>
      <c r="D17" s="4">
        <v>72</v>
      </c>
      <c r="E17" s="4">
        <v>75</v>
      </c>
      <c r="F17" s="4">
        <v>-3</v>
      </c>
      <c r="G17" s="4">
        <v>-3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2"/>
  <sheetViews>
    <sheetView workbookViewId="0">
      <selection sqref="A1:I1048576"/>
    </sheetView>
  </sheetViews>
  <sheetFormatPr defaultRowHeight="14.4"/>
  <cols>
    <col min="1" max="1" width="10.5546875" style="1" bestFit="1" customWidth="1"/>
    <col min="2" max="2" width="8.88671875" style="1"/>
    <col min="3" max="3" width="21.44140625" style="1" customWidth="1"/>
    <col min="4" max="16384" width="8.88671875" style="1"/>
  </cols>
  <sheetData>
    <row r="1" spans="1:9">
      <c r="A1" s="1" t="s">
        <v>0</v>
      </c>
      <c r="B1" s="1" t="s">
        <v>1</v>
      </c>
      <c r="C1" s="1" t="s">
        <v>3</v>
      </c>
      <c r="D1" s="1" t="s">
        <v>12</v>
      </c>
      <c r="E1" s="1" t="s">
        <v>14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>
      <c r="A2" s="2">
        <v>42589</v>
      </c>
      <c r="B2" s="1">
        <v>1223</v>
      </c>
      <c r="C2" s="5" t="s">
        <v>24</v>
      </c>
      <c r="D2" s="1" t="s">
        <v>16</v>
      </c>
      <c r="E2" s="1" t="s">
        <v>20</v>
      </c>
      <c r="F2" s="1">
        <v>12</v>
      </c>
      <c r="H2" s="1">
        <f>IF(F2="",-G2,F2)</f>
        <v>12</v>
      </c>
    </row>
    <row r="3" spans="1:9">
      <c r="A3" s="2">
        <v>42590</v>
      </c>
      <c r="B3" s="1">
        <v>1223</v>
      </c>
      <c r="C3" s="5" t="s">
        <v>25</v>
      </c>
      <c r="D3" s="1" t="s">
        <v>18</v>
      </c>
      <c r="E3" s="1" t="s">
        <v>35</v>
      </c>
      <c r="F3" s="1">
        <v>12</v>
      </c>
      <c r="H3" s="1">
        <f t="shared" ref="H3:H12" si="0">IF(F3="",-G3,F3)</f>
        <v>12</v>
      </c>
    </row>
    <row r="4" spans="1:9">
      <c r="A4" s="2">
        <v>42591</v>
      </c>
      <c r="B4" s="1">
        <v>1223</v>
      </c>
      <c r="C4" s="5" t="s">
        <v>26</v>
      </c>
      <c r="D4" s="1" t="s">
        <v>16</v>
      </c>
      <c r="E4" s="1" t="s">
        <v>36</v>
      </c>
      <c r="F4" s="1">
        <v>12</v>
      </c>
      <c r="H4" s="1">
        <f t="shared" si="0"/>
        <v>12</v>
      </c>
    </row>
    <row r="5" spans="1:9">
      <c r="A5" s="2">
        <v>42592</v>
      </c>
      <c r="B5" s="1">
        <v>1223</v>
      </c>
      <c r="C5" s="5" t="s">
        <v>27</v>
      </c>
      <c r="D5" s="1" t="s">
        <v>18</v>
      </c>
      <c r="E5" s="1" t="s">
        <v>37</v>
      </c>
      <c r="F5" s="1">
        <v>12</v>
      </c>
      <c r="H5" s="1">
        <f t="shared" si="0"/>
        <v>12</v>
      </c>
    </row>
    <row r="6" spans="1:9">
      <c r="A6" s="2">
        <v>42593</v>
      </c>
      <c r="B6" s="1">
        <v>1223</v>
      </c>
      <c r="C6" s="5" t="s">
        <v>28</v>
      </c>
      <c r="D6" s="1" t="s">
        <v>16</v>
      </c>
      <c r="E6" s="1" t="s">
        <v>38</v>
      </c>
      <c r="F6" s="1">
        <v>12</v>
      </c>
      <c r="H6" s="1">
        <f t="shared" si="0"/>
        <v>12</v>
      </c>
    </row>
    <row r="7" spans="1:9">
      <c r="A7" s="2">
        <v>42594</v>
      </c>
      <c r="B7" s="1">
        <v>1223</v>
      </c>
      <c r="C7" s="5" t="s">
        <v>29</v>
      </c>
      <c r="D7" s="1" t="s">
        <v>16</v>
      </c>
      <c r="E7" s="1" t="s">
        <v>39</v>
      </c>
      <c r="F7" s="1">
        <v>12</v>
      </c>
      <c r="H7" s="1">
        <f t="shared" si="0"/>
        <v>12</v>
      </c>
    </row>
    <row r="8" spans="1:9">
      <c r="A8" s="2">
        <v>42595</v>
      </c>
      <c r="B8" s="1">
        <v>1223</v>
      </c>
      <c r="C8" s="5" t="s">
        <v>30</v>
      </c>
      <c r="D8" s="1" t="s">
        <v>16</v>
      </c>
      <c r="E8" s="1" t="s">
        <v>40</v>
      </c>
      <c r="G8" s="1">
        <v>15</v>
      </c>
      <c r="H8" s="1">
        <f t="shared" si="0"/>
        <v>-15</v>
      </c>
    </row>
    <row r="9" spans="1:9">
      <c r="A9" s="2">
        <v>42596</v>
      </c>
      <c r="B9" s="1">
        <v>1223</v>
      </c>
      <c r="C9" s="5" t="s">
        <v>31</v>
      </c>
      <c r="D9" s="1" t="s">
        <v>16</v>
      </c>
      <c r="E9" s="1" t="s">
        <v>41</v>
      </c>
      <c r="G9" s="1">
        <v>15</v>
      </c>
      <c r="H9" s="1">
        <f t="shared" si="0"/>
        <v>-15</v>
      </c>
    </row>
    <row r="10" spans="1:9">
      <c r="A10" s="2">
        <v>42597</v>
      </c>
      <c r="B10" s="1">
        <v>1223</v>
      </c>
      <c r="C10" s="5" t="s">
        <v>32</v>
      </c>
      <c r="D10" s="1" t="s">
        <v>16</v>
      </c>
      <c r="E10" s="1" t="s">
        <v>42</v>
      </c>
      <c r="G10" s="1">
        <v>15</v>
      </c>
      <c r="H10" s="1">
        <f t="shared" si="0"/>
        <v>-15</v>
      </c>
    </row>
    <row r="11" spans="1:9">
      <c r="A11" s="2">
        <v>42597</v>
      </c>
      <c r="B11" s="1">
        <v>1223</v>
      </c>
      <c r="C11" s="5" t="s">
        <v>33</v>
      </c>
      <c r="D11" s="1" t="s">
        <v>18</v>
      </c>
      <c r="E11" s="1" t="s">
        <v>43</v>
      </c>
      <c r="G11" s="1">
        <v>15</v>
      </c>
      <c r="H11" s="1">
        <f t="shared" si="0"/>
        <v>-15</v>
      </c>
    </row>
    <row r="12" spans="1:9">
      <c r="A12" s="2">
        <v>42597</v>
      </c>
      <c r="B12" s="1">
        <v>1223</v>
      </c>
      <c r="C12" s="5" t="s">
        <v>34</v>
      </c>
      <c r="D12" s="1" t="s">
        <v>18</v>
      </c>
      <c r="E12" s="1" t="s">
        <v>44</v>
      </c>
      <c r="G12" s="1">
        <v>15</v>
      </c>
      <c r="H12" s="1">
        <f t="shared" si="0"/>
        <v>-15</v>
      </c>
    </row>
  </sheetData>
  <autoFilter ref="A1:I10">
    <filterColumn colId="2"/>
    <filterColumn colId="3"/>
    <filterColumn colId="4"/>
  </autoFilter>
  <phoneticPr fontId="1" type="noConversion"/>
  <conditionalFormatting sqref="C2:C12">
    <cfRule type="expression" dxfId="0" priority="1" stopIfTrue="1">
      <formula>MOD(ROW(),2)=0</formula>
    </cfRule>
  </conditionalFormatting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明细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2016-08-12T04:11:13Z</dcterms:modified>
</cp:coreProperties>
</file>