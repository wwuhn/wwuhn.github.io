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rent" sheetId="1" r:id="rId1"/>
    <sheet name="userform" sheetId="2" r:id="rId2"/>
    <sheet name="外住用品" sheetId="3" r:id="rId3"/>
    <sheet name="mobile" sheetId="4" r:id="rId4"/>
    <sheet name="000目录" sheetId="13" r:id="rId5"/>
  </sheets>
  <calcPr calcId="124519"/>
</workbook>
</file>

<file path=xl/calcChain.xml><?xml version="1.0" encoding="utf-8"?>
<calcChain xmlns="http://schemas.openxmlformats.org/spreadsheetml/2006/main">
  <c r="L50" i="1"/>
  <c r="J50"/>
  <c r="I50"/>
  <c r="F50"/>
  <c r="L49"/>
  <c r="J49"/>
  <c r="I49"/>
  <c r="F49"/>
  <c r="L48"/>
  <c r="J48"/>
  <c r="I48"/>
  <c r="F48"/>
  <c r="L47"/>
  <c r="J47"/>
  <c r="I47"/>
  <c r="F47"/>
  <c r="L46"/>
  <c r="J46"/>
  <c r="I46"/>
  <c r="F46"/>
  <c r="L45"/>
  <c r="J45"/>
  <c r="I45"/>
  <c r="F45"/>
  <c r="L44"/>
  <c r="J44"/>
  <c r="I44"/>
  <c r="F44"/>
  <c r="J43"/>
  <c r="L43" s="1"/>
  <c r="I43"/>
  <c r="F43"/>
  <c r="L42"/>
  <c r="J42"/>
  <c r="I42"/>
  <c r="F42"/>
  <c r="L41"/>
  <c r="J41"/>
  <c r="I41"/>
  <c r="F41"/>
  <c r="L40"/>
  <c r="J40"/>
  <c r="I40"/>
  <c r="F40"/>
  <c r="L39"/>
  <c r="J39"/>
  <c r="I39"/>
  <c r="F39"/>
  <c r="I38"/>
  <c r="J38" s="1"/>
  <c r="L38" s="1"/>
  <c r="F38"/>
  <c r="K37"/>
  <c r="J37"/>
  <c r="I37"/>
  <c r="F37"/>
  <c r="I36"/>
  <c r="F36"/>
  <c r="I35"/>
  <c r="F35"/>
  <c r="I34"/>
  <c r="F34"/>
  <c r="I33"/>
  <c r="F33"/>
  <c r="I32"/>
  <c r="F32"/>
  <c r="I31"/>
  <c r="F31"/>
  <c r="I30"/>
  <c r="F30"/>
  <c r="I29"/>
  <c r="F29"/>
  <c r="I28"/>
  <c r="F28"/>
  <c r="I27"/>
  <c r="F27"/>
  <c r="I26"/>
  <c r="F26"/>
  <c r="I25"/>
  <c r="F25"/>
  <c r="I24"/>
  <c r="F24"/>
  <c r="I23"/>
  <c r="F23"/>
  <c r="I22"/>
  <c r="F22"/>
  <c r="D21"/>
  <c r="F21" s="1"/>
  <c r="K19"/>
  <c r="I21"/>
  <c r="D20"/>
  <c r="F20" s="1"/>
  <c r="G20"/>
  <c r="I20" s="1"/>
  <c r="G19"/>
  <c r="I19" s="1"/>
  <c r="F19"/>
  <c r="G18"/>
  <c r="I18" s="1"/>
  <c r="D18"/>
  <c r="F18" s="1"/>
  <c r="G17"/>
  <c r="I17" s="1"/>
  <c r="D17"/>
  <c r="F17" s="1"/>
  <c r="G16"/>
  <c r="I16" s="1"/>
  <c r="D16"/>
  <c r="F16" s="1"/>
  <c r="D9"/>
  <c r="D10" s="1"/>
  <c r="G9"/>
  <c r="D8"/>
  <c r="F8" s="1"/>
  <c r="F7"/>
  <c r="G4"/>
  <c r="I4" s="1"/>
  <c r="G5"/>
  <c r="I5" s="1"/>
  <c r="G6"/>
  <c r="I6" s="1"/>
  <c r="G7"/>
  <c r="I7" s="1"/>
  <c r="G8"/>
  <c r="I8" s="1"/>
  <c r="G3"/>
  <c r="I3" s="1"/>
  <c r="D4"/>
  <c r="F4" s="1"/>
  <c r="D5"/>
  <c r="F5" s="1"/>
  <c r="D6"/>
  <c r="F6" s="1"/>
  <c r="D3"/>
  <c r="F3" s="1"/>
  <c r="J3" s="1"/>
  <c r="L3" s="1"/>
  <c r="I2"/>
  <c r="F2"/>
  <c r="J21" l="1"/>
  <c r="L21" s="1"/>
  <c r="J22"/>
  <c r="L22" s="1"/>
  <c r="J23"/>
  <c r="L23" s="1"/>
  <c r="J25"/>
  <c r="L25" s="1"/>
  <c r="J26"/>
  <c r="L26" s="1"/>
  <c r="J27"/>
  <c r="L27" s="1"/>
  <c r="J28"/>
  <c r="L28" s="1"/>
  <c r="J29"/>
  <c r="L29" s="1"/>
  <c r="J30"/>
  <c r="L30" s="1"/>
  <c r="J31"/>
  <c r="L31" s="1"/>
  <c r="J32"/>
  <c r="L32" s="1"/>
  <c r="J33"/>
  <c r="L33" s="1"/>
  <c r="J34"/>
  <c r="L34" s="1"/>
  <c r="J35"/>
  <c r="L35" s="1"/>
  <c r="J36"/>
  <c r="L36" s="1"/>
  <c r="J24"/>
  <c r="L24" s="1"/>
  <c r="J2"/>
  <c r="L2" s="1"/>
  <c r="J16"/>
  <c r="L16" s="1"/>
  <c r="J17"/>
  <c r="L17" s="1"/>
  <c r="J19"/>
  <c r="L19" s="1"/>
  <c r="J20"/>
  <c r="J7"/>
  <c r="K7" s="1"/>
  <c r="L7" s="1"/>
  <c r="L20"/>
  <c r="J6"/>
  <c r="L6" s="1"/>
  <c r="J5"/>
  <c r="L5" s="1"/>
  <c r="J18"/>
  <c r="L18" s="1"/>
  <c r="J8"/>
  <c r="K8" s="1"/>
  <c r="L8" s="1"/>
  <c r="F10"/>
  <c r="D11"/>
  <c r="I9"/>
  <c r="G10"/>
  <c r="F9"/>
  <c r="J4"/>
  <c r="L4" s="1"/>
  <c r="J9" l="1"/>
  <c r="L9" s="1"/>
  <c r="G11"/>
  <c r="I10"/>
  <c r="J10" s="1"/>
  <c r="L10" s="1"/>
  <c r="D12"/>
  <c r="F11"/>
  <c r="F12" l="1"/>
  <c r="D13"/>
  <c r="I11"/>
  <c r="J11" s="1"/>
  <c r="L11" s="1"/>
  <c r="G12"/>
  <c r="H12" s="1"/>
  <c r="G13" s="1"/>
  <c r="I12" l="1"/>
  <c r="J12" s="1"/>
  <c r="K12" s="1"/>
  <c r="L12" s="1"/>
  <c r="D14"/>
  <c r="F13"/>
  <c r="F14" l="1"/>
  <c r="D15"/>
  <c r="F15" s="1"/>
  <c r="I13"/>
  <c r="J13" s="1"/>
  <c r="K13" s="1"/>
  <c r="L13" s="1"/>
  <c r="G14"/>
  <c r="G15" l="1"/>
  <c r="I15" s="1"/>
  <c r="J15" s="1"/>
  <c r="L15" s="1"/>
  <c r="I14"/>
  <c r="J14" s="1"/>
  <c r="L14" s="1"/>
  <c r="L37"/>
</calcChain>
</file>

<file path=xl/sharedStrings.xml><?xml version="1.0" encoding="utf-8"?>
<sst xmlns="http://schemas.openxmlformats.org/spreadsheetml/2006/main" count="110" uniqueCount="106">
  <si>
    <t>上月</t>
    <phoneticPr fontId="1" type="noConversion"/>
  </si>
  <si>
    <t>本月</t>
    <phoneticPr fontId="1" type="noConversion"/>
  </si>
  <si>
    <t>月</t>
    <phoneticPr fontId="1" type="noConversion"/>
  </si>
  <si>
    <t>底</t>
    <phoneticPr fontId="1" type="noConversion"/>
  </si>
  <si>
    <t>网费</t>
    <phoneticPr fontId="1" type="noConversion"/>
  </si>
  <si>
    <t>合计</t>
    <phoneticPr fontId="1" type="noConversion"/>
  </si>
  <si>
    <t>实交</t>
    <phoneticPr fontId="1" type="noConversion"/>
  </si>
  <si>
    <t>diff</t>
    <phoneticPr fontId="1" type="noConversion"/>
  </si>
  <si>
    <t>金额</t>
    <phoneticPr fontId="1" type="noConversion"/>
  </si>
  <si>
    <t>remark</t>
    <phoneticPr fontId="1" type="noConversion"/>
  </si>
  <si>
    <t>插入窗体：VBE→菜单：插入→插入窗体；</t>
    <phoneticPr fontId="1" type="noConversion"/>
  </si>
  <si>
    <t>显示窗体：Userform1.Show</t>
    <phoneticPr fontId="1" type="noConversion"/>
  </si>
  <si>
    <t>关闭窗体：Unload UserForm1</t>
    <phoneticPr fontId="1" type="noConversion"/>
  </si>
  <si>
    <t>当前窗体：Me</t>
    <phoneticPr fontId="1" type="noConversion"/>
  </si>
  <si>
    <t>窗体事件</t>
    <phoneticPr fontId="1" type="noConversion"/>
  </si>
  <si>
    <t>编辑和查看窗体代码：双击窗体；</t>
    <phoneticPr fontId="1" type="noConversion"/>
  </si>
  <si>
    <t>窗体初始化事件</t>
    <phoneticPr fontId="1" type="noConversion"/>
  </si>
  <si>
    <t>ListBox1.AddItem "体育"</t>
    <phoneticPr fontId="1" type="noConversion"/>
  </si>
  <si>
    <t>控件事件</t>
    <phoneticPr fontId="1" type="noConversion"/>
  </si>
  <si>
    <t>列表框单击事件</t>
    <phoneticPr fontId="1" type="noConversion"/>
  </si>
  <si>
    <t>Private Sub ListBox_Click()</t>
    <phoneticPr fontId="1" type="noConversion"/>
  </si>
  <si>
    <t>Dim MST As String</t>
    <phoneticPr fontId="1" type="noConversion"/>
  </si>
  <si>
    <t>MST = ListBox1.Value</t>
    <phoneticPr fontId="1" type="noConversion"/>
  </si>
  <si>
    <t>End Sub</t>
    <phoneticPr fontId="1" type="noConversion"/>
  </si>
  <si>
    <t>Cells(2,2).Value = MST</t>
    <phoneticPr fontId="1" type="noConversion"/>
  </si>
  <si>
    <t>Private Sub SpinButton1_SpinUp()</t>
    <phoneticPr fontId="1" type="noConversion"/>
  </si>
  <si>
    <t>TextBox1.Value = TextBox1.Value - 1</t>
    <phoneticPr fontId="1" type="noConversion"/>
  </si>
  <si>
    <t>列表框控制可以与单元格相关联</t>
    <phoneticPr fontId="1" type="noConversion"/>
  </si>
  <si>
    <t>属性列表中设置</t>
    <phoneticPr fontId="1" type="noConversion"/>
  </si>
  <si>
    <t>ListBox1.RowSource = "Sheet!J2:J22"</t>
    <phoneticPr fontId="1" type="noConversion"/>
  </si>
  <si>
    <t>控件文本提示：属性列表</t>
    <phoneticPr fontId="1" type="noConversion"/>
  </si>
  <si>
    <t>Tab顺序：窗体右击→Tab键顺序</t>
    <phoneticPr fontId="1" type="noConversion"/>
  </si>
  <si>
    <t>文本框值：TextBox1.Value（或Text，也可省略）</t>
    <phoneticPr fontId="1" type="noConversion"/>
  </si>
  <si>
    <t>多选框值</t>
    <phoneticPr fontId="1" type="noConversion"/>
  </si>
  <si>
    <t>If CheckBox1.Value = True Then</t>
    <phoneticPr fontId="1" type="noConversion"/>
  </si>
  <si>
    <t>Cells(2,2).Value = OptionButton3.Caption</t>
    <phoneticPr fontId="1" type="noConversion"/>
  </si>
  <si>
    <t>复选框值</t>
    <phoneticPr fontId="1" type="noConversion"/>
  </si>
  <si>
    <t>If OptionBox1.Value = True Then</t>
    <phoneticPr fontId="1" type="noConversion"/>
  </si>
  <si>
    <t>Cells(2,2).Value = "体育"</t>
    <phoneticPr fontId="1" type="noConversion"/>
  </si>
  <si>
    <t>穿：</t>
  </si>
  <si>
    <t>上衣</t>
  </si>
  <si>
    <t>裤子</t>
  </si>
  <si>
    <t>底裤</t>
  </si>
  <si>
    <t>洗刷：</t>
  </si>
  <si>
    <t>牙刷</t>
  </si>
  <si>
    <t>牙膏</t>
  </si>
  <si>
    <t>口杯</t>
  </si>
  <si>
    <t>毛巾</t>
  </si>
  <si>
    <t>桶</t>
  </si>
  <si>
    <t>洗发水</t>
  </si>
  <si>
    <t>沐浴露</t>
  </si>
  <si>
    <t>洗衣粉</t>
  </si>
  <si>
    <t>衣架</t>
  </si>
  <si>
    <t>梳子</t>
  </si>
  <si>
    <t>镜子</t>
  </si>
  <si>
    <t>胡须刀</t>
  </si>
  <si>
    <t>睡：</t>
  </si>
  <si>
    <t>席子</t>
  </si>
  <si>
    <t>被子</t>
  </si>
  <si>
    <t>床单</t>
  </si>
  <si>
    <t>枕头</t>
  </si>
  <si>
    <t>日常生活用品：</t>
  </si>
  <si>
    <t>纸巾</t>
  </si>
  <si>
    <t>雨伞</t>
  </si>
  <si>
    <t>棉签</t>
  </si>
  <si>
    <t>达克宁</t>
  </si>
  <si>
    <t>牙签</t>
  </si>
  <si>
    <t>水杯</t>
  </si>
  <si>
    <t>茶叶</t>
  </si>
  <si>
    <t>饭盒</t>
  </si>
  <si>
    <t>抹布</t>
  </si>
  <si>
    <t>其它：</t>
  </si>
  <si>
    <t>蚊香</t>
  </si>
  <si>
    <t>风扇</t>
  </si>
  <si>
    <t>插牌</t>
  </si>
  <si>
    <t>笔</t>
  </si>
  <si>
    <t>笔记本</t>
  </si>
  <si>
    <t>球鞋</t>
    <phoneticPr fontId="1" type="noConversion"/>
  </si>
  <si>
    <t>凉鞋</t>
    <phoneticPr fontId="1" type="noConversion"/>
  </si>
  <si>
    <t>短裤2</t>
    <phoneticPr fontId="1" type="noConversion"/>
  </si>
  <si>
    <t>T恤2</t>
    <phoneticPr fontId="1" type="noConversion"/>
  </si>
  <si>
    <t>10.1收</t>
    <phoneticPr fontId="1" type="noConversion"/>
  </si>
  <si>
    <t>11.14收，水表355</t>
    <phoneticPr fontId="1" type="noConversion"/>
  </si>
  <si>
    <t>微信转帐</t>
    <phoneticPr fontId="1" type="noConversion"/>
  </si>
  <si>
    <t>water 358</t>
    <phoneticPr fontId="1" type="noConversion"/>
  </si>
  <si>
    <t>浴巾</t>
  </si>
  <si>
    <t>打火机</t>
  </si>
  <si>
    <t>蚊帐</t>
    <phoneticPr fontId="1" type="noConversion"/>
  </si>
  <si>
    <t>袜子</t>
    <phoneticPr fontId="1" type="noConversion"/>
  </si>
  <si>
    <t>盆</t>
    <phoneticPr fontId="1" type="noConversion"/>
  </si>
  <si>
    <t>书</t>
    <phoneticPr fontId="1" type="noConversion"/>
  </si>
  <si>
    <t>手机充电器2</t>
    <phoneticPr fontId="1" type="noConversion"/>
  </si>
  <si>
    <t>时间</t>
    <phoneticPr fontId="1" type="noConversion"/>
  </si>
  <si>
    <t>余额</t>
    <phoneticPr fontId="1" type="noConversion"/>
  </si>
  <si>
    <t>充值</t>
    <phoneticPr fontId="1" type="noConversion"/>
  </si>
  <si>
    <t>之前余额</t>
    <phoneticPr fontId="1" type="noConversion"/>
  </si>
  <si>
    <t>编号</t>
  </si>
  <si>
    <t>目录</t>
  </si>
  <si>
    <t>userform</t>
  </si>
  <si>
    <t>外住用品</t>
  </si>
  <si>
    <t>mobile</t>
  </si>
  <si>
    <t>000目录</t>
  </si>
  <si>
    <t>rent</t>
  </si>
  <si>
    <t>在details.txt有记录</t>
    <phoneticPr fontId="1" type="noConversion"/>
  </si>
  <si>
    <t>2018/7/4water 363</t>
    <phoneticPr fontId="1" type="noConversion"/>
  </si>
  <si>
    <t>免网费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</si>
</sst>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FF00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rgb="FFDDDDDD"/>
      </left>
      <right style="medium">
        <color rgb="FFDDDDDD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0" xfId="0" applyFill="1" applyAlignment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3" fillId="0" borderId="3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4" fillId="0" borderId="6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0" fontId="5" fillId="0" borderId="6" xfId="0" applyFont="1" applyFill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5" fillId="0" borderId="7" xfId="0" applyFont="1" applyFill="1" applyBorder="1" applyAlignment="1">
      <alignment horizontal="left" vertical="top"/>
    </xf>
    <xf numFmtId="0" fontId="5" fillId="0" borderId="0" xfId="0" applyFont="1" applyFill="1">
      <alignment vertical="center"/>
    </xf>
    <xf numFmtId="0" fontId="5" fillId="0" borderId="9" xfId="0" applyFont="1" applyFill="1" applyBorder="1" applyAlignment="1">
      <alignment horizontal="left" vertical="top"/>
    </xf>
    <xf numFmtId="0" fontId="5" fillId="0" borderId="10" xfId="0" applyFont="1" applyFill="1" applyBorder="1" applyAlignment="1">
      <alignment horizontal="left" vertical="top"/>
    </xf>
    <xf numFmtId="0" fontId="5" fillId="0" borderId="8" xfId="0" applyFont="1" applyFill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11" xfId="0" applyFont="1" applyFill="1" applyBorder="1" applyAlignment="1">
      <alignment horizontal="left" vertical="top"/>
    </xf>
    <xf numFmtId="0" fontId="4" fillId="0" borderId="7" xfId="0" applyFont="1" applyFill="1" applyBorder="1" applyAlignment="1">
      <alignment horizontal="left" vertical="top"/>
    </xf>
    <xf numFmtId="14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7" fillId="0" borderId="0" xfId="1" applyAlignment="1" applyProtection="1">
      <alignment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0</xdr:row>
      <xdr:rowOff>0</xdr:rowOff>
    </xdr:from>
    <xdr:to>
      <xdr:col>5</xdr:col>
      <xdr:colOff>342900</xdr:colOff>
      <xdr:row>0</xdr:row>
      <xdr:rowOff>198120</xdr:rowOff>
    </xdr:to>
    <xdr:sp macro="" textlink="">
      <xdr:nvSpPr>
        <xdr:cNvPr id="2" name="TextBox 1"/>
        <xdr:cNvSpPr txBox="1"/>
      </xdr:nvSpPr>
      <xdr:spPr>
        <a:xfrm>
          <a:off x="1082040" y="0"/>
          <a:ext cx="1013460" cy="198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zh-CN" altLang="en-US" sz="1100"/>
            <a:t>电  费</a:t>
          </a:r>
        </a:p>
      </xdr:txBody>
    </xdr:sp>
    <xdr:clientData/>
  </xdr:twoCellAnchor>
  <xdr:twoCellAnchor>
    <xdr:from>
      <xdr:col>5</xdr:col>
      <xdr:colOff>441960</xdr:colOff>
      <xdr:row>0</xdr:row>
      <xdr:rowOff>0</xdr:rowOff>
    </xdr:from>
    <xdr:to>
      <xdr:col>8</xdr:col>
      <xdr:colOff>243840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2194560" y="0"/>
          <a:ext cx="876300" cy="198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zh-CN" altLang="en-US" sz="1100"/>
            <a:t>水  费</a:t>
          </a:r>
        </a:p>
      </xdr:txBody>
    </xdr:sp>
    <xdr:clientData/>
  </xdr:twoCellAnchor>
  <xdr:twoCellAnchor>
    <xdr:from>
      <xdr:col>3</xdr:col>
      <xdr:colOff>7620</xdr:colOff>
      <xdr:row>0</xdr:row>
      <xdr:rowOff>182880</xdr:rowOff>
    </xdr:from>
    <xdr:to>
      <xdr:col>8</xdr:col>
      <xdr:colOff>295200</xdr:colOff>
      <xdr:row>0</xdr:row>
      <xdr:rowOff>184468</xdr:rowOff>
    </xdr:to>
    <xdr:cxnSp macro="">
      <xdr:nvCxnSpPr>
        <xdr:cNvPr id="7" name="直接连接符 6"/>
        <xdr:cNvCxnSpPr/>
      </xdr:nvCxnSpPr>
      <xdr:spPr>
        <a:xfrm>
          <a:off x="998220" y="182880"/>
          <a:ext cx="212400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0"/>
  <sheetViews>
    <sheetView tabSelected="1" workbookViewId="0">
      <pane xSplit="3" ySplit="1" topLeftCell="D42" activePane="bottomRight" state="frozen"/>
      <selection pane="topRight" activeCell="D1" sqref="D1"/>
      <selection pane="bottomLeft" activeCell="A2" sqref="A2"/>
      <selection pane="bottomRight" activeCell="M53" sqref="M53"/>
    </sheetView>
  </sheetViews>
  <sheetFormatPr defaultRowHeight="14.4"/>
  <cols>
    <col min="1" max="1" width="4.33203125" style="6" customWidth="1"/>
    <col min="2" max="2" width="4.5546875" style="6" bestFit="1" customWidth="1"/>
    <col min="3" max="3" width="5.5546875" style="6" bestFit="1" customWidth="1"/>
    <col min="4" max="4" width="5.5546875" style="6" customWidth="1"/>
    <col min="5" max="5" width="5.5546875" style="6" bestFit="1" customWidth="1"/>
    <col min="6" max="6" width="6.5546875" style="6" bestFit="1" customWidth="1"/>
    <col min="7" max="9" width="4.5546875" style="6" bestFit="1" customWidth="1"/>
    <col min="10" max="11" width="6.5546875" style="6" bestFit="1" customWidth="1"/>
    <col min="12" max="12" width="5.5546875" style="6" bestFit="1" customWidth="1"/>
    <col min="13" max="13" width="20.44140625" style="6" customWidth="1"/>
    <col min="14" max="16384" width="8.88671875" style="6"/>
  </cols>
  <sheetData>
    <row r="1" spans="1:13" s="2" customFormat="1" ht="30" customHeight="1">
      <c r="A1" s="1" t="s">
        <v>2</v>
      </c>
      <c r="B1" s="1" t="s">
        <v>3</v>
      </c>
      <c r="C1" s="1" t="s">
        <v>4</v>
      </c>
      <c r="D1" s="2" t="s">
        <v>0</v>
      </c>
      <c r="E1" s="2" t="s">
        <v>1</v>
      </c>
      <c r="F1" s="3" t="s">
        <v>8</v>
      </c>
      <c r="G1" s="2" t="s">
        <v>0</v>
      </c>
      <c r="H1" s="2" t="s">
        <v>1</v>
      </c>
      <c r="I1" s="3" t="s">
        <v>8</v>
      </c>
      <c r="J1" s="4" t="s">
        <v>5</v>
      </c>
      <c r="K1" s="4" t="s">
        <v>6</v>
      </c>
      <c r="L1" s="4" t="s">
        <v>7</v>
      </c>
      <c r="M1" s="8" t="s">
        <v>9</v>
      </c>
    </row>
    <row r="2" spans="1:13">
      <c r="A2" s="5">
        <v>9</v>
      </c>
      <c r="B2" s="5">
        <v>220</v>
      </c>
      <c r="C2" s="5">
        <v>20</v>
      </c>
      <c r="D2" s="5">
        <v>112</v>
      </c>
      <c r="E2" s="5">
        <v>136</v>
      </c>
      <c r="F2" s="5">
        <f>(E2-D2)*1.3</f>
        <v>31.200000000000003</v>
      </c>
      <c r="G2" s="5">
        <v>328</v>
      </c>
      <c r="H2" s="5">
        <v>330</v>
      </c>
      <c r="I2" s="5">
        <f>(H2-G2)*4.5</f>
        <v>9</v>
      </c>
      <c r="J2" s="5">
        <f t="shared" ref="J2:J8" si="0">B2+C2+F2+I2</f>
        <v>280.2</v>
      </c>
      <c r="K2" s="5">
        <v>289</v>
      </c>
      <c r="L2" s="7">
        <f t="shared" ref="L2:L8" si="1">K2-J2</f>
        <v>8.8000000000000114</v>
      </c>
      <c r="M2" s="5"/>
    </row>
    <row r="3" spans="1:13">
      <c r="A3" s="5">
        <v>10</v>
      </c>
      <c r="B3" s="5">
        <v>220</v>
      </c>
      <c r="C3" s="5">
        <v>20</v>
      </c>
      <c r="D3" s="5">
        <f>E2</f>
        <v>136</v>
      </c>
      <c r="E3" s="5">
        <v>163</v>
      </c>
      <c r="F3" s="5">
        <f t="shared" ref="F3:F8" si="2">(E3-D3)*1.3</f>
        <v>35.1</v>
      </c>
      <c r="G3" s="5">
        <f>H2</f>
        <v>330</v>
      </c>
      <c r="H3" s="5">
        <v>332</v>
      </c>
      <c r="I3" s="5">
        <f t="shared" ref="I3:I8" si="3">(H3-G3)*4.5</f>
        <v>9</v>
      </c>
      <c r="J3" s="5">
        <f t="shared" si="0"/>
        <v>284.10000000000002</v>
      </c>
      <c r="K3" s="5">
        <v>280</v>
      </c>
      <c r="L3" s="7">
        <f t="shared" si="1"/>
        <v>-4.1000000000000227</v>
      </c>
      <c r="M3" s="5"/>
    </row>
    <row r="4" spans="1:13">
      <c r="A4" s="5">
        <v>11</v>
      </c>
      <c r="B4" s="5">
        <v>220</v>
      </c>
      <c r="C4" s="5">
        <v>20</v>
      </c>
      <c r="D4" s="5">
        <f>E3</f>
        <v>163</v>
      </c>
      <c r="E4" s="5">
        <v>170</v>
      </c>
      <c r="F4" s="5">
        <f t="shared" si="2"/>
        <v>9.1</v>
      </c>
      <c r="G4" s="5">
        <f t="shared" ref="G4:G15" si="4">H3</f>
        <v>332</v>
      </c>
      <c r="H4" s="5">
        <v>332</v>
      </c>
      <c r="I4" s="5">
        <f t="shared" si="3"/>
        <v>0</v>
      </c>
      <c r="J4" s="5">
        <f t="shared" si="0"/>
        <v>249.1</v>
      </c>
      <c r="K4" s="5">
        <v>270</v>
      </c>
      <c r="L4" s="7">
        <f t="shared" si="1"/>
        <v>20.900000000000006</v>
      </c>
      <c r="M4" s="5"/>
    </row>
    <row r="5" spans="1:13">
      <c r="A5" s="5">
        <v>12</v>
      </c>
      <c r="B5" s="5">
        <v>220</v>
      </c>
      <c r="C5" s="5">
        <v>20</v>
      </c>
      <c r="D5" s="5">
        <f>E4</f>
        <v>170</v>
      </c>
      <c r="E5" s="5">
        <v>193</v>
      </c>
      <c r="F5" s="5">
        <f t="shared" si="2"/>
        <v>29.900000000000002</v>
      </c>
      <c r="G5" s="5">
        <f t="shared" si="4"/>
        <v>332</v>
      </c>
      <c r="H5" s="5">
        <v>332</v>
      </c>
      <c r="I5" s="5">
        <f t="shared" si="3"/>
        <v>0</v>
      </c>
      <c r="J5" s="5">
        <f t="shared" si="0"/>
        <v>269.89999999999998</v>
      </c>
      <c r="K5" s="5">
        <v>280</v>
      </c>
      <c r="L5" s="7">
        <f t="shared" si="1"/>
        <v>10.100000000000023</v>
      </c>
      <c r="M5" s="5"/>
    </row>
    <row r="6" spans="1:13">
      <c r="A6" s="5">
        <v>1</v>
      </c>
      <c r="B6" s="5">
        <v>220</v>
      </c>
      <c r="C6" s="5">
        <v>20</v>
      </c>
      <c r="D6" s="5">
        <f>E5</f>
        <v>193</v>
      </c>
      <c r="E6" s="5">
        <v>193</v>
      </c>
      <c r="F6" s="5">
        <f t="shared" si="2"/>
        <v>0</v>
      </c>
      <c r="G6" s="5">
        <f t="shared" si="4"/>
        <v>332</v>
      </c>
      <c r="H6" s="5">
        <v>332</v>
      </c>
      <c r="I6" s="5">
        <f t="shared" si="3"/>
        <v>0</v>
      </c>
      <c r="J6" s="5">
        <f t="shared" si="0"/>
        <v>240</v>
      </c>
      <c r="K6" s="5">
        <v>240</v>
      </c>
      <c r="L6" s="7">
        <f t="shared" si="1"/>
        <v>0</v>
      </c>
      <c r="M6" s="5"/>
    </row>
    <row r="7" spans="1:13">
      <c r="A7" s="5">
        <v>2</v>
      </c>
      <c r="B7" s="5">
        <v>220</v>
      </c>
      <c r="C7" s="5">
        <v>20</v>
      </c>
      <c r="D7" s="5">
        <v>332</v>
      </c>
      <c r="E7" s="5">
        <v>494</v>
      </c>
      <c r="F7" s="5">
        <f t="shared" si="2"/>
        <v>210.6</v>
      </c>
      <c r="G7" s="5">
        <f t="shared" si="4"/>
        <v>332</v>
      </c>
      <c r="H7" s="5">
        <v>333</v>
      </c>
      <c r="I7" s="5">
        <f t="shared" si="3"/>
        <v>4.5</v>
      </c>
      <c r="J7" s="5">
        <f t="shared" si="0"/>
        <v>455.1</v>
      </c>
      <c r="K7" s="5">
        <f>J7</f>
        <v>455.1</v>
      </c>
      <c r="L7" s="7">
        <f t="shared" si="1"/>
        <v>0</v>
      </c>
      <c r="M7" s="5"/>
    </row>
    <row r="8" spans="1:13">
      <c r="A8" s="5">
        <v>3</v>
      </c>
      <c r="B8" s="5">
        <v>220</v>
      </c>
      <c r="C8" s="5">
        <v>30</v>
      </c>
      <c r="D8" s="5">
        <f>E7</f>
        <v>494</v>
      </c>
      <c r="E8" s="5">
        <v>572</v>
      </c>
      <c r="F8" s="5">
        <f t="shared" si="2"/>
        <v>101.4</v>
      </c>
      <c r="G8" s="5">
        <f t="shared" si="4"/>
        <v>333</v>
      </c>
      <c r="H8" s="5">
        <v>335</v>
      </c>
      <c r="I8" s="5">
        <f t="shared" si="3"/>
        <v>9</v>
      </c>
      <c r="J8" s="5">
        <f t="shared" si="0"/>
        <v>360.4</v>
      </c>
      <c r="K8" s="5">
        <f t="shared" ref="K8:K13" si="5">J8</f>
        <v>360.4</v>
      </c>
      <c r="L8" s="7">
        <f t="shared" si="1"/>
        <v>0</v>
      </c>
      <c r="M8" s="5"/>
    </row>
    <row r="9" spans="1:13">
      <c r="A9" s="5">
        <v>4</v>
      </c>
      <c r="B9" s="5">
        <v>220</v>
      </c>
      <c r="C9" s="5">
        <v>30</v>
      </c>
      <c r="D9" s="5">
        <f t="shared" ref="D9:D15" si="6">E8</f>
        <v>572</v>
      </c>
      <c r="E9" s="5">
        <v>620</v>
      </c>
      <c r="F9" s="5">
        <f t="shared" ref="F9:F15" si="7">(E9-D9)*1.3</f>
        <v>62.400000000000006</v>
      </c>
      <c r="G9" s="5">
        <f t="shared" si="4"/>
        <v>335</v>
      </c>
      <c r="H9" s="5">
        <v>337</v>
      </c>
      <c r="I9" s="5">
        <f t="shared" ref="I9:I15" si="8">(H9-G9)*4.5</f>
        <v>9</v>
      </c>
      <c r="J9" s="5">
        <f t="shared" ref="J9:J15" si="9">B9+C9+F9+I9</f>
        <v>321.39999999999998</v>
      </c>
      <c r="K9" s="5">
        <v>320</v>
      </c>
      <c r="L9" s="7">
        <f t="shared" ref="L9:L15" si="10">K9-J9</f>
        <v>-1.3999999999999773</v>
      </c>
      <c r="M9" s="5"/>
    </row>
    <row r="10" spans="1:13">
      <c r="A10" s="5">
        <v>5</v>
      </c>
      <c r="B10" s="5">
        <v>220</v>
      </c>
      <c r="C10" s="5">
        <v>40</v>
      </c>
      <c r="D10" s="5">
        <f t="shared" si="6"/>
        <v>620</v>
      </c>
      <c r="E10" s="5">
        <v>664</v>
      </c>
      <c r="F10" s="5">
        <f t="shared" si="7"/>
        <v>57.2</v>
      </c>
      <c r="G10" s="5">
        <f t="shared" si="4"/>
        <v>337</v>
      </c>
      <c r="H10" s="5">
        <v>339</v>
      </c>
      <c r="I10" s="5">
        <f t="shared" si="8"/>
        <v>9</v>
      </c>
      <c r="J10" s="5">
        <f t="shared" si="9"/>
        <v>326.2</v>
      </c>
      <c r="K10" s="5">
        <v>325</v>
      </c>
      <c r="L10" s="7">
        <f t="shared" si="10"/>
        <v>-1.1999999999999886</v>
      </c>
      <c r="M10" s="5"/>
    </row>
    <row r="11" spans="1:13">
      <c r="A11" s="5">
        <v>6</v>
      </c>
      <c r="B11" s="5">
        <v>220</v>
      </c>
      <c r="C11" s="5">
        <v>40</v>
      </c>
      <c r="D11" s="5">
        <f t="shared" si="6"/>
        <v>664</v>
      </c>
      <c r="E11" s="5">
        <v>715</v>
      </c>
      <c r="F11" s="5">
        <f t="shared" si="7"/>
        <v>66.3</v>
      </c>
      <c r="G11" s="5">
        <f t="shared" si="4"/>
        <v>339</v>
      </c>
      <c r="H11" s="5">
        <v>340</v>
      </c>
      <c r="I11" s="5">
        <f t="shared" si="8"/>
        <v>4.5</v>
      </c>
      <c r="J11" s="5">
        <f t="shared" si="9"/>
        <v>330.8</v>
      </c>
      <c r="K11" s="5">
        <v>330</v>
      </c>
      <c r="L11" s="7">
        <f t="shared" si="10"/>
        <v>-0.80000000000001137</v>
      </c>
      <c r="M11" s="5"/>
    </row>
    <row r="12" spans="1:13">
      <c r="A12" s="5">
        <v>7</v>
      </c>
      <c r="B12" s="5">
        <v>220</v>
      </c>
      <c r="C12" s="5">
        <v>40</v>
      </c>
      <c r="D12" s="5">
        <f t="shared" si="6"/>
        <v>715</v>
      </c>
      <c r="E12" s="5">
        <v>758</v>
      </c>
      <c r="F12" s="5">
        <f t="shared" si="7"/>
        <v>55.9</v>
      </c>
      <c r="G12" s="5">
        <f t="shared" si="4"/>
        <v>340</v>
      </c>
      <c r="H12" s="5">
        <f>G12</f>
        <v>340</v>
      </c>
      <c r="I12" s="5">
        <f t="shared" si="8"/>
        <v>0</v>
      </c>
      <c r="J12" s="5">
        <f t="shared" si="9"/>
        <v>315.89999999999998</v>
      </c>
      <c r="K12" s="5">
        <f t="shared" si="5"/>
        <v>315.89999999999998</v>
      </c>
      <c r="L12" s="7">
        <f t="shared" si="10"/>
        <v>0</v>
      </c>
      <c r="M12" s="5"/>
    </row>
    <row r="13" spans="1:13">
      <c r="A13" s="5">
        <v>8</v>
      </c>
      <c r="B13" s="5">
        <v>220</v>
      </c>
      <c r="C13" s="5">
        <v>40</v>
      </c>
      <c r="D13" s="5">
        <f t="shared" si="6"/>
        <v>758</v>
      </c>
      <c r="E13" s="5">
        <v>813</v>
      </c>
      <c r="F13" s="5">
        <f t="shared" si="7"/>
        <v>71.5</v>
      </c>
      <c r="G13" s="5">
        <f t="shared" si="4"/>
        <v>340</v>
      </c>
      <c r="H13" s="5">
        <v>342</v>
      </c>
      <c r="I13" s="5">
        <f t="shared" si="8"/>
        <v>9</v>
      </c>
      <c r="J13" s="5">
        <f t="shared" si="9"/>
        <v>340.5</v>
      </c>
      <c r="K13" s="5">
        <f t="shared" si="5"/>
        <v>340.5</v>
      </c>
      <c r="L13" s="7">
        <f t="shared" si="10"/>
        <v>0</v>
      </c>
      <c r="M13" s="5"/>
    </row>
    <row r="14" spans="1:13">
      <c r="A14" s="5">
        <v>9</v>
      </c>
      <c r="B14" s="5">
        <v>220</v>
      </c>
      <c r="C14" s="5"/>
      <c r="D14" s="5">
        <f t="shared" si="6"/>
        <v>813</v>
      </c>
      <c r="E14" s="5">
        <v>870</v>
      </c>
      <c r="F14" s="5">
        <f t="shared" si="7"/>
        <v>74.100000000000009</v>
      </c>
      <c r="G14" s="5">
        <f t="shared" si="4"/>
        <v>342</v>
      </c>
      <c r="H14" s="5">
        <v>344</v>
      </c>
      <c r="I14" s="5">
        <f t="shared" si="8"/>
        <v>9</v>
      </c>
      <c r="J14" s="5">
        <f t="shared" si="9"/>
        <v>303.10000000000002</v>
      </c>
      <c r="K14" s="5">
        <v>272</v>
      </c>
      <c r="L14" s="7">
        <f t="shared" si="10"/>
        <v>-31.100000000000023</v>
      </c>
      <c r="M14" s="5"/>
    </row>
    <row r="15" spans="1:13">
      <c r="A15" s="5">
        <v>10</v>
      </c>
      <c r="B15" s="5">
        <v>220</v>
      </c>
      <c r="C15" s="5"/>
      <c r="D15" s="5">
        <f t="shared" si="6"/>
        <v>870</v>
      </c>
      <c r="E15" s="5">
        <v>897</v>
      </c>
      <c r="F15" s="5">
        <f t="shared" si="7"/>
        <v>35.1</v>
      </c>
      <c r="G15" s="5">
        <f t="shared" si="4"/>
        <v>344</v>
      </c>
      <c r="H15" s="5">
        <v>346</v>
      </c>
      <c r="I15" s="5">
        <f t="shared" si="8"/>
        <v>9</v>
      </c>
      <c r="J15" s="5">
        <f t="shared" si="9"/>
        <v>264.10000000000002</v>
      </c>
      <c r="K15" s="5">
        <v>263</v>
      </c>
      <c r="L15" s="7">
        <f t="shared" si="10"/>
        <v>-1.1000000000000227</v>
      </c>
      <c r="M15" s="5"/>
    </row>
    <row r="16" spans="1:13">
      <c r="A16" s="5">
        <v>11</v>
      </c>
      <c r="B16" s="5">
        <v>220</v>
      </c>
      <c r="C16" s="5"/>
      <c r="D16" s="5">
        <f>E15</f>
        <v>897</v>
      </c>
      <c r="E16" s="5">
        <v>963</v>
      </c>
      <c r="F16" s="5">
        <f t="shared" ref="F16:F21" si="11">(E16-D16)*1.3</f>
        <v>85.8</v>
      </c>
      <c r="G16" s="5">
        <f>H15</f>
        <v>346</v>
      </c>
      <c r="H16" s="5">
        <v>346</v>
      </c>
      <c r="I16" s="5">
        <f t="shared" ref="I16:I21" si="12">(H16-G16)*4.5</f>
        <v>0</v>
      </c>
      <c r="J16" s="5">
        <f t="shared" ref="J16:J21" si="13">B16+C16+F16+I16</f>
        <v>305.8</v>
      </c>
      <c r="K16" s="5">
        <v>306</v>
      </c>
      <c r="L16" s="7">
        <f t="shared" ref="L16:L21" si="14">K16-J16</f>
        <v>0.19999999999998863</v>
      </c>
      <c r="M16" s="5"/>
    </row>
    <row r="17" spans="1:13">
      <c r="A17" s="5">
        <v>12</v>
      </c>
      <c r="B17" s="5">
        <v>220</v>
      </c>
      <c r="C17" s="5">
        <v>40</v>
      </c>
      <c r="D17" s="5">
        <f>E16</f>
        <v>963</v>
      </c>
      <c r="E17" s="5">
        <v>1051</v>
      </c>
      <c r="F17" s="5">
        <f t="shared" si="11"/>
        <v>114.4</v>
      </c>
      <c r="G17" s="5">
        <f>H16</f>
        <v>346</v>
      </c>
      <c r="H17" s="5">
        <v>346</v>
      </c>
      <c r="I17" s="5">
        <f t="shared" si="12"/>
        <v>0</v>
      </c>
      <c r="J17" s="5">
        <f t="shared" si="13"/>
        <v>374.4</v>
      </c>
      <c r="K17" s="5">
        <v>374</v>
      </c>
      <c r="L17" s="7">
        <f t="shared" si="14"/>
        <v>-0.39999999999997726</v>
      </c>
      <c r="M17" s="5"/>
    </row>
    <row r="18" spans="1:13">
      <c r="A18" s="5">
        <v>1</v>
      </c>
      <c r="B18" s="5">
        <v>220</v>
      </c>
      <c r="C18" s="5">
        <v>40</v>
      </c>
      <c r="D18" s="5">
        <f>E17</f>
        <v>1051</v>
      </c>
      <c r="E18" s="5">
        <v>1051</v>
      </c>
      <c r="F18" s="5">
        <f t="shared" si="11"/>
        <v>0</v>
      </c>
      <c r="G18" s="5">
        <f>H17</f>
        <v>346</v>
      </c>
      <c r="H18" s="5">
        <v>346</v>
      </c>
      <c r="I18" s="5">
        <f t="shared" si="12"/>
        <v>0</v>
      </c>
      <c r="J18" s="5">
        <f t="shared" si="13"/>
        <v>260</v>
      </c>
      <c r="K18" s="5">
        <v>260</v>
      </c>
      <c r="L18" s="7">
        <f t="shared" si="14"/>
        <v>0</v>
      </c>
      <c r="M18" s="5"/>
    </row>
    <row r="19" spans="1:13">
      <c r="A19" s="5">
        <v>2</v>
      </c>
      <c r="B19" s="5">
        <v>220</v>
      </c>
      <c r="C19" s="5">
        <v>40</v>
      </c>
      <c r="D19" s="5">
        <v>1051</v>
      </c>
      <c r="E19" s="5">
        <v>1235</v>
      </c>
      <c r="F19" s="5">
        <f t="shared" si="11"/>
        <v>239.20000000000002</v>
      </c>
      <c r="G19" s="5">
        <f>H18</f>
        <v>346</v>
      </c>
      <c r="H19" s="5">
        <v>349</v>
      </c>
      <c r="I19" s="5">
        <f t="shared" si="12"/>
        <v>13.5</v>
      </c>
      <c r="J19" s="5">
        <f t="shared" si="13"/>
        <v>512.70000000000005</v>
      </c>
      <c r="K19" s="5">
        <f>645-130</f>
        <v>515</v>
      </c>
      <c r="L19" s="7">
        <f t="shared" si="14"/>
        <v>2.2999999999999545</v>
      </c>
      <c r="M19" s="5"/>
    </row>
    <row r="20" spans="1:13">
      <c r="A20" s="5">
        <v>3</v>
      </c>
      <c r="B20" s="5">
        <v>220</v>
      </c>
      <c r="C20" s="5">
        <v>40</v>
      </c>
      <c r="D20" s="5">
        <f>E19</f>
        <v>1235</v>
      </c>
      <c r="E20" s="5">
        <v>1285</v>
      </c>
      <c r="F20" s="5">
        <f t="shared" si="11"/>
        <v>65</v>
      </c>
      <c r="G20" s="5">
        <f>H19</f>
        <v>349</v>
      </c>
      <c r="H20" s="5">
        <v>351</v>
      </c>
      <c r="I20" s="5">
        <f t="shared" si="12"/>
        <v>9</v>
      </c>
      <c r="J20" s="5">
        <f t="shared" si="13"/>
        <v>334</v>
      </c>
      <c r="K20" s="5">
        <v>333</v>
      </c>
      <c r="L20" s="7">
        <f t="shared" si="14"/>
        <v>-1</v>
      </c>
      <c r="M20" s="5"/>
    </row>
    <row r="21" spans="1:13">
      <c r="A21" s="5">
        <v>4</v>
      </c>
      <c r="B21" s="5">
        <v>220</v>
      </c>
      <c r="C21" s="5">
        <v>40</v>
      </c>
      <c r="D21" s="5">
        <f>E20</f>
        <v>1285</v>
      </c>
      <c r="E21" s="5">
        <v>1334</v>
      </c>
      <c r="F21" s="5">
        <f t="shared" si="11"/>
        <v>63.7</v>
      </c>
      <c r="G21" s="5">
        <v>351</v>
      </c>
      <c r="H21" s="5">
        <v>353</v>
      </c>
      <c r="I21" s="5">
        <f t="shared" si="12"/>
        <v>9</v>
      </c>
      <c r="J21" s="5">
        <f t="shared" si="13"/>
        <v>332.7</v>
      </c>
      <c r="K21" s="5">
        <v>332</v>
      </c>
      <c r="L21" s="7">
        <f t="shared" si="14"/>
        <v>-0.69999999999998863</v>
      </c>
      <c r="M21" s="5"/>
    </row>
    <row r="22" spans="1:13">
      <c r="A22" s="5">
        <v>5</v>
      </c>
      <c r="B22" s="5">
        <v>220</v>
      </c>
      <c r="C22" s="5">
        <v>40</v>
      </c>
      <c r="D22" s="5">
        <v>1334</v>
      </c>
      <c r="E22" s="5">
        <v>1385</v>
      </c>
      <c r="F22" s="5">
        <f t="shared" ref="F22:F27" si="15">(E22-D22)*1.3</f>
        <v>66.3</v>
      </c>
      <c r="G22" s="5">
        <v>353</v>
      </c>
      <c r="H22" s="5">
        <v>355</v>
      </c>
      <c r="I22" s="5">
        <f t="shared" ref="I22:I27" si="16">(H22-G22)*4.5</f>
        <v>9</v>
      </c>
      <c r="J22" s="5">
        <f t="shared" ref="J22:J27" si="17">B22+C22+F22+I22</f>
        <v>335.3</v>
      </c>
      <c r="K22" s="5">
        <v>334</v>
      </c>
      <c r="L22" s="7">
        <f t="shared" ref="L22:L27" si="18">K22-J22</f>
        <v>-1.3000000000000114</v>
      </c>
      <c r="M22" s="5"/>
    </row>
    <row r="23" spans="1:13">
      <c r="A23" s="5">
        <v>6</v>
      </c>
      <c r="B23" s="5">
        <v>220</v>
      </c>
      <c r="C23" s="5">
        <v>40</v>
      </c>
      <c r="D23" s="5">
        <v>1385</v>
      </c>
      <c r="E23" s="5">
        <v>1395</v>
      </c>
      <c r="F23" s="5">
        <f t="shared" si="15"/>
        <v>13</v>
      </c>
      <c r="G23" s="5">
        <v>355</v>
      </c>
      <c r="H23" s="5">
        <v>355</v>
      </c>
      <c r="I23" s="5">
        <f t="shared" si="16"/>
        <v>0</v>
      </c>
      <c r="J23" s="5">
        <f t="shared" si="17"/>
        <v>273</v>
      </c>
      <c r="K23" s="5">
        <v>273</v>
      </c>
      <c r="L23" s="7">
        <f t="shared" si="18"/>
        <v>0</v>
      </c>
      <c r="M23" s="5"/>
    </row>
    <row r="24" spans="1:13">
      <c r="A24" s="5">
        <v>7</v>
      </c>
      <c r="B24" s="5">
        <v>220</v>
      </c>
      <c r="C24" s="5">
        <v>40</v>
      </c>
      <c r="D24" s="5">
        <v>1395</v>
      </c>
      <c r="E24" s="5">
        <v>1402</v>
      </c>
      <c r="F24" s="5">
        <f t="shared" si="15"/>
        <v>9.1</v>
      </c>
      <c r="G24" s="5">
        <v>355</v>
      </c>
      <c r="H24" s="5">
        <v>357</v>
      </c>
      <c r="I24" s="5">
        <f t="shared" si="16"/>
        <v>9</v>
      </c>
      <c r="J24" s="5">
        <f t="shared" si="17"/>
        <v>278.10000000000002</v>
      </c>
      <c r="K24" s="5">
        <v>277</v>
      </c>
      <c r="L24" s="7">
        <f t="shared" si="18"/>
        <v>-1.1000000000000227</v>
      </c>
      <c r="M24" s="5"/>
    </row>
    <row r="25" spans="1:13">
      <c r="A25" s="5">
        <v>8</v>
      </c>
      <c r="B25" s="5">
        <v>220</v>
      </c>
      <c r="C25" s="5">
        <v>40</v>
      </c>
      <c r="D25" s="5">
        <v>1402</v>
      </c>
      <c r="E25" s="5">
        <v>1413</v>
      </c>
      <c r="F25" s="5">
        <f t="shared" si="15"/>
        <v>14.3</v>
      </c>
      <c r="G25" s="5">
        <v>357</v>
      </c>
      <c r="H25" s="5">
        <v>359</v>
      </c>
      <c r="I25" s="5">
        <f t="shared" si="16"/>
        <v>9</v>
      </c>
      <c r="J25" s="5">
        <f t="shared" si="17"/>
        <v>283.3</v>
      </c>
      <c r="K25" s="5">
        <v>282</v>
      </c>
      <c r="L25" s="7">
        <f t="shared" si="18"/>
        <v>-1.3000000000000114</v>
      </c>
      <c r="M25" s="5"/>
    </row>
    <row r="26" spans="1:13">
      <c r="A26" s="5">
        <v>9</v>
      </c>
      <c r="B26" s="5">
        <v>220</v>
      </c>
      <c r="C26" s="5">
        <v>40</v>
      </c>
      <c r="D26" s="5">
        <v>1413</v>
      </c>
      <c r="E26" s="5">
        <v>1413</v>
      </c>
      <c r="F26" s="5">
        <f t="shared" si="15"/>
        <v>0</v>
      </c>
      <c r="G26" s="5">
        <v>359</v>
      </c>
      <c r="H26" s="5">
        <v>359</v>
      </c>
      <c r="I26" s="5">
        <f t="shared" si="16"/>
        <v>0</v>
      </c>
      <c r="J26" s="5">
        <f t="shared" si="17"/>
        <v>260</v>
      </c>
      <c r="K26" s="5">
        <v>260</v>
      </c>
      <c r="L26" s="7">
        <f t="shared" si="18"/>
        <v>0</v>
      </c>
      <c r="M26" s="5" t="s">
        <v>81</v>
      </c>
    </row>
    <row r="27" spans="1:13">
      <c r="A27" s="5">
        <v>10</v>
      </c>
      <c r="B27" s="5">
        <v>220</v>
      </c>
      <c r="C27" s="5">
        <v>40</v>
      </c>
      <c r="D27" s="5">
        <v>1413</v>
      </c>
      <c r="E27" s="5">
        <v>1464</v>
      </c>
      <c r="F27" s="5">
        <f t="shared" si="15"/>
        <v>66.3</v>
      </c>
      <c r="G27" s="5">
        <v>359</v>
      </c>
      <c r="H27" s="5">
        <v>362</v>
      </c>
      <c r="I27" s="5">
        <f t="shared" si="16"/>
        <v>13.5</v>
      </c>
      <c r="J27" s="5">
        <f t="shared" si="17"/>
        <v>339.8</v>
      </c>
      <c r="K27" s="5">
        <v>338</v>
      </c>
      <c r="L27" s="7">
        <f t="shared" si="18"/>
        <v>-1.8000000000000114</v>
      </c>
      <c r="M27" s="5" t="s">
        <v>82</v>
      </c>
    </row>
    <row r="28" spans="1:13">
      <c r="A28" s="5">
        <v>11</v>
      </c>
      <c r="B28" s="5">
        <v>220</v>
      </c>
      <c r="C28" s="5">
        <v>40</v>
      </c>
      <c r="D28" s="5">
        <v>1464</v>
      </c>
      <c r="E28" s="5">
        <v>1524</v>
      </c>
      <c r="F28" s="5">
        <f t="shared" ref="F28:F33" si="19">(E28-D28)*1.3</f>
        <v>78</v>
      </c>
      <c r="G28" s="5">
        <v>362</v>
      </c>
      <c r="H28" s="5">
        <v>362</v>
      </c>
      <c r="I28" s="5">
        <f t="shared" ref="I28:I33" si="20">(H28-G28)*4.5</f>
        <v>0</v>
      </c>
      <c r="J28" s="5">
        <f t="shared" ref="J28:J33" si="21">B28+C28+F28+I28</f>
        <v>338</v>
      </c>
      <c r="K28" s="5">
        <v>338</v>
      </c>
      <c r="L28" s="7">
        <f t="shared" ref="L28:L33" si="22">K28-J28</f>
        <v>0</v>
      </c>
      <c r="M28" s="5" t="s">
        <v>83</v>
      </c>
    </row>
    <row r="29" spans="1:13">
      <c r="A29" s="5">
        <v>12</v>
      </c>
      <c r="B29" s="5">
        <v>220</v>
      </c>
      <c r="C29" s="5">
        <v>40</v>
      </c>
      <c r="D29" s="5">
        <v>1524</v>
      </c>
      <c r="E29" s="5">
        <v>1603</v>
      </c>
      <c r="F29" s="5">
        <f t="shared" si="19"/>
        <v>102.7</v>
      </c>
      <c r="G29" s="5">
        <v>362</v>
      </c>
      <c r="H29" s="5">
        <v>362</v>
      </c>
      <c r="I29" s="5">
        <f t="shared" si="20"/>
        <v>0</v>
      </c>
      <c r="J29" s="5">
        <f t="shared" si="21"/>
        <v>362.7</v>
      </c>
      <c r="K29" s="5">
        <v>363</v>
      </c>
      <c r="L29" s="7">
        <f t="shared" si="22"/>
        <v>0.30000000000001137</v>
      </c>
      <c r="M29" s="5"/>
    </row>
    <row r="30" spans="1:13">
      <c r="A30" s="5">
        <v>1</v>
      </c>
      <c r="B30" s="5">
        <v>220</v>
      </c>
      <c r="C30" s="5">
        <v>40</v>
      </c>
      <c r="D30" s="5">
        <v>1603</v>
      </c>
      <c r="E30" s="5">
        <v>1696</v>
      </c>
      <c r="F30" s="5">
        <f t="shared" si="19"/>
        <v>120.9</v>
      </c>
      <c r="G30" s="5">
        <v>362</v>
      </c>
      <c r="H30" s="5">
        <v>364</v>
      </c>
      <c r="I30" s="5">
        <f t="shared" si="20"/>
        <v>9</v>
      </c>
      <c r="J30" s="5">
        <f t="shared" si="21"/>
        <v>389.9</v>
      </c>
      <c r="K30" s="5">
        <v>389</v>
      </c>
      <c r="L30" s="7">
        <f t="shared" si="22"/>
        <v>-0.89999999999997726</v>
      </c>
      <c r="M30" s="5" t="s">
        <v>84</v>
      </c>
    </row>
    <row r="31" spans="1:13">
      <c r="A31" s="5">
        <v>2</v>
      </c>
      <c r="B31" s="5">
        <v>220</v>
      </c>
      <c r="C31" s="5">
        <v>40</v>
      </c>
      <c r="D31" s="5">
        <v>1696</v>
      </c>
      <c r="E31" s="5">
        <v>1775</v>
      </c>
      <c r="F31" s="5">
        <f t="shared" si="19"/>
        <v>102.7</v>
      </c>
      <c r="G31" s="5">
        <v>364</v>
      </c>
      <c r="H31" s="5">
        <v>364</v>
      </c>
      <c r="I31" s="5">
        <f t="shared" si="20"/>
        <v>0</v>
      </c>
      <c r="J31" s="5">
        <f t="shared" si="21"/>
        <v>362.7</v>
      </c>
      <c r="K31" s="5">
        <v>363</v>
      </c>
      <c r="L31" s="7">
        <f t="shared" si="22"/>
        <v>0.30000000000001137</v>
      </c>
      <c r="M31" s="5"/>
    </row>
    <row r="32" spans="1:13">
      <c r="A32" s="5">
        <v>3</v>
      </c>
      <c r="B32" s="5">
        <v>220</v>
      </c>
      <c r="C32" s="5">
        <v>40</v>
      </c>
      <c r="D32" s="5">
        <v>1775</v>
      </c>
      <c r="E32" s="5">
        <v>1822</v>
      </c>
      <c r="F32" s="5">
        <f t="shared" si="19"/>
        <v>61.1</v>
      </c>
      <c r="G32" s="5">
        <v>364</v>
      </c>
      <c r="H32" s="5">
        <v>364</v>
      </c>
      <c r="I32" s="5">
        <f t="shared" si="20"/>
        <v>0</v>
      </c>
      <c r="J32" s="5">
        <f t="shared" si="21"/>
        <v>321.10000000000002</v>
      </c>
      <c r="K32" s="5">
        <v>321</v>
      </c>
      <c r="L32" s="7">
        <f t="shared" si="22"/>
        <v>-0.10000000000002274</v>
      </c>
      <c r="M32" s="5"/>
    </row>
    <row r="33" spans="1:13">
      <c r="A33" s="5">
        <v>4</v>
      </c>
      <c r="B33" s="5">
        <v>220</v>
      </c>
      <c r="C33" s="5">
        <v>40</v>
      </c>
      <c r="D33" s="5">
        <v>1822</v>
      </c>
      <c r="E33" s="5">
        <v>1883</v>
      </c>
      <c r="F33" s="5">
        <f t="shared" si="19"/>
        <v>79.3</v>
      </c>
      <c r="G33" s="5">
        <v>364</v>
      </c>
      <c r="H33" s="5">
        <v>366</v>
      </c>
      <c r="I33" s="5">
        <f t="shared" si="20"/>
        <v>9</v>
      </c>
      <c r="J33" s="5">
        <f t="shared" si="21"/>
        <v>348.3</v>
      </c>
      <c r="K33" s="5">
        <v>347</v>
      </c>
      <c r="L33" s="7">
        <f t="shared" si="22"/>
        <v>-1.3000000000000114</v>
      </c>
      <c r="M33" s="5"/>
    </row>
    <row r="34" spans="1:13">
      <c r="A34" s="5">
        <v>5</v>
      </c>
      <c r="B34" s="5">
        <v>220</v>
      </c>
      <c r="C34" s="5">
        <v>40</v>
      </c>
      <c r="D34" s="5">
        <v>1883</v>
      </c>
      <c r="E34" s="5">
        <v>1931</v>
      </c>
      <c r="F34" s="5">
        <f t="shared" ref="F34:F39" si="23">(E34-D34)*1.3</f>
        <v>62.400000000000006</v>
      </c>
      <c r="G34" s="5">
        <v>366</v>
      </c>
      <c r="H34" s="5">
        <v>367</v>
      </c>
      <c r="I34" s="5">
        <f t="shared" ref="I34:I39" si="24">(H34-G34)*4.5</f>
        <v>4.5</v>
      </c>
      <c r="J34" s="5">
        <f t="shared" ref="J34:J39" si="25">B34+C34+F34+I34</f>
        <v>326.89999999999998</v>
      </c>
      <c r="K34" s="5">
        <v>326</v>
      </c>
      <c r="L34" s="7">
        <f t="shared" ref="L34:L39" si="26">K34-J34</f>
        <v>-0.89999999999997726</v>
      </c>
    </row>
    <row r="35" spans="1:13">
      <c r="A35" s="5">
        <v>6</v>
      </c>
      <c r="B35" s="5">
        <v>220</v>
      </c>
      <c r="C35" s="5">
        <v>40</v>
      </c>
      <c r="D35" s="5">
        <v>1931</v>
      </c>
      <c r="E35" s="5">
        <v>1973</v>
      </c>
      <c r="F35" s="5">
        <f t="shared" si="23"/>
        <v>54.6</v>
      </c>
      <c r="G35" s="5">
        <v>367</v>
      </c>
      <c r="H35" s="5">
        <v>367</v>
      </c>
      <c r="I35" s="5">
        <f t="shared" si="24"/>
        <v>0</v>
      </c>
      <c r="J35" s="5">
        <f t="shared" si="25"/>
        <v>314.60000000000002</v>
      </c>
      <c r="K35" s="5">
        <v>315</v>
      </c>
      <c r="L35" s="7">
        <f t="shared" si="26"/>
        <v>0.39999999999997726</v>
      </c>
      <c r="M35" s="5" t="s">
        <v>104</v>
      </c>
    </row>
    <row r="36" spans="1:13">
      <c r="A36" s="5">
        <v>7</v>
      </c>
      <c r="B36" s="5">
        <v>220</v>
      </c>
      <c r="C36" s="5">
        <v>40</v>
      </c>
      <c r="D36" s="5">
        <v>1973</v>
      </c>
      <c r="E36" s="5">
        <v>1973</v>
      </c>
      <c r="F36" s="5">
        <f t="shared" si="23"/>
        <v>0</v>
      </c>
      <c r="G36" s="5">
        <v>367</v>
      </c>
      <c r="H36" s="5">
        <v>367</v>
      </c>
      <c r="I36" s="5">
        <f t="shared" si="24"/>
        <v>0</v>
      </c>
      <c r="J36" s="5">
        <f t="shared" si="25"/>
        <v>260</v>
      </c>
      <c r="K36" s="5">
        <v>315</v>
      </c>
      <c r="L36" s="7">
        <f t="shared" si="26"/>
        <v>55</v>
      </c>
      <c r="M36" s="5"/>
    </row>
    <row r="37" spans="1:13">
      <c r="A37" s="5">
        <v>8</v>
      </c>
      <c r="B37" s="5">
        <v>220</v>
      </c>
      <c r="C37" s="5">
        <v>40</v>
      </c>
      <c r="D37" s="5">
        <v>1973</v>
      </c>
      <c r="E37" s="5">
        <v>2016</v>
      </c>
      <c r="F37" s="5">
        <f t="shared" si="23"/>
        <v>55.9</v>
      </c>
      <c r="G37" s="5">
        <v>367</v>
      </c>
      <c r="H37" s="5">
        <v>367</v>
      </c>
      <c r="I37" s="5">
        <f t="shared" si="24"/>
        <v>0</v>
      </c>
      <c r="J37" s="5">
        <f t="shared" si="25"/>
        <v>315.89999999999998</v>
      </c>
      <c r="K37" s="5">
        <f>ROUND(J37,0)</f>
        <v>316</v>
      </c>
      <c r="L37" s="7">
        <f t="shared" si="26"/>
        <v>0.10000000000002274</v>
      </c>
      <c r="M37" s="5"/>
    </row>
    <row r="38" spans="1:13">
      <c r="A38" s="5">
        <v>9</v>
      </c>
      <c r="B38" s="5">
        <v>220</v>
      </c>
      <c r="C38" s="32">
        <v>20</v>
      </c>
      <c r="D38" s="5">
        <v>2016</v>
      </c>
      <c r="E38" s="5">
        <v>2048</v>
      </c>
      <c r="F38" s="5">
        <f t="shared" si="23"/>
        <v>41.6</v>
      </c>
      <c r="G38" s="32">
        <v>368</v>
      </c>
      <c r="H38" s="5">
        <v>370</v>
      </c>
      <c r="I38" s="5">
        <f t="shared" si="24"/>
        <v>9</v>
      </c>
      <c r="J38" s="5">
        <f t="shared" si="25"/>
        <v>290.60000000000002</v>
      </c>
      <c r="K38" s="5">
        <v>290</v>
      </c>
      <c r="L38" s="7">
        <f t="shared" si="26"/>
        <v>-0.60000000000002274</v>
      </c>
      <c r="M38" s="5"/>
    </row>
    <row r="39" spans="1:13">
      <c r="A39" s="5">
        <v>10</v>
      </c>
      <c r="B39" s="5">
        <v>220</v>
      </c>
      <c r="C39" s="5">
        <v>40</v>
      </c>
      <c r="D39" s="5">
        <v>2048</v>
      </c>
      <c r="E39" s="5">
        <v>2087</v>
      </c>
      <c r="F39" s="5">
        <f t="shared" si="23"/>
        <v>50.7</v>
      </c>
      <c r="G39" s="5">
        <v>370</v>
      </c>
      <c r="H39" s="5">
        <v>372</v>
      </c>
      <c r="I39" s="5">
        <f t="shared" si="24"/>
        <v>9</v>
      </c>
      <c r="J39" s="5">
        <f t="shared" si="25"/>
        <v>319.7</v>
      </c>
      <c r="K39" s="5">
        <v>319</v>
      </c>
      <c r="L39" s="7">
        <f t="shared" si="26"/>
        <v>-0.69999999999998863</v>
      </c>
      <c r="M39" s="5"/>
    </row>
    <row r="40" spans="1:13">
      <c r="A40" s="5">
        <v>11</v>
      </c>
      <c r="B40" s="5">
        <v>220</v>
      </c>
      <c r="C40" s="5">
        <v>40</v>
      </c>
      <c r="D40" s="5">
        <v>2087</v>
      </c>
      <c r="E40" s="5">
        <v>2123</v>
      </c>
      <c r="F40" s="5">
        <f t="shared" ref="F40:F45" si="27">(E40-D40)*1.3</f>
        <v>46.800000000000004</v>
      </c>
      <c r="G40" s="5">
        <v>372</v>
      </c>
      <c r="H40" s="5">
        <v>374</v>
      </c>
      <c r="I40" s="5">
        <f t="shared" ref="I40:I45" si="28">(H40-G40)*4.5</f>
        <v>9</v>
      </c>
      <c r="J40" s="5">
        <f t="shared" ref="J40:J45" si="29">B40+C40+F40+I40</f>
        <v>315.8</v>
      </c>
      <c r="K40" s="5">
        <v>315</v>
      </c>
      <c r="L40" s="7">
        <f t="shared" ref="L40:L45" si="30">K40-J40</f>
        <v>-0.80000000000001137</v>
      </c>
      <c r="M40" s="5"/>
    </row>
    <row r="41" spans="1:13">
      <c r="A41" s="5">
        <v>12</v>
      </c>
      <c r="B41" s="5">
        <v>220</v>
      </c>
      <c r="C41" s="5">
        <v>40</v>
      </c>
      <c r="D41" s="5">
        <v>2123</v>
      </c>
      <c r="E41" s="5">
        <v>2160</v>
      </c>
      <c r="F41" s="5">
        <f t="shared" si="27"/>
        <v>48.1</v>
      </c>
      <c r="G41" s="5">
        <v>374</v>
      </c>
      <c r="H41" s="5">
        <v>374</v>
      </c>
      <c r="I41" s="5">
        <f t="shared" si="28"/>
        <v>0</v>
      </c>
      <c r="J41" s="5">
        <f t="shared" si="29"/>
        <v>308.10000000000002</v>
      </c>
      <c r="K41" s="5">
        <v>308</v>
      </c>
      <c r="L41" s="7">
        <f t="shared" si="30"/>
        <v>-0.10000000000002274</v>
      </c>
      <c r="M41" s="5"/>
    </row>
    <row r="42" spans="1:13">
      <c r="A42" s="5">
        <v>1</v>
      </c>
      <c r="B42" s="5">
        <v>220</v>
      </c>
      <c r="C42" s="5">
        <v>40</v>
      </c>
      <c r="D42" s="5">
        <v>2160</v>
      </c>
      <c r="E42" s="5">
        <v>2249</v>
      </c>
      <c r="F42" s="5">
        <f t="shared" si="27"/>
        <v>115.7</v>
      </c>
      <c r="G42" s="5">
        <v>374</v>
      </c>
      <c r="H42" s="5">
        <v>374</v>
      </c>
      <c r="I42" s="5">
        <f t="shared" si="28"/>
        <v>0</v>
      </c>
      <c r="J42" s="5">
        <f t="shared" si="29"/>
        <v>375.7</v>
      </c>
      <c r="K42" s="5">
        <v>376</v>
      </c>
      <c r="L42" s="7">
        <f t="shared" si="30"/>
        <v>0.30000000000001137</v>
      </c>
      <c r="M42" s="5"/>
    </row>
    <row r="43" spans="1:13">
      <c r="A43" s="5">
        <v>2</v>
      </c>
      <c r="B43" s="5">
        <v>220</v>
      </c>
      <c r="C43" s="32">
        <v>40</v>
      </c>
      <c r="D43" s="5">
        <v>2249</v>
      </c>
      <c r="E43" s="5">
        <v>2355</v>
      </c>
      <c r="F43" s="5">
        <f t="shared" si="27"/>
        <v>137.80000000000001</v>
      </c>
      <c r="G43" s="5">
        <v>374</v>
      </c>
      <c r="H43" s="5">
        <v>374</v>
      </c>
      <c r="I43" s="5">
        <f t="shared" si="28"/>
        <v>0</v>
      </c>
      <c r="J43" s="5">
        <f t="shared" si="29"/>
        <v>397.8</v>
      </c>
      <c r="K43" s="5">
        <v>358</v>
      </c>
      <c r="L43" s="7">
        <f t="shared" si="30"/>
        <v>-39.800000000000011</v>
      </c>
      <c r="M43" s="5" t="s">
        <v>105</v>
      </c>
    </row>
    <row r="44" spans="1:13">
      <c r="A44" s="5">
        <v>3</v>
      </c>
      <c r="B44" s="5">
        <v>220</v>
      </c>
      <c r="C44" s="5">
        <v>40</v>
      </c>
      <c r="D44" s="5">
        <v>2355</v>
      </c>
      <c r="E44" s="5">
        <v>2415</v>
      </c>
      <c r="F44" s="5">
        <f t="shared" si="27"/>
        <v>78</v>
      </c>
      <c r="G44" s="5">
        <v>374</v>
      </c>
      <c r="H44" s="5">
        <v>376</v>
      </c>
      <c r="I44" s="5">
        <f t="shared" si="28"/>
        <v>9</v>
      </c>
      <c r="J44" s="5">
        <f t="shared" si="29"/>
        <v>347</v>
      </c>
      <c r="K44" s="5">
        <v>346</v>
      </c>
      <c r="L44" s="7">
        <f t="shared" si="30"/>
        <v>-1</v>
      </c>
      <c r="M44" s="5"/>
    </row>
    <row r="45" spans="1:13">
      <c r="A45" s="5">
        <v>4</v>
      </c>
      <c r="B45" s="5">
        <v>220</v>
      </c>
      <c r="C45" s="5">
        <v>40</v>
      </c>
      <c r="D45" s="5">
        <v>2415</v>
      </c>
      <c r="E45" s="5">
        <v>2454</v>
      </c>
      <c r="F45" s="5">
        <f t="shared" si="27"/>
        <v>50.7</v>
      </c>
      <c r="G45" s="5">
        <v>376</v>
      </c>
      <c r="H45" s="5">
        <v>376</v>
      </c>
      <c r="I45" s="5">
        <f t="shared" si="28"/>
        <v>0</v>
      </c>
      <c r="J45" s="5">
        <f t="shared" si="29"/>
        <v>310.7</v>
      </c>
      <c r="K45" s="5">
        <v>310</v>
      </c>
      <c r="L45" s="7">
        <f t="shared" si="30"/>
        <v>-0.69999999999998863</v>
      </c>
      <c r="M45" s="5"/>
    </row>
    <row r="46" spans="1:13">
      <c r="A46" s="5">
        <v>5</v>
      </c>
      <c r="B46" s="5">
        <v>220</v>
      </c>
      <c r="C46" s="5">
        <v>40</v>
      </c>
      <c r="D46" s="5">
        <v>2454</v>
      </c>
      <c r="E46" s="5">
        <v>2487</v>
      </c>
      <c r="F46" s="5">
        <f>(E46-D46)*1.3</f>
        <v>42.9</v>
      </c>
      <c r="G46" s="5">
        <v>376</v>
      </c>
      <c r="H46" s="5">
        <v>378</v>
      </c>
      <c r="I46" s="5">
        <f>(H46-G46)*4.5</f>
        <v>9</v>
      </c>
      <c r="J46" s="5">
        <f>B46+C46+F46+I46</f>
        <v>311.89999999999998</v>
      </c>
      <c r="K46" s="5">
        <v>311</v>
      </c>
      <c r="L46" s="7">
        <f>K46-J46</f>
        <v>-0.89999999999997726</v>
      </c>
      <c r="M46" s="5"/>
    </row>
    <row r="47" spans="1:13">
      <c r="A47" s="5">
        <v>6</v>
      </c>
      <c r="B47" s="5">
        <v>220</v>
      </c>
      <c r="C47" s="5">
        <v>40</v>
      </c>
      <c r="D47" s="5">
        <v>2487</v>
      </c>
      <c r="E47" s="5">
        <v>2512</v>
      </c>
      <c r="F47" s="5">
        <f>(E47-D47)*1.3</f>
        <v>32.5</v>
      </c>
      <c r="G47" s="5">
        <v>378</v>
      </c>
      <c r="H47" s="5">
        <v>380</v>
      </c>
      <c r="I47" s="5">
        <f>(H47-G47)*4.5</f>
        <v>9</v>
      </c>
      <c r="J47" s="5">
        <f>B47+C47+F47+I47</f>
        <v>301.5</v>
      </c>
      <c r="K47" s="5">
        <v>301</v>
      </c>
      <c r="L47" s="7">
        <f>K47-J47</f>
        <v>-0.5</v>
      </c>
      <c r="M47" s="5"/>
    </row>
    <row r="48" spans="1:13">
      <c r="A48" s="5">
        <v>7</v>
      </c>
      <c r="B48" s="5">
        <v>220</v>
      </c>
      <c r="C48" s="5">
        <v>40</v>
      </c>
      <c r="D48" s="5">
        <v>2512</v>
      </c>
      <c r="E48" s="5">
        <v>2539</v>
      </c>
      <c r="F48" s="5">
        <f>(E48-D48)*1.3</f>
        <v>35.1</v>
      </c>
      <c r="G48" s="5">
        <v>380</v>
      </c>
      <c r="H48" s="5">
        <v>382</v>
      </c>
      <c r="I48" s="5">
        <f>(H48-G48)*4.5</f>
        <v>9</v>
      </c>
      <c r="J48" s="5">
        <f>B48+C48+F48+I48</f>
        <v>304.10000000000002</v>
      </c>
      <c r="K48" s="5">
        <v>303</v>
      </c>
      <c r="L48" s="7">
        <f>K48-J48</f>
        <v>-1.1000000000000227</v>
      </c>
      <c r="M48" s="5"/>
    </row>
    <row r="49" spans="1:13">
      <c r="A49" s="5">
        <v>8</v>
      </c>
      <c r="B49" s="5">
        <v>220</v>
      </c>
      <c r="C49" s="5">
        <v>40</v>
      </c>
      <c r="D49" s="5">
        <v>2539</v>
      </c>
      <c r="E49" s="5">
        <v>2574</v>
      </c>
      <c r="F49" s="5">
        <f>(E49-D49)*1.3</f>
        <v>45.5</v>
      </c>
      <c r="G49" s="5">
        <v>382</v>
      </c>
      <c r="H49" s="5">
        <v>384</v>
      </c>
      <c r="I49" s="5">
        <f>(H49-G49)*4.5</f>
        <v>9</v>
      </c>
      <c r="J49" s="5">
        <f>B49+C49+F49+I49</f>
        <v>314.5</v>
      </c>
      <c r="K49" s="5">
        <v>314</v>
      </c>
      <c r="L49" s="7">
        <f>K49-J49</f>
        <v>-0.5</v>
      </c>
      <c r="M49" s="5"/>
    </row>
    <row r="50" spans="1:13">
      <c r="A50" s="5">
        <v>9</v>
      </c>
      <c r="B50" s="5">
        <v>220</v>
      </c>
      <c r="C50" s="5">
        <v>40</v>
      </c>
      <c r="D50" s="5">
        <v>2574</v>
      </c>
      <c r="E50" s="5">
        <v>2599</v>
      </c>
      <c r="F50" s="5">
        <f>(E50-D50)*1.3</f>
        <v>32.5</v>
      </c>
      <c r="G50" s="5">
        <v>384</v>
      </c>
      <c r="H50" s="5">
        <v>386</v>
      </c>
      <c r="I50" s="5">
        <f>(H50-G50)*4.5</f>
        <v>9</v>
      </c>
      <c r="J50" s="5">
        <f>B50+C50+F50+I50</f>
        <v>301.5</v>
      </c>
      <c r="K50" s="5">
        <v>301</v>
      </c>
      <c r="L50" s="7">
        <f>K50-J50</f>
        <v>-0.5</v>
      </c>
      <c r="M50" s="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1"/>
  <sheetViews>
    <sheetView workbookViewId="0">
      <selection activeCell="A18" sqref="A18"/>
    </sheetView>
  </sheetViews>
  <sheetFormatPr defaultRowHeight="14.4"/>
  <cols>
    <col min="1" max="1" width="60.77734375" customWidth="1"/>
  </cols>
  <sheetData>
    <row r="1" spans="1:1">
      <c r="A1" t="s">
        <v>10</v>
      </c>
    </row>
    <row r="2" spans="1:1">
      <c r="A2" t="s">
        <v>11</v>
      </c>
    </row>
    <row r="3" spans="1:1">
      <c r="A3" t="s">
        <v>12</v>
      </c>
    </row>
    <row r="4" spans="1:1">
      <c r="A4" t="s">
        <v>13</v>
      </c>
    </row>
    <row r="5" spans="1:1">
      <c r="A5" t="s">
        <v>15</v>
      </c>
    </row>
    <row r="6" spans="1:1">
      <c r="A6" t="s">
        <v>14</v>
      </c>
    </row>
    <row r="7" spans="1:1">
      <c r="A7" t="s">
        <v>16</v>
      </c>
    </row>
    <row r="8" spans="1:1">
      <c r="A8" t="s">
        <v>17</v>
      </c>
    </row>
    <row r="9" spans="1:1">
      <c r="A9" t="s">
        <v>18</v>
      </c>
    </row>
    <row r="10" spans="1:1">
      <c r="A10" t="s">
        <v>19</v>
      </c>
    </row>
    <row r="11" spans="1:1">
      <c r="A11" t="s">
        <v>20</v>
      </c>
    </row>
    <row r="12" spans="1:1">
      <c r="A12" t="s">
        <v>21</v>
      </c>
    </row>
    <row r="13" spans="1:1">
      <c r="A13" t="s">
        <v>22</v>
      </c>
    </row>
    <row r="14" spans="1:1">
      <c r="A14" t="s">
        <v>24</v>
      </c>
    </row>
    <row r="15" spans="1:1">
      <c r="A15" t="s">
        <v>23</v>
      </c>
    </row>
    <row r="16" spans="1:1">
      <c r="A16" t="s">
        <v>25</v>
      </c>
    </row>
    <row r="17" spans="1:1">
      <c r="A17" t="s">
        <v>26</v>
      </c>
    </row>
    <row r="18" spans="1:1">
      <c r="A18" t="s">
        <v>23</v>
      </c>
    </row>
    <row r="19" spans="1:1">
      <c r="A19" t="s">
        <v>27</v>
      </c>
    </row>
    <row r="20" spans="1:1">
      <c r="A20" t="s">
        <v>28</v>
      </c>
    </row>
    <row r="21" spans="1:1">
      <c r="A21" t="s">
        <v>29</v>
      </c>
    </row>
    <row r="22" spans="1:1">
      <c r="A22" t="s">
        <v>30</v>
      </c>
    </row>
    <row r="23" spans="1:1">
      <c r="A23" t="s">
        <v>31</v>
      </c>
    </row>
    <row r="25" spans="1:1">
      <c r="A25" t="s">
        <v>32</v>
      </c>
    </row>
    <row r="26" spans="1:1">
      <c r="A26" t="s">
        <v>33</v>
      </c>
    </row>
    <row r="27" spans="1:1">
      <c r="A27" t="s">
        <v>37</v>
      </c>
    </row>
    <row r="28" spans="1:1">
      <c r="A28" t="s">
        <v>35</v>
      </c>
    </row>
    <row r="29" spans="1:1">
      <c r="A29" t="s">
        <v>36</v>
      </c>
    </row>
    <row r="30" spans="1:1">
      <c r="A30" t="s">
        <v>34</v>
      </c>
    </row>
    <row r="31" spans="1:1">
      <c r="A31" t="s">
        <v>38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E17"/>
  <sheetViews>
    <sheetView workbookViewId="0">
      <selection activeCell="F20" sqref="F20"/>
    </sheetView>
  </sheetViews>
  <sheetFormatPr defaultRowHeight="14.4"/>
  <cols>
    <col min="1" max="1" width="6.21875" bestFit="1" customWidth="1"/>
    <col min="2" max="2" width="8.5546875" bestFit="1" customWidth="1"/>
    <col min="3" max="3" width="9.6640625" customWidth="1"/>
    <col min="4" max="4" width="18.6640625" bestFit="1" customWidth="1"/>
    <col min="5" max="5" width="8.5546875" bestFit="1" customWidth="1"/>
  </cols>
  <sheetData>
    <row r="2" spans="1:5" ht="15.6">
      <c r="A2" s="9" t="s">
        <v>39</v>
      </c>
      <c r="B2" s="10" t="s">
        <v>43</v>
      </c>
      <c r="C2" s="10" t="s">
        <v>56</v>
      </c>
      <c r="D2" s="10" t="s">
        <v>61</v>
      </c>
      <c r="E2" s="11" t="s">
        <v>71</v>
      </c>
    </row>
    <row r="3" spans="1:5" ht="15.6">
      <c r="A3" s="14"/>
      <c r="B3" s="15"/>
      <c r="C3" s="12"/>
      <c r="D3" s="12"/>
      <c r="E3" s="13"/>
    </row>
    <row r="4" spans="1:5">
      <c r="A4" s="16" t="s">
        <v>42</v>
      </c>
      <c r="B4" s="17" t="s">
        <v>44</v>
      </c>
      <c r="C4" s="19" t="s">
        <v>57</v>
      </c>
      <c r="D4" s="17" t="s">
        <v>62</v>
      </c>
      <c r="E4" s="27" t="s">
        <v>72</v>
      </c>
    </row>
    <row r="5" spans="1:5">
      <c r="A5" s="18" t="s">
        <v>77</v>
      </c>
      <c r="B5" s="17" t="s">
        <v>45</v>
      </c>
      <c r="C5" s="19" t="s">
        <v>58</v>
      </c>
      <c r="D5" s="19" t="s">
        <v>64</v>
      </c>
      <c r="E5" s="27" t="s">
        <v>74</v>
      </c>
    </row>
    <row r="6" spans="1:5">
      <c r="A6" s="16" t="s">
        <v>79</v>
      </c>
      <c r="B6" s="17" t="s">
        <v>46</v>
      </c>
      <c r="C6" s="19" t="s">
        <v>59</v>
      </c>
      <c r="D6" s="19" t="s">
        <v>65</v>
      </c>
      <c r="E6" s="27" t="s">
        <v>75</v>
      </c>
    </row>
    <row r="7" spans="1:5">
      <c r="A7" s="16" t="s">
        <v>80</v>
      </c>
      <c r="B7" s="17" t="s">
        <v>47</v>
      </c>
      <c r="C7" s="19" t="s">
        <v>60</v>
      </c>
      <c r="D7" s="17" t="s">
        <v>66</v>
      </c>
      <c r="E7" s="27" t="s">
        <v>76</v>
      </c>
    </row>
    <row r="8" spans="1:5">
      <c r="A8" s="16" t="s">
        <v>78</v>
      </c>
      <c r="B8" s="17" t="s">
        <v>51</v>
      </c>
      <c r="C8" s="19" t="s">
        <v>87</v>
      </c>
      <c r="D8" s="17" t="s">
        <v>68</v>
      </c>
      <c r="E8" s="20" t="s">
        <v>73</v>
      </c>
    </row>
    <row r="9" spans="1:5">
      <c r="A9" s="16" t="s">
        <v>88</v>
      </c>
      <c r="B9" s="17" t="s">
        <v>52</v>
      </c>
      <c r="C9" s="19"/>
      <c r="D9" s="19" t="s">
        <v>70</v>
      </c>
      <c r="E9" s="27" t="s">
        <v>90</v>
      </c>
    </row>
    <row r="10" spans="1:5">
      <c r="A10" s="16" t="s">
        <v>40</v>
      </c>
      <c r="B10" s="17" t="s">
        <v>53</v>
      </c>
      <c r="C10" s="19"/>
      <c r="D10" s="17" t="s">
        <v>67</v>
      </c>
      <c r="E10" s="25" t="s">
        <v>86</v>
      </c>
    </row>
    <row r="11" spans="1:5">
      <c r="A11" s="16" t="s">
        <v>41</v>
      </c>
      <c r="B11" s="17" t="s">
        <v>54</v>
      </c>
      <c r="C11" s="19"/>
      <c r="D11" s="17" t="s">
        <v>63</v>
      </c>
      <c r="E11" s="25" t="s">
        <v>91</v>
      </c>
    </row>
    <row r="12" spans="1:5">
      <c r="A12" s="21"/>
      <c r="B12" s="26" t="s">
        <v>89</v>
      </c>
      <c r="C12" s="19"/>
      <c r="D12" s="19" t="s">
        <v>69</v>
      </c>
      <c r="E12" s="20"/>
    </row>
    <row r="13" spans="1:5">
      <c r="A13" s="21"/>
      <c r="B13" s="22" t="s">
        <v>55</v>
      </c>
      <c r="C13" s="19"/>
      <c r="D13" s="21"/>
      <c r="E13" s="20"/>
    </row>
    <row r="14" spans="1:5">
      <c r="A14" s="21"/>
      <c r="B14" s="17" t="s">
        <v>49</v>
      </c>
      <c r="C14" s="19"/>
      <c r="D14" s="21"/>
      <c r="E14" s="20"/>
    </row>
    <row r="15" spans="1:5">
      <c r="A15" s="18"/>
      <c r="B15" s="17" t="s">
        <v>50</v>
      </c>
      <c r="C15" s="22"/>
      <c r="D15" s="21"/>
      <c r="E15" s="23"/>
    </row>
    <row r="16" spans="1:5">
      <c r="A16" s="24"/>
      <c r="B16" s="17" t="s">
        <v>48</v>
      </c>
      <c r="C16" s="21"/>
      <c r="D16" s="21"/>
      <c r="E16" s="21"/>
    </row>
    <row r="17" spans="2:2">
      <c r="B17" s="25" t="s">
        <v>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4.4"/>
  <cols>
    <col min="1" max="1" width="10.5546875" bestFit="1" customWidth="1"/>
    <col min="4" max="4" width="11.21875" customWidth="1"/>
  </cols>
  <sheetData>
    <row r="1" spans="1:6">
      <c r="A1" s="29" t="s">
        <v>92</v>
      </c>
      <c r="B1" s="29" t="s">
        <v>95</v>
      </c>
      <c r="C1" s="29" t="s">
        <v>94</v>
      </c>
      <c r="D1" s="29" t="s">
        <v>93</v>
      </c>
      <c r="E1" s="29"/>
      <c r="F1" s="29"/>
    </row>
    <row r="2" spans="1:6">
      <c r="A2" s="28">
        <v>43216</v>
      </c>
      <c r="C2">
        <v>30</v>
      </c>
      <c r="D2">
        <v>28.16</v>
      </c>
      <c r="F2" t="s">
        <v>103</v>
      </c>
    </row>
    <row r="3" spans="1:6">
      <c r="A3" s="2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B7"/>
  <sheetViews>
    <sheetView workbookViewId="0">
      <pane ySplit="1" topLeftCell="A2" activePane="bottomLeft" state="frozen"/>
      <selection pane="bottomLeft" activeCell="B5" sqref="B5"/>
    </sheetView>
  </sheetViews>
  <sheetFormatPr defaultRowHeight="14.4"/>
  <cols>
    <col min="1" max="1" width="5.5546875" style="31" bestFit="1" customWidth="1"/>
    <col min="2" max="2" width="9.5546875" bestFit="1" customWidth="1"/>
  </cols>
  <sheetData>
    <row r="1" spans="1:2">
      <c r="A1" s="31" t="s">
        <v>96</v>
      </c>
      <c r="B1" t="s">
        <v>97</v>
      </c>
    </row>
    <row r="2" spans="1:2">
      <c r="A2" s="31">
        <v>0</v>
      </c>
      <c r="B2" s="30" t="s">
        <v>102</v>
      </c>
    </row>
    <row r="3" spans="1:2">
      <c r="A3" s="31">
        <v>1</v>
      </c>
      <c r="B3" s="30" t="s">
        <v>98</v>
      </c>
    </row>
    <row r="4" spans="1:2">
      <c r="A4" s="31">
        <v>2</v>
      </c>
      <c r="B4" s="30" t="s">
        <v>99</v>
      </c>
    </row>
    <row r="5" spans="1:2">
      <c r="A5" s="31">
        <v>3</v>
      </c>
      <c r="B5" s="30" t="s">
        <v>100</v>
      </c>
    </row>
    <row r="6" spans="1:2">
      <c r="A6" s="31">
        <v>4</v>
      </c>
      <c r="B6" s="30" t="s">
        <v>101</v>
      </c>
    </row>
    <row r="7" spans="1:2">
      <c r="B7" s="30"/>
    </row>
  </sheetData>
  <phoneticPr fontId="1" type="noConversion"/>
  <hyperlinks>
    <hyperlink ref="B2" location="rent!A1" tooltip="单击打开rent" display="rent"/>
    <hyperlink ref="B3" location="userform!A1" tooltip="单击打开userform" display="userform"/>
    <hyperlink ref="B4" location="外住用品!A1" tooltip="单击打开外住用品" display="外住用品"/>
    <hyperlink ref="B5" location="mobile!A1" tooltip="单击打开mobile" display="mobile"/>
    <hyperlink ref="B6" location="000目录!A1" tooltip="单击打开000目录" display="000目录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rent</vt:lpstr>
      <vt:lpstr>userform</vt:lpstr>
      <vt:lpstr>外住用品</vt:lpstr>
      <vt:lpstr>mobile</vt:lpstr>
      <vt:lpstr>000目录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dcterms:created xsi:type="dcterms:W3CDTF">2006-09-13T11:21:51Z</dcterms:created>
  <dcterms:modified xsi:type="dcterms:W3CDTF">2019-09-05T22:55:13Z</dcterms:modified>
</cp:coreProperties>
</file>