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384" windowHeight="7692" firstSheet="22" activeTab="28"/>
  </bookViews>
  <sheets>
    <sheet name="2018-7-26" sheetId="57" r:id="rId1"/>
    <sheet name="2018-9-19" sheetId="58" r:id="rId2"/>
    <sheet name="2018-10-7" sheetId="59" r:id="rId3"/>
    <sheet name="2018-10-20" sheetId="60" r:id="rId4"/>
    <sheet name="2018-10-28" sheetId="61" r:id="rId5"/>
    <sheet name="2018-11-4" sheetId="62" r:id="rId6"/>
    <sheet name="2018-11-20" sheetId="63" r:id="rId7"/>
    <sheet name="2018-12-14" sheetId="64" r:id="rId8"/>
    <sheet name="2018-12-15" sheetId="65" r:id="rId9"/>
    <sheet name="2018-12-25" sheetId="66" r:id="rId10"/>
    <sheet name="2019-1-8" sheetId="67" r:id="rId11"/>
    <sheet name="2019-2-20" sheetId="68" r:id="rId12"/>
    <sheet name="2019-2-24" sheetId="69" r:id="rId13"/>
    <sheet name="2019-4-4" sheetId="70" r:id="rId14"/>
    <sheet name="2019-4-14" sheetId="72" r:id="rId15"/>
    <sheet name="2019-4-22" sheetId="73" r:id="rId16"/>
    <sheet name="2019-5-4" sheetId="74" r:id="rId17"/>
    <sheet name="2019-5-27" sheetId="75" r:id="rId18"/>
    <sheet name="2019-5-31" sheetId="76" r:id="rId19"/>
    <sheet name="2019-6-22" sheetId="77" r:id="rId20"/>
    <sheet name="Sheet1" sheetId="78" r:id="rId21"/>
    <sheet name="2019-6-30" sheetId="79" r:id="rId22"/>
    <sheet name="2019-7-14" sheetId="81" r:id="rId23"/>
    <sheet name="2019-7-21" sheetId="82" r:id="rId24"/>
    <sheet name="2019-8-3" sheetId="83" r:id="rId25"/>
    <sheet name="Sheet2" sheetId="84" r:id="rId26"/>
    <sheet name="2019-8-24" sheetId="85" r:id="rId27"/>
    <sheet name="2019-9-17" sheetId="86" r:id="rId28"/>
    <sheet name="2019-9-21" sheetId="87" r:id="rId29"/>
  </sheets>
  <calcPr calcId="124519"/>
</workbook>
</file>

<file path=xl/calcChain.xml><?xml version="1.0" encoding="utf-8"?>
<calcChain xmlns="http://schemas.openxmlformats.org/spreadsheetml/2006/main">
  <c r="H12" i="87"/>
  <c r="F11"/>
  <c r="F10"/>
  <c r="F9"/>
  <c r="F8"/>
  <c r="F7"/>
  <c r="F6"/>
  <c r="F5"/>
  <c r="F4"/>
  <c r="F3"/>
  <c r="F2"/>
  <c r="H13" i="86"/>
  <c r="F12"/>
  <c r="F11"/>
  <c r="F10"/>
  <c r="F9"/>
  <c r="F8"/>
  <c r="F7"/>
  <c r="F6"/>
  <c r="F5"/>
  <c r="F4"/>
  <c r="F3"/>
  <c r="F2"/>
  <c r="H12" i="85"/>
  <c r="F11"/>
  <c r="F10"/>
  <c r="F9"/>
  <c r="F8"/>
  <c r="F7"/>
  <c r="F6"/>
  <c r="F5"/>
  <c r="F4"/>
  <c r="F3"/>
  <c r="F2"/>
  <c r="H12" i="83"/>
  <c r="F11"/>
  <c r="F10"/>
  <c r="F9"/>
  <c r="F8"/>
  <c r="F7"/>
  <c r="F6"/>
  <c r="F5"/>
  <c r="F4"/>
  <c r="F3"/>
  <c r="F2"/>
  <c r="H12" i="82"/>
  <c r="F11"/>
  <c r="F10"/>
  <c r="F9"/>
  <c r="F8"/>
  <c r="F7"/>
  <c r="F6"/>
  <c r="F5"/>
  <c r="F4"/>
  <c r="F3"/>
  <c r="F2"/>
  <c r="H16" i="81"/>
  <c r="F15"/>
  <c r="F14"/>
  <c r="F13"/>
  <c r="F12"/>
  <c r="F11"/>
  <c r="F10"/>
  <c r="F9"/>
  <c r="F8"/>
  <c r="F7"/>
  <c r="F6"/>
  <c r="F5"/>
  <c r="F4"/>
  <c r="F3"/>
  <c r="F2"/>
  <c r="H20" i="79"/>
  <c r="F19"/>
  <c r="F18"/>
  <c r="F17"/>
  <c r="F16"/>
  <c r="F15"/>
  <c r="F14"/>
  <c r="F13"/>
  <c r="F12"/>
  <c r="F11"/>
  <c r="F10"/>
  <c r="F9"/>
  <c r="F8"/>
  <c r="F7"/>
  <c r="F6"/>
  <c r="F5"/>
  <c r="F4"/>
  <c r="F3"/>
  <c r="F2"/>
  <c r="H20" i="78"/>
  <c r="F19"/>
  <c r="F18"/>
  <c r="F17"/>
  <c r="F16"/>
  <c r="F15"/>
  <c r="F14"/>
  <c r="F13"/>
  <c r="F12"/>
  <c r="F11"/>
  <c r="F10"/>
  <c r="F9"/>
  <c r="F8"/>
  <c r="F7"/>
  <c r="F6"/>
  <c r="F5"/>
  <c r="F4"/>
  <c r="F3"/>
  <c r="F2"/>
  <c r="H22" i="77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H22" i="76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H10" i="75"/>
  <c r="F9"/>
  <c r="F8"/>
  <c r="F7"/>
  <c r="F6"/>
  <c r="F5"/>
  <c r="F4"/>
  <c r="F3"/>
  <c r="F2"/>
  <c r="H7" i="74"/>
  <c r="F6"/>
  <c r="F5"/>
  <c r="F4"/>
  <c r="F3"/>
  <c r="F2"/>
  <c r="H20" i="73"/>
  <c r="F19"/>
  <c r="F18"/>
  <c r="F17"/>
  <c r="F16"/>
  <c r="F15"/>
  <c r="F14"/>
  <c r="F13"/>
  <c r="F12"/>
  <c r="F11"/>
  <c r="F10"/>
  <c r="F9"/>
  <c r="F8"/>
  <c r="F7"/>
  <c r="F6"/>
  <c r="F5"/>
  <c r="F4"/>
  <c r="F3"/>
  <c r="F2"/>
  <c r="H19" i="72"/>
  <c r="F18"/>
  <c r="F17"/>
  <c r="F16"/>
  <c r="F15"/>
  <c r="F14"/>
  <c r="F13"/>
  <c r="F12"/>
  <c r="F11"/>
  <c r="F10"/>
  <c r="F9"/>
  <c r="F8"/>
  <c r="F7"/>
  <c r="F6"/>
  <c r="F5"/>
  <c r="F4"/>
  <c r="F3"/>
  <c r="F2"/>
  <c r="H17" i="70"/>
  <c r="F16"/>
  <c r="F15"/>
  <c r="F14"/>
  <c r="F13"/>
  <c r="F12"/>
  <c r="F11"/>
  <c r="F10"/>
  <c r="F9"/>
  <c r="F8"/>
  <c r="F7"/>
  <c r="F6"/>
  <c r="F5"/>
  <c r="F4"/>
  <c r="F3"/>
  <c r="F2"/>
  <c r="H9" i="69"/>
  <c r="F8"/>
  <c r="F7"/>
  <c r="F6"/>
  <c r="F5"/>
  <c r="F4"/>
  <c r="F3"/>
  <c r="F2"/>
  <c r="H14" i="68"/>
  <c r="F13"/>
  <c r="F12"/>
  <c r="F11"/>
  <c r="F10"/>
  <c r="F9"/>
  <c r="F8"/>
  <c r="F7"/>
  <c r="F6"/>
  <c r="F5"/>
  <c r="F4"/>
  <c r="F3"/>
  <c r="F2"/>
  <c r="H10" i="67"/>
  <c r="F9"/>
  <c r="F8"/>
  <c r="F7"/>
  <c r="F6"/>
  <c r="F5"/>
  <c r="F4"/>
  <c r="F3"/>
  <c r="F2"/>
  <c r="H12" i="66"/>
  <c r="F11"/>
  <c r="F10"/>
  <c r="F9"/>
  <c r="F8"/>
  <c r="F7"/>
  <c r="F6"/>
  <c r="F5"/>
  <c r="F4"/>
  <c r="F3"/>
  <c r="F2"/>
  <c r="H17" i="65"/>
  <c r="F16"/>
  <c r="F15"/>
  <c r="F14"/>
  <c r="F13"/>
  <c r="F12"/>
  <c r="F11"/>
  <c r="F10"/>
  <c r="F9"/>
  <c r="F8"/>
  <c r="F7"/>
  <c r="F6"/>
  <c r="F5"/>
  <c r="F4"/>
  <c r="F3"/>
  <c r="F2"/>
  <c r="H14" i="64"/>
  <c r="F13"/>
  <c r="F12"/>
  <c r="F11"/>
  <c r="F10"/>
  <c r="F9"/>
  <c r="F8"/>
  <c r="F7"/>
  <c r="F6"/>
  <c r="F5"/>
  <c r="F4"/>
  <c r="F3"/>
  <c r="F2"/>
  <c r="H15" i="63"/>
  <c r="F14"/>
  <c r="F13"/>
  <c r="F12"/>
  <c r="F11"/>
  <c r="F10"/>
  <c r="F9"/>
  <c r="F8"/>
  <c r="F7"/>
  <c r="F6"/>
  <c r="F5"/>
  <c r="F4"/>
  <c r="F3"/>
  <c r="F2"/>
  <c r="H14" i="62"/>
  <c r="F13"/>
  <c r="F12"/>
  <c r="F11"/>
  <c r="F10"/>
  <c r="F9"/>
  <c r="F8"/>
  <c r="F7"/>
  <c r="F6"/>
  <c r="F5"/>
  <c r="F4"/>
  <c r="F3"/>
  <c r="F2"/>
  <c r="H14" i="61"/>
  <c r="F13"/>
  <c r="F12"/>
  <c r="F11"/>
  <c r="F10"/>
  <c r="F9"/>
  <c r="F8"/>
  <c r="F7"/>
  <c r="F6"/>
  <c r="F5"/>
  <c r="F4"/>
  <c r="F3"/>
  <c r="F2"/>
  <c r="H11" i="60"/>
  <c r="F10"/>
  <c r="F9"/>
  <c r="F8"/>
  <c r="F7"/>
  <c r="F6"/>
  <c r="F5"/>
  <c r="F4"/>
  <c r="F3"/>
  <c r="F2"/>
  <c r="H17" i="59"/>
  <c r="F16"/>
  <c r="F15"/>
  <c r="F14"/>
  <c r="F13"/>
  <c r="F12"/>
  <c r="F11"/>
  <c r="F10"/>
  <c r="F9"/>
  <c r="F8"/>
  <c r="F7"/>
  <c r="F6"/>
  <c r="F5"/>
  <c r="F4"/>
  <c r="F3"/>
  <c r="F2"/>
  <c r="H14" i="58"/>
  <c r="F13"/>
  <c r="F12"/>
  <c r="F11"/>
  <c r="F10"/>
  <c r="F9"/>
  <c r="F8"/>
  <c r="F7"/>
  <c r="F6"/>
  <c r="F5"/>
  <c r="F4"/>
  <c r="F3"/>
  <c r="F2"/>
  <c r="H13" i="57"/>
  <c r="F12"/>
  <c r="F11"/>
  <c r="F10"/>
  <c r="F9"/>
  <c r="F8"/>
  <c r="F7"/>
  <c r="F6"/>
  <c r="F5"/>
  <c r="F4"/>
  <c r="F3"/>
  <c r="F2"/>
</calcChain>
</file>

<file path=xl/sharedStrings.xml><?xml version="1.0" encoding="utf-8"?>
<sst xmlns="http://schemas.openxmlformats.org/spreadsheetml/2006/main" count="1454" uniqueCount="707">
  <si>
    <t>条码号</t>
  </si>
  <si>
    <t>索书号</t>
  </si>
  <si>
    <t>借出日期</t>
  </si>
  <si>
    <t>应还日期</t>
  </si>
  <si>
    <t>续借次数</t>
  </si>
  <si>
    <t>sn</t>
  </si>
  <si>
    <t>最近需还书日期：</t>
  </si>
  <si>
    <t>700开头的条码是白云区图书馆的图书；其它是广图的图书；</t>
  </si>
  <si>
    <t>共借书本数：10本</t>
  </si>
  <si>
    <t>应该包含的光盘个数：1个</t>
  </si>
  <si>
    <t>(63天后到期!)</t>
  </si>
  <si>
    <t>韩小良编著</t>
  </si>
  <si>
    <t>用数学的语言看世界</t>
  </si>
  <si>
    <t>(日)大栗博司著</t>
  </si>
  <si>
    <t>O1/888</t>
  </si>
  <si>
    <t>流言满天飞,我们帮你追!</t>
  </si>
  <si>
    <t>公视《流言追追追》企划</t>
  </si>
  <si>
    <t>Z228/2656</t>
  </si>
  <si>
    <t>趣学Python编程</t>
  </si>
  <si>
    <t>(美)Jason Briggs著</t>
  </si>
  <si>
    <t>TP311/3589</t>
  </si>
  <si>
    <t>思维简史：从丛林到宇宙：the human journey from living in trees to understanding the cosmos</t>
  </si>
  <si>
    <t>(美)伦纳德·蒙洛迪诺(Leonard Mlodinow)著</t>
  </si>
  <si>
    <t>K02/157</t>
  </si>
  <si>
    <t>最新Excel VBA活用范例大辞典：经典畅销版</t>
  </si>
  <si>
    <t>TP391/8864</t>
  </si>
  <si>
    <t>Python程序设计任务驱动式教程</t>
  </si>
  <si>
    <t>郑凯梅编著</t>
  </si>
  <si>
    <t>TP311.5/603</t>
  </si>
  <si>
    <t>Python开发向导</t>
  </si>
  <si>
    <t>肖睿，盛宏宇主编</t>
  </si>
  <si>
    <t>TP311.5/488</t>
  </si>
  <si>
    <t>Python编程导论：with application to understanding data</t>
  </si>
  <si>
    <t>(美)John V. Guttag著</t>
  </si>
  <si>
    <t>TP311.5/583</t>
  </si>
  <si>
    <t>图解算法</t>
  </si>
  <si>
    <t>俞征武著</t>
  </si>
  <si>
    <t>TP30/753</t>
  </si>
  <si>
    <t>啊哈！算法</t>
  </si>
  <si>
    <t>啊哈磊著</t>
  </si>
  <si>
    <t>TP30/606</t>
  </si>
  <si>
    <t>书名</t>
    <phoneticPr fontId="1" type="noConversion"/>
  </si>
  <si>
    <t>作者</t>
    <phoneticPr fontId="1" type="noConversion"/>
  </si>
  <si>
    <t>到期天数</t>
    <phoneticPr fontId="1" type="noConversion"/>
  </si>
  <si>
    <t>蒋介石日记揭秘．上</t>
  </si>
  <si>
    <t>张秀章编著</t>
  </si>
  <si>
    <t>K827=73/9</t>
  </si>
  <si>
    <t>自学Python：编程基础、科学计算及数据分析：programming basis scientific calculation and data analysis</t>
  </si>
  <si>
    <t>李金等编著</t>
  </si>
  <si>
    <t>TP311.5/579</t>
  </si>
  <si>
    <t>C语言程序设计(第3版)学习与实验指导</t>
  </si>
  <si>
    <t>秦玉平，马靖善，王丽君主编</t>
  </si>
  <si>
    <t>TP312/7167</t>
  </si>
  <si>
    <t>超实用的jQuery代码段</t>
  </si>
  <si>
    <t>周敏编著</t>
  </si>
  <si>
    <t>TP312/33</t>
  </si>
  <si>
    <t>松本行弘的程序世界</t>
  </si>
  <si>
    <t>(日)松本行弘著</t>
  </si>
  <si>
    <t>TP311/8</t>
  </si>
  <si>
    <t>21天学通Python</t>
  </si>
  <si>
    <t>刘凌霞，郝宁波，吴海涛编著</t>
  </si>
  <si>
    <t>TP311.5/212/[2]</t>
  </si>
  <si>
    <t>Python程序设计</t>
  </si>
  <si>
    <t>(美)约翰·策勒(John Zelle)著</t>
  </si>
  <si>
    <t>TP311.5/558</t>
  </si>
  <si>
    <t>Python程序设计开发宝典</t>
  </si>
  <si>
    <t>董付国著</t>
  </si>
  <si>
    <t>TP311.5/485</t>
  </si>
  <si>
    <t>趣学算法</t>
  </si>
  <si>
    <t>陈小玉著</t>
  </si>
  <si>
    <t>TP30/781</t>
  </si>
  <si>
    <t>Git版本控制管理</t>
  </si>
  <si>
    <t>(美)Jon Loeliger，(美)Matthew McCullough著</t>
  </si>
  <si>
    <t>TP311.5/103</t>
  </si>
  <si>
    <t>21天学通JavaScript</t>
  </si>
  <si>
    <t>马翠翠编著</t>
  </si>
  <si>
    <t>TP312/7221</t>
  </si>
  <si>
    <t>书名</t>
    <phoneticPr fontId="1" type="noConversion"/>
  </si>
  <si>
    <t>作者</t>
    <phoneticPr fontId="1" type="noConversion"/>
  </si>
  <si>
    <t>到期天数</t>
    <phoneticPr fontId="1" type="noConversion"/>
  </si>
  <si>
    <t>共借书本数：12本</t>
  </si>
  <si>
    <t>没有光盘！</t>
  </si>
  <si>
    <t>(24天后到期!)</t>
  </si>
  <si>
    <t>s</t>
    <phoneticPr fontId="1" type="noConversion"/>
  </si>
  <si>
    <t>C语言程序设计案例课堂</t>
  </si>
  <si>
    <t>刘春茂，李琪编著</t>
  </si>
  <si>
    <t>TP312/7345</t>
  </si>
  <si>
    <t>通俗易懂C++</t>
  </si>
  <si>
    <t>鲍钰编著</t>
  </si>
  <si>
    <t>TP312/7362</t>
  </si>
  <si>
    <t>Excel VBA入门及应用</t>
  </si>
  <si>
    <t>赛贝尔资讯编著</t>
  </si>
  <si>
    <t>TP391/10773</t>
  </si>
  <si>
    <t>C++ Primer Plus．下册：英文版</t>
  </si>
  <si>
    <t>(美)Stephen Prata著</t>
  </si>
  <si>
    <t>TP312/2744/[4]2</t>
  </si>
  <si>
    <t>C++ Primer Plus．上册：英文版</t>
  </si>
  <si>
    <t>TP312/2744/[4]1</t>
  </si>
  <si>
    <t>Visual C++程序设计</t>
  </si>
  <si>
    <t>黄永才主编</t>
  </si>
  <si>
    <t>TP312/6944</t>
  </si>
  <si>
    <t>张国焘这一生</t>
  </si>
  <si>
    <t>少华著</t>
  </si>
  <si>
    <t>K827/4392</t>
  </si>
  <si>
    <t>Python 3面向对象编程</t>
  </si>
  <si>
    <t>(加)Dusty Phillips著</t>
  </si>
  <si>
    <t>TP311.5/139/[2]</t>
  </si>
  <si>
    <t>C Primer Plus(第6版)中文版</t>
  </si>
  <si>
    <t>TP312/1614/[3]</t>
  </si>
  <si>
    <t>边城：沈从文著作精选集</t>
  </si>
  <si>
    <t>沈从文[著]</t>
  </si>
  <si>
    <t>I246.5/625</t>
  </si>
  <si>
    <t>jQuery从零开始学</t>
  </si>
  <si>
    <t>刘鑫编著</t>
  </si>
  <si>
    <t>TP312/6397</t>
  </si>
  <si>
    <t>Visual C++从入门到精通</t>
  </si>
  <si>
    <t>明日科技编著</t>
  </si>
  <si>
    <t>TP312/5511/[2]</t>
  </si>
  <si>
    <t>算法基础</t>
  </si>
  <si>
    <t>(美)Richard E. Neapolitan著</t>
  </si>
  <si>
    <t>TP30/675</t>
  </si>
  <si>
    <t>蒋介石传</t>
  </si>
  <si>
    <t>(美)布赖恩·克罗泽著</t>
  </si>
  <si>
    <t>K827/4368</t>
  </si>
  <si>
    <t>书名</t>
    <phoneticPr fontId="1" type="noConversion"/>
  </si>
  <si>
    <t>作者</t>
    <phoneticPr fontId="1" type="noConversion"/>
  </si>
  <si>
    <t>到期天数</t>
    <phoneticPr fontId="1" type="noConversion"/>
  </si>
  <si>
    <t>共借书本数：14本</t>
  </si>
  <si>
    <t>(61天后到期!)</t>
  </si>
  <si>
    <t>长城漫话</t>
  </si>
  <si>
    <t>董耀会著</t>
  </si>
  <si>
    <t>K928.7/1774</t>
  </si>
  <si>
    <t>激励员工的20大策略与198个技巧</t>
  </si>
  <si>
    <t>成旺坤著</t>
  </si>
  <si>
    <t>F272.9/5278</t>
  </si>
  <si>
    <t>微积分．上册</t>
  </si>
  <si>
    <t>陈一宏，张润琦主编</t>
  </si>
  <si>
    <t>O172/152/1</t>
  </si>
  <si>
    <t>哈佛的科学课</t>
  </si>
  <si>
    <t>朱立春编著</t>
  </si>
  <si>
    <t>N49/1077</t>
  </si>
  <si>
    <t>宇宙与原子</t>
  </si>
  <si>
    <t>(美)唐·利希滕贝格著</t>
  </si>
  <si>
    <t>P159/567</t>
  </si>
  <si>
    <t>树莓派Python编程入门与实战</t>
  </si>
  <si>
    <t>(美)Richard Blum，(美)Christine Bresnahan著</t>
  </si>
  <si>
    <t>TP311.5/175</t>
  </si>
  <si>
    <t>易学C++</t>
  </si>
  <si>
    <t>潘嘉杰主编</t>
  </si>
  <si>
    <t>TP312/4131/[2]</t>
  </si>
  <si>
    <t>贺龙传</t>
  </si>
  <si>
    <t>《贺龙传》编写组著</t>
  </si>
  <si>
    <t>K825.2/30/[3]</t>
  </si>
  <si>
    <t>红色将帅．十大元帅．徐向前元帅</t>
  </si>
  <si>
    <t>姚有志主编</t>
  </si>
  <si>
    <t>K825.2/1490/8</t>
  </si>
  <si>
    <t>书名</t>
    <phoneticPr fontId="1" type="noConversion"/>
  </si>
  <si>
    <t>作者</t>
    <phoneticPr fontId="1" type="noConversion"/>
  </si>
  <si>
    <t>到期天数</t>
    <phoneticPr fontId="1" type="noConversion"/>
  </si>
  <si>
    <t>共借书本数：9本</t>
  </si>
  <si>
    <t>Python网络编程：第3版</t>
  </si>
  <si>
    <t>(美)Brandon Rhodes，John Goerzen著</t>
  </si>
  <si>
    <t>TP311.5/329</t>
  </si>
  <si>
    <t>编程导论</t>
  </si>
  <si>
    <t>(美)John V.Guttag著</t>
  </si>
  <si>
    <t>TP311.5/131</t>
  </si>
  <si>
    <t>吉他入门基础教程</t>
  </si>
  <si>
    <t>刘孟元编著</t>
  </si>
  <si>
    <t>J623.26/16</t>
  </si>
  <si>
    <t>书名</t>
    <phoneticPr fontId="1" type="noConversion"/>
  </si>
  <si>
    <t>作者</t>
    <phoneticPr fontId="1" type="noConversion"/>
  </si>
  <si>
    <t>到期天数</t>
    <phoneticPr fontId="1" type="noConversion"/>
  </si>
  <si>
    <t>(28天后到期!)</t>
  </si>
  <si>
    <t>PPT设计与制作</t>
  </si>
  <si>
    <t>智云科技编著</t>
  </si>
  <si>
    <t>TP391/11439</t>
  </si>
  <si>
    <t>2天学会PPT幻灯片设计与制作：2016版</t>
  </si>
  <si>
    <t>一线文化编著</t>
  </si>
  <si>
    <t>TP391/11438</t>
  </si>
  <si>
    <t>C Primer Plus：英文版．上册</t>
  </si>
  <si>
    <t>TP312/6665/1</t>
  </si>
  <si>
    <t>时空简史：从芝诺悖论到引力波</t>
  </si>
  <si>
    <t>朱伟勇，朱海松著</t>
  </si>
  <si>
    <t>B016/76</t>
  </si>
  <si>
    <t>2017计算机考研综合考点精讲与复习指导全书</t>
  </si>
  <si>
    <t>杨航空主编</t>
  </si>
  <si>
    <t>TP3/1626</t>
  </si>
  <si>
    <t>书名</t>
    <phoneticPr fontId="1" type="noConversion"/>
  </si>
  <si>
    <t>作者</t>
    <phoneticPr fontId="1" type="noConversion"/>
  </si>
  <si>
    <t>到期天数</t>
    <phoneticPr fontId="1" type="noConversion"/>
  </si>
  <si>
    <t>共借书本数：10本</t>
    <phoneticPr fontId="1" type="noConversion"/>
  </si>
  <si>
    <t>最近需还书日期：</t>
    <phoneticPr fontId="1" type="noConversion"/>
  </si>
  <si>
    <t>应该包含的光盘个数：2个</t>
    <phoneticPr fontId="1" type="noConversion"/>
  </si>
  <si>
    <t>700开头的条码是白云区图书馆的图书；其它是广图的图书；</t>
    <phoneticPr fontId="1" type="noConversion"/>
  </si>
  <si>
    <t>(46天后到期!)</t>
    <phoneticPr fontId="1" type="noConversion"/>
  </si>
  <si>
    <t>楚辞选译</t>
  </si>
  <si>
    <t>徐建华，金舒年译注</t>
  </si>
  <si>
    <t>I222/2481</t>
  </si>
  <si>
    <t>楚辞</t>
  </si>
  <si>
    <t>(战国)屈原等著</t>
  </si>
  <si>
    <t>I222/2630</t>
  </si>
  <si>
    <t>黑客微百科</t>
  </si>
  <si>
    <t>方兴东主编</t>
  </si>
  <si>
    <t>TP393.08/38</t>
  </si>
  <si>
    <t>离骚四绎</t>
  </si>
  <si>
    <t>钱树棠著</t>
  </si>
  <si>
    <t>I207.2/3400</t>
  </si>
  <si>
    <t>21天学通C++</t>
  </si>
  <si>
    <t>刘蕾编著</t>
  </si>
  <si>
    <t>TP312/4284/[5]</t>
  </si>
  <si>
    <t>C专家编程：英文版</t>
  </si>
  <si>
    <t>(美)Peter van der Linden著</t>
  </si>
  <si>
    <t>TP312/6251/[2]</t>
  </si>
  <si>
    <t>JavaScript从入门到项目实践：超值版</t>
  </si>
  <si>
    <t>聚慕课教育研发中心编著</t>
  </si>
  <si>
    <t>TP312/73</t>
  </si>
  <si>
    <t>书名</t>
    <phoneticPr fontId="1" type="noConversion"/>
  </si>
  <si>
    <t>作者</t>
    <phoneticPr fontId="1" type="noConversion"/>
  </si>
  <si>
    <t>到期天数</t>
    <phoneticPr fontId="1" type="noConversion"/>
  </si>
  <si>
    <t>共借书本数：13本</t>
  </si>
  <si>
    <t>(30天后到期!)</t>
  </si>
  <si>
    <t>Excel 2007 VBA参考大全</t>
    <phoneticPr fontId="1" type="noConversion"/>
  </si>
  <si>
    <r>
      <t>(</t>
    </r>
    <r>
      <rPr>
        <sz val="8"/>
        <color rgb="FF000000"/>
        <rFont val="宋体"/>
        <family val="3"/>
        <charset val="134"/>
      </rPr>
      <t>美</t>
    </r>
    <r>
      <rPr>
        <sz val="8"/>
        <color rgb="FF000000"/>
        <rFont val="Tahoma"/>
        <family val="2"/>
      </rPr>
      <t>)John Green[</t>
    </r>
    <r>
      <rPr>
        <sz val="8"/>
        <color rgb="FF000000"/>
        <rFont val="宋体"/>
        <family val="3"/>
        <charset val="134"/>
      </rPr>
      <t>等</t>
    </r>
    <r>
      <rPr>
        <sz val="8"/>
        <color rgb="FF000000"/>
        <rFont val="Tahoma"/>
        <family val="2"/>
      </rPr>
      <t>]</t>
    </r>
    <r>
      <rPr>
        <sz val="8"/>
        <color rgb="FF000000"/>
        <rFont val="宋体"/>
        <family val="3"/>
        <charset val="134"/>
      </rPr>
      <t>著</t>
    </r>
    <phoneticPr fontId="1" type="noConversion"/>
  </si>
  <si>
    <t>TP391/6386/[2]</t>
    <phoneticPr fontId="1" type="noConversion"/>
  </si>
  <si>
    <t>一起玩电子：电子制作入门、拓展全攻略</t>
  </si>
  <si>
    <t>樊胜民，樊攀编</t>
  </si>
  <si>
    <t>TN/9</t>
  </si>
  <si>
    <t>你必须知道的495个C语言问题</t>
  </si>
  <si>
    <t>(美)Steve Summit著</t>
  </si>
  <si>
    <t>TP312/6551</t>
  </si>
  <si>
    <t>Excel 2007 VBA参考大全</t>
  </si>
  <si>
    <t>(美)John Green[等]著</t>
  </si>
  <si>
    <t>TP391/6386/[2]</t>
  </si>
  <si>
    <t>C/C++实践进阶之道：写给程序员看的编程书</t>
    <phoneticPr fontId="1" type="noConversion"/>
  </si>
  <si>
    <t>陈黎娟编著</t>
    <phoneticPr fontId="1" type="noConversion"/>
  </si>
  <si>
    <t>TP312C/17</t>
    <phoneticPr fontId="1" type="noConversion"/>
  </si>
  <si>
    <t>C Primer Plus(第6版)中文版</t>
    <phoneticPr fontId="1" type="noConversion"/>
  </si>
  <si>
    <t>sn</t>
    <phoneticPr fontId="1" type="noConversion"/>
  </si>
  <si>
    <t>书名</t>
    <phoneticPr fontId="1" type="noConversion"/>
  </si>
  <si>
    <t>作者</t>
    <phoneticPr fontId="1" type="noConversion"/>
  </si>
  <si>
    <t>到期天数</t>
    <phoneticPr fontId="1" type="noConversion"/>
  </si>
  <si>
    <t>共借书本数：12本</t>
    <phoneticPr fontId="1" type="noConversion"/>
  </si>
  <si>
    <t>最近需还书日期：</t>
    <phoneticPr fontId="1" type="noConversion"/>
  </si>
  <si>
    <t>没有光盘！</t>
    <phoneticPr fontId="1" type="noConversion"/>
  </si>
  <si>
    <t>700开头的条码是白云区图书馆的图书；其它是广图的图书；</t>
    <phoneticPr fontId="1" type="noConversion"/>
  </si>
  <si>
    <t>(6天后到期!)</t>
    <phoneticPr fontId="1" type="noConversion"/>
  </si>
  <si>
    <t>HTML 5从入门到精通</t>
  </si>
  <si>
    <t>创客诚品，苏超编著</t>
  </si>
  <si>
    <t>TP312/7425</t>
  </si>
  <si>
    <t>Visual C++编程实战宝典</t>
  </si>
  <si>
    <t>李琳娜等编著</t>
  </si>
  <si>
    <t>TP312/6301</t>
  </si>
  <si>
    <t>程序员的英语</t>
  </si>
  <si>
    <t>(韩)朴栽浒，(韩)李海永著</t>
  </si>
  <si>
    <t>TP311.1/139</t>
  </si>
  <si>
    <t>直击招聘：程序员面试笔试C++语言深度解析</t>
  </si>
  <si>
    <t>李春葆，李筱驰主编</t>
  </si>
  <si>
    <t>TP312/7207</t>
  </si>
  <si>
    <t>伟大的计算原理</t>
  </si>
  <si>
    <t>(美)彼得 J. 丹宁(Peter J. Denning)，(美)克雷格 H. 马特尔(Craig H. Martell)著</t>
  </si>
  <si>
    <t>TP3/1698</t>
  </si>
  <si>
    <t>C/C++实践进阶之道：写给程序员看的编程书</t>
  </si>
  <si>
    <t>陈黎娟编著</t>
  </si>
  <si>
    <t>TP312C/17</t>
  </si>
  <si>
    <t>到期天数</t>
    <phoneticPr fontId="1" type="noConversion"/>
  </si>
  <si>
    <t>书名</t>
    <phoneticPr fontId="1" type="noConversion"/>
  </si>
  <si>
    <t>作者</t>
    <phoneticPr fontId="1" type="noConversion"/>
  </si>
  <si>
    <t>共借书本数：13本</t>
    <phoneticPr fontId="1" type="noConversion"/>
  </si>
  <si>
    <t>最近需还书日期：</t>
    <phoneticPr fontId="1" type="noConversion"/>
  </si>
  <si>
    <t>应该包含的光盘个数：2个</t>
    <phoneticPr fontId="1" type="noConversion"/>
  </si>
  <si>
    <t>700开头的条码是白云区图书馆的图书；其它是广图的图书；</t>
    <phoneticPr fontId="1" type="noConversion"/>
  </si>
  <si>
    <t>(27天后到期!)</t>
    <phoneticPr fontId="1" type="noConversion"/>
  </si>
  <si>
    <t>馆藏地点</t>
  </si>
  <si>
    <t>卷册信息</t>
  </si>
  <si>
    <t>   </t>
  </si>
  <si>
    <t>操作</t>
  </si>
  <si>
    <t>Visual C++开发宝典</t>
  </si>
  <si>
    <t>TP312/19</t>
  </si>
  <si>
    <t>成人阅览室</t>
  </si>
  <si>
    <t>独辟蹊径的编程思维：“拿来主义”编程</t>
  </si>
  <si>
    <t>TP311.1/7</t>
  </si>
  <si>
    <t>科学技术图书区</t>
  </si>
  <si>
    <t>社会科学图书一区</t>
  </si>
  <si>
    <t>应该包含的光盘个数：2个</t>
  </si>
  <si>
    <t>(-10天后到期!)</t>
  </si>
  <si>
    <t>sn</t>
    <phoneticPr fontId="1" type="noConversion"/>
  </si>
  <si>
    <t>书名</t>
    <phoneticPr fontId="1" type="noConversion"/>
  </si>
  <si>
    <t>到期天数</t>
    <phoneticPr fontId="1" type="noConversion"/>
  </si>
  <si>
    <t>共借书本数：8本</t>
    <phoneticPr fontId="1" type="noConversion"/>
  </si>
  <si>
    <t>最近需还书日期：</t>
    <phoneticPr fontId="1" type="noConversion"/>
  </si>
  <si>
    <t>应该包含的光盘个数：2个</t>
    <phoneticPr fontId="1" type="noConversion"/>
  </si>
  <si>
    <t>700开头的条码是白云区图书馆的图书；其它是广图的图书；</t>
    <phoneticPr fontId="1" type="noConversion"/>
  </si>
  <si>
    <t>(0天后到期!)</t>
  </si>
  <si>
    <t>作者</t>
    <phoneticPr fontId="1" type="noConversion"/>
  </si>
  <si>
    <t>Visual C++ 2013入门经典</t>
  </si>
  <si>
    <t>(美)Ivor Horton著</t>
  </si>
  <si>
    <t>TP312/6276</t>
  </si>
  <si>
    <t>Excel 2016 VBA入门与应用</t>
  </si>
  <si>
    <t>宋阳编著</t>
  </si>
  <si>
    <t>TP391/11981</t>
  </si>
  <si>
    <t>Office VBA开发经典．基础入门卷</t>
  </si>
  <si>
    <t>刘永富，刘行著</t>
  </si>
  <si>
    <t>TP312/7428</t>
  </si>
  <si>
    <t>码农翻身</t>
  </si>
  <si>
    <t>刘欣著</t>
  </si>
  <si>
    <t>TP311.1/153</t>
  </si>
  <si>
    <t>C语言从入门到精通：精粹版</t>
  </si>
  <si>
    <t>梁义涛编著</t>
  </si>
  <si>
    <t>TP312/7409</t>
  </si>
  <si>
    <t>TP312/6336</t>
  </si>
  <si>
    <t>共借书本数：8本</t>
    <phoneticPr fontId="1" type="noConversion"/>
  </si>
  <si>
    <t>最近需还书日期：</t>
    <phoneticPr fontId="1" type="noConversion"/>
  </si>
  <si>
    <t>没有光盘！</t>
    <phoneticPr fontId="1" type="noConversion"/>
  </si>
  <si>
    <t>700开头的条码是白云区图书馆的图书；其它是广图的图书；</t>
    <phoneticPr fontId="1" type="noConversion"/>
  </si>
  <si>
    <t>索书号</t>
    <phoneticPr fontId="1" type="noConversion"/>
  </si>
  <si>
    <t>借出日期</t>
    <phoneticPr fontId="1" type="noConversion"/>
  </si>
  <si>
    <t>应还日期</t>
    <phoneticPr fontId="1" type="noConversion"/>
  </si>
  <si>
    <t>条码号</t>
    <phoneticPr fontId="1" type="noConversion"/>
  </si>
  <si>
    <t>书名</t>
    <phoneticPr fontId="1" type="noConversion"/>
  </si>
  <si>
    <t>作者</t>
    <phoneticPr fontId="1" type="noConversion"/>
  </si>
  <si>
    <t>到期天数</t>
    <phoneticPr fontId="1" type="noConversion"/>
  </si>
  <si>
    <t>续期次数</t>
    <phoneticPr fontId="1" type="noConversion"/>
  </si>
  <si>
    <t>(61天后到期!)</t>
    <phoneticPr fontId="1" type="noConversion"/>
  </si>
  <si>
    <t>VC++就业培训宝典之MFC视频教程</t>
    <phoneticPr fontId="1" type="noConversion"/>
  </si>
  <si>
    <t>吕鑫编</t>
    <phoneticPr fontId="1" type="noConversion"/>
  </si>
  <si>
    <t>C++程序设计与实践</t>
  </si>
  <si>
    <t>白忠建编著</t>
  </si>
  <si>
    <t>TP312/5544/[2]</t>
  </si>
  <si>
    <t>程序员面试笔试宝典</t>
  </si>
  <si>
    <t>何昊, 叶向阳, 窦浩等编著</t>
  </si>
  <si>
    <t>TP311.1/164</t>
  </si>
  <si>
    <t>象棋开局</t>
  </si>
  <si>
    <t>黄少龙著</t>
  </si>
  <si>
    <t>G891.2/87</t>
  </si>
  <si>
    <t>象棋布局陷阱百招</t>
  </si>
  <si>
    <t>尚威编著</t>
  </si>
  <si>
    <t>G891.2/92</t>
  </si>
  <si>
    <t>实战象棋开局</t>
  </si>
  <si>
    <t>傅宝胜编著</t>
  </si>
  <si>
    <t>G891.2/77</t>
  </si>
  <si>
    <t>Excel 2013函数与公式应用大全：全彩版</t>
  </si>
  <si>
    <t>Excel Home编著</t>
  </si>
  <si>
    <t>TP391.13/100</t>
  </si>
  <si>
    <t>VC++就业培训宝典之MFC视频教程</t>
  </si>
  <si>
    <t>吕鑫编</t>
  </si>
  <si>
    <t>条码号</t>
    <phoneticPr fontId="1" type="noConversion"/>
  </si>
  <si>
    <t>书名</t>
    <phoneticPr fontId="1" type="noConversion"/>
  </si>
  <si>
    <t>作者</t>
    <phoneticPr fontId="1" type="noConversion"/>
  </si>
  <si>
    <t>索书号</t>
    <phoneticPr fontId="1" type="noConversion"/>
  </si>
  <si>
    <t>到期天数</t>
    <phoneticPr fontId="1" type="noConversion"/>
  </si>
  <si>
    <t>借出日期</t>
    <phoneticPr fontId="1" type="noConversion"/>
  </si>
  <si>
    <t>应还日期</t>
    <phoneticPr fontId="1" type="noConversion"/>
  </si>
  <si>
    <t>续期次数</t>
    <phoneticPr fontId="1" type="noConversion"/>
  </si>
  <si>
    <t>(18天后到期!)</t>
  </si>
  <si>
    <t>条码号</t>
    <phoneticPr fontId="1" type="noConversion"/>
  </si>
  <si>
    <t>书名</t>
    <phoneticPr fontId="1" type="noConversion"/>
  </si>
  <si>
    <t>作者</t>
    <phoneticPr fontId="1" type="noConversion"/>
  </si>
  <si>
    <t>索书号</t>
    <phoneticPr fontId="1" type="noConversion"/>
  </si>
  <si>
    <t>到期天数</t>
    <phoneticPr fontId="1" type="noConversion"/>
  </si>
  <si>
    <t>借出日期</t>
    <phoneticPr fontId="1" type="noConversion"/>
  </si>
  <si>
    <t>应还日期</t>
    <phoneticPr fontId="1" type="noConversion"/>
  </si>
  <si>
    <t>续期次数</t>
    <phoneticPr fontId="1" type="noConversion"/>
  </si>
  <si>
    <t>共借书本数：7本</t>
  </si>
  <si>
    <t>(52天后到期!)</t>
  </si>
  <si>
    <t>科学究竟是什么？</t>
  </si>
  <si>
    <t>(英)A.F. 查尔默斯著</t>
  </si>
  <si>
    <t>N0/361/[2]</t>
  </si>
  <si>
    <t>哲学·科学·常识</t>
  </si>
  <si>
    <t>陈嘉映著</t>
  </si>
  <si>
    <t>N02/42</t>
  </si>
  <si>
    <t>科学之源：自然哲学家的启示：it begins in Greece</t>
  </si>
  <si>
    <t>(美)乔伊·哈基姆著</t>
  </si>
  <si>
    <t>N02/44</t>
  </si>
  <si>
    <t>C++语言探索发现学习教程</t>
  </si>
  <si>
    <t>雷小锋，毛善君，张海荣著</t>
  </si>
  <si>
    <t>TP312/6303</t>
  </si>
  <si>
    <t>Visual C++从入门到精通：项目案例版</t>
  </si>
  <si>
    <t>明日学院编著</t>
  </si>
  <si>
    <t>TP312/7121</t>
  </si>
  <si>
    <t>Visual Studio 2017高级编程</t>
  </si>
  <si>
    <t>(美)布鲁斯·约翰逊(Bruce Johnson)著</t>
  </si>
  <si>
    <t>TP312/7423</t>
  </si>
  <si>
    <t>挑战程序设计竞赛．2，算法和数据结构</t>
  </si>
  <si>
    <t>(日)渡部有隆著</t>
  </si>
  <si>
    <t>TP311/3511/2</t>
  </si>
  <si>
    <t>沃兹传：与苹果一起疯狂：computer geek to cult lcon</t>
  </si>
  <si>
    <t>(美)史蒂夫·沃兹尼亚克，(美)吉娜·史密斯著</t>
  </si>
  <si>
    <t>K837.12/37</t>
  </si>
  <si>
    <t>最新C/C++函数与算法速查速用大辞典</t>
  </si>
  <si>
    <t>陈锐[等]编著</t>
  </si>
  <si>
    <t>TP312/6404</t>
  </si>
  <si>
    <t>Visual C++程序开发范例宝典</t>
  </si>
  <si>
    <t>刘志铭，李贺，高茹编著</t>
  </si>
  <si>
    <t>TP312/6225</t>
  </si>
  <si>
    <t>Visual C++项目开发全程实录</t>
  </si>
  <si>
    <t>TP312/3992/[3]</t>
  </si>
  <si>
    <t>条码号</t>
    <phoneticPr fontId="1" type="noConversion"/>
  </si>
  <si>
    <t>书名</t>
    <phoneticPr fontId="1" type="noConversion"/>
  </si>
  <si>
    <t>作者</t>
    <phoneticPr fontId="1" type="noConversion"/>
  </si>
  <si>
    <t>索书号</t>
    <phoneticPr fontId="1" type="noConversion"/>
  </si>
  <si>
    <t>到期天数</t>
    <phoneticPr fontId="1" type="noConversion"/>
  </si>
  <si>
    <t>借出日期</t>
    <phoneticPr fontId="1" type="noConversion"/>
  </si>
  <si>
    <t>应还日期</t>
    <phoneticPr fontId="1" type="noConversion"/>
  </si>
  <si>
    <t>续期次数</t>
    <phoneticPr fontId="1" type="noConversion"/>
  </si>
  <si>
    <t>(15天后到期!)</t>
  </si>
  <si>
    <t>书名</t>
    <phoneticPr fontId="1" type="noConversion"/>
  </si>
  <si>
    <t>作者</t>
    <phoneticPr fontId="1" type="noConversion"/>
  </si>
  <si>
    <t>索书号</t>
    <phoneticPr fontId="1" type="noConversion"/>
  </si>
  <si>
    <t>到期天数</t>
    <phoneticPr fontId="1" type="noConversion"/>
  </si>
  <si>
    <t>借出日期</t>
    <phoneticPr fontId="1" type="noConversion"/>
  </si>
  <si>
    <t>应还日期</t>
    <phoneticPr fontId="1" type="noConversion"/>
  </si>
  <si>
    <t>续期次数</t>
    <phoneticPr fontId="1" type="noConversion"/>
  </si>
  <si>
    <t>sn</t>
    <phoneticPr fontId="1" type="noConversion"/>
  </si>
  <si>
    <t>最近需还书日期：</t>
    <phoneticPr fontId="1" type="noConversion"/>
  </si>
  <si>
    <t>条码号</t>
    <phoneticPr fontId="1" type="noConversion"/>
  </si>
  <si>
    <t>程序员面试笔试宝典</t>
    <phoneticPr fontId="1" type="noConversion"/>
  </si>
  <si>
    <t>共借书本数：15本</t>
    <phoneticPr fontId="1" type="noConversion"/>
  </si>
  <si>
    <t>应该包含的光盘个数：2个</t>
    <phoneticPr fontId="1" type="noConversion"/>
  </si>
  <si>
    <t>700开头的条码是白云区图书馆的图书；其它是广图的图书；</t>
    <phoneticPr fontId="1" type="noConversion"/>
  </si>
  <si>
    <t>(3天后到期!)</t>
    <phoneticPr fontId="1" type="noConversion"/>
  </si>
  <si>
    <t>Qt 5开发实战</t>
  </si>
  <si>
    <t>(韩)金大䑐著</t>
  </si>
  <si>
    <t>TP311.5/160</t>
  </si>
  <si>
    <t>Qt Creator快速入门</t>
  </si>
  <si>
    <t>霍亚飞编著</t>
  </si>
  <si>
    <t>TP311/3363/[3]</t>
  </si>
  <si>
    <t>Excel VBA跟卢子一起学 早做完，不加班：基础入门版</t>
  </si>
  <si>
    <t>陈锡卢，李应钦著</t>
  </si>
  <si>
    <t>TP391/12456/1</t>
  </si>
  <si>
    <t>C++沉思录</t>
  </si>
  <si>
    <t>(美)Andrew Koenig，(美)Barbara Moo著</t>
  </si>
  <si>
    <t>TP312/3888</t>
  </si>
  <si>
    <t>条码号</t>
    <phoneticPr fontId="1" type="noConversion"/>
  </si>
  <si>
    <t>书名</t>
    <phoneticPr fontId="1" type="noConversion"/>
  </si>
  <si>
    <t>作者</t>
    <phoneticPr fontId="1" type="noConversion"/>
  </si>
  <si>
    <t>索书号</t>
    <phoneticPr fontId="1" type="noConversion"/>
  </si>
  <si>
    <t>到期天数</t>
    <phoneticPr fontId="1" type="noConversion"/>
  </si>
  <si>
    <t>借出日期</t>
    <phoneticPr fontId="1" type="noConversion"/>
  </si>
  <si>
    <t>应还日期</t>
    <phoneticPr fontId="1" type="noConversion"/>
  </si>
  <si>
    <t>续期次数</t>
    <phoneticPr fontId="1" type="noConversion"/>
  </si>
  <si>
    <t>共借书本数：16本</t>
  </si>
  <si>
    <t>(25天后到期!)</t>
  </si>
  <si>
    <t>CCCF优秀文章精选</t>
  </si>
  <si>
    <t>中国计算机学会主编</t>
  </si>
  <si>
    <t>TP3/1743</t>
  </si>
  <si>
    <t>C语言编程从零开始学：视频教学版</t>
  </si>
  <si>
    <t>王英英，李小威编著</t>
  </si>
  <si>
    <t>TP312/7510</t>
  </si>
  <si>
    <t>C++程序设计经典300例</t>
  </si>
  <si>
    <t>侯晓琴编著</t>
  </si>
  <si>
    <t>TP312/5959</t>
  </si>
  <si>
    <t>写给大忙人看的C++</t>
  </si>
  <si>
    <t>(美)Brian Overland著</t>
  </si>
  <si>
    <t>TP312/6415</t>
  </si>
  <si>
    <t>条码号</t>
    <phoneticPr fontId="1" type="noConversion"/>
  </si>
  <si>
    <t>书名</t>
    <phoneticPr fontId="1" type="noConversion"/>
  </si>
  <si>
    <t>作者</t>
    <phoneticPr fontId="1" type="noConversion"/>
  </si>
  <si>
    <t>索书号</t>
    <phoneticPr fontId="1" type="noConversion"/>
  </si>
  <si>
    <t>到期天数</t>
    <phoneticPr fontId="1" type="noConversion"/>
  </si>
  <si>
    <t>借出日期</t>
    <phoneticPr fontId="1" type="noConversion"/>
  </si>
  <si>
    <t>应还日期</t>
    <phoneticPr fontId="1" type="noConversion"/>
  </si>
  <si>
    <t>续期次数</t>
    <phoneticPr fontId="1" type="noConversion"/>
  </si>
  <si>
    <t>共借书本数：4本</t>
  </si>
  <si>
    <t>C++性能优化指南</t>
  </si>
  <si>
    <t>(美)Kurt Guntheroth著</t>
  </si>
  <si>
    <t>TP312/76</t>
  </si>
  <si>
    <t>这样编码才规范：128个编码好习惯</t>
  </si>
  <si>
    <t>(韩)朴晋锈著</t>
  </si>
  <si>
    <t>TP393/91</t>
  </si>
  <si>
    <t>条码号</t>
    <phoneticPr fontId="1" type="noConversion"/>
  </si>
  <si>
    <t>书名</t>
    <phoneticPr fontId="1" type="noConversion"/>
  </si>
  <si>
    <t>作者</t>
    <phoneticPr fontId="1" type="noConversion"/>
  </si>
  <si>
    <t>索书号</t>
    <phoneticPr fontId="1" type="noConversion"/>
  </si>
  <si>
    <t>到期天数</t>
    <phoneticPr fontId="1" type="noConversion"/>
  </si>
  <si>
    <t>借出日期</t>
    <phoneticPr fontId="1" type="noConversion"/>
  </si>
  <si>
    <t>应还日期</t>
    <phoneticPr fontId="1" type="noConversion"/>
  </si>
  <si>
    <t>续期次数</t>
    <phoneticPr fontId="1" type="noConversion"/>
  </si>
  <si>
    <t>(38天后到期!)</t>
  </si>
  <si>
    <t>上帝掷骰子吗？</t>
  </si>
  <si>
    <t>曹天元著</t>
  </si>
  <si>
    <t>O413/64/[2]</t>
  </si>
  <si>
    <t>从学徒到高手：玩转电脑装机与软硬件维修</t>
  </si>
  <si>
    <t>王红军编著</t>
  </si>
  <si>
    <t>TP3/1599</t>
  </si>
  <si>
    <t>九天科技编著</t>
  </si>
  <si>
    <t>TP3/1324/[2]</t>
  </si>
  <si>
    <t>C语言程序设计能力教程</t>
  </si>
  <si>
    <t>赵凤芝，包锋主编</t>
  </si>
  <si>
    <t>TP312/7275</t>
  </si>
  <si>
    <t>Visual C++面向对象程序设计</t>
  </si>
  <si>
    <t>李康满，李浪主编</t>
  </si>
  <si>
    <t>TP312/7550</t>
  </si>
  <si>
    <t>C/C++语言程序设计</t>
  </si>
  <si>
    <t>谭晓玲[等]主编</t>
  </si>
  <si>
    <t>TP312/7551</t>
  </si>
  <si>
    <t>大历史，小世界：从大爆炸到你：from the big bang to you</t>
  </si>
  <si>
    <t>(美)辛西娅·斯托克斯·布朗(Cynthia Stokes Brown)著</t>
  </si>
  <si>
    <t>P311/21</t>
  </si>
  <si>
    <t>安全简史：从隐私保护到量子密码</t>
  </si>
  <si>
    <t>杨义先，钮心忻著</t>
  </si>
  <si>
    <t>TP309/350</t>
  </si>
  <si>
    <t>C语言解惑：指针、数组、函数和多文件编程：pointer, array, function and multi-file programming</t>
  </si>
  <si>
    <t>刘振安，刘燕君编著</t>
  </si>
  <si>
    <t>TP312/7024</t>
  </si>
  <si>
    <t>普林斯顿计算机公开课：what you need to know about computers, the internet, privacy, and security</t>
  </si>
  <si>
    <t>(美)布莱恩 W. 柯尼汉(Brian W. Kernighan)著</t>
  </si>
  <si>
    <t>TP3/1685</t>
  </si>
  <si>
    <t>C/C++程序设计</t>
  </si>
  <si>
    <t>陈卫卫，王庆瑞编著</t>
  </si>
  <si>
    <t>TP312/7523</t>
  </si>
  <si>
    <t>C++语义和性能分析</t>
  </si>
  <si>
    <t>杨镰著</t>
  </si>
  <si>
    <t>TP312/7222</t>
  </si>
  <si>
    <t>书名</t>
    <phoneticPr fontId="1" type="noConversion"/>
  </si>
  <si>
    <t>作者</t>
    <phoneticPr fontId="1" type="noConversion"/>
  </si>
  <si>
    <t>索书号</t>
    <phoneticPr fontId="1" type="noConversion"/>
  </si>
  <si>
    <t>到期天数</t>
    <phoneticPr fontId="1" type="noConversion"/>
  </si>
  <si>
    <t>借出日期</t>
    <phoneticPr fontId="1" type="noConversion"/>
  </si>
  <si>
    <t>应还日期</t>
    <phoneticPr fontId="1" type="noConversion"/>
  </si>
  <si>
    <t>续期次数</t>
    <phoneticPr fontId="1" type="noConversion"/>
  </si>
  <si>
    <t>sn</t>
    <phoneticPr fontId="1" type="noConversion"/>
  </si>
  <si>
    <t>条码号</t>
    <phoneticPr fontId="1" type="noConversion"/>
  </si>
  <si>
    <t>最近需还书日期：</t>
    <phoneticPr fontId="1" type="noConversion"/>
  </si>
  <si>
    <t>700开头的条码是白云区图书馆的图书；其它是广图的图书；</t>
    <phoneticPr fontId="1" type="noConversion"/>
  </si>
  <si>
    <t>(34天后到期!)</t>
    <phoneticPr fontId="1" type="noConversion"/>
  </si>
  <si>
    <t>共借书本数：18本</t>
    <phoneticPr fontId="1" type="noConversion"/>
  </si>
  <si>
    <t>应该包含的光盘个数：2个</t>
    <phoneticPr fontId="1" type="noConversion"/>
  </si>
  <si>
    <t>数据与算法</t>
  </si>
  <si>
    <t>吴及，陈健生，白铂编著</t>
  </si>
  <si>
    <t>TP311.1/103</t>
  </si>
  <si>
    <t>电脑入门傻瓜书：Windows 7+Office 2010</t>
  </si>
  <si>
    <t>条码号</t>
    <phoneticPr fontId="1" type="noConversion"/>
  </si>
  <si>
    <t>书名</t>
    <phoneticPr fontId="1" type="noConversion"/>
  </si>
  <si>
    <t>作者</t>
    <phoneticPr fontId="1" type="noConversion"/>
  </si>
  <si>
    <t>索书号</t>
    <phoneticPr fontId="1" type="noConversion"/>
  </si>
  <si>
    <t>到期天数</t>
    <phoneticPr fontId="1" type="noConversion"/>
  </si>
  <si>
    <t>借出日期</t>
    <phoneticPr fontId="1" type="noConversion"/>
  </si>
  <si>
    <t>应还日期</t>
    <phoneticPr fontId="1" type="noConversion"/>
  </si>
  <si>
    <t>续期次数</t>
    <phoneticPr fontId="1" type="noConversion"/>
  </si>
  <si>
    <t>sn</t>
    <phoneticPr fontId="1" type="noConversion"/>
  </si>
  <si>
    <t>共借书本数：19本</t>
    <phoneticPr fontId="1" type="noConversion"/>
  </si>
  <si>
    <t>最近需还书日期：</t>
    <phoneticPr fontId="1" type="noConversion"/>
  </si>
  <si>
    <t>应该包含的光盘个数：1个</t>
    <phoneticPr fontId="1" type="noConversion"/>
  </si>
  <si>
    <t>700开头的条码是白云区图书馆的图书；其它是广图的图书；</t>
    <phoneticPr fontId="1" type="noConversion"/>
  </si>
  <si>
    <t>(12天后到期!)</t>
    <phoneticPr fontId="1" type="noConversion"/>
  </si>
  <si>
    <t>计算机科学概论</t>
  </si>
  <si>
    <t>(美)J.格伦·布鲁克希尔(J. Glenn Brookshear)，(美) 丹尼斯·布里罗(Dennis Brylow)著</t>
  </si>
  <si>
    <t>TP3/1751</t>
  </si>
  <si>
    <t>普林斯顿微积分读本</t>
  </si>
  <si>
    <t>(美)Adrian Banner著</t>
  </si>
  <si>
    <t>O172/93/[2]</t>
  </si>
  <si>
    <t>我们如何到现在</t>
  </si>
  <si>
    <t>(英)迈克尔·莫斯利，(英)约翰·林奇著</t>
  </si>
  <si>
    <t>N09/468</t>
  </si>
  <si>
    <t>条码号</t>
    <phoneticPr fontId="1" type="noConversion"/>
  </si>
  <si>
    <t>书名</t>
    <phoneticPr fontId="1" type="noConversion"/>
  </si>
  <si>
    <t>作者</t>
    <phoneticPr fontId="1" type="noConversion"/>
  </si>
  <si>
    <t>索书号</t>
    <phoneticPr fontId="1" type="noConversion"/>
  </si>
  <si>
    <t>到期天数</t>
    <phoneticPr fontId="1" type="noConversion"/>
  </si>
  <si>
    <t>借出日期</t>
    <phoneticPr fontId="1" type="noConversion"/>
  </si>
  <si>
    <t>应还日期</t>
    <phoneticPr fontId="1" type="noConversion"/>
  </si>
  <si>
    <t>续期次数</t>
    <phoneticPr fontId="1" type="noConversion"/>
  </si>
  <si>
    <t>sn</t>
    <phoneticPr fontId="1" type="noConversion"/>
  </si>
  <si>
    <t>共借书本数：17本</t>
    <phoneticPr fontId="1" type="noConversion"/>
  </si>
  <si>
    <t>最近需还书日期：</t>
    <phoneticPr fontId="1" type="noConversion"/>
  </si>
  <si>
    <t>应该包含的光盘个数：1个</t>
    <phoneticPr fontId="1" type="noConversion"/>
  </si>
  <si>
    <t>700开头的条码是白云区图书馆的图书；其它是广图的图书；</t>
    <phoneticPr fontId="1" type="noConversion"/>
  </si>
  <si>
    <t>(35天后到期!)</t>
    <phoneticPr fontId="1" type="noConversion"/>
  </si>
  <si>
    <t>谜语小百科</t>
  </si>
  <si>
    <t>黎孟德著</t>
  </si>
  <si>
    <t>I277.8/171</t>
  </si>
  <si>
    <t>条码号</t>
    <phoneticPr fontId="1" type="noConversion"/>
  </si>
  <si>
    <t>书名</t>
    <phoneticPr fontId="1" type="noConversion"/>
  </si>
  <si>
    <t>作者</t>
    <phoneticPr fontId="1" type="noConversion"/>
  </si>
  <si>
    <t>索书号</t>
    <phoneticPr fontId="1" type="noConversion"/>
  </si>
  <si>
    <t>到期天数</t>
    <phoneticPr fontId="1" type="noConversion"/>
  </si>
  <si>
    <t>借出日期</t>
    <phoneticPr fontId="1" type="noConversion"/>
  </si>
  <si>
    <t>应还日期</t>
    <phoneticPr fontId="1" type="noConversion"/>
  </si>
  <si>
    <t>续期次数</t>
    <phoneticPr fontId="1" type="noConversion"/>
  </si>
  <si>
    <t>共借书本数：18本</t>
  </si>
  <si>
    <t>(27天后到期!)</t>
  </si>
  <si>
    <t>条码号</t>
    <phoneticPr fontId="1" type="noConversion"/>
  </si>
  <si>
    <t>书名</t>
    <phoneticPr fontId="1" type="noConversion"/>
  </si>
  <si>
    <t>作者</t>
    <phoneticPr fontId="1" type="noConversion"/>
  </si>
  <si>
    <t>索书号</t>
    <phoneticPr fontId="1" type="noConversion"/>
  </si>
  <si>
    <t>到期天数</t>
    <phoneticPr fontId="1" type="noConversion"/>
  </si>
  <si>
    <t>借出日期</t>
    <phoneticPr fontId="1" type="noConversion"/>
  </si>
  <si>
    <t>应还日期</t>
    <phoneticPr fontId="1" type="noConversion"/>
  </si>
  <si>
    <t>续期次数</t>
    <phoneticPr fontId="1" type="noConversion"/>
  </si>
  <si>
    <t>Excel VBA快速入门：数据处理实战技巧精粹</t>
  </si>
  <si>
    <t>韩小良著</t>
  </si>
  <si>
    <t>TP391/12696</t>
  </si>
  <si>
    <t>光学新教程</t>
  </si>
  <si>
    <t>冯杰，胡志娟，冯勋立主编</t>
  </si>
  <si>
    <t>O43/113</t>
  </si>
  <si>
    <t>五彩缤纷的光</t>
  </si>
  <si>
    <t>林静编著</t>
  </si>
  <si>
    <t>O43/60</t>
  </si>
  <si>
    <t>光学教程</t>
  </si>
  <si>
    <t>姚启钧原著</t>
  </si>
  <si>
    <t>O43/132</t>
  </si>
  <si>
    <t>C++游戏编程入门</t>
  </si>
  <si>
    <t>(美)Michael Dawwon著</t>
  </si>
  <si>
    <t>TP312/6386</t>
  </si>
  <si>
    <t>房思琪的初恋乐园</t>
  </si>
  <si>
    <t>林奕含著</t>
  </si>
  <si>
    <t>I247.5/41927</t>
  </si>
  <si>
    <t>条码号</t>
    <phoneticPr fontId="1" type="noConversion"/>
  </si>
  <si>
    <t>书名</t>
    <phoneticPr fontId="1" type="noConversion"/>
  </si>
  <si>
    <t>作者</t>
    <phoneticPr fontId="1" type="noConversion"/>
  </si>
  <si>
    <t>索书号</t>
    <phoneticPr fontId="1" type="noConversion"/>
  </si>
  <si>
    <t>到期天数</t>
    <phoneticPr fontId="1" type="noConversion"/>
  </si>
  <si>
    <t>借出日期</t>
    <phoneticPr fontId="1" type="noConversion"/>
  </si>
  <si>
    <t>应还日期</t>
    <phoneticPr fontId="1" type="noConversion"/>
  </si>
  <si>
    <t>续期次数</t>
    <phoneticPr fontId="1" type="noConversion"/>
  </si>
  <si>
    <t>(11天后到期!)</t>
  </si>
  <si>
    <t>C++项目实训</t>
  </si>
  <si>
    <t>李渤, 安海龙主编</t>
  </si>
  <si>
    <t>TP312/7488</t>
  </si>
  <si>
    <t>C++编程自学宝典</t>
  </si>
  <si>
    <t>(英)理查德·格里姆斯(Richard Grimes)著</t>
  </si>
  <si>
    <t>TP312/7480</t>
  </si>
  <si>
    <t>马琳编著</t>
  </si>
  <si>
    <t>TP393/7042</t>
  </si>
  <si>
    <t>C编程技巧：117个问题解决方案示例：a problem-solution approach</t>
  </si>
  <si>
    <t>(印)希里什·查万(Shirish Chavan)著</t>
  </si>
  <si>
    <t>TP312/7609</t>
  </si>
  <si>
    <t>“笨办法”学C语言</t>
  </si>
  <si>
    <t>(美)泽德 A. 肖(Zed A. Shaw)著</t>
  </si>
  <si>
    <t>TP312/101</t>
  </si>
  <si>
    <t>条码号</t>
    <phoneticPr fontId="1" type="noConversion"/>
  </si>
  <si>
    <t>书名</t>
    <phoneticPr fontId="1" type="noConversion"/>
  </si>
  <si>
    <t>作者</t>
    <phoneticPr fontId="1" type="noConversion"/>
  </si>
  <si>
    <t>索书号</t>
    <phoneticPr fontId="1" type="noConversion"/>
  </si>
  <si>
    <t>到期天数</t>
    <phoneticPr fontId="1" type="noConversion"/>
  </si>
  <si>
    <t>借出日期</t>
    <phoneticPr fontId="1" type="noConversion"/>
  </si>
  <si>
    <t>应还日期</t>
    <phoneticPr fontId="1" type="noConversion"/>
  </si>
  <si>
    <t>续期次数</t>
    <phoneticPr fontId="1" type="noConversion"/>
  </si>
  <si>
    <t>(20天后到期!)</t>
  </si>
  <si>
    <t>黑客攻防从入门到精通．Web脚本编程篇：全新升级版</t>
    <phoneticPr fontId="1" type="noConversion"/>
  </si>
  <si>
    <t>耶鲁极简科学史</t>
  </si>
  <si>
    <t>(英)威廉·拜纳姆著</t>
  </si>
  <si>
    <t>N09/509</t>
  </si>
  <si>
    <t>《三体》中的物理学</t>
  </si>
  <si>
    <t>李淼著</t>
  </si>
  <si>
    <t>O4/858</t>
  </si>
  <si>
    <t>中文版Excel 2016高级VBA编程宝典</t>
  </si>
  <si>
    <t>(美)Michael Alexander，(美)Dick Kusleika著</t>
  </si>
  <si>
    <t>TP391/11971</t>
  </si>
  <si>
    <t>C++之旅：英文版</t>
  </si>
  <si>
    <t>(美)Bjarne Stroustrup著</t>
  </si>
  <si>
    <t>TP312/6552</t>
  </si>
  <si>
    <t>程序员教程</t>
  </si>
  <si>
    <t>张淑平，覃桂敏主编</t>
  </si>
  <si>
    <t>TP311/1757/[3]</t>
  </si>
  <si>
    <t>软件设计师考试同步辅导．上午科目</t>
  </si>
  <si>
    <t>王华君，陶佳主编</t>
  </si>
  <si>
    <t>TP311.5/701/1</t>
  </si>
  <si>
    <t>数据结构教程(第5版)学习指导</t>
  </si>
  <si>
    <t>李春葆主编</t>
  </si>
  <si>
    <t>TP311.1/116</t>
  </si>
  <si>
    <t>条码号</t>
    <phoneticPr fontId="1" type="noConversion"/>
  </si>
  <si>
    <t>书名</t>
    <phoneticPr fontId="1" type="noConversion"/>
  </si>
  <si>
    <t>作者</t>
    <phoneticPr fontId="1" type="noConversion"/>
  </si>
  <si>
    <t>索书号</t>
    <phoneticPr fontId="1" type="noConversion"/>
  </si>
  <si>
    <t>到期天数</t>
    <phoneticPr fontId="1" type="noConversion"/>
  </si>
  <si>
    <t>借出日期</t>
    <phoneticPr fontId="1" type="noConversion"/>
  </si>
  <si>
    <t>应还日期</t>
    <phoneticPr fontId="1" type="noConversion"/>
  </si>
  <si>
    <t>续期次数</t>
    <phoneticPr fontId="1" type="noConversion"/>
  </si>
  <si>
    <t>共借书本数：10本</t>
    <phoneticPr fontId="1" type="noConversion"/>
  </si>
  <si>
    <t>最近需还书日期：</t>
    <phoneticPr fontId="1" type="noConversion"/>
  </si>
  <si>
    <t>没有光盘！</t>
    <phoneticPr fontId="1" type="noConversion"/>
  </si>
  <si>
    <t>700开头的条码是白云区图书馆的图书；其它是广图的图书；</t>
    <phoneticPr fontId="1" type="noConversion"/>
  </si>
  <si>
    <t>(26天后到期!)</t>
    <phoneticPr fontId="1" type="noConversion"/>
  </si>
  <si>
    <t>曾国藩．血祭</t>
  </si>
  <si>
    <t>唐浩明著</t>
  </si>
  <si>
    <t>I247.53/571</t>
  </si>
  <si>
    <t>条码号</t>
    <phoneticPr fontId="1" type="noConversion"/>
  </si>
  <si>
    <t>书名</t>
    <phoneticPr fontId="1" type="noConversion"/>
  </si>
  <si>
    <t>作者</t>
    <phoneticPr fontId="1" type="noConversion"/>
  </si>
  <si>
    <t>索书号</t>
    <phoneticPr fontId="1" type="noConversion"/>
  </si>
  <si>
    <t>到期天数</t>
    <phoneticPr fontId="1" type="noConversion"/>
  </si>
  <si>
    <t>借出日期</t>
    <phoneticPr fontId="1" type="noConversion"/>
  </si>
  <si>
    <t>应还日期</t>
    <phoneticPr fontId="1" type="noConversion"/>
  </si>
  <si>
    <t>续期次数</t>
    <phoneticPr fontId="1" type="noConversion"/>
  </si>
  <si>
    <t>共借书本数：11本</t>
  </si>
  <si>
    <t>(2天后到期!)</t>
  </si>
  <si>
    <t>新概念汇编语言</t>
  </si>
  <si>
    <t>杨季文编著</t>
  </si>
  <si>
    <t>TP313/110</t>
  </si>
  <si>
    <t>C++进阶心法</t>
  </si>
  <si>
    <t>吕吕，王琥编著</t>
  </si>
  <si>
    <t>TP312/7663</t>
  </si>
  <si>
    <t>条码号</t>
    <phoneticPr fontId="1" type="noConversion"/>
  </si>
  <si>
    <t>书名</t>
    <phoneticPr fontId="1" type="noConversion"/>
  </si>
  <si>
    <t>作者</t>
    <phoneticPr fontId="1" type="noConversion"/>
  </si>
  <si>
    <t>索书号</t>
    <phoneticPr fontId="1" type="noConversion"/>
  </si>
  <si>
    <t>到期天数</t>
    <phoneticPr fontId="1" type="noConversion"/>
  </si>
  <si>
    <t>借出日期</t>
    <phoneticPr fontId="1" type="noConversion"/>
  </si>
  <si>
    <t>应还日期</t>
    <phoneticPr fontId="1" type="noConversion"/>
  </si>
  <si>
    <t>续期次数</t>
    <phoneticPr fontId="1" type="noConversion"/>
  </si>
  <si>
    <t>sn</t>
    <phoneticPr fontId="1" type="noConversion"/>
  </si>
  <si>
    <t>共借书本数：10本</t>
    <phoneticPr fontId="1" type="noConversion"/>
  </si>
  <si>
    <t>最近需还书日期：</t>
    <phoneticPr fontId="1" type="noConversion"/>
  </si>
  <si>
    <t>没有光盘！</t>
    <phoneticPr fontId="1" type="noConversion"/>
  </si>
  <si>
    <t>700开头的条码是白云区图书馆的图书；其它是广图的图书；</t>
    <phoneticPr fontId="1" type="noConversion"/>
  </si>
  <si>
    <t>(34天后到期!)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</si>
</sst>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8"/>
      <color rgb="FF000000"/>
      <name val="Tahoma"/>
      <family val="2"/>
    </font>
    <font>
      <sz val="8"/>
      <color theme="0"/>
      <name val="Tahoma"/>
      <family val="2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8"/>
      <color rgb="FF000000"/>
      <name val="宋体"/>
      <family val="3"/>
      <charset val="134"/>
    </font>
    <font>
      <sz val="8"/>
      <color rgb="FF000000"/>
      <name val="寰敓鏂ゆ嫹閿熻剼鐚存嫹"/>
      <family val="3"/>
      <charset val="134"/>
    </font>
    <font>
      <sz val="8"/>
      <color theme="0"/>
      <name val="寰敓鏂ゆ嫹閿熻剼鐚存嫹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/>
      <bottom style="medium">
        <color rgb="FFF1F1F1"/>
      </bottom>
      <diagonal/>
    </border>
    <border>
      <left style="medium">
        <color rgb="FFDBD3D3"/>
      </left>
      <right style="medium">
        <color rgb="FFD7D7D7"/>
      </right>
      <top style="medium">
        <color rgb="FFD7D7D7"/>
      </top>
      <bottom style="medium">
        <color rgb="FFCCCCCC"/>
      </bottom>
      <diagonal/>
    </border>
    <border>
      <left/>
      <right style="medium">
        <color rgb="FFD7D7D7"/>
      </right>
      <top/>
      <bottom style="medium">
        <color rgb="FFF1F1F1"/>
      </bottom>
      <diagonal/>
    </border>
    <border>
      <left/>
      <right style="medium">
        <color rgb="FFD7D7D7"/>
      </right>
      <top/>
      <bottom/>
      <diagonal/>
    </border>
    <border>
      <left/>
      <right/>
      <top style="medium">
        <color rgb="FFD7D7D7"/>
      </top>
      <bottom style="medium">
        <color rgb="FFCCCCCC"/>
      </bottom>
      <diagonal/>
    </border>
  </borders>
  <cellStyleXfs count="1">
    <xf numFmtId="0" fontId="0" fillId="0" borderId="0">
      <alignment vertical="center"/>
    </xf>
  </cellStyleXfs>
  <cellXfs count="60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176" fontId="3" fillId="2" borderId="2" xfId="0" applyNumberFormat="1" applyFont="1" applyFill="1" applyBorder="1" applyAlignment="1">
      <alignment horizontal="righ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176" fontId="2" fillId="3" borderId="5" xfId="0" applyNumberFormat="1" applyFont="1" applyFill="1" applyBorder="1" applyAlignment="1">
      <alignment horizontal="right" vertical="center"/>
    </xf>
    <xf numFmtId="0" fontId="2" fillId="3" borderId="5" xfId="0" applyFont="1" applyFill="1" applyBorder="1" applyAlignment="1">
      <alignment horizontal="left" vertical="center"/>
    </xf>
    <xf numFmtId="14" fontId="2" fillId="3" borderId="5" xfId="0" applyNumberFormat="1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center" vertical="center"/>
    </xf>
    <xf numFmtId="176" fontId="2" fillId="3" borderId="7" xfId="0" applyNumberFormat="1" applyFont="1" applyFill="1" applyBorder="1" applyAlignment="1">
      <alignment horizontal="right" vertical="center"/>
    </xf>
    <xf numFmtId="0" fontId="2" fillId="3" borderId="7" xfId="0" applyFont="1" applyFill="1" applyBorder="1" applyAlignment="1">
      <alignment horizontal="left" vertical="center"/>
    </xf>
    <xf numFmtId="14" fontId="2" fillId="3" borderId="7" xfId="0" applyNumberFormat="1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center" vertical="center"/>
    </xf>
    <xf numFmtId="176" fontId="2" fillId="3" borderId="5" xfId="0" applyNumberFormat="1" applyFont="1" applyFill="1" applyBorder="1" applyAlignment="1">
      <alignment horizontal="center" vertical="center"/>
    </xf>
    <xf numFmtId="176" fontId="2" fillId="3" borderId="7" xfId="0" applyNumberFormat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6" fillId="3" borderId="5" xfId="0" applyFont="1" applyFill="1" applyBorder="1" applyAlignment="1">
      <alignment horizontal="left" vertical="center"/>
    </xf>
    <xf numFmtId="0" fontId="7" fillId="4" borderId="10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left" vertical="center"/>
    </xf>
    <xf numFmtId="0" fontId="7" fillId="3" borderId="11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0" fontId="7" fillId="4" borderId="11" xfId="0" applyFont="1" applyFill="1" applyBorder="1" applyAlignment="1">
      <alignment horizontal="left" vertical="center"/>
    </xf>
    <xf numFmtId="0" fontId="7" fillId="4" borderId="0" xfId="0" applyFont="1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0" fontId="7" fillId="4" borderId="13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176" fontId="8" fillId="2" borderId="2" xfId="0" applyNumberFormat="1" applyFont="1" applyFill="1" applyBorder="1" applyAlignment="1">
      <alignment horizontal="right" vertical="center"/>
    </xf>
    <xf numFmtId="0" fontId="8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76" fontId="7" fillId="3" borderId="5" xfId="0" applyNumberFormat="1" applyFont="1" applyFill="1" applyBorder="1" applyAlignment="1">
      <alignment horizontal="right" vertical="center"/>
    </xf>
    <xf numFmtId="0" fontId="7" fillId="3" borderId="5" xfId="0" applyFont="1" applyFill="1" applyBorder="1" applyAlignment="1">
      <alignment horizontal="left" vertical="center"/>
    </xf>
    <xf numFmtId="14" fontId="7" fillId="3" borderId="5" xfId="0" applyNumberFormat="1" applyFont="1" applyFill="1" applyBorder="1" applyAlignment="1">
      <alignment horizontal="left" vertical="center"/>
    </xf>
    <xf numFmtId="14" fontId="7" fillId="3" borderId="6" xfId="0" applyNumberFormat="1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176" fontId="7" fillId="4" borderId="5" xfId="0" applyNumberFormat="1" applyFont="1" applyFill="1" applyBorder="1" applyAlignment="1">
      <alignment horizontal="right" vertical="center"/>
    </xf>
    <xf numFmtId="0" fontId="7" fillId="4" borderId="5" xfId="0" applyFont="1" applyFill="1" applyBorder="1" applyAlignment="1">
      <alignment horizontal="left" vertical="center"/>
    </xf>
    <xf numFmtId="14" fontId="7" fillId="4" borderId="5" xfId="0" applyNumberFormat="1" applyFont="1" applyFill="1" applyBorder="1" applyAlignment="1">
      <alignment horizontal="left" vertical="center"/>
    </xf>
    <xf numFmtId="14" fontId="7" fillId="4" borderId="6" xfId="0" applyNumberFormat="1" applyFont="1" applyFill="1" applyBorder="1" applyAlignment="1">
      <alignment horizontal="center" vertical="center"/>
    </xf>
    <xf numFmtId="176" fontId="7" fillId="4" borderId="7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left" vertical="center"/>
    </xf>
    <xf numFmtId="14" fontId="7" fillId="4" borderId="7" xfId="0" applyNumberFormat="1" applyFont="1" applyFill="1" applyBorder="1" applyAlignment="1">
      <alignment horizontal="left" vertical="center"/>
    </xf>
    <xf numFmtId="14" fontId="7" fillId="4" borderId="8" xfId="0" applyNumberFormat="1" applyFont="1" applyFill="1" applyBorder="1" applyAlignment="1">
      <alignment horizontal="center" vertical="center"/>
    </xf>
    <xf numFmtId="176" fontId="7" fillId="3" borderId="5" xfId="0" applyNumberFormat="1" applyFont="1" applyFill="1" applyBorder="1" applyAlignment="1">
      <alignment horizontal="center" vertical="center"/>
    </xf>
    <xf numFmtId="176" fontId="7" fillId="4" borderId="5" xfId="0" applyNumberFormat="1" applyFont="1" applyFill="1" applyBorder="1" applyAlignment="1">
      <alignment horizontal="center" vertical="center"/>
    </xf>
    <xf numFmtId="176" fontId="7" fillId="4" borderId="7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4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7" sqref="B7"/>
    </sheetView>
  </sheetViews>
  <sheetFormatPr defaultRowHeight="14.4"/>
  <cols>
    <col min="1" max="1" width="2.88671875" style="2" bestFit="1" customWidth="1"/>
    <col min="2" max="2" width="8.88671875" style="6" bestFit="1" customWidth="1"/>
    <col min="3" max="3" width="30.77734375" style="1" customWidth="1"/>
    <col min="4" max="4" width="23.77734375" style="1" customWidth="1"/>
    <col min="5" max="5" width="9.44140625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0</v>
      </c>
      <c r="C1" s="10" t="s">
        <v>41</v>
      </c>
      <c r="D1" s="10" t="s">
        <v>42</v>
      </c>
      <c r="E1" s="10" t="s">
        <v>1</v>
      </c>
      <c r="F1" s="11" t="s">
        <v>43</v>
      </c>
      <c r="G1" s="10" t="s">
        <v>2</v>
      </c>
      <c r="H1" s="10" t="s">
        <v>3</v>
      </c>
      <c r="I1" s="12" t="s">
        <v>4</v>
      </c>
    </row>
    <row r="2" spans="1:9">
      <c r="A2" s="13">
        <v>1</v>
      </c>
      <c r="B2" s="14">
        <v>102727509</v>
      </c>
      <c r="C2" s="4" t="s">
        <v>15</v>
      </c>
      <c r="D2" s="15" t="s">
        <v>16</v>
      </c>
      <c r="E2" s="15" t="s">
        <v>17</v>
      </c>
      <c r="F2" s="22">
        <f t="shared" ref="F2:F12" ca="1" si="0">ROUND(H2-NOW(),0)-1</f>
        <v>-361</v>
      </c>
      <c r="G2" s="16">
        <v>43307</v>
      </c>
      <c r="H2" s="16">
        <v>43370</v>
      </c>
      <c r="I2" s="17">
        <v>1</v>
      </c>
    </row>
    <row r="3" spans="1:9">
      <c r="A3" s="13">
        <v>2</v>
      </c>
      <c r="B3" s="14">
        <v>105236584</v>
      </c>
      <c r="C3" s="4" t="s">
        <v>12</v>
      </c>
      <c r="D3" s="15" t="s">
        <v>13</v>
      </c>
      <c r="E3" s="15" t="s">
        <v>14</v>
      </c>
      <c r="F3" s="22">
        <f t="shared" ca="1" si="0"/>
        <v>-361</v>
      </c>
      <c r="G3" s="16">
        <v>43307</v>
      </c>
      <c r="H3" s="16">
        <v>43370</v>
      </c>
      <c r="I3" s="17">
        <v>1</v>
      </c>
    </row>
    <row r="4" spans="1:9">
      <c r="A4" s="13">
        <v>3</v>
      </c>
      <c r="B4" s="14">
        <v>105892567</v>
      </c>
      <c r="C4" s="4" t="s">
        <v>18</v>
      </c>
      <c r="D4" s="15" t="s">
        <v>19</v>
      </c>
      <c r="E4" s="15" t="s">
        <v>20</v>
      </c>
      <c r="F4" s="22">
        <f t="shared" ca="1" si="0"/>
        <v>-361</v>
      </c>
      <c r="G4" s="16">
        <v>43307</v>
      </c>
      <c r="H4" s="16">
        <v>43370</v>
      </c>
      <c r="I4" s="17">
        <v>1</v>
      </c>
    </row>
    <row r="5" spans="1:9">
      <c r="A5" s="13">
        <v>4</v>
      </c>
      <c r="B5" s="14">
        <v>105966896</v>
      </c>
      <c r="C5" s="4" t="s">
        <v>21</v>
      </c>
      <c r="D5" s="15" t="s">
        <v>22</v>
      </c>
      <c r="E5" s="15" t="s">
        <v>23</v>
      </c>
      <c r="F5" s="22">
        <f t="shared" ca="1" si="0"/>
        <v>-361</v>
      </c>
      <c r="G5" s="16">
        <v>43307</v>
      </c>
      <c r="H5" s="16">
        <v>43370</v>
      </c>
      <c r="I5" s="17">
        <v>1</v>
      </c>
    </row>
    <row r="6" spans="1:9">
      <c r="A6" s="13">
        <v>5</v>
      </c>
      <c r="B6" s="14">
        <v>800081828</v>
      </c>
      <c r="C6" s="4" t="s">
        <v>24</v>
      </c>
      <c r="D6" s="15" t="s">
        <v>11</v>
      </c>
      <c r="E6" s="15" t="s">
        <v>25</v>
      </c>
      <c r="F6" s="22">
        <f t="shared" ca="1" si="0"/>
        <v>-361</v>
      </c>
      <c r="G6" s="16">
        <v>43307</v>
      </c>
      <c r="H6" s="16">
        <v>43370</v>
      </c>
      <c r="I6" s="17">
        <v>1</v>
      </c>
    </row>
    <row r="7" spans="1:9">
      <c r="A7" s="13">
        <v>6</v>
      </c>
      <c r="B7" s="14">
        <v>102018346</v>
      </c>
      <c r="C7" s="4" t="s">
        <v>24</v>
      </c>
      <c r="D7" s="15" t="s">
        <v>11</v>
      </c>
      <c r="E7" s="15" t="s">
        <v>25</v>
      </c>
      <c r="F7" s="22">
        <f t="shared" ca="1" si="0"/>
        <v>-361</v>
      </c>
      <c r="G7" s="16">
        <v>43307</v>
      </c>
      <c r="H7" s="16">
        <v>43370</v>
      </c>
      <c r="I7" s="17">
        <v>1</v>
      </c>
    </row>
    <row r="8" spans="1:9">
      <c r="A8" s="13">
        <v>7</v>
      </c>
      <c r="B8" s="14">
        <v>105658919</v>
      </c>
      <c r="C8" s="4" t="s">
        <v>26</v>
      </c>
      <c r="D8" s="15" t="s">
        <v>27</v>
      </c>
      <c r="E8" s="15" t="s">
        <v>28</v>
      </c>
      <c r="F8" s="22">
        <f t="shared" ca="1" si="0"/>
        <v>-361</v>
      </c>
      <c r="G8" s="16">
        <v>43307</v>
      </c>
      <c r="H8" s="16">
        <v>43370</v>
      </c>
      <c r="I8" s="17">
        <v>1</v>
      </c>
    </row>
    <row r="9" spans="1:9">
      <c r="A9" s="13">
        <v>8</v>
      </c>
      <c r="B9" s="14">
        <v>105644794</v>
      </c>
      <c r="C9" s="4" t="s">
        <v>29</v>
      </c>
      <c r="D9" s="15" t="s">
        <v>30</v>
      </c>
      <c r="E9" s="15" t="s">
        <v>31</v>
      </c>
      <c r="F9" s="22">
        <f t="shared" ca="1" si="0"/>
        <v>-361</v>
      </c>
      <c r="G9" s="16">
        <v>43307</v>
      </c>
      <c r="H9" s="16">
        <v>43370</v>
      </c>
      <c r="I9" s="17">
        <v>1</v>
      </c>
    </row>
    <row r="10" spans="1:9">
      <c r="A10" s="13">
        <v>9</v>
      </c>
      <c r="B10" s="14">
        <v>105658793</v>
      </c>
      <c r="C10" s="4" t="s">
        <v>32</v>
      </c>
      <c r="D10" s="15" t="s">
        <v>33</v>
      </c>
      <c r="E10" s="15" t="s">
        <v>34</v>
      </c>
      <c r="F10" s="22">
        <f t="shared" ca="1" si="0"/>
        <v>-361</v>
      </c>
      <c r="G10" s="16">
        <v>43307</v>
      </c>
      <c r="H10" s="16">
        <v>43370</v>
      </c>
      <c r="I10" s="17">
        <v>1</v>
      </c>
    </row>
    <row r="11" spans="1:9">
      <c r="A11" s="13">
        <v>10</v>
      </c>
      <c r="B11" s="14">
        <v>105015069</v>
      </c>
      <c r="C11" s="4" t="s">
        <v>35</v>
      </c>
      <c r="D11" s="15" t="s">
        <v>36</v>
      </c>
      <c r="E11" s="15" t="s">
        <v>37</v>
      </c>
      <c r="F11" s="22">
        <f t="shared" ca="1" si="0"/>
        <v>-361</v>
      </c>
      <c r="G11" s="16">
        <v>43307</v>
      </c>
      <c r="H11" s="16">
        <v>43370</v>
      </c>
      <c r="I11" s="17">
        <v>1</v>
      </c>
    </row>
    <row r="12" spans="1:9">
      <c r="A12" s="13">
        <v>11</v>
      </c>
      <c r="B12" s="18">
        <v>105865233</v>
      </c>
      <c r="C12" s="5" t="s">
        <v>38</v>
      </c>
      <c r="D12" s="19" t="s">
        <v>39</v>
      </c>
      <c r="E12" s="19" t="s">
        <v>40</v>
      </c>
      <c r="F12" s="23">
        <f t="shared" ca="1" si="0"/>
        <v>-361</v>
      </c>
      <c r="G12" s="20">
        <v>43307</v>
      </c>
      <c r="H12" s="20">
        <v>43370</v>
      </c>
      <c r="I12" s="21">
        <v>1</v>
      </c>
    </row>
    <row r="13" spans="1:9">
      <c r="C13" s="1" t="s">
        <v>8</v>
      </c>
      <c r="G13" s="7" t="s">
        <v>6</v>
      </c>
      <c r="H13" s="3">
        <f>MIN(H$2:H12)</f>
        <v>43370</v>
      </c>
      <c r="I13" s="1" t="s">
        <v>10</v>
      </c>
    </row>
    <row r="14" spans="1:9">
      <c r="C14" s="1" t="s">
        <v>9</v>
      </c>
      <c r="I14" s="7" t="s">
        <v>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20" sqref="C20"/>
    </sheetView>
  </sheetViews>
  <sheetFormatPr defaultRowHeight="14.4"/>
  <cols>
    <col min="1" max="1" width="2.88671875" style="2" bestFit="1" customWidth="1"/>
    <col min="2" max="2" width="11.33203125" style="6" bestFit="1" customWidth="1"/>
    <col min="3" max="3" width="30.77734375" style="1" customWidth="1"/>
    <col min="4" max="4" width="23.77734375" style="1" customWidth="1"/>
    <col min="5" max="5" width="9.44140625" style="1" bestFit="1" customWidth="1"/>
    <col min="6" max="6" width="8" style="2" bestFit="1" customWidth="1"/>
    <col min="7" max="7" width="12.77734375" style="1" customWidth="1"/>
    <col min="8" max="8" width="11.664062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0</v>
      </c>
      <c r="C1" s="10" t="s">
        <v>77</v>
      </c>
      <c r="D1" s="10" t="s">
        <v>78</v>
      </c>
      <c r="E1" s="10" t="s">
        <v>1</v>
      </c>
      <c r="F1" s="11" t="s">
        <v>79</v>
      </c>
      <c r="G1" s="10" t="s">
        <v>2</v>
      </c>
      <c r="H1" s="10" t="s">
        <v>3</v>
      </c>
      <c r="I1" s="12" t="s">
        <v>4</v>
      </c>
    </row>
    <row r="2" spans="1:9">
      <c r="A2" s="13">
        <v>1</v>
      </c>
      <c r="B2" s="14">
        <v>700100020682</v>
      </c>
      <c r="C2" s="4" t="s">
        <v>44</v>
      </c>
      <c r="D2" s="15" t="s">
        <v>45</v>
      </c>
      <c r="E2" s="15" t="s">
        <v>46</v>
      </c>
      <c r="F2" s="22">
        <f t="shared" ref="F2:F13" ca="1" si="0">ROUND(H2-NOW(),0)-1</f>
        <v>-314</v>
      </c>
      <c r="G2" s="16">
        <v>43355</v>
      </c>
      <c r="H2" s="16">
        <v>43417</v>
      </c>
      <c r="I2" s="17">
        <v>0</v>
      </c>
    </row>
    <row r="3" spans="1:9">
      <c r="A3" s="13">
        <v>2</v>
      </c>
      <c r="B3" s="14">
        <v>105538451</v>
      </c>
      <c r="C3" s="4" t="s">
        <v>47</v>
      </c>
      <c r="D3" s="15" t="s">
        <v>48</v>
      </c>
      <c r="E3" s="15" t="s">
        <v>49</v>
      </c>
      <c r="F3" s="22">
        <f t="shared" ca="1" si="0"/>
        <v>-314</v>
      </c>
      <c r="G3" s="16">
        <v>43355</v>
      </c>
      <c r="H3" s="16">
        <v>43417</v>
      </c>
      <c r="I3" s="17">
        <v>1</v>
      </c>
    </row>
    <row r="4" spans="1:9">
      <c r="A4" s="13">
        <v>3</v>
      </c>
      <c r="B4" s="14">
        <v>105547811</v>
      </c>
      <c r="C4" s="4" t="s">
        <v>50</v>
      </c>
      <c r="D4" s="15" t="s">
        <v>51</v>
      </c>
      <c r="E4" s="15" t="s">
        <v>52</v>
      </c>
      <c r="F4" s="22">
        <f t="shared" ca="1" si="0"/>
        <v>-314</v>
      </c>
      <c r="G4" s="16">
        <v>43355</v>
      </c>
      <c r="H4" s="16">
        <v>43417</v>
      </c>
      <c r="I4" s="17">
        <v>1</v>
      </c>
    </row>
    <row r="5" spans="1:9">
      <c r="A5" s="13">
        <v>4</v>
      </c>
      <c r="B5" s="14">
        <v>700100141387</v>
      </c>
      <c r="C5" s="4" t="s">
        <v>53</v>
      </c>
      <c r="D5" s="15" t="s">
        <v>54</v>
      </c>
      <c r="E5" s="15" t="s">
        <v>55</v>
      </c>
      <c r="F5" s="22">
        <f t="shared" ca="1" si="0"/>
        <v>-314</v>
      </c>
      <c r="G5" s="16">
        <v>43355</v>
      </c>
      <c r="H5" s="16">
        <v>43417</v>
      </c>
      <c r="I5" s="17">
        <v>1</v>
      </c>
    </row>
    <row r="6" spans="1:9">
      <c r="A6" s="13">
        <v>5</v>
      </c>
      <c r="B6" s="14">
        <v>700100121694</v>
      </c>
      <c r="C6" s="4" t="s">
        <v>56</v>
      </c>
      <c r="D6" s="15" t="s">
        <v>57</v>
      </c>
      <c r="E6" s="15" t="s">
        <v>58</v>
      </c>
      <c r="F6" s="22">
        <f t="shared" ca="1" si="0"/>
        <v>-314</v>
      </c>
      <c r="G6" s="16">
        <v>43355</v>
      </c>
      <c r="H6" s="16">
        <v>43417</v>
      </c>
      <c r="I6" s="17">
        <v>1</v>
      </c>
    </row>
    <row r="7" spans="1:9">
      <c r="A7" s="13">
        <v>6</v>
      </c>
      <c r="B7" s="14">
        <v>105966896</v>
      </c>
      <c r="C7" s="4" t="s">
        <v>21</v>
      </c>
      <c r="D7" s="15" t="s">
        <v>22</v>
      </c>
      <c r="E7" s="15" t="s">
        <v>23</v>
      </c>
      <c r="F7" s="22">
        <f t="shared" ca="1" si="0"/>
        <v>-334</v>
      </c>
      <c r="G7" s="16">
        <v>43335</v>
      </c>
      <c r="H7" s="16">
        <v>43397</v>
      </c>
      <c r="I7" s="17">
        <v>1</v>
      </c>
    </row>
    <row r="8" spans="1:9">
      <c r="A8" s="13">
        <v>7</v>
      </c>
      <c r="B8" s="14">
        <v>105258708</v>
      </c>
      <c r="C8" s="4" t="s">
        <v>59</v>
      </c>
      <c r="D8" s="15" t="s">
        <v>60</v>
      </c>
      <c r="E8" s="15" t="s">
        <v>61</v>
      </c>
      <c r="F8" s="22">
        <f t="shared" ca="1" si="0"/>
        <v>-334</v>
      </c>
      <c r="G8" s="16">
        <v>43335</v>
      </c>
      <c r="H8" s="16">
        <v>43397</v>
      </c>
      <c r="I8" s="17">
        <v>1</v>
      </c>
    </row>
    <row r="9" spans="1:9">
      <c r="A9" s="13">
        <v>8</v>
      </c>
      <c r="B9" s="14">
        <v>105885381</v>
      </c>
      <c r="C9" s="4" t="s">
        <v>62</v>
      </c>
      <c r="D9" s="15" t="s">
        <v>63</v>
      </c>
      <c r="E9" s="15" t="s">
        <v>64</v>
      </c>
      <c r="F9" s="22">
        <f t="shared" ca="1" si="0"/>
        <v>-334</v>
      </c>
      <c r="G9" s="16">
        <v>43335</v>
      </c>
      <c r="H9" s="16">
        <v>43397</v>
      </c>
      <c r="I9" s="17">
        <v>1</v>
      </c>
    </row>
    <row r="10" spans="1:9">
      <c r="A10" s="13">
        <v>9</v>
      </c>
      <c r="B10" s="14">
        <v>105679848</v>
      </c>
      <c r="C10" s="4" t="s">
        <v>65</v>
      </c>
      <c r="D10" s="15" t="s">
        <v>66</v>
      </c>
      <c r="E10" s="15" t="s">
        <v>67</v>
      </c>
      <c r="F10" s="22">
        <f t="shared" ca="1" si="0"/>
        <v>-334</v>
      </c>
      <c r="G10" s="16">
        <v>43335</v>
      </c>
      <c r="H10" s="16">
        <v>43397</v>
      </c>
      <c r="I10" s="17">
        <v>1</v>
      </c>
    </row>
    <row r="11" spans="1:9">
      <c r="A11" s="13">
        <v>10</v>
      </c>
      <c r="B11" s="14">
        <v>105644695</v>
      </c>
      <c r="C11" s="4" t="s">
        <v>68</v>
      </c>
      <c r="D11" s="15" t="s">
        <v>69</v>
      </c>
      <c r="E11" s="15" t="s">
        <v>70</v>
      </c>
      <c r="F11" s="22">
        <f t="shared" ca="1" si="0"/>
        <v>-334</v>
      </c>
      <c r="G11" s="16">
        <v>43335</v>
      </c>
      <c r="H11" s="16">
        <v>43397</v>
      </c>
      <c r="I11" s="17">
        <v>1</v>
      </c>
    </row>
    <row r="12" spans="1:9">
      <c r="A12" s="13">
        <v>11</v>
      </c>
      <c r="B12" s="14">
        <v>105865208</v>
      </c>
      <c r="C12" s="4" t="s">
        <v>71</v>
      </c>
      <c r="D12" s="15" t="s">
        <v>72</v>
      </c>
      <c r="E12" s="15" t="s">
        <v>73</v>
      </c>
      <c r="F12" s="22">
        <f t="shared" ca="1" si="0"/>
        <v>-334</v>
      </c>
      <c r="G12" s="16">
        <v>43335</v>
      </c>
      <c r="H12" s="16">
        <v>43397</v>
      </c>
      <c r="I12" s="17">
        <v>1</v>
      </c>
    </row>
    <row r="13" spans="1:9">
      <c r="A13" s="13">
        <v>12</v>
      </c>
      <c r="B13" s="18">
        <v>105619124</v>
      </c>
      <c r="C13" s="5" t="s">
        <v>74</v>
      </c>
      <c r="D13" s="19" t="s">
        <v>75</v>
      </c>
      <c r="E13" s="19" t="s">
        <v>76</v>
      </c>
      <c r="F13" s="23">
        <f t="shared" ca="1" si="0"/>
        <v>-334</v>
      </c>
      <c r="G13" s="20">
        <v>43335</v>
      </c>
      <c r="H13" s="20">
        <v>43397</v>
      </c>
      <c r="I13" s="21">
        <v>1</v>
      </c>
    </row>
    <row r="14" spans="1:9">
      <c r="C14" s="1" t="s">
        <v>80</v>
      </c>
      <c r="G14" s="7" t="s">
        <v>6</v>
      </c>
      <c r="H14" s="3">
        <f>MIN(H$2:H13)</f>
        <v>43397</v>
      </c>
      <c r="I14" s="1" t="s">
        <v>82</v>
      </c>
    </row>
    <row r="15" spans="1:9">
      <c r="C15" s="1" t="s">
        <v>81</v>
      </c>
      <c r="I15" s="7" t="s">
        <v>7</v>
      </c>
    </row>
    <row r="23" spans="5:5">
      <c r="E23" s="1" t="s">
        <v>83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18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3" sqref="C3:E3"/>
    </sheetView>
  </sheetViews>
  <sheetFormatPr defaultRowHeight="14.4"/>
  <cols>
    <col min="1" max="1" width="2.88671875" style="2" bestFit="1" customWidth="1"/>
    <col min="2" max="2" width="8.88671875" style="6" bestFit="1" customWidth="1"/>
    <col min="3" max="3" width="30.77734375" style="1" customWidth="1"/>
    <col min="4" max="4" width="23.77734375" style="1" customWidth="1"/>
    <col min="5" max="5" width="9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0</v>
      </c>
      <c r="C1" s="10" t="s">
        <v>124</v>
      </c>
      <c r="D1" s="10" t="s">
        <v>125</v>
      </c>
      <c r="E1" s="10" t="s">
        <v>1</v>
      </c>
      <c r="F1" s="11" t="s">
        <v>126</v>
      </c>
      <c r="G1" s="10" t="s">
        <v>2</v>
      </c>
      <c r="H1" s="10" t="s">
        <v>3</v>
      </c>
      <c r="I1" s="12" t="s">
        <v>4</v>
      </c>
    </row>
    <row r="2" spans="1:9">
      <c r="A2" s="13">
        <v>1</v>
      </c>
      <c r="B2" s="14">
        <v>106163101</v>
      </c>
      <c r="C2" s="4" t="s">
        <v>84</v>
      </c>
      <c r="D2" s="15" t="s">
        <v>85</v>
      </c>
      <c r="E2" s="15" t="s">
        <v>86</v>
      </c>
      <c r="F2" s="22">
        <f t="shared" ref="F2:F16" ca="1" si="0">ROUND(H2-NOW(),0)-1</f>
        <v>-290</v>
      </c>
      <c r="G2" s="16">
        <v>43379</v>
      </c>
      <c r="H2" s="16">
        <v>43441</v>
      </c>
      <c r="I2" s="17">
        <v>1</v>
      </c>
    </row>
    <row r="3" spans="1:9">
      <c r="A3" s="13">
        <v>2</v>
      </c>
      <c r="B3" s="14">
        <v>105046311</v>
      </c>
      <c r="C3" s="4" t="s">
        <v>87</v>
      </c>
      <c r="D3" s="15" t="s">
        <v>88</v>
      </c>
      <c r="E3" s="15" t="s">
        <v>89</v>
      </c>
      <c r="F3" s="22">
        <f t="shared" ca="1" si="0"/>
        <v>-290</v>
      </c>
      <c r="G3" s="16">
        <v>43379</v>
      </c>
      <c r="H3" s="16">
        <v>43441</v>
      </c>
      <c r="I3" s="17">
        <v>1</v>
      </c>
    </row>
    <row r="4" spans="1:9">
      <c r="A4" s="13">
        <v>3</v>
      </c>
      <c r="B4" s="14">
        <v>103595379</v>
      </c>
      <c r="C4" s="4" t="s">
        <v>90</v>
      </c>
      <c r="D4" s="15" t="s">
        <v>91</v>
      </c>
      <c r="E4" s="15" t="s">
        <v>92</v>
      </c>
      <c r="F4" s="22">
        <f t="shared" ca="1" si="0"/>
        <v>-290</v>
      </c>
      <c r="G4" s="16">
        <v>43379</v>
      </c>
      <c r="H4" s="16">
        <v>43441</v>
      </c>
      <c r="I4" s="17">
        <v>1</v>
      </c>
    </row>
    <row r="5" spans="1:9">
      <c r="A5" s="13">
        <v>4</v>
      </c>
      <c r="B5" s="14">
        <v>105778132</v>
      </c>
      <c r="C5" s="4" t="s">
        <v>93</v>
      </c>
      <c r="D5" s="15" t="s">
        <v>94</v>
      </c>
      <c r="E5" s="15" t="s">
        <v>95</v>
      </c>
      <c r="F5" s="22">
        <f t="shared" ca="1" si="0"/>
        <v>-290</v>
      </c>
      <c r="G5" s="16">
        <v>43379</v>
      </c>
      <c r="H5" s="16">
        <v>43441</v>
      </c>
      <c r="I5" s="17">
        <v>1</v>
      </c>
    </row>
    <row r="6" spans="1:9">
      <c r="A6" s="13">
        <v>5</v>
      </c>
      <c r="B6" s="14">
        <v>105778127</v>
      </c>
      <c r="C6" s="4" t="s">
        <v>96</v>
      </c>
      <c r="D6" s="15" t="s">
        <v>94</v>
      </c>
      <c r="E6" s="15" t="s">
        <v>97</v>
      </c>
      <c r="F6" s="22">
        <f t="shared" ca="1" si="0"/>
        <v>-290</v>
      </c>
      <c r="G6" s="16">
        <v>43379</v>
      </c>
      <c r="H6" s="16">
        <v>43441</v>
      </c>
      <c r="I6" s="17">
        <v>1</v>
      </c>
    </row>
    <row r="7" spans="1:9">
      <c r="A7" s="13">
        <v>6</v>
      </c>
      <c r="B7" s="14">
        <v>105751718</v>
      </c>
      <c r="C7" s="4" t="s">
        <v>98</v>
      </c>
      <c r="D7" s="15" t="s">
        <v>99</v>
      </c>
      <c r="E7" s="15" t="s">
        <v>100</v>
      </c>
      <c r="F7" s="22">
        <f t="shared" ca="1" si="0"/>
        <v>-290</v>
      </c>
      <c r="G7" s="16">
        <v>43379</v>
      </c>
      <c r="H7" s="16">
        <v>43441</v>
      </c>
      <c r="I7" s="17">
        <v>1</v>
      </c>
    </row>
    <row r="8" spans="1:9">
      <c r="A8" s="13">
        <v>7</v>
      </c>
      <c r="B8" s="14">
        <v>103098425</v>
      </c>
      <c r="C8" s="4" t="s">
        <v>101</v>
      </c>
      <c r="D8" s="15" t="s">
        <v>102</v>
      </c>
      <c r="E8" s="15" t="s">
        <v>103</v>
      </c>
      <c r="F8" s="22">
        <f t="shared" ca="1" si="0"/>
        <v>-290</v>
      </c>
      <c r="G8" s="16">
        <v>43379</v>
      </c>
      <c r="H8" s="16">
        <v>43441</v>
      </c>
      <c r="I8" s="17">
        <v>1</v>
      </c>
    </row>
    <row r="9" spans="1:9">
      <c r="A9" s="13">
        <v>8</v>
      </c>
      <c r="B9" s="14">
        <v>106163927</v>
      </c>
      <c r="C9" s="4" t="s">
        <v>104</v>
      </c>
      <c r="D9" s="15" t="s">
        <v>105</v>
      </c>
      <c r="E9" s="15" t="s">
        <v>106</v>
      </c>
      <c r="F9" s="22">
        <f t="shared" ca="1" si="0"/>
        <v>-290</v>
      </c>
      <c r="G9" s="16">
        <v>43379</v>
      </c>
      <c r="H9" s="16">
        <v>43441</v>
      </c>
      <c r="I9" s="17">
        <v>1</v>
      </c>
    </row>
    <row r="10" spans="1:9">
      <c r="A10" s="13">
        <v>9</v>
      </c>
      <c r="B10" s="14">
        <v>105721444</v>
      </c>
      <c r="C10" s="4" t="s">
        <v>107</v>
      </c>
      <c r="D10" s="15" t="s">
        <v>94</v>
      </c>
      <c r="E10" s="15" t="s">
        <v>108</v>
      </c>
      <c r="F10" s="22">
        <f t="shared" ca="1" si="0"/>
        <v>-290</v>
      </c>
      <c r="G10" s="16">
        <v>43379</v>
      </c>
      <c r="H10" s="16">
        <v>43441</v>
      </c>
      <c r="I10" s="17">
        <v>1</v>
      </c>
    </row>
    <row r="11" spans="1:9">
      <c r="A11" s="13">
        <v>10</v>
      </c>
      <c r="B11" s="14">
        <v>104144284</v>
      </c>
      <c r="C11" s="4" t="s">
        <v>109</v>
      </c>
      <c r="D11" s="15" t="s">
        <v>110</v>
      </c>
      <c r="E11" s="15" t="s">
        <v>111</v>
      </c>
      <c r="F11" s="22">
        <f t="shared" ca="1" si="0"/>
        <v>-290</v>
      </c>
      <c r="G11" s="16">
        <v>43379</v>
      </c>
      <c r="H11" s="16">
        <v>43441</v>
      </c>
      <c r="I11" s="17">
        <v>1</v>
      </c>
    </row>
    <row r="12" spans="1:9">
      <c r="A12" s="13">
        <v>11</v>
      </c>
      <c r="B12" s="14">
        <v>103896902</v>
      </c>
      <c r="C12" s="4" t="s">
        <v>112</v>
      </c>
      <c r="D12" s="15" t="s">
        <v>113</v>
      </c>
      <c r="E12" s="15" t="s">
        <v>114</v>
      </c>
      <c r="F12" s="22">
        <f t="shared" ca="1" si="0"/>
        <v>-290</v>
      </c>
      <c r="G12" s="16">
        <v>43379</v>
      </c>
      <c r="H12" s="16">
        <v>43441</v>
      </c>
      <c r="I12" s="17">
        <v>1</v>
      </c>
    </row>
    <row r="13" spans="1:9">
      <c r="A13" s="13">
        <v>12</v>
      </c>
      <c r="B13" s="14">
        <v>800176850</v>
      </c>
      <c r="C13" s="4" t="s">
        <v>115</v>
      </c>
      <c r="D13" s="15" t="s">
        <v>116</v>
      </c>
      <c r="E13" s="15" t="s">
        <v>117</v>
      </c>
      <c r="F13" s="22">
        <f t="shared" ca="1" si="0"/>
        <v>-290</v>
      </c>
      <c r="G13" s="16">
        <v>43379</v>
      </c>
      <c r="H13" s="16">
        <v>43441</v>
      </c>
      <c r="I13" s="17">
        <v>1</v>
      </c>
    </row>
    <row r="14" spans="1:9">
      <c r="A14" s="13">
        <v>13</v>
      </c>
      <c r="B14" s="14">
        <v>105511545</v>
      </c>
      <c r="C14" s="4" t="s">
        <v>115</v>
      </c>
      <c r="D14" s="15" t="s">
        <v>116</v>
      </c>
      <c r="E14" s="15" t="s">
        <v>117</v>
      </c>
      <c r="F14" s="22">
        <f t="shared" ca="1" si="0"/>
        <v>-290</v>
      </c>
      <c r="G14" s="16">
        <v>43379</v>
      </c>
      <c r="H14" s="16">
        <v>43441</v>
      </c>
      <c r="I14" s="17">
        <v>1</v>
      </c>
    </row>
    <row r="15" spans="1:9">
      <c r="A15" s="13">
        <v>14</v>
      </c>
      <c r="B15" s="14">
        <v>104761614</v>
      </c>
      <c r="C15" s="4" t="s">
        <v>118</v>
      </c>
      <c r="D15" s="15" t="s">
        <v>119</v>
      </c>
      <c r="E15" s="15" t="s">
        <v>120</v>
      </c>
      <c r="F15" s="22">
        <f t="shared" ca="1" si="0"/>
        <v>-290</v>
      </c>
      <c r="G15" s="16">
        <v>43379</v>
      </c>
      <c r="H15" s="16">
        <v>43441</v>
      </c>
      <c r="I15" s="17">
        <v>1</v>
      </c>
    </row>
    <row r="16" spans="1:9">
      <c r="A16" s="13">
        <v>15</v>
      </c>
      <c r="B16" s="18">
        <v>102977732</v>
      </c>
      <c r="C16" s="5" t="s">
        <v>121</v>
      </c>
      <c r="D16" s="19" t="s">
        <v>122</v>
      </c>
      <c r="E16" s="19" t="s">
        <v>123</v>
      </c>
      <c r="F16" s="23">
        <f t="shared" ca="1" si="0"/>
        <v>-290</v>
      </c>
      <c r="G16" s="20">
        <v>43379</v>
      </c>
      <c r="H16" s="20">
        <v>43441</v>
      </c>
      <c r="I16" s="21">
        <v>1</v>
      </c>
    </row>
    <row r="17" spans="3:9">
      <c r="C17" s="1" t="s">
        <v>127</v>
      </c>
      <c r="G17" s="7" t="s">
        <v>6</v>
      </c>
      <c r="H17" s="3">
        <f>MIN(H$2:H16)</f>
        <v>43441</v>
      </c>
      <c r="I17" s="1" t="s">
        <v>128</v>
      </c>
    </row>
    <row r="18" spans="3:9">
      <c r="C18" s="1" t="s">
        <v>9</v>
      </c>
      <c r="I18" s="7" t="s">
        <v>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12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16" sqref="F16"/>
    </sheetView>
  </sheetViews>
  <sheetFormatPr defaultRowHeight="14.4"/>
  <cols>
    <col min="1" max="1" width="2.77734375" style="2" bestFit="1" customWidth="1"/>
    <col min="2" max="2" width="8.88671875" style="6" bestFit="1" customWidth="1"/>
    <col min="3" max="3" width="30.77734375" style="1" customWidth="1"/>
    <col min="4" max="4" width="23.77734375" style="1" customWidth="1"/>
    <col min="5" max="5" width="9.33203125" style="1" bestFit="1" customWidth="1"/>
    <col min="6" max="6" width="8" style="2" bestFit="1" customWidth="1"/>
    <col min="7" max="7" width="12.77734375" style="1" customWidth="1"/>
    <col min="8" max="8" width="11.664062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0</v>
      </c>
      <c r="C1" s="10" t="s">
        <v>156</v>
      </c>
      <c r="D1" s="10" t="s">
        <v>157</v>
      </c>
      <c r="E1" s="10" t="s">
        <v>1</v>
      </c>
      <c r="F1" s="11" t="s">
        <v>158</v>
      </c>
      <c r="G1" s="10" t="s">
        <v>2</v>
      </c>
      <c r="H1" s="10" t="s">
        <v>3</v>
      </c>
      <c r="I1" s="12" t="s">
        <v>4</v>
      </c>
    </row>
    <row r="2" spans="1:9">
      <c r="A2" s="13">
        <v>1</v>
      </c>
      <c r="B2" s="14">
        <v>104946505</v>
      </c>
      <c r="C2" s="4" t="s">
        <v>129</v>
      </c>
      <c r="D2" s="15" t="s">
        <v>130</v>
      </c>
      <c r="E2" s="15" t="s">
        <v>131</v>
      </c>
      <c r="F2" s="22">
        <f t="shared" ref="F2:F10" ca="1" si="0">ROUND(H2-NOW(),0)-1</f>
        <v>-277</v>
      </c>
      <c r="G2" s="16">
        <v>43392</v>
      </c>
      <c r="H2" s="16">
        <v>43454</v>
      </c>
      <c r="I2" s="17">
        <v>1</v>
      </c>
    </row>
    <row r="3" spans="1:9">
      <c r="A3" s="13">
        <v>2</v>
      </c>
      <c r="B3" s="14">
        <v>106111563</v>
      </c>
      <c r="C3" s="4" t="s">
        <v>132</v>
      </c>
      <c r="D3" s="15" t="s">
        <v>133</v>
      </c>
      <c r="E3" s="15" t="s">
        <v>134</v>
      </c>
      <c r="F3" s="22">
        <f t="shared" ca="1" si="0"/>
        <v>-277</v>
      </c>
      <c r="G3" s="16">
        <v>43392</v>
      </c>
      <c r="H3" s="16">
        <v>43454</v>
      </c>
      <c r="I3" s="17">
        <v>1</v>
      </c>
    </row>
    <row r="4" spans="1:9">
      <c r="A4" s="13">
        <v>3</v>
      </c>
      <c r="B4" s="14">
        <v>106063666</v>
      </c>
      <c r="C4" s="4" t="s">
        <v>135</v>
      </c>
      <c r="D4" s="15" t="s">
        <v>136</v>
      </c>
      <c r="E4" s="15" t="s">
        <v>137</v>
      </c>
      <c r="F4" s="22">
        <f t="shared" ca="1" si="0"/>
        <v>-277</v>
      </c>
      <c r="G4" s="16">
        <v>43392</v>
      </c>
      <c r="H4" s="16">
        <v>43454</v>
      </c>
      <c r="I4" s="17">
        <v>1</v>
      </c>
    </row>
    <row r="5" spans="1:9">
      <c r="A5" s="13">
        <v>4</v>
      </c>
      <c r="B5" s="14">
        <v>105644270</v>
      </c>
      <c r="C5" s="4" t="s">
        <v>138</v>
      </c>
      <c r="D5" s="15" t="s">
        <v>139</v>
      </c>
      <c r="E5" s="15" t="s">
        <v>140</v>
      </c>
      <c r="F5" s="22">
        <f t="shared" ca="1" si="0"/>
        <v>-277</v>
      </c>
      <c r="G5" s="16">
        <v>43392</v>
      </c>
      <c r="H5" s="16">
        <v>43454</v>
      </c>
      <c r="I5" s="17">
        <v>1</v>
      </c>
    </row>
    <row r="6" spans="1:9">
      <c r="A6" s="13">
        <v>5</v>
      </c>
      <c r="B6" s="14">
        <v>105783623</v>
      </c>
      <c r="C6" s="4" t="s">
        <v>141</v>
      </c>
      <c r="D6" s="15" t="s">
        <v>142</v>
      </c>
      <c r="E6" s="15" t="s">
        <v>143</v>
      </c>
      <c r="F6" s="22">
        <f t="shared" ca="1" si="0"/>
        <v>-277</v>
      </c>
      <c r="G6" s="16">
        <v>43392</v>
      </c>
      <c r="H6" s="16">
        <v>43454</v>
      </c>
      <c r="I6" s="17">
        <v>1</v>
      </c>
    </row>
    <row r="7" spans="1:9">
      <c r="A7" s="13">
        <v>6</v>
      </c>
      <c r="B7" s="14">
        <v>104041801</v>
      </c>
      <c r="C7" s="4" t="s">
        <v>144</v>
      </c>
      <c r="D7" s="15" t="s">
        <v>145</v>
      </c>
      <c r="E7" s="15" t="s">
        <v>146</v>
      </c>
      <c r="F7" s="22">
        <f t="shared" ca="1" si="0"/>
        <v>-277</v>
      </c>
      <c r="G7" s="16">
        <v>43392</v>
      </c>
      <c r="H7" s="16">
        <v>43454</v>
      </c>
      <c r="I7" s="17">
        <v>1</v>
      </c>
    </row>
    <row r="8" spans="1:9">
      <c r="A8" s="13">
        <v>7</v>
      </c>
      <c r="B8" s="14">
        <v>105115783</v>
      </c>
      <c r="C8" s="4" t="s">
        <v>147</v>
      </c>
      <c r="D8" s="15" t="s">
        <v>148</v>
      </c>
      <c r="E8" s="15" t="s">
        <v>149</v>
      </c>
      <c r="F8" s="22">
        <f t="shared" ca="1" si="0"/>
        <v>-277</v>
      </c>
      <c r="G8" s="16">
        <v>43392</v>
      </c>
      <c r="H8" s="16">
        <v>43454</v>
      </c>
      <c r="I8" s="17">
        <v>1</v>
      </c>
    </row>
    <row r="9" spans="1:9">
      <c r="A9" s="13">
        <v>8</v>
      </c>
      <c r="B9" s="14">
        <v>103819971</v>
      </c>
      <c r="C9" s="4" t="s">
        <v>150</v>
      </c>
      <c r="D9" s="15" t="s">
        <v>151</v>
      </c>
      <c r="E9" s="15" t="s">
        <v>152</v>
      </c>
      <c r="F9" s="22">
        <f t="shared" ca="1" si="0"/>
        <v>-277</v>
      </c>
      <c r="G9" s="16">
        <v>43392</v>
      </c>
      <c r="H9" s="16">
        <v>43454</v>
      </c>
      <c r="I9" s="17">
        <v>1</v>
      </c>
    </row>
    <row r="10" spans="1:9">
      <c r="A10" s="13">
        <v>9</v>
      </c>
      <c r="B10" s="18">
        <v>105477405</v>
      </c>
      <c r="C10" s="5" t="s">
        <v>153</v>
      </c>
      <c r="D10" s="19" t="s">
        <v>154</v>
      </c>
      <c r="E10" s="19" t="s">
        <v>155</v>
      </c>
      <c r="F10" s="23">
        <f t="shared" ca="1" si="0"/>
        <v>-277</v>
      </c>
      <c r="G10" s="20">
        <v>43392</v>
      </c>
      <c r="H10" s="20">
        <v>43454</v>
      </c>
      <c r="I10" s="21">
        <v>1</v>
      </c>
    </row>
    <row r="11" spans="1:9">
      <c r="C11" s="1" t="s">
        <v>159</v>
      </c>
      <c r="G11" s="7" t="s">
        <v>6</v>
      </c>
      <c r="H11" s="3">
        <f>MIN(H$2:H10)</f>
        <v>43454</v>
      </c>
      <c r="I11" s="1" t="s">
        <v>128</v>
      </c>
    </row>
    <row r="12" spans="1:9">
      <c r="C12" s="1" t="s">
        <v>81</v>
      </c>
      <c r="I12" s="7" t="s">
        <v>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15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17" sqref="C17"/>
    </sheetView>
  </sheetViews>
  <sheetFormatPr defaultRowHeight="14.4"/>
  <cols>
    <col min="1" max="1" width="2.88671875" style="2" bestFit="1" customWidth="1"/>
    <col min="2" max="2" width="11.33203125" style="6" bestFit="1" customWidth="1"/>
    <col min="3" max="3" width="30.77734375" style="1" customWidth="1"/>
    <col min="4" max="4" width="23.77734375" style="1" customWidth="1"/>
    <col min="5" max="5" width="9.33203125" style="1" bestFit="1" customWidth="1"/>
    <col min="6" max="6" width="8" style="2" bestFit="1" customWidth="1"/>
    <col min="7" max="7" width="12.77734375" style="1" customWidth="1"/>
    <col min="8" max="8" width="11.664062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0</v>
      </c>
      <c r="C1" s="10" t="s">
        <v>169</v>
      </c>
      <c r="D1" s="10" t="s">
        <v>170</v>
      </c>
      <c r="E1" s="10" t="s">
        <v>1</v>
      </c>
      <c r="F1" s="11" t="s">
        <v>171</v>
      </c>
      <c r="G1" s="10" t="s">
        <v>2</v>
      </c>
      <c r="H1" s="10" t="s">
        <v>3</v>
      </c>
      <c r="I1" s="12" t="s">
        <v>4</v>
      </c>
    </row>
    <row r="2" spans="1:9">
      <c r="A2" s="13">
        <v>1</v>
      </c>
      <c r="B2" s="14">
        <v>104758597</v>
      </c>
      <c r="C2" s="4" t="s">
        <v>160</v>
      </c>
      <c r="D2" s="15" t="s">
        <v>161</v>
      </c>
      <c r="E2" s="15" t="s">
        <v>162</v>
      </c>
      <c r="F2" s="22">
        <f t="shared" ref="F2:F13" ca="1" si="0">ROUND(H2-NOW(),0)-1</f>
        <v>-302</v>
      </c>
      <c r="G2" s="16">
        <v>43398</v>
      </c>
      <c r="H2" s="16">
        <v>43429</v>
      </c>
      <c r="I2" s="17">
        <v>0</v>
      </c>
    </row>
    <row r="3" spans="1:9">
      <c r="A3" s="13">
        <v>2</v>
      </c>
      <c r="B3" s="14">
        <v>103676134</v>
      </c>
      <c r="C3" s="4" t="s">
        <v>163</v>
      </c>
      <c r="D3" s="15" t="s">
        <v>164</v>
      </c>
      <c r="E3" s="15" t="s">
        <v>165</v>
      </c>
      <c r="F3" s="22">
        <f t="shared" ca="1" si="0"/>
        <v>-302</v>
      </c>
      <c r="G3" s="16">
        <v>43398</v>
      </c>
      <c r="H3" s="16">
        <v>43429</v>
      </c>
      <c r="I3" s="17">
        <v>0</v>
      </c>
    </row>
    <row r="4" spans="1:9">
      <c r="A4" s="13">
        <v>3</v>
      </c>
      <c r="B4" s="14">
        <v>700100172826</v>
      </c>
      <c r="C4" s="4" t="s">
        <v>166</v>
      </c>
      <c r="D4" s="15" t="s">
        <v>167</v>
      </c>
      <c r="E4" s="15" t="s">
        <v>168</v>
      </c>
      <c r="F4" s="22">
        <f t="shared" ca="1" si="0"/>
        <v>-302</v>
      </c>
      <c r="G4" s="16">
        <v>43398</v>
      </c>
      <c r="H4" s="16">
        <v>43429</v>
      </c>
      <c r="I4" s="17">
        <v>0</v>
      </c>
    </row>
    <row r="5" spans="1:9">
      <c r="A5" s="13">
        <v>4</v>
      </c>
      <c r="B5" s="14">
        <v>104946505</v>
      </c>
      <c r="C5" s="24" t="s">
        <v>129</v>
      </c>
      <c r="D5" s="15" t="s">
        <v>130</v>
      </c>
      <c r="E5" s="15" t="s">
        <v>131</v>
      </c>
      <c r="F5" s="22">
        <f t="shared" ca="1" si="0"/>
        <v>-277</v>
      </c>
      <c r="G5" s="16">
        <v>43392</v>
      </c>
      <c r="H5" s="16">
        <v>43454</v>
      </c>
      <c r="I5" s="17">
        <v>1</v>
      </c>
    </row>
    <row r="6" spans="1:9">
      <c r="A6" s="13">
        <v>5</v>
      </c>
      <c r="B6" s="14">
        <v>106111563</v>
      </c>
      <c r="C6" s="25" t="s">
        <v>132</v>
      </c>
      <c r="D6" s="15" t="s">
        <v>133</v>
      </c>
      <c r="E6" s="15" t="s">
        <v>134</v>
      </c>
      <c r="F6" s="22">
        <f t="shared" ca="1" si="0"/>
        <v>-277</v>
      </c>
      <c r="G6" s="16">
        <v>43392</v>
      </c>
      <c r="H6" s="16">
        <v>43454</v>
      </c>
      <c r="I6" s="17">
        <v>1</v>
      </c>
    </row>
    <row r="7" spans="1:9">
      <c r="A7" s="13">
        <v>6</v>
      </c>
      <c r="B7" s="14">
        <v>106063666</v>
      </c>
      <c r="C7" s="4" t="s">
        <v>135</v>
      </c>
      <c r="D7" s="15" t="s">
        <v>136</v>
      </c>
      <c r="E7" s="15" t="s">
        <v>137</v>
      </c>
      <c r="F7" s="22">
        <f t="shared" ca="1" si="0"/>
        <v>-277</v>
      </c>
      <c r="G7" s="16">
        <v>43392</v>
      </c>
      <c r="H7" s="16">
        <v>43454</v>
      </c>
      <c r="I7" s="17">
        <v>1</v>
      </c>
    </row>
    <row r="8" spans="1:9">
      <c r="A8" s="13">
        <v>7</v>
      </c>
      <c r="B8" s="14">
        <v>105644270</v>
      </c>
      <c r="C8" s="4" t="s">
        <v>138</v>
      </c>
      <c r="D8" s="15" t="s">
        <v>139</v>
      </c>
      <c r="E8" s="15" t="s">
        <v>140</v>
      </c>
      <c r="F8" s="22">
        <f t="shared" ca="1" si="0"/>
        <v>-277</v>
      </c>
      <c r="G8" s="16">
        <v>43392</v>
      </c>
      <c r="H8" s="16">
        <v>43454</v>
      </c>
      <c r="I8" s="17">
        <v>1</v>
      </c>
    </row>
    <row r="9" spans="1:9">
      <c r="A9" s="13">
        <v>8</v>
      </c>
      <c r="B9" s="14">
        <v>105783623</v>
      </c>
      <c r="C9" s="4" t="s">
        <v>141</v>
      </c>
      <c r="D9" s="15" t="s">
        <v>142</v>
      </c>
      <c r="E9" s="15" t="s">
        <v>143</v>
      </c>
      <c r="F9" s="22">
        <f t="shared" ca="1" si="0"/>
        <v>-277</v>
      </c>
      <c r="G9" s="16">
        <v>43392</v>
      </c>
      <c r="H9" s="16">
        <v>43454</v>
      </c>
      <c r="I9" s="17">
        <v>1</v>
      </c>
    </row>
    <row r="10" spans="1:9">
      <c r="A10" s="13">
        <v>9</v>
      </c>
      <c r="B10" s="14">
        <v>104041801</v>
      </c>
      <c r="C10" s="24" t="s">
        <v>144</v>
      </c>
      <c r="D10" s="15" t="s">
        <v>145</v>
      </c>
      <c r="E10" s="15" t="s">
        <v>146</v>
      </c>
      <c r="F10" s="22">
        <f t="shared" ca="1" si="0"/>
        <v>-277</v>
      </c>
      <c r="G10" s="16">
        <v>43392</v>
      </c>
      <c r="H10" s="16">
        <v>43454</v>
      </c>
      <c r="I10" s="17">
        <v>1</v>
      </c>
    </row>
    <row r="11" spans="1:9">
      <c r="A11" s="13">
        <v>10</v>
      </c>
      <c r="B11" s="14">
        <v>105115783</v>
      </c>
      <c r="C11" s="4" t="s">
        <v>147</v>
      </c>
      <c r="D11" s="15" t="s">
        <v>148</v>
      </c>
      <c r="E11" s="15" t="s">
        <v>149</v>
      </c>
      <c r="F11" s="22">
        <f t="shared" ca="1" si="0"/>
        <v>-277</v>
      </c>
      <c r="G11" s="16">
        <v>43392</v>
      </c>
      <c r="H11" s="16">
        <v>43454</v>
      </c>
      <c r="I11" s="17">
        <v>1</v>
      </c>
    </row>
    <row r="12" spans="1:9">
      <c r="A12" s="13">
        <v>11</v>
      </c>
      <c r="B12" s="14">
        <v>103819971</v>
      </c>
      <c r="C12" s="24" t="s">
        <v>150</v>
      </c>
      <c r="D12" s="15" t="s">
        <v>151</v>
      </c>
      <c r="E12" s="15" t="s">
        <v>152</v>
      </c>
      <c r="F12" s="22">
        <f t="shared" ca="1" si="0"/>
        <v>-277</v>
      </c>
      <c r="G12" s="16">
        <v>43392</v>
      </c>
      <c r="H12" s="16">
        <v>43454</v>
      </c>
      <c r="I12" s="17">
        <v>1</v>
      </c>
    </row>
    <row r="13" spans="1:9">
      <c r="A13" s="13">
        <v>12</v>
      </c>
      <c r="B13" s="18">
        <v>105477405</v>
      </c>
      <c r="C13" s="5" t="s">
        <v>153</v>
      </c>
      <c r="D13" s="19" t="s">
        <v>154</v>
      </c>
      <c r="E13" s="19" t="s">
        <v>155</v>
      </c>
      <c r="F13" s="23">
        <f t="shared" ca="1" si="0"/>
        <v>-277</v>
      </c>
      <c r="G13" s="20">
        <v>43392</v>
      </c>
      <c r="H13" s="20">
        <v>43454</v>
      </c>
      <c r="I13" s="21">
        <v>1</v>
      </c>
    </row>
    <row r="14" spans="1:9">
      <c r="C14" s="1" t="s">
        <v>80</v>
      </c>
      <c r="G14" s="7" t="s">
        <v>6</v>
      </c>
      <c r="H14" s="3">
        <f>MIN(H$2:H13)</f>
        <v>43429</v>
      </c>
      <c r="I14" s="1" t="s">
        <v>172</v>
      </c>
    </row>
    <row r="15" spans="1:9">
      <c r="C15" s="1" t="s">
        <v>81</v>
      </c>
      <c r="I15" s="7" t="s">
        <v>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18" sqref="G18"/>
    </sheetView>
  </sheetViews>
  <sheetFormatPr defaultRowHeight="14.4"/>
  <cols>
    <col min="1" max="1" width="2.88671875" style="2" bestFit="1" customWidth="1"/>
    <col min="2" max="2" width="8.88671875" style="6" bestFit="1" customWidth="1"/>
    <col min="3" max="3" width="30.77734375" style="1" customWidth="1"/>
    <col min="4" max="4" width="23.77734375" style="1" customWidth="1"/>
    <col min="5" max="5" width="9.77734375" style="1" bestFit="1" customWidth="1"/>
    <col min="6" max="6" width="8" style="2" bestFit="1" customWidth="1"/>
    <col min="7" max="7" width="12.77734375" style="1" customWidth="1"/>
    <col min="8" max="8" width="11.664062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0</v>
      </c>
      <c r="C1" s="10" t="s">
        <v>187</v>
      </c>
      <c r="D1" s="10" t="s">
        <v>188</v>
      </c>
      <c r="E1" s="10" t="s">
        <v>1</v>
      </c>
      <c r="F1" s="11" t="s">
        <v>189</v>
      </c>
      <c r="G1" s="10" t="s">
        <v>2</v>
      </c>
      <c r="H1" s="10" t="s">
        <v>3</v>
      </c>
      <c r="I1" s="12" t="s">
        <v>4</v>
      </c>
    </row>
    <row r="2" spans="1:9">
      <c r="A2" s="13">
        <v>1</v>
      </c>
      <c r="B2" s="14">
        <v>800180951</v>
      </c>
      <c r="C2" s="4" t="s">
        <v>173</v>
      </c>
      <c r="D2" s="15" t="s">
        <v>174</v>
      </c>
      <c r="E2" s="15" t="s">
        <v>175</v>
      </c>
      <c r="F2" s="22">
        <f t="shared" ref="F2:F13" ca="1" si="0">ROUND(H2-NOW(),0)-1</f>
        <v>-262</v>
      </c>
      <c r="G2" s="16">
        <v>43407</v>
      </c>
      <c r="H2" s="16">
        <v>43469</v>
      </c>
      <c r="I2" s="17">
        <v>1</v>
      </c>
    </row>
    <row r="3" spans="1:9">
      <c r="A3" s="13">
        <v>2</v>
      </c>
      <c r="B3" s="14">
        <v>104649056</v>
      </c>
      <c r="C3" s="4" t="s">
        <v>173</v>
      </c>
      <c r="D3" s="15" t="s">
        <v>174</v>
      </c>
      <c r="E3" s="15" t="s">
        <v>175</v>
      </c>
      <c r="F3" s="22">
        <f t="shared" ca="1" si="0"/>
        <v>-262</v>
      </c>
      <c r="G3" s="16">
        <v>43407</v>
      </c>
      <c r="H3" s="16">
        <v>43469</v>
      </c>
      <c r="I3" s="17">
        <v>1</v>
      </c>
    </row>
    <row r="4" spans="1:9">
      <c r="A4" s="13">
        <v>3</v>
      </c>
      <c r="B4" s="14">
        <v>104757590</v>
      </c>
      <c r="C4" s="4" t="s">
        <v>107</v>
      </c>
      <c r="D4" s="15" t="s">
        <v>94</v>
      </c>
      <c r="E4" s="15" t="s">
        <v>108</v>
      </c>
      <c r="F4" s="22">
        <f t="shared" ca="1" si="0"/>
        <v>-262</v>
      </c>
      <c r="G4" s="16">
        <v>43407</v>
      </c>
      <c r="H4" s="16">
        <v>43469</v>
      </c>
      <c r="I4" s="17">
        <v>1</v>
      </c>
    </row>
    <row r="5" spans="1:9">
      <c r="A5" s="13">
        <v>4</v>
      </c>
      <c r="B5" s="14">
        <v>800180839</v>
      </c>
      <c r="C5" s="4" t="s">
        <v>176</v>
      </c>
      <c r="D5" s="15" t="s">
        <v>177</v>
      </c>
      <c r="E5" s="15" t="s">
        <v>178</v>
      </c>
      <c r="F5" s="22">
        <f t="shared" ca="1" si="0"/>
        <v>-262</v>
      </c>
      <c r="G5" s="16">
        <v>43407</v>
      </c>
      <c r="H5" s="16">
        <v>43469</v>
      </c>
      <c r="I5" s="17">
        <v>1</v>
      </c>
    </row>
    <row r="6" spans="1:9">
      <c r="A6" s="13">
        <v>5</v>
      </c>
      <c r="B6" s="14">
        <v>104646072</v>
      </c>
      <c r="C6" s="4" t="s">
        <v>176</v>
      </c>
      <c r="D6" s="15" t="s">
        <v>177</v>
      </c>
      <c r="E6" s="15" t="s">
        <v>178</v>
      </c>
      <c r="F6" s="22">
        <f t="shared" ca="1" si="0"/>
        <v>-262</v>
      </c>
      <c r="G6" s="16">
        <v>43407</v>
      </c>
      <c r="H6" s="16">
        <v>43469</v>
      </c>
      <c r="I6" s="17">
        <v>1</v>
      </c>
    </row>
    <row r="7" spans="1:9">
      <c r="A7" s="13">
        <v>6</v>
      </c>
      <c r="B7" s="14">
        <v>104758198</v>
      </c>
      <c r="C7" s="4" t="s">
        <v>179</v>
      </c>
      <c r="D7" s="15" t="s">
        <v>94</v>
      </c>
      <c r="E7" s="15" t="s">
        <v>180</v>
      </c>
      <c r="F7" s="22">
        <f t="shared" ca="1" si="0"/>
        <v>-262</v>
      </c>
      <c r="G7" s="16">
        <v>43407</v>
      </c>
      <c r="H7" s="16">
        <v>43469</v>
      </c>
      <c r="I7" s="17">
        <v>1</v>
      </c>
    </row>
    <row r="8" spans="1:9">
      <c r="A8" s="13">
        <v>7</v>
      </c>
      <c r="B8" s="14">
        <v>106294187</v>
      </c>
      <c r="C8" s="4" t="s">
        <v>181</v>
      </c>
      <c r="D8" s="15" t="s">
        <v>182</v>
      </c>
      <c r="E8" s="15" t="s">
        <v>183</v>
      </c>
      <c r="F8" s="22">
        <f t="shared" ca="1" si="0"/>
        <v>-262</v>
      </c>
      <c r="G8" s="16">
        <v>43407</v>
      </c>
      <c r="H8" s="16">
        <v>43469</v>
      </c>
      <c r="I8" s="17">
        <v>1</v>
      </c>
    </row>
    <row r="9" spans="1:9">
      <c r="A9" s="13">
        <v>8</v>
      </c>
      <c r="B9" s="14">
        <v>104589277</v>
      </c>
      <c r="C9" s="4" t="s">
        <v>184</v>
      </c>
      <c r="D9" s="15" t="s">
        <v>185</v>
      </c>
      <c r="E9" s="15" t="s">
        <v>186</v>
      </c>
      <c r="F9" s="22">
        <f t="shared" ca="1" si="0"/>
        <v>-262</v>
      </c>
      <c r="G9" s="16">
        <v>43407</v>
      </c>
      <c r="H9" s="16">
        <v>43469</v>
      </c>
      <c r="I9" s="17">
        <v>1</v>
      </c>
    </row>
    <row r="10" spans="1:9">
      <c r="A10" s="13">
        <v>9</v>
      </c>
      <c r="B10" s="14">
        <v>104946505</v>
      </c>
      <c r="C10" s="4" t="s">
        <v>129</v>
      </c>
      <c r="D10" s="15" t="s">
        <v>130</v>
      </c>
      <c r="E10" s="15" t="s">
        <v>131</v>
      </c>
      <c r="F10" s="22">
        <f t="shared" ca="1" si="0"/>
        <v>-277</v>
      </c>
      <c r="G10" s="16">
        <v>43392</v>
      </c>
      <c r="H10" s="16">
        <v>43454</v>
      </c>
      <c r="I10" s="17">
        <v>1</v>
      </c>
    </row>
    <row r="11" spans="1:9">
      <c r="A11" s="13">
        <v>10</v>
      </c>
      <c r="B11" s="14">
        <v>106111563</v>
      </c>
      <c r="C11" s="4" t="s">
        <v>132</v>
      </c>
      <c r="D11" s="15" t="s">
        <v>133</v>
      </c>
      <c r="E11" s="15" t="s">
        <v>134</v>
      </c>
      <c r="F11" s="22">
        <f t="shared" ca="1" si="0"/>
        <v>-277</v>
      </c>
      <c r="G11" s="16">
        <v>43392</v>
      </c>
      <c r="H11" s="16">
        <v>43454</v>
      </c>
      <c r="I11" s="17">
        <v>1</v>
      </c>
    </row>
    <row r="12" spans="1:9">
      <c r="A12" s="13">
        <v>11</v>
      </c>
      <c r="B12" s="14">
        <v>104041801</v>
      </c>
      <c r="C12" s="4" t="s">
        <v>144</v>
      </c>
      <c r="D12" s="15" t="s">
        <v>145</v>
      </c>
      <c r="E12" s="15" t="s">
        <v>146</v>
      </c>
      <c r="F12" s="22">
        <f t="shared" ca="1" si="0"/>
        <v>-277</v>
      </c>
      <c r="G12" s="16">
        <v>43392</v>
      </c>
      <c r="H12" s="16">
        <v>43454</v>
      </c>
      <c r="I12" s="17">
        <v>1</v>
      </c>
    </row>
    <row r="13" spans="1:9">
      <c r="A13" s="13">
        <v>12</v>
      </c>
      <c r="B13" s="18">
        <v>103819971</v>
      </c>
      <c r="C13" s="5" t="s">
        <v>150</v>
      </c>
      <c r="D13" s="19" t="s">
        <v>151</v>
      </c>
      <c r="E13" s="19" t="s">
        <v>152</v>
      </c>
      <c r="F13" s="23">
        <f t="shared" ca="1" si="0"/>
        <v>-277</v>
      </c>
      <c r="G13" s="20">
        <v>43392</v>
      </c>
      <c r="H13" s="20">
        <v>43454</v>
      </c>
      <c r="I13" s="21">
        <v>1</v>
      </c>
    </row>
    <row r="14" spans="1:9">
      <c r="C14" s="1" t="s">
        <v>190</v>
      </c>
      <c r="G14" s="7" t="s">
        <v>191</v>
      </c>
      <c r="H14" s="3">
        <f>MIN(H$2:H13)</f>
        <v>43454</v>
      </c>
      <c r="I14" s="1" t="s">
        <v>194</v>
      </c>
    </row>
    <row r="15" spans="1:9">
      <c r="C15" s="1" t="s">
        <v>192</v>
      </c>
      <c r="I15" s="7" t="s">
        <v>193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I16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22" sqref="F22"/>
    </sheetView>
  </sheetViews>
  <sheetFormatPr defaultRowHeight="14.4"/>
  <cols>
    <col min="1" max="1" width="2.88671875" style="2" bestFit="1" customWidth="1"/>
    <col min="2" max="2" width="11.33203125" style="6" bestFit="1" customWidth="1"/>
    <col min="3" max="3" width="30.77734375" style="1" customWidth="1"/>
    <col min="4" max="4" width="23.77734375" style="1" customWidth="1"/>
    <col min="5" max="5" width="9.44140625" style="1" bestFit="1" customWidth="1"/>
    <col min="6" max="6" width="8" style="2" bestFit="1" customWidth="1"/>
    <col min="7" max="7" width="12.77734375" style="1" customWidth="1"/>
    <col min="8" max="8" width="11.664062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0</v>
      </c>
      <c r="C1" s="10" t="s">
        <v>216</v>
      </c>
      <c r="D1" s="10" t="s">
        <v>217</v>
      </c>
      <c r="E1" s="10" t="s">
        <v>1</v>
      </c>
      <c r="F1" s="11" t="s">
        <v>218</v>
      </c>
      <c r="G1" s="10" t="s">
        <v>2</v>
      </c>
      <c r="H1" s="10" t="s">
        <v>3</v>
      </c>
      <c r="I1" s="12" t="s">
        <v>4</v>
      </c>
    </row>
    <row r="2" spans="1:9">
      <c r="A2" s="13">
        <v>1</v>
      </c>
      <c r="B2" s="14">
        <v>105077042</v>
      </c>
      <c r="C2" s="4" t="s">
        <v>195</v>
      </c>
      <c r="D2" s="15" t="s">
        <v>196</v>
      </c>
      <c r="E2" s="15" t="s">
        <v>197</v>
      </c>
      <c r="F2" s="22">
        <f t="shared" ref="F2:F14" ca="1" si="0">ROUND(H2-NOW(),0)-1</f>
        <v>-248</v>
      </c>
      <c r="G2" s="16">
        <v>43421</v>
      </c>
      <c r="H2" s="16">
        <v>43483</v>
      </c>
      <c r="I2" s="17">
        <v>1</v>
      </c>
    </row>
    <row r="3" spans="1:9">
      <c r="A3" s="13">
        <v>2</v>
      </c>
      <c r="B3" s="14">
        <v>105519606</v>
      </c>
      <c r="C3" s="4" t="s">
        <v>198</v>
      </c>
      <c r="D3" s="15" t="s">
        <v>199</v>
      </c>
      <c r="E3" s="15" t="s">
        <v>200</v>
      </c>
      <c r="F3" s="22">
        <f t="shared" ca="1" si="0"/>
        <v>-248</v>
      </c>
      <c r="G3" s="16">
        <v>43421</v>
      </c>
      <c r="H3" s="16">
        <v>43483</v>
      </c>
      <c r="I3" s="17">
        <v>1</v>
      </c>
    </row>
    <row r="4" spans="1:9">
      <c r="A4" s="13">
        <v>3</v>
      </c>
      <c r="B4" s="14">
        <v>700100150026</v>
      </c>
      <c r="C4" s="4" t="s">
        <v>201</v>
      </c>
      <c r="D4" s="15" t="s">
        <v>202</v>
      </c>
      <c r="E4" s="15" t="s">
        <v>203</v>
      </c>
      <c r="F4" s="22">
        <f t="shared" ca="1" si="0"/>
        <v>-248</v>
      </c>
      <c r="G4" s="16">
        <v>43421</v>
      </c>
      <c r="H4" s="16">
        <v>43483</v>
      </c>
      <c r="I4" s="17">
        <v>1</v>
      </c>
    </row>
    <row r="5" spans="1:9">
      <c r="A5" s="13">
        <v>4</v>
      </c>
      <c r="B5" s="14">
        <v>102387968</v>
      </c>
      <c r="C5" s="4" t="s">
        <v>204</v>
      </c>
      <c r="D5" s="15" t="s">
        <v>205</v>
      </c>
      <c r="E5" s="15" t="s">
        <v>206</v>
      </c>
      <c r="F5" s="22">
        <f t="shared" ca="1" si="0"/>
        <v>-248</v>
      </c>
      <c r="G5" s="16">
        <v>43421</v>
      </c>
      <c r="H5" s="16">
        <v>43483</v>
      </c>
      <c r="I5" s="17">
        <v>1</v>
      </c>
    </row>
    <row r="6" spans="1:9">
      <c r="A6" s="13">
        <v>5</v>
      </c>
      <c r="B6" s="14">
        <v>102449358</v>
      </c>
      <c r="C6" s="4" t="s">
        <v>221</v>
      </c>
      <c r="D6" s="15" t="s">
        <v>222</v>
      </c>
      <c r="E6" s="15" t="s">
        <v>223</v>
      </c>
      <c r="F6" s="22">
        <f t="shared" ca="1" si="0"/>
        <v>-248</v>
      </c>
      <c r="G6" s="16">
        <v>43421</v>
      </c>
      <c r="H6" s="16">
        <v>43483</v>
      </c>
      <c r="I6" s="17">
        <v>1</v>
      </c>
    </row>
    <row r="7" spans="1:9">
      <c r="A7" s="13">
        <v>6</v>
      </c>
      <c r="B7" s="14">
        <v>106158829</v>
      </c>
      <c r="C7" s="4" t="s">
        <v>207</v>
      </c>
      <c r="D7" s="15" t="s">
        <v>208</v>
      </c>
      <c r="E7" s="15" t="s">
        <v>209</v>
      </c>
      <c r="F7" s="22">
        <f t="shared" ca="1" si="0"/>
        <v>-248</v>
      </c>
      <c r="G7" s="16">
        <v>43421</v>
      </c>
      <c r="H7" s="16">
        <v>43483</v>
      </c>
      <c r="I7" s="17">
        <v>1</v>
      </c>
    </row>
    <row r="8" spans="1:9">
      <c r="A8" s="13">
        <v>7</v>
      </c>
      <c r="B8" s="14">
        <v>104292543</v>
      </c>
      <c r="C8" s="4" t="s">
        <v>210</v>
      </c>
      <c r="D8" s="15" t="s">
        <v>211</v>
      </c>
      <c r="E8" s="15" t="s">
        <v>212</v>
      </c>
      <c r="F8" s="22">
        <f t="shared" ca="1" si="0"/>
        <v>-248</v>
      </c>
      <c r="G8" s="16">
        <v>43421</v>
      </c>
      <c r="H8" s="16">
        <v>43483</v>
      </c>
      <c r="I8" s="17">
        <v>1</v>
      </c>
    </row>
    <row r="9" spans="1:9">
      <c r="A9" s="13">
        <v>8</v>
      </c>
      <c r="B9" s="14">
        <v>702100076806</v>
      </c>
      <c r="C9" s="4" t="s">
        <v>213</v>
      </c>
      <c r="D9" s="15" t="s">
        <v>214</v>
      </c>
      <c r="E9" s="15" t="s">
        <v>215</v>
      </c>
      <c r="F9" s="22">
        <f t="shared" ca="1" si="0"/>
        <v>-255</v>
      </c>
      <c r="G9" s="16">
        <v>43414</v>
      </c>
      <c r="H9" s="16">
        <v>43476</v>
      </c>
      <c r="I9" s="17">
        <v>1</v>
      </c>
    </row>
    <row r="10" spans="1:9">
      <c r="A10" s="13">
        <v>9</v>
      </c>
      <c r="B10" s="14">
        <v>104757590</v>
      </c>
      <c r="C10" s="4" t="s">
        <v>107</v>
      </c>
      <c r="D10" s="15" t="s">
        <v>94</v>
      </c>
      <c r="E10" s="15" t="s">
        <v>108</v>
      </c>
      <c r="F10" s="22">
        <f t="shared" ca="1" si="0"/>
        <v>-262</v>
      </c>
      <c r="G10" s="16">
        <v>43407</v>
      </c>
      <c r="H10" s="16">
        <v>43469</v>
      </c>
      <c r="I10" s="17">
        <v>1</v>
      </c>
    </row>
    <row r="11" spans="1:9">
      <c r="A11" s="13">
        <v>10</v>
      </c>
      <c r="B11" s="14">
        <v>104758198</v>
      </c>
      <c r="C11" s="4" t="s">
        <v>179</v>
      </c>
      <c r="D11" s="15" t="s">
        <v>94</v>
      </c>
      <c r="E11" s="15" t="s">
        <v>180</v>
      </c>
      <c r="F11" s="22">
        <f t="shared" ca="1" si="0"/>
        <v>-262</v>
      </c>
      <c r="G11" s="16">
        <v>43407</v>
      </c>
      <c r="H11" s="16">
        <v>43469</v>
      </c>
      <c r="I11" s="17">
        <v>1</v>
      </c>
    </row>
    <row r="12" spans="1:9">
      <c r="A12" s="13">
        <v>11</v>
      </c>
      <c r="B12" s="14">
        <v>106294187</v>
      </c>
      <c r="C12" s="4" t="s">
        <v>181</v>
      </c>
      <c r="D12" s="15" t="s">
        <v>182</v>
      </c>
      <c r="E12" s="15" t="s">
        <v>183</v>
      </c>
      <c r="F12" s="22">
        <f t="shared" ca="1" si="0"/>
        <v>-262</v>
      </c>
      <c r="G12" s="16">
        <v>43407</v>
      </c>
      <c r="H12" s="16">
        <v>43469</v>
      </c>
      <c r="I12" s="17">
        <v>1</v>
      </c>
    </row>
    <row r="13" spans="1:9">
      <c r="A13" s="13">
        <v>12</v>
      </c>
      <c r="B13" s="14">
        <v>104589277</v>
      </c>
      <c r="C13" s="4" t="s">
        <v>184</v>
      </c>
      <c r="D13" s="15" t="s">
        <v>185</v>
      </c>
      <c r="E13" s="15" t="s">
        <v>186</v>
      </c>
      <c r="F13" s="22">
        <f t="shared" ca="1" si="0"/>
        <v>-262</v>
      </c>
      <c r="G13" s="16">
        <v>43407</v>
      </c>
      <c r="H13" s="16">
        <v>43469</v>
      </c>
      <c r="I13" s="17">
        <v>1</v>
      </c>
    </row>
    <row r="14" spans="1:9">
      <c r="A14" s="13">
        <v>13</v>
      </c>
      <c r="B14" s="18">
        <v>104041801</v>
      </c>
      <c r="C14" s="5" t="s">
        <v>144</v>
      </c>
      <c r="D14" s="19" t="s">
        <v>145</v>
      </c>
      <c r="E14" s="19" t="s">
        <v>146</v>
      </c>
      <c r="F14" s="23">
        <f t="shared" ca="1" si="0"/>
        <v>-277</v>
      </c>
      <c r="G14" s="20">
        <v>43392</v>
      </c>
      <c r="H14" s="20">
        <v>43454</v>
      </c>
      <c r="I14" s="21">
        <v>1</v>
      </c>
    </row>
    <row r="15" spans="1:9">
      <c r="C15" s="1" t="s">
        <v>219</v>
      </c>
      <c r="G15" s="7" t="s">
        <v>6</v>
      </c>
      <c r="H15" s="3">
        <f>MIN(H$2:H14)</f>
        <v>43454</v>
      </c>
      <c r="I15" s="1" t="s">
        <v>220</v>
      </c>
    </row>
    <row r="16" spans="1:9">
      <c r="C16" s="1" t="s">
        <v>81</v>
      </c>
      <c r="I16" s="7" t="s">
        <v>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I15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13" sqref="F13"/>
    </sheetView>
  </sheetViews>
  <sheetFormatPr defaultRowHeight="14.4"/>
  <cols>
    <col min="1" max="1" width="2.88671875" style="2" bestFit="1" customWidth="1"/>
    <col min="2" max="2" width="11.33203125" style="6" bestFit="1" customWidth="1"/>
    <col min="3" max="3" width="30.77734375" style="1" customWidth="1"/>
    <col min="4" max="4" width="23.77734375" style="1" customWidth="1"/>
    <col min="5" max="5" width="11.5546875" style="1" bestFit="1" customWidth="1"/>
    <col min="6" max="6" width="8" style="2" bestFit="1" customWidth="1"/>
    <col min="7" max="7" width="12.77734375" style="1" customWidth="1"/>
    <col min="8" max="8" width="11.6640625" style="1" bestFit="1" customWidth="1"/>
    <col min="9" max="9" width="8.77734375" style="2" customWidth="1"/>
    <col min="10" max="16384" width="8.88671875" style="1"/>
  </cols>
  <sheetData>
    <row r="1" spans="1:9">
      <c r="A1" s="8" t="s">
        <v>237</v>
      </c>
      <c r="B1" s="9" t="s">
        <v>0</v>
      </c>
      <c r="C1" s="10" t="s">
        <v>238</v>
      </c>
      <c r="D1" s="10" t="s">
        <v>239</v>
      </c>
      <c r="E1" s="10" t="s">
        <v>1</v>
      </c>
      <c r="F1" s="11" t="s">
        <v>240</v>
      </c>
      <c r="G1" s="10" t="s">
        <v>2</v>
      </c>
      <c r="H1" s="10" t="s">
        <v>3</v>
      </c>
      <c r="I1" s="12" t="s">
        <v>4</v>
      </c>
    </row>
    <row r="2" spans="1:9">
      <c r="A2" s="13">
        <v>1</v>
      </c>
      <c r="B2" s="14">
        <v>700100164103</v>
      </c>
      <c r="C2" s="4" t="s">
        <v>224</v>
      </c>
      <c r="D2" s="15" t="s">
        <v>225</v>
      </c>
      <c r="E2" s="15" t="s">
        <v>226</v>
      </c>
      <c r="F2" s="22">
        <f t="shared" ref="F2:F13" ca="1" si="0">ROUND(H2-NOW(),0)-1</f>
        <v>-241</v>
      </c>
      <c r="G2" s="16">
        <v>43428</v>
      </c>
      <c r="H2" s="16">
        <v>43490</v>
      </c>
      <c r="I2" s="17">
        <v>1</v>
      </c>
    </row>
    <row r="3" spans="1:9">
      <c r="A3" s="13">
        <v>2</v>
      </c>
      <c r="B3" s="14">
        <v>704100041933</v>
      </c>
      <c r="C3" s="4" t="s">
        <v>233</v>
      </c>
      <c r="D3" s="26" t="s">
        <v>234</v>
      </c>
      <c r="E3" s="15" t="s">
        <v>235</v>
      </c>
      <c r="F3" s="22">
        <f t="shared" ca="1" si="0"/>
        <v>-241</v>
      </c>
      <c r="G3" s="16">
        <v>43428</v>
      </c>
      <c r="H3" s="16">
        <v>43490</v>
      </c>
      <c r="I3" s="17">
        <v>1</v>
      </c>
    </row>
    <row r="4" spans="1:9">
      <c r="A4" s="13">
        <v>3</v>
      </c>
      <c r="B4" s="14">
        <v>104147419</v>
      </c>
      <c r="C4" s="4" t="s">
        <v>227</v>
      </c>
      <c r="D4" s="15" t="s">
        <v>228</v>
      </c>
      <c r="E4" s="15" t="s">
        <v>229</v>
      </c>
      <c r="F4" s="22">
        <f t="shared" ca="1" si="0"/>
        <v>-241</v>
      </c>
      <c r="G4" s="16">
        <v>43428</v>
      </c>
      <c r="H4" s="16">
        <v>43490</v>
      </c>
      <c r="I4" s="17">
        <v>1</v>
      </c>
    </row>
    <row r="5" spans="1:9">
      <c r="A5" s="13">
        <v>4</v>
      </c>
      <c r="B5" s="14">
        <v>102449358</v>
      </c>
      <c r="C5" s="4" t="s">
        <v>230</v>
      </c>
      <c r="D5" s="15" t="s">
        <v>231</v>
      </c>
      <c r="E5" s="15" t="s">
        <v>232</v>
      </c>
      <c r="F5" s="22">
        <f t="shared" ca="1" si="0"/>
        <v>-248</v>
      </c>
      <c r="G5" s="16">
        <v>43421</v>
      </c>
      <c r="H5" s="16">
        <v>43483</v>
      </c>
      <c r="I5" s="17">
        <v>1</v>
      </c>
    </row>
    <row r="6" spans="1:9">
      <c r="A6" s="13">
        <v>5</v>
      </c>
      <c r="B6" s="14">
        <v>106158829</v>
      </c>
      <c r="C6" s="4" t="s">
        <v>207</v>
      </c>
      <c r="D6" s="15" t="s">
        <v>208</v>
      </c>
      <c r="E6" s="15" t="s">
        <v>209</v>
      </c>
      <c r="F6" s="22">
        <f t="shared" ca="1" si="0"/>
        <v>-248</v>
      </c>
      <c r="G6" s="16">
        <v>43421</v>
      </c>
      <c r="H6" s="16">
        <v>43483</v>
      </c>
      <c r="I6" s="17">
        <v>1</v>
      </c>
    </row>
    <row r="7" spans="1:9">
      <c r="A7" s="13">
        <v>6</v>
      </c>
      <c r="B7" s="14">
        <v>104292543</v>
      </c>
      <c r="C7" s="4" t="s">
        <v>210</v>
      </c>
      <c r="D7" s="15" t="s">
        <v>211</v>
      </c>
      <c r="E7" s="15" t="s">
        <v>212</v>
      </c>
      <c r="F7" s="22">
        <f t="shared" ca="1" si="0"/>
        <v>-248</v>
      </c>
      <c r="G7" s="16">
        <v>43421</v>
      </c>
      <c r="H7" s="16">
        <v>43483</v>
      </c>
      <c r="I7" s="17">
        <v>1</v>
      </c>
    </row>
    <row r="8" spans="1:9">
      <c r="A8" s="13">
        <v>7</v>
      </c>
      <c r="B8" s="14">
        <v>702100076806</v>
      </c>
      <c r="C8" s="4" t="s">
        <v>213</v>
      </c>
      <c r="D8" s="15" t="s">
        <v>214</v>
      </c>
      <c r="E8" s="15" t="s">
        <v>215</v>
      </c>
      <c r="F8" s="22">
        <f t="shared" ca="1" si="0"/>
        <v>-255</v>
      </c>
      <c r="G8" s="16">
        <v>43414</v>
      </c>
      <c r="H8" s="16">
        <v>43476</v>
      </c>
      <c r="I8" s="17">
        <v>1</v>
      </c>
    </row>
    <row r="9" spans="1:9">
      <c r="A9" s="13">
        <v>8</v>
      </c>
      <c r="B9" s="14">
        <v>104757590</v>
      </c>
      <c r="C9" s="4" t="s">
        <v>236</v>
      </c>
      <c r="D9" s="15" t="s">
        <v>94</v>
      </c>
      <c r="E9" s="15" t="s">
        <v>108</v>
      </c>
      <c r="F9" s="22">
        <f t="shared" ca="1" si="0"/>
        <v>-262</v>
      </c>
      <c r="G9" s="16">
        <v>43407</v>
      </c>
      <c r="H9" s="16">
        <v>43469</v>
      </c>
      <c r="I9" s="17">
        <v>1</v>
      </c>
    </row>
    <row r="10" spans="1:9">
      <c r="A10" s="13">
        <v>9</v>
      </c>
      <c r="B10" s="14">
        <v>106294187</v>
      </c>
      <c r="C10" s="4" t="s">
        <v>181</v>
      </c>
      <c r="D10" s="15" t="s">
        <v>182</v>
      </c>
      <c r="E10" s="15" t="s">
        <v>183</v>
      </c>
      <c r="F10" s="22">
        <f t="shared" ca="1" si="0"/>
        <v>-262</v>
      </c>
      <c r="G10" s="16">
        <v>43407</v>
      </c>
      <c r="H10" s="16">
        <v>43469</v>
      </c>
      <c r="I10" s="17">
        <v>1</v>
      </c>
    </row>
    <row r="11" spans="1:9">
      <c r="A11" s="13">
        <v>10</v>
      </c>
      <c r="B11" s="14">
        <v>104758198</v>
      </c>
      <c r="C11" s="4" t="s">
        <v>179</v>
      </c>
      <c r="D11" s="15" t="s">
        <v>94</v>
      </c>
      <c r="E11" s="15" t="s">
        <v>180</v>
      </c>
      <c r="F11" s="22">
        <f t="shared" ca="1" si="0"/>
        <v>-262</v>
      </c>
      <c r="G11" s="16">
        <v>43407</v>
      </c>
      <c r="H11" s="16">
        <v>43469</v>
      </c>
      <c r="I11" s="17">
        <v>1</v>
      </c>
    </row>
    <row r="12" spans="1:9">
      <c r="A12" s="13">
        <v>11</v>
      </c>
      <c r="B12" s="14">
        <v>104589277</v>
      </c>
      <c r="C12" s="4" t="s">
        <v>184</v>
      </c>
      <c r="D12" s="15" t="s">
        <v>185</v>
      </c>
      <c r="E12" s="15" t="s">
        <v>186</v>
      </c>
      <c r="F12" s="22">
        <f t="shared" ca="1" si="0"/>
        <v>-262</v>
      </c>
      <c r="G12" s="16">
        <v>43407</v>
      </c>
      <c r="H12" s="16">
        <v>43469</v>
      </c>
      <c r="I12" s="17">
        <v>1</v>
      </c>
    </row>
    <row r="13" spans="1:9">
      <c r="A13" s="13">
        <v>12</v>
      </c>
      <c r="B13" s="18">
        <v>104041801</v>
      </c>
      <c r="C13" s="5" t="s">
        <v>144</v>
      </c>
      <c r="D13" s="19" t="s">
        <v>145</v>
      </c>
      <c r="E13" s="19" t="s">
        <v>146</v>
      </c>
      <c r="F13" s="23">
        <f t="shared" ca="1" si="0"/>
        <v>-277</v>
      </c>
      <c r="G13" s="20">
        <v>43392</v>
      </c>
      <c r="H13" s="20">
        <v>43454</v>
      </c>
      <c r="I13" s="21">
        <v>1</v>
      </c>
    </row>
    <row r="14" spans="1:9">
      <c r="C14" s="1" t="s">
        <v>241</v>
      </c>
      <c r="G14" s="7" t="s">
        <v>242</v>
      </c>
      <c r="H14" s="3">
        <f>MIN(H$2:H13)</f>
        <v>43454</v>
      </c>
      <c r="I14" s="1" t="s">
        <v>245</v>
      </c>
    </row>
    <row r="15" spans="1:9">
      <c r="C15" s="1" t="s">
        <v>243</v>
      </c>
      <c r="I15" s="7" t="s">
        <v>244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I18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18" sqref="C18"/>
    </sheetView>
  </sheetViews>
  <sheetFormatPr defaultRowHeight="14.4"/>
  <cols>
    <col min="1" max="1" width="2.88671875" style="2" bestFit="1" customWidth="1"/>
    <col min="2" max="2" width="11.33203125" style="6" bestFit="1" customWidth="1"/>
    <col min="3" max="3" width="30.77734375" style="1" customWidth="1"/>
    <col min="4" max="4" width="23.77734375" style="1" customWidth="1"/>
    <col min="5" max="5" width="9.44140625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0</v>
      </c>
      <c r="C1" s="10" t="s">
        <v>265</v>
      </c>
      <c r="D1" s="10" t="s">
        <v>266</v>
      </c>
      <c r="E1" s="10" t="s">
        <v>1</v>
      </c>
      <c r="F1" s="11" t="s">
        <v>264</v>
      </c>
      <c r="G1" s="10" t="s">
        <v>2</v>
      </c>
      <c r="H1" s="10" t="s">
        <v>3</v>
      </c>
      <c r="I1" s="12" t="s">
        <v>4</v>
      </c>
    </row>
    <row r="2" spans="1:9">
      <c r="A2" s="13">
        <v>1</v>
      </c>
      <c r="B2" s="14">
        <v>105964545</v>
      </c>
      <c r="C2" s="4" t="s">
        <v>246</v>
      </c>
      <c r="D2" s="15" t="s">
        <v>247</v>
      </c>
      <c r="E2" s="15" t="s">
        <v>248</v>
      </c>
      <c r="F2" s="22">
        <f t="shared" ref="F2:F16" ca="1" si="0">ROUND(H2-NOW(),0)-1</f>
        <v>-220</v>
      </c>
      <c r="G2" s="16">
        <v>43449</v>
      </c>
      <c r="H2" s="16">
        <v>43511</v>
      </c>
      <c r="I2" s="17">
        <v>1</v>
      </c>
    </row>
    <row r="3" spans="1:9">
      <c r="A3" s="13">
        <v>2</v>
      </c>
      <c r="B3" s="14">
        <v>103547678</v>
      </c>
      <c r="C3" s="4" t="s">
        <v>249</v>
      </c>
      <c r="D3" s="15" t="s">
        <v>250</v>
      </c>
      <c r="E3" s="15" t="s">
        <v>251</v>
      </c>
      <c r="F3" s="22">
        <f t="shared" ca="1" si="0"/>
        <v>-220</v>
      </c>
      <c r="G3" s="16">
        <v>43449</v>
      </c>
      <c r="H3" s="16">
        <v>43511</v>
      </c>
      <c r="I3" s="17">
        <v>1</v>
      </c>
    </row>
    <row r="4" spans="1:9">
      <c r="A4" s="13">
        <v>3</v>
      </c>
      <c r="B4" s="14">
        <v>800212169</v>
      </c>
      <c r="C4" s="4" t="s">
        <v>246</v>
      </c>
      <c r="D4" s="15" t="s">
        <v>247</v>
      </c>
      <c r="E4" s="15" t="s">
        <v>248</v>
      </c>
      <c r="F4" s="22">
        <f t="shared" ca="1" si="0"/>
        <v>-220</v>
      </c>
      <c r="G4" s="16">
        <v>43449</v>
      </c>
      <c r="H4" s="16">
        <v>43511</v>
      </c>
      <c r="I4" s="17">
        <v>1</v>
      </c>
    </row>
    <row r="5" spans="1:9">
      <c r="A5" s="13">
        <v>4</v>
      </c>
      <c r="B5" s="14">
        <v>106294187</v>
      </c>
      <c r="C5" s="4" t="s">
        <v>181</v>
      </c>
      <c r="D5" s="15" t="s">
        <v>182</v>
      </c>
      <c r="E5" s="15" t="s">
        <v>183</v>
      </c>
      <c r="F5" s="22">
        <f t="shared" ca="1" si="0"/>
        <v>-220</v>
      </c>
      <c r="G5" s="16">
        <v>43449</v>
      </c>
      <c r="H5" s="16">
        <v>43511</v>
      </c>
      <c r="I5" s="17">
        <v>1</v>
      </c>
    </row>
    <row r="6" spans="1:9">
      <c r="A6" s="13">
        <v>5</v>
      </c>
      <c r="B6" s="14">
        <v>800143342</v>
      </c>
      <c r="C6" s="4" t="s">
        <v>249</v>
      </c>
      <c r="D6" s="15" t="s">
        <v>250</v>
      </c>
      <c r="E6" s="15" t="s">
        <v>251</v>
      </c>
      <c r="F6" s="22">
        <f t="shared" ca="1" si="0"/>
        <v>-220</v>
      </c>
      <c r="G6" s="16">
        <v>43449</v>
      </c>
      <c r="H6" s="16">
        <v>43511</v>
      </c>
      <c r="I6" s="17">
        <v>1</v>
      </c>
    </row>
    <row r="7" spans="1:9">
      <c r="A7" s="13">
        <v>6</v>
      </c>
      <c r="B7" s="14">
        <v>105658287</v>
      </c>
      <c r="C7" s="4" t="s">
        <v>252</v>
      </c>
      <c r="D7" s="15" t="s">
        <v>253</v>
      </c>
      <c r="E7" s="15" t="s">
        <v>254</v>
      </c>
      <c r="F7" s="22">
        <f t="shared" ca="1" si="0"/>
        <v>-220</v>
      </c>
      <c r="G7" s="16">
        <v>43449</v>
      </c>
      <c r="H7" s="16">
        <v>43511</v>
      </c>
      <c r="I7" s="17">
        <v>1</v>
      </c>
    </row>
    <row r="8" spans="1:9">
      <c r="A8" s="13">
        <v>7</v>
      </c>
      <c r="B8" s="14">
        <v>105658777</v>
      </c>
      <c r="C8" s="4" t="s">
        <v>255</v>
      </c>
      <c r="D8" s="15" t="s">
        <v>256</v>
      </c>
      <c r="E8" s="15" t="s">
        <v>257</v>
      </c>
      <c r="F8" s="22">
        <f t="shared" ca="1" si="0"/>
        <v>-220</v>
      </c>
      <c r="G8" s="16">
        <v>43449</v>
      </c>
      <c r="H8" s="16">
        <v>43511</v>
      </c>
      <c r="I8" s="17">
        <v>1</v>
      </c>
    </row>
    <row r="9" spans="1:9">
      <c r="A9" s="13">
        <v>8</v>
      </c>
      <c r="B9" s="14">
        <v>105646817</v>
      </c>
      <c r="C9" s="4" t="s">
        <v>258</v>
      </c>
      <c r="D9" s="15" t="s">
        <v>259</v>
      </c>
      <c r="E9" s="15" t="s">
        <v>260</v>
      </c>
      <c r="F9" s="22">
        <f t="shared" ca="1" si="0"/>
        <v>-220</v>
      </c>
      <c r="G9" s="16">
        <v>43449</v>
      </c>
      <c r="H9" s="16">
        <v>43511</v>
      </c>
      <c r="I9" s="17">
        <v>1</v>
      </c>
    </row>
    <row r="10" spans="1:9">
      <c r="A10" s="13">
        <v>9</v>
      </c>
      <c r="B10" s="14">
        <v>700100164103</v>
      </c>
      <c r="C10" s="4" t="s">
        <v>224</v>
      </c>
      <c r="D10" s="15" t="s">
        <v>225</v>
      </c>
      <c r="E10" s="15" t="s">
        <v>226</v>
      </c>
      <c r="F10" s="22">
        <f t="shared" ca="1" si="0"/>
        <v>-241</v>
      </c>
      <c r="G10" s="16">
        <v>43428</v>
      </c>
      <c r="H10" s="16">
        <v>43490</v>
      </c>
      <c r="I10" s="17">
        <v>1</v>
      </c>
    </row>
    <row r="11" spans="1:9">
      <c r="A11" s="13">
        <v>10</v>
      </c>
      <c r="B11" s="14">
        <v>704100041933</v>
      </c>
      <c r="C11" s="4" t="s">
        <v>261</v>
      </c>
      <c r="D11" s="15" t="s">
        <v>262</v>
      </c>
      <c r="E11" s="15" t="s">
        <v>263</v>
      </c>
      <c r="F11" s="22">
        <f t="shared" ca="1" si="0"/>
        <v>-241</v>
      </c>
      <c r="G11" s="16">
        <v>43428</v>
      </c>
      <c r="H11" s="16">
        <v>43490</v>
      </c>
      <c r="I11" s="17">
        <v>1</v>
      </c>
    </row>
    <row r="12" spans="1:9">
      <c r="A12" s="13">
        <v>11</v>
      </c>
      <c r="B12" s="14">
        <v>104147419</v>
      </c>
      <c r="C12" s="4" t="s">
        <v>227</v>
      </c>
      <c r="D12" s="15" t="s">
        <v>228</v>
      </c>
      <c r="E12" s="15" t="s">
        <v>229</v>
      </c>
      <c r="F12" s="22">
        <f t="shared" ca="1" si="0"/>
        <v>-241</v>
      </c>
      <c r="G12" s="16">
        <v>43428</v>
      </c>
      <c r="H12" s="16">
        <v>43490</v>
      </c>
      <c r="I12" s="17">
        <v>1</v>
      </c>
    </row>
    <row r="13" spans="1:9">
      <c r="A13" s="13">
        <v>12</v>
      </c>
      <c r="B13" s="14">
        <v>102449358</v>
      </c>
      <c r="C13" s="4" t="s">
        <v>230</v>
      </c>
      <c r="D13" s="15" t="s">
        <v>231</v>
      </c>
      <c r="E13" s="15" t="s">
        <v>232</v>
      </c>
      <c r="F13" s="22">
        <f t="shared" ca="1" si="0"/>
        <v>-248</v>
      </c>
      <c r="G13" s="16">
        <v>43421</v>
      </c>
      <c r="H13" s="16">
        <v>43483</v>
      </c>
      <c r="I13" s="17">
        <v>1</v>
      </c>
    </row>
    <row r="14" spans="1:9">
      <c r="A14" s="13">
        <v>13</v>
      </c>
      <c r="B14" s="14">
        <v>106158829</v>
      </c>
      <c r="C14" s="4" t="s">
        <v>207</v>
      </c>
      <c r="D14" s="15" t="s">
        <v>208</v>
      </c>
      <c r="E14" s="15" t="s">
        <v>209</v>
      </c>
      <c r="F14" s="22">
        <f t="shared" ca="1" si="0"/>
        <v>-248</v>
      </c>
      <c r="G14" s="16">
        <v>43421</v>
      </c>
      <c r="H14" s="16">
        <v>43483</v>
      </c>
      <c r="I14" s="17">
        <v>1</v>
      </c>
    </row>
    <row r="15" spans="1:9">
      <c r="A15" s="13">
        <v>14</v>
      </c>
      <c r="B15" s="14">
        <v>104292543</v>
      </c>
      <c r="C15" s="4" t="s">
        <v>210</v>
      </c>
      <c r="D15" s="15" t="s">
        <v>211</v>
      </c>
      <c r="E15" s="15" t="s">
        <v>212</v>
      </c>
      <c r="F15" s="22">
        <f t="shared" ca="1" si="0"/>
        <v>-248</v>
      </c>
      <c r="G15" s="16">
        <v>43421</v>
      </c>
      <c r="H15" s="16">
        <v>43483</v>
      </c>
      <c r="I15" s="17">
        <v>1</v>
      </c>
    </row>
    <row r="16" spans="1:9">
      <c r="A16" s="13">
        <v>15</v>
      </c>
      <c r="B16" s="18">
        <v>702100076806</v>
      </c>
      <c r="C16" s="5" t="s">
        <v>213</v>
      </c>
      <c r="D16" s="19" t="s">
        <v>214</v>
      </c>
      <c r="E16" s="19" t="s">
        <v>215</v>
      </c>
      <c r="F16" s="23">
        <f t="shared" ca="1" si="0"/>
        <v>-255</v>
      </c>
      <c r="G16" s="20">
        <v>43414</v>
      </c>
      <c r="H16" s="20">
        <v>43476</v>
      </c>
      <c r="I16" s="21">
        <v>1</v>
      </c>
    </row>
    <row r="17" spans="3:9">
      <c r="C17" s="1" t="s">
        <v>267</v>
      </c>
      <c r="G17" s="7" t="s">
        <v>268</v>
      </c>
      <c r="H17" s="3">
        <f>MIN(H$2:H16)</f>
        <v>43476</v>
      </c>
      <c r="I17" s="1" t="s">
        <v>271</v>
      </c>
    </row>
    <row r="18" spans="3:9">
      <c r="C18" s="1" t="s">
        <v>269</v>
      </c>
      <c r="I18" s="7" t="s">
        <v>270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K14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4" sqref="D14"/>
    </sheetView>
  </sheetViews>
  <sheetFormatPr defaultRowHeight="14.4"/>
  <cols>
    <col min="1" max="1" width="2.88671875" style="2" bestFit="1" customWidth="1"/>
    <col min="2" max="2" width="11.5546875" style="6" bestFit="1" customWidth="1"/>
    <col min="3" max="3" width="30.77734375" style="1" customWidth="1"/>
    <col min="4" max="4" width="14.109375" style="1" customWidth="1"/>
    <col min="5" max="5" width="14.109375" style="1" bestFit="1" customWidth="1"/>
    <col min="6" max="6" width="7.5546875" style="2" bestFit="1" customWidth="1"/>
    <col min="7" max="7" width="12.77734375" style="1" customWidth="1"/>
    <col min="8" max="8" width="11.6640625" style="1" bestFit="1" customWidth="1"/>
    <col min="9" max="9" width="8.77734375" style="2" customWidth="1"/>
    <col min="10" max="10" width="58.88671875" style="1" bestFit="1" customWidth="1"/>
    <col min="11" max="11" width="4.44140625" style="1" bestFit="1" customWidth="1"/>
    <col min="12" max="16384" width="8.88671875" style="1"/>
  </cols>
  <sheetData>
    <row r="1" spans="1:11" ht="15" thickBot="1">
      <c r="A1" s="35" t="s">
        <v>285</v>
      </c>
      <c r="B1" s="36" t="s">
        <v>0</v>
      </c>
      <c r="C1" s="37" t="s">
        <v>286</v>
      </c>
      <c r="D1" s="37" t="s">
        <v>293</v>
      </c>
      <c r="E1" s="37" t="s">
        <v>272</v>
      </c>
      <c r="F1" s="38" t="s">
        <v>287</v>
      </c>
      <c r="G1" s="37" t="s">
        <v>273</v>
      </c>
      <c r="H1" s="37" t="s">
        <v>2</v>
      </c>
      <c r="I1" s="39" t="s">
        <v>274</v>
      </c>
      <c r="J1" s="34" t="s">
        <v>4</v>
      </c>
      <c r="K1" s="27" t="s">
        <v>275</v>
      </c>
    </row>
    <row r="2" spans="1:11" ht="15" thickBot="1">
      <c r="A2" s="40">
        <v>1</v>
      </c>
      <c r="B2" s="41">
        <v>700100024370</v>
      </c>
      <c r="C2" s="4" t="s">
        <v>276</v>
      </c>
      <c r="D2" s="42" t="s">
        <v>277</v>
      </c>
      <c r="E2" s="42" t="s">
        <v>278</v>
      </c>
      <c r="F2" s="54">
        <f t="shared" ref="F2:F11" ca="1" si="0">ROUND(I2-NOW(),0)-1</f>
        <v>-213</v>
      </c>
      <c r="G2" s="42">
        <v>1</v>
      </c>
      <c r="H2" s="43">
        <v>43456</v>
      </c>
      <c r="I2" s="44">
        <v>43518</v>
      </c>
      <c r="J2" s="28">
        <v>1</v>
      </c>
      <c r="K2" s="29"/>
    </row>
    <row r="3" spans="1:11" ht="15" thickBot="1">
      <c r="A3" s="45">
        <v>2</v>
      </c>
      <c r="B3" s="46">
        <v>700100138279</v>
      </c>
      <c r="C3" s="4" t="s">
        <v>279</v>
      </c>
      <c r="D3" s="47" t="s">
        <v>280</v>
      </c>
      <c r="E3" s="47" t="s">
        <v>278</v>
      </c>
      <c r="F3" s="55">
        <f t="shared" ca="1" si="0"/>
        <v>-213</v>
      </c>
      <c r="G3" s="47">
        <v>1</v>
      </c>
      <c r="H3" s="48">
        <v>43456</v>
      </c>
      <c r="I3" s="49">
        <v>43518</v>
      </c>
      <c r="J3" s="30">
        <v>1</v>
      </c>
      <c r="K3" s="31"/>
    </row>
    <row r="4" spans="1:11" ht="15" thickBot="1">
      <c r="A4" s="40">
        <v>3</v>
      </c>
      <c r="B4" s="41">
        <v>800212169</v>
      </c>
      <c r="C4" s="4" t="s">
        <v>246</v>
      </c>
      <c r="D4" s="42" t="s">
        <v>248</v>
      </c>
      <c r="E4" s="42" t="s">
        <v>281</v>
      </c>
      <c r="F4" s="54">
        <f t="shared" ca="1" si="0"/>
        <v>-220</v>
      </c>
      <c r="G4" s="42">
        <v>1</v>
      </c>
      <c r="H4" s="43">
        <v>43449</v>
      </c>
      <c r="I4" s="44">
        <v>43511</v>
      </c>
      <c r="J4" s="28">
        <v>1</v>
      </c>
      <c r="K4" s="29"/>
    </row>
    <row r="5" spans="1:11" ht="15" thickBot="1">
      <c r="A5" s="45">
        <v>4</v>
      </c>
      <c r="B5" s="46">
        <v>105964545</v>
      </c>
      <c r="C5" s="4" t="s">
        <v>246</v>
      </c>
      <c r="D5" s="47" t="s">
        <v>248</v>
      </c>
      <c r="E5" s="47" t="s">
        <v>281</v>
      </c>
      <c r="F5" s="55">
        <f t="shared" ca="1" si="0"/>
        <v>-220</v>
      </c>
      <c r="G5" s="47">
        <v>1</v>
      </c>
      <c r="H5" s="48">
        <v>43449</v>
      </c>
      <c r="I5" s="49">
        <v>43511</v>
      </c>
      <c r="J5" s="30">
        <v>1</v>
      </c>
      <c r="K5" s="31"/>
    </row>
    <row r="6" spans="1:11" ht="15" thickBot="1">
      <c r="A6" s="40">
        <v>5</v>
      </c>
      <c r="B6" s="41">
        <v>106294187</v>
      </c>
      <c r="C6" s="4" t="s">
        <v>181</v>
      </c>
      <c r="D6" s="42" t="s">
        <v>183</v>
      </c>
      <c r="E6" s="42" t="s">
        <v>282</v>
      </c>
      <c r="F6" s="54">
        <f t="shared" ca="1" si="0"/>
        <v>-220</v>
      </c>
      <c r="G6" s="42">
        <v>1</v>
      </c>
      <c r="H6" s="43">
        <v>43449</v>
      </c>
      <c r="I6" s="44">
        <v>43511</v>
      </c>
      <c r="J6" s="28">
        <v>1</v>
      </c>
      <c r="K6" s="29"/>
    </row>
    <row r="7" spans="1:11" ht="15" thickBot="1">
      <c r="A7" s="45">
        <v>6</v>
      </c>
      <c r="B7" s="46">
        <v>800143342</v>
      </c>
      <c r="C7" s="4" t="s">
        <v>249</v>
      </c>
      <c r="D7" s="47" t="s">
        <v>251</v>
      </c>
      <c r="E7" s="47" t="s">
        <v>281</v>
      </c>
      <c r="F7" s="55">
        <f t="shared" ca="1" si="0"/>
        <v>-220</v>
      </c>
      <c r="G7" s="47">
        <v>1</v>
      </c>
      <c r="H7" s="48">
        <v>43449</v>
      </c>
      <c r="I7" s="49">
        <v>43511</v>
      </c>
      <c r="J7" s="30">
        <v>1</v>
      </c>
      <c r="K7" s="31"/>
    </row>
    <row r="8" spans="1:11" ht="15" thickBot="1">
      <c r="A8" s="40">
        <v>7</v>
      </c>
      <c r="B8" s="41">
        <v>103547678</v>
      </c>
      <c r="C8" s="4" t="s">
        <v>249</v>
      </c>
      <c r="D8" s="42" t="s">
        <v>251</v>
      </c>
      <c r="E8" s="42" t="s">
        <v>281</v>
      </c>
      <c r="F8" s="54">
        <f t="shared" ca="1" si="0"/>
        <v>-220</v>
      </c>
      <c r="G8" s="42">
        <v>1</v>
      </c>
      <c r="H8" s="43">
        <v>43449</v>
      </c>
      <c r="I8" s="44">
        <v>43511</v>
      </c>
      <c r="J8" s="28">
        <v>1</v>
      </c>
      <c r="K8" s="29"/>
    </row>
    <row r="9" spans="1:11" ht="15" thickBot="1">
      <c r="A9" s="45">
        <v>8</v>
      </c>
      <c r="B9" s="46">
        <v>105658287</v>
      </c>
      <c r="C9" s="4" t="s">
        <v>252</v>
      </c>
      <c r="D9" s="47" t="s">
        <v>254</v>
      </c>
      <c r="E9" s="47" t="s">
        <v>281</v>
      </c>
      <c r="F9" s="55">
        <f t="shared" ca="1" si="0"/>
        <v>-220</v>
      </c>
      <c r="G9" s="47">
        <v>1</v>
      </c>
      <c r="H9" s="48">
        <v>43449</v>
      </c>
      <c r="I9" s="49">
        <v>43511</v>
      </c>
      <c r="J9" s="30">
        <v>1</v>
      </c>
      <c r="K9" s="31"/>
    </row>
    <row r="10" spans="1:11" ht="15" thickBot="1">
      <c r="A10" s="40">
        <v>9</v>
      </c>
      <c r="B10" s="41">
        <v>105658777</v>
      </c>
      <c r="C10" s="4" t="s">
        <v>255</v>
      </c>
      <c r="D10" s="42" t="s">
        <v>257</v>
      </c>
      <c r="E10" s="42" t="s">
        <v>281</v>
      </c>
      <c r="F10" s="54">
        <f t="shared" ca="1" si="0"/>
        <v>-220</v>
      </c>
      <c r="G10" s="42">
        <v>1</v>
      </c>
      <c r="H10" s="43">
        <v>43449</v>
      </c>
      <c r="I10" s="44">
        <v>43511</v>
      </c>
      <c r="J10" s="28">
        <v>1</v>
      </c>
      <c r="K10" s="29"/>
    </row>
    <row r="11" spans="1:11">
      <c r="A11" s="45">
        <v>10</v>
      </c>
      <c r="B11" s="50">
        <v>105646817</v>
      </c>
      <c r="C11" s="5" t="s">
        <v>258</v>
      </c>
      <c r="D11" s="51" t="s">
        <v>260</v>
      </c>
      <c r="E11" s="51" t="s">
        <v>281</v>
      </c>
      <c r="F11" s="56">
        <f t="shared" ca="1" si="0"/>
        <v>-220</v>
      </c>
      <c r="G11" s="51">
        <v>1</v>
      </c>
      <c r="H11" s="52">
        <v>43449</v>
      </c>
      <c r="I11" s="53">
        <v>43511</v>
      </c>
      <c r="J11" s="32">
        <v>1</v>
      </c>
      <c r="K11" s="33"/>
    </row>
    <row r="12" spans="1:11">
      <c r="C12" s="1" t="s">
        <v>288</v>
      </c>
      <c r="G12" s="7" t="s">
        <v>289</v>
      </c>
      <c r="H12" s="3">
        <f>MIN(H$2:H11)</f>
        <v>43449</v>
      </c>
      <c r="I12" s="3" t="s">
        <v>284</v>
      </c>
      <c r="J12" s="1" t="s">
        <v>292</v>
      </c>
    </row>
    <row r="13" spans="1:11">
      <c r="C13" s="1" t="s">
        <v>290</v>
      </c>
      <c r="I13" s="7" t="s">
        <v>291</v>
      </c>
      <c r="J13" s="1" t="s">
        <v>7</v>
      </c>
    </row>
    <row r="14" spans="1:11">
      <c r="D14" s="1" t="s">
        <v>283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I11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17" sqref="G17"/>
    </sheetView>
  </sheetViews>
  <sheetFormatPr defaultRowHeight="14.4"/>
  <cols>
    <col min="1" max="1" width="2.77734375" style="2" bestFit="1" customWidth="1"/>
    <col min="2" max="2" width="8.88671875" style="6" bestFit="1" customWidth="1"/>
    <col min="3" max="3" width="30.77734375" style="1" customWidth="1"/>
    <col min="4" max="4" width="23.77734375" style="1" customWidth="1"/>
    <col min="5" max="5" width="12.44140625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317</v>
      </c>
      <c r="C1" s="10" t="s">
        <v>318</v>
      </c>
      <c r="D1" s="10" t="s">
        <v>319</v>
      </c>
      <c r="E1" s="10" t="s">
        <v>314</v>
      </c>
      <c r="F1" s="11" t="s">
        <v>320</v>
      </c>
      <c r="G1" s="10" t="s">
        <v>315</v>
      </c>
      <c r="H1" s="10" t="s">
        <v>316</v>
      </c>
      <c r="I1" s="12" t="s">
        <v>321</v>
      </c>
    </row>
    <row r="2" spans="1:9">
      <c r="A2" s="13">
        <v>1</v>
      </c>
      <c r="B2" s="14">
        <v>105778125</v>
      </c>
      <c r="C2" s="4" t="s">
        <v>96</v>
      </c>
      <c r="D2" s="15" t="s">
        <v>94</v>
      </c>
      <c r="E2" s="15" t="s">
        <v>97</v>
      </c>
      <c r="F2" s="22">
        <f t="shared" ref="F2:F9" ca="1" si="0">ROUND(H2-NOW(),0)-1</f>
        <v>-197</v>
      </c>
      <c r="G2" s="16">
        <v>43472</v>
      </c>
      <c r="H2" s="16">
        <v>43534</v>
      </c>
      <c r="I2" s="17">
        <v>1</v>
      </c>
    </row>
    <row r="3" spans="1:9">
      <c r="A3" s="13">
        <v>2</v>
      </c>
      <c r="B3" s="14">
        <v>105778130</v>
      </c>
      <c r="C3" s="4" t="s">
        <v>93</v>
      </c>
      <c r="D3" s="15" t="s">
        <v>94</v>
      </c>
      <c r="E3" s="15" t="s">
        <v>95</v>
      </c>
      <c r="F3" s="22">
        <f t="shared" ca="1" si="0"/>
        <v>-197</v>
      </c>
      <c r="G3" s="16">
        <v>43472</v>
      </c>
      <c r="H3" s="16">
        <v>43534</v>
      </c>
      <c r="I3" s="17">
        <v>1</v>
      </c>
    </row>
    <row r="4" spans="1:9">
      <c r="A4" s="13">
        <v>3</v>
      </c>
      <c r="B4" s="14">
        <v>103630195</v>
      </c>
      <c r="C4" s="4" t="s">
        <v>294</v>
      </c>
      <c r="D4" s="15" t="s">
        <v>295</v>
      </c>
      <c r="E4" s="15" t="s">
        <v>296</v>
      </c>
      <c r="F4" s="22">
        <f t="shared" ca="1" si="0"/>
        <v>-197</v>
      </c>
      <c r="G4" s="16">
        <v>43472</v>
      </c>
      <c r="H4" s="16">
        <v>43534</v>
      </c>
      <c r="I4" s="17">
        <v>1</v>
      </c>
    </row>
    <row r="5" spans="1:9">
      <c r="A5" s="13">
        <v>4</v>
      </c>
      <c r="B5" s="14">
        <v>106129463</v>
      </c>
      <c r="C5" s="4" t="s">
        <v>297</v>
      </c>
      <c r="D5" s="15" t="s">
        <v>298</v>
      </c>
      <c r="E5" s="15" t="s">
        <v>299</v>
      </c>
      <c r="F5" s="22">
        <f t="shared" ca="1" si="0"/>
        <v>-197</v>
      </c>
      <c r="G5" s="16">
        <v>43472</v>
      </c>
      <c r="H5" s="16">
        <v>43534</v>
      </c>
      <c r="I5" s="17">
        <v>1</v>
      </c>
    </row>
    <row r="6" spans="1:9">
      <c r="A6" s="13">
        <v>5</v>
      </c>
      <c r="B6" s="14">
        <v>106026501</v>
      </c>
      <c r="C6" s="4" t="s">
        <v>300</v>
      </c>
      <c r="D6" s="15" t="s">
        <v>301</v>
      </c>
      <c r="E6" s="15" t="s">
        <v>302</v>
      </c>
      <c r="F6" s="22">
        <f t="shared" ca="1" si="0"/>
        <v>-197</v>
      </c>
      <c r="G6" s="16">
        <v>43472</v>
      </c>
      <c r="H6" s="16">
        <v>43534</v>
      </c>
      <c r="I6" s="17">
        <v>1</v>
      </c>
    </row>
    <row r="7" spans="1:9">
      <c r="A7" s="13">
        <v>6</v>
      </c>
      <c r="B7" s="14">
        <v>105945420</v>
      </c>
      <c r="C7" s="4" t="s">
        <v>303</v>
      </c>
      <c r="D7" s="15" t="s">
        <v>304</v>
      </c>
      <c r="E7" s="15" t="s">
        <v>305</v>
      </c>
      <c r="F7" s="22">
        <f t="shared" ca="1" si="0"/>
        <v>-197</v>
      </c>
      <c r="G7" s="16">
        <v>43472</v>
      </c>
      <c r="H7" s="16">
        <v>43534</v>
      </c>
      <c r="I7" s="17">
        <v>1</v>
      </c>
    </row>
    <row r="8" spans="1:9">
      <c r="A8" s="13">
        <v>7</v>
      </c>
      <c r="B8" s="14">
        <v>106169629</v>
      </c>
      <c r="C8" s="4" t="s">
        <v>306</v>
      </c>
      <c r="D8" s="15" t="s">
        <v>307</v>
      </c>
      <c r="E8" s="15" t="s">
        <v>308</v>
      </c>
      <c r="F8" s="22">
        <f t="shared" ca="1" si="0"/>
        <v>-197</v>
      </c>
      <c r="G8" s="16">
        <v>43472</v>
      </c>
      <c r="H8" s="16">
        <v>43534</v>
      </c>
      <c r="I8" s="17">
        <v>1</v>
      </c>
    </row>
    <row r="9" spans="1:9">
      <c r="A9" s="13">
        <v>8</v>
      </c>
      <c r="B9" s="18">
        <v>103835355</v>
      </c>
      <c r="C9" s="5" t="s">
        <v>323</v>
      </c>
      <c r="D9" s="57" t="s">
        <v>324</v>
      </c>
      <c r="E9" s="19" t="s">
        <v>309</v>
      </c>
      <c r="F9" s="23">
        <f t="shared" ca="1" si="0"/>
        <v>-197</v>
      </c>
      <c r="G9" s="20">
        <v>43472</v>
      </c>
      <c r="H9" s="20">
        <v>43534</v>
      </c>
      <c r="I9" s="21">
        <v>1</v>
      </c>
    </row>
    <row r="10" spans="1:9">
      <c r="C10" s="1" t="s">
        <v>310</v>
      </c>
      <c r="G10" s="7" t="s">
        <v>311</v>
      </c>
      <c r="H10" s="3">
        <f>MIN(H$2:H9)</f>
        <v>43534</v>
      </c>
      <c r="I10" s="1" t="s">
        <v>322</v>
      </c>
    </row>
    <row r="11" spans="1:9">
      <c r="C11" s="1" t="s">
        <v>312</v>
      </c>
      <c r="I11" s="7" t="s">
        <v>313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I15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4" sqref="A4:XFD4"/>
    </sheetView>
  </sheetViews>
  <sheetFormatPr defaultRowHeight="14.4"/>
  <cols>
    <col min="1" max="1" width="2.88671875" style="2" bestFit="1" customWidth="1"/>
    <col min="2" max="2" width="11.33203125" style="6" bestFit="1" customWidth="1"/>
    <col min="3" max="3" width="30.77734375" style="1" customWidth="1"/>
    <col min="4" max="4" width="23.77734375" style="1" customWidth="1"/>
    <col min="5" max="5" width="9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345</v>
      </c>
      <c r="C1" s="10" t="s">
        <v>346</v>
      </c>
      <c r="D1" s="10" t="s">
        <v>347</v>
      </c>
      <c r="E1" s="10" t="s">
        <v>348</v>
      </c>
      <c r="F1" s="11" t="s">
        <v>349</v>
      </c>
      <c r="G1" s="10" t="s">
        <v>350</v>
      </c>
      <c r="H1" s="10" t="s">
        <v>351</v>
      </c>
      <c r="I1" s="12" t="s">
        <v>352</v>
      </c>
    </row>
    <row r="2" spans="1:9">
      <c r="A2" s="13">
        <v>1</v>
      </c>
      <c r="B2" s="14">
        <v>105644696</v>
      </c>
      <c r="C2" s="4" t="s">
        <v>68</v>
      </c>
      <c r="D2" s="15" t="s">
        <v>69</v>
      </c>
      <c r="E2" s="15" t="s">
        <v>70</v>
      </c>
      <c r="F2" s="22">
        <f t="shared" ref="F2:F13" ca="1" si="0">ROUND(H2-NOW(),0)-1</f>
        <v>-157</v>
      </c>
      <c r="G2" s="16">
        <v>43512</v>
      </c>
      <c r="H2" s="16">
        <v>43574</v>
      </c>
      <c r="I2" s="17">
        <v>1</v>
      </c>
    </row>
    <row r="3" spans="1:9">
      <c r="A3" s="13">
        <v>2</v>
      </c>
      <c r="B3" s="14">
        <v>105664744</v>
      </c>
      <c r="C3" s="4" t="s">
        <v>325</v>
      </c>
      <c r="D3" s="15" t="s">
        <v>326</v>
      </c>
      <c r="E3" s="15" t="s">
        <v>327</v>
      </c>
      <c r="F3" s="22">
        <f t="shared" ca="1" si="0"/>
        <v>-157</v>
      </c>
      <c r="G3" s="16">
        <v>43512</v>
      </c>
      <c r="H3" s="16">
        <v>43574</v>
      </c>
      <c r="I3" s="17">
        <v>1</v>
      </c>
    </row>
    <row r="4" spans="1:9">
      <c r="A4" s="13">
        <v>3</v>
      </c>
      <c r="B4" s="14">
        <v>105999067</v>
      </c>
      <c r="C4" s="4" t="s">
        <v>415</v>
      </c>
      <c r="D4" s="15" t="s">
        <v>329</v>
      </c>
      <c r="E4" s="15" t="s">
        <v>330</v>
      </c>
      <c r="F4" s="22">
        <f t="shared" ca="1" si="0"/>
        <v>-157</v>
      </c>
      <c r="G4" s="16">
        <v>43512</v>
      </c>
      <c r="H4" s="16">
        <v>43574</v>
      </c>
      <c r="I4" s="17">
        <v>1</v>
      </c>
    </row>
    <row r="5" spans="1:9">
      <c r="A5" s="13">
        <v>4</v>
      </c>
      <c r="B5" s="14">
        <v>700100009610</v>
      </c>
      <c r="C5" s="4" t="s">
        <v>331</v>
      </c>
      <c r="D5" s="15" t="s">
        <v>332</v>
      </c>
      <c r="E5" s="15" t="s">
        <v>333</v>
      </c>
      <c r="F5" s="22">
        <f t="shared" ca="1" si="0"/>
        <v>-159</v>
      </c>
      <c r="G5" s="16">
        <v>43510</v>
      </c>
      <c r="H5" s="16">
        <v>43572</v>
      </c>
      <c r="I5" s="17">
        <v>1</v>
      </c>
    </row>
    <row r="6" spans="1:9">
      <c r="A6" s="13">
        <v>5</v>
      </c>
      <c r="B6" s="14">
        <v>700100015629</v>
      </c>
      <c r="C6" s="4" t="s">
        <v>334</v>
      </c>
      <c r="D6" s="15" t="s">
        <v>335</v>
      </c>
      <c r="E6" s="15" t="s">
        <v>336</v>
      </c>
      <c r="F6" s="22">
        <f t="shared" ca="1" si="0"/>
        <v>-159</v>
      </c>
      <c r="G6" s="16">
        <v>43510</v>
      </c>
      <c r="H6" s="16">
        <v>43572</v>
      </c>
      <c r="I6" s="17">
        <v>1</v>
      </c>
    </row>
    <row r="7" spans="1:9">
      <c r="A7" s="13">
        <v>6</v>
      </c>
      <c r="B7" s="14">
        <v>700100001984</v>
      </c>
      <c r="C7" s="4" t="s">
        <v>337</v>
      </c>
      <c r="D7" s="15" t="s">
        <v>338</v>
      </c>
      <c r="E7" s="15" t="s">
        <v>339</v>
      </c>
      <c r="F7" s="22">
        <f t="shared" ca="1" si="0"/>
        <v>-159</v>
      </c>
      <c r="G7" s="16">
        <v>43510</v>
      </c>
      <c r="H7" s="16">
        <v>43572</v>
      </c>
      <c r="I7" s="17">
        <v>1</v>
      </c>
    </row>
    <row r="8" spans="1:9">
      <c r="A8" s="13">
        <v>7</v>
      </c>
      <c r="B8" s="14">
        <v>702100108535</v>
      </c>
      <c r="C8" s="4" t="s">
        <v>340</v>
      </c>
      <c r="D8" s="15" t="s">
        <v>341</v>
      </c>
      <c r="E8" s="15" t="s">
        <v>342</v>
      </c>
      <c r="F8" s="22">
        <f t="shared" ca="1" si="0"/>
        <v>-159</v>
      </c>
      <c r="G8" s="16">
        <v>43510</v>
      </c>
      <c r="H8" s="16">
        <v>43572</v>
      </c>
      <c r="I8" s="17">
        <v>1</v>
      </c>
    </row>
    <row r="9" spans="1:9">
      <c r="A9" s="13">
        <v>8</v>
      </c>
      <c r="B9" s="14">
        <v>105778125</v>
      </c>
      <c r="C9" s="4" t="s">
        <v>96</v>
      </c>
      <c r="D9" s="15" t="s">
        <v>94</v>
      </c>
      <c r="E9" s="15" t="s">
        <v>97</v>
      </c>
      <c r="F9" s="22">
        <f t="shared" ca="1" si="0"/>
        <v>-197</v>
      </c>
      <c r="G9" s="16">
        <v>43472</v>
      </c>
      <c r="H9" s="16">
        <v>43534</v>
      </c>
      <c r="I9" s="17">
        <v>1</v>
      </c>
    </row>
    <row r="10" spans="1:9">
      <c r="A10" s="13">
        <v>9</v>
      </c>
      <c r="B10" s="14">
        <v>105778130</v>
      </c>
      <c r="C10" s="4" t="s">
        <v>93</v>
      </c>
      <c r="D10" s="15" t="s">
        <v>94</v>
      </c>
      <c r="E10" s="15" t="s">
        <v>95</v>
      </c>
      <c r="F10" s="22">
        <f t="shared" ca="1" si="0"/>
        <v>-197</v>
      </c>
      <c r="G10" s="16">
        <v>43472</v>
      </c>
      <c r="H10" s="16">
        <v>43534</v>
      </c>
      <c r="I10" s="17">
        <v>1</v>
      </c>
    </row>
    <row r="11" spans="1:9">
      <c r="A11" s="13">
        <v>10</v>
      </c>
      <c r="B11" s="14">
        <v>103630195</v>
      </c>
      <c r="C11" s="4" t="s">
        <v>294</v>
      </c>
      <c r="D11" s="15" t="s">
        <v>295</v>
      </c>
      <c r="E11" s="15" t="s">
        <v>296</v>
      </c>
      <c r="F11" s="22">
        <f t="shared" ca="1" si="0"/>
        <v>-197</v>
      </c>
      <c r="G11" s="16">
        <v>43472</v>
      </c>
      <c r="H11" s="16">
        <v>43534</v>
      </c>
      <c r="I11" s="17">
        <v>1</v>
      </c>
    </row>
    <row r="12" spans="1:9">
      <c r="A12" s="13">
        <v>11</v>
      </c>
      <c r="B12" s="14">
        <v>106026501</v>
      </c>
      <c r="C12" s="4" t="s">
        <v>300</v>
      </c>
      <c r="D12" s="15" t="s">
        <v>301</v>
      </c>
      <c r="E12" s="15" t="s">
        <v>302</v>
      </c>
      <c r="F12" s="22">
        <f t="shared" ca="1" si="0"/>
        <v>-197</v>
      </c>
      <c r="G12" s="16">
        <v>43472</v>
      </c>
      <c r="H12" s="16">
        <v>43534</v>
      </c>
      <c r="I12" s="17">
        <v>1</v>
      </c>
    </row>
    <row r="13" spans="1:9">
      <c r="A13" s="13">
        <v>12</v>
      </c>
      <c r="B13" s="18">
        <v>103835355</v>
      </c>
      <c r="C13" s="5" t="s">
        <v>343</v>
      </c>
      <c r="D13" s="19" t="s">
        <v>344</v>
      </c>
      <c r="E13" s="19" t="s">
        <v>309</v>
      </c>
      <c r="F13" s="23">
        <f t="shared" ca="1" si="0"/>
        <v>-197</v>
      </c>
      <c r="G13" s="20">
        <v>43472</v>
      </c>
      <c r="H13" s="20">
        <v>43534</v>
      </c>
      <c r="I13" s="21">
        <v>1</v>
      </c>
    </row>
    <row r="14" spans="1:9">
      <c r="C14" s="1" t="s">
        <v>80</v>
      </c>
      <c r="G14" s="7" t="s">
        <v>6</v>
      </c>
      <c r="H14" s="3">
        <f>MIN(H$2:H13)</f>
        <v>43534</v>
      </c>
      <c r="I14" s="1" t="s">
        <v>353</v>
      </c>
    </row>
    <row r="15" spans="1:9">
      <c r="C15" s="1" t="s">
        <v>81</v>
      </c>
      <c r="I15" s="7" t="s">
        <v>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I10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2" sqref="D12"/>
    </sheetView>
  </sheetViews>
  <sheetFormatPr defaultRowHeight="14.4"/>
  <cols>
    <col min="1" max="1" width="2.77734375" style="2" bestFit="1" customWidth="1"/>
    <col min="2" max="2" width="11.33203125" style="6" bestFit="1" customWidth="1"/>
    <col min="3" max="3" width="30.77734375" style="1" customWidth="1"/>
    <col min="4" max="4" width="23.77734375" style="1" customWidth="1"/>
    <col min="5" max="5" width="8.6640625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354</v>
      </c>
      <c r="C1" s="10" t="s">
        <v>355</v>
      </c>
      <c r="D1" s="10" t="s">
        <v>356</v>
      </c>
      <c r="E1" s="10" t="s">
        <v>357</v>
      </c>
      <c r="F1" s="11" t="s">
        <v>358</v>
      </c>
      <c r="G1" s="10" t="s">
        <v>359</v>
      </c>
      <c r="H1" s="10" t="s">
        <v>360</v>
      </c>
      <c r="I1" s="12" t="s">
        <v>361</v>
      </c>
    </row>
    <row r="2" spans="1:9">
      <c r="A2" s="13">
        <v>1</v>
      </c>
      <c r="B2" s="14">
        <v>105644696</v>
      </c>
      <c r="C2" s="4" t="s">
        <v>68</v>
      </c>
      <c r="D2" s="15" t="s">
        <v>69</v>
      </c>
      <c r="E2" s="15" t="s">
        <v>70</v>
      </c>
      <c r="F2" s="22">
        <f t="shared" ref="F2:F8" ca="1" si="0">ROUND(H2-NOW(),0)-1</f>
        <v>-157</v>
      </c>
      <c r="G2" s="16">
        <v>43512</v>
      </c>
      <c r="H2" s="16">
        <v>43574</v>
      </c>
      <c r="I2" s="17">
        <v>1</v>
      </c>
    </row>
    <row r="3" spans="1:9">
      <c r="A3" s="13">
        <v>2</v>
      </c>
      <c r="B3" s="14">
        <v>105664744</v>
      </c>
      <c r="C3" s="4" t="s">
        <v>325</v>
      </c>
      <c r="D3" s="15" t="s">
        <v>326</v>
      </c>
      <c r="E3" s="15" t="s">
        <v>327</v>
      </c>
      <c r="F3" s="22">
        <f t="shared" ca="1" si="0"/>
        <v>-157</v>
      </c>
      <c r="G3" s="16">
        <v>43512</v>
      </c>
      <c r="H3" s="16">
        <v>43574</v>
      </c>
      <c r="I3" s="17">
        <v>1</v>
      </c>
    </row>
    <row r="4" spans="1:9">
      <c r="A4" s="13">
        <v>3</v>
      </c>
      <c r="B4" s="14">
        <v>105999067</v>
      </c>
      <c r="C4" s="4" t="s">
        <v>328</v>
      </c>
      <c r="D4" s="15" t="s">
        <v>329</v>
      </c>
      <c r="E4" s="15" t="s">
        <v>330</v>
      </c>
      <c r="F4" s="22">
        <f t="shared" ca="1" si="0"/>
        <v>-157</v>
      </c>
      <c r="G4" s="16">
        <v>43512</v>
      </c>
      <c r="H4" s="16">
        <v>43574</v>
      </c>
      <c r="I4" s="17">
        <v>1</v>
      </c>
    </row>
    <row r="5" spans="1:9">
      <c r="A5" s="13">
        <v>4</v>
      </c>
      <c r="B5" s="14">
        <v>700100009610</v>
      </c>
      <c r="C5" s="4" t="s">
        <v>331</v>
      </c>
      <c r="D5" s="15" t="s">
        <v>332</v>
      </c>
      <c r="E5" s="15" t="s">
        <v>333</v>
      </c>
      <c r="F5" s="22">
        <f t="shared" ca="1" si="0"/>
        <v>-159</v>
      </c>
      <c r="G5" s="16">
        <v>43510</v>
      </c>
      <c r="H5" s="16">
        <v>43572</v>
      </c>
      <c r="I5" s="17">
        <v>1</v>
      </c>
    </row>
    <row r="6" spans="1:9">
      <c r="A6" s="13">
        <v>5</v>
      </c>
      <c r="B6" s="14">
        <v>700100015629</v>
      </c>
      <c r="C6" s="4" t="s">
        <v>334</v>
      </c>
      <c r="D6" s="15" t="s">
        <v>335</v>
      </c>
      <c r="E6" s="15" t="s">
        <v>336</v>
      </c>
      <c r="F6" s="22">
        <f t="shared" ca="1" si="0"/>
        <v>-159</v>
      </c>
      <c r="G6" s="16">
        <v>43510</v>
      </c>
      <c r="H6" s="16">
        <v>43572</v>
      </c>
      <c r="I6" s="17">
        <v>1</v>
      </c>
    </row>
    <row r="7" spans="1:9">
      <c r="A7" s="13">
        <v>6</v>
      </c>
      <c r="B7" s="14">
        <v>700100001984</v>
      </c>
      <c r="C7" s="4" t="s">
        <v>337</v>
      </c>
      <c r="D7" s="15" t="s">
        <v>338</v>
      </c>
      <c r="E7" s="15" t="s">
        <v>339</v>
      </c>
      <c r="F7" s="22">
        <f t="shared" ca="1" si="0"/>
        <v>-159</v>
      </c>
      <c r="G7" s="16">
        <v>43510</v>
      </c>
      <c r="H7" s="16">
        <v>43572</v>
      </c>
      <c r="I7" s="17">
        <v>1</v>
      </c>
    </row>
    <row r="8" spans="1:9">
      <c r="A8" s="13">
        <v>7</v>
      </c>
      <c r="B8" s="18">
        <v>702100108535</v>
      </c>
      <c r="C8" s="5" t="s">
        <v>340</v>
      </c>
      <c r="D8" s="19" t="s">
        <v>341</v>
      </c>
      <c r="E8" s="19" t="s">
        <v>342</v>
      </c>
      <c r="F8" s="23">
        <f t="shared" ca="1" si="0"/>
        <v>-159</v>
      </c>
      <c r="G8" s="20">
        <v>43510</v>
      </c>
      <c r="H8" s="20">
        <v>43572</v>
      </c>
      <c r="I8" s="21">
        <v>1</v>
      </c>
    </row>
    <row r="9" spans="1:9">
      <c r="C9" s="1" t="s">
        <v>362</v>
      </c>
      <c r="G9" s="7" t="s">
        <v>6</v>
      </c>
      <c r="H9" s="3">
        <f>MIN(H$2:H8)</f>
        <v>43572</v>
      </c>
      <c r="I9" s="1" t="s">
        <v>363</v>
      </c>
    </row>
    <row r="10" spans="1:9">
      <c r="C10" s="1" t="s">
        <v>81</v>
      </c>
      <c r="I10" s="7" t="s">
        <v>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I18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J11" sqref="J11"/>
    </sheetView>
  </sheetViews>
  <sheetFormatPr defaultRowHeight="14.4"/>
  <cols>
    <col min="1" max="1" width="2.88671875" style="2" bestFit="1" customWidth="1"/>
    <col min="2" max="2" width="11.33203125" style="6" bestFit="1" customWidth="1"/>
    <col min="3" max="3" width="30.77734375" style="1" customWidth="1"/>
    <col min="4" max="4" width="23.77734375" style="1" customWidth="1"/>
    <col min="5" max="5" width="8.5546875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396</v>
      </c>
      <c r="C1" s="10" t="s">
        <v>397</v>
      </c>
      <c r="D1" s="10" t="s">
        <v>398</v>
      </c>
      <c r="E1" s="10" t="s">
        <v>399</v>
      </c>
      <c r="F1" s="11" t="s">
        <v>400</v>
      </c>
      <c r="G1" s="10" t="s">
        <v>401</v>
      </c>
      <c r="H1" s="10" t="s">
        <v>402</v>
      </c>
      <c r="I1" s="12" t="s">
        <v>403</v>
      </c>
    </row>
    <row r="2" spans="1:9">
      <c r="A2" s="13">
        <v>1</v>
      </c>
      <c r="B2" s="14">
        <v>105922413</v>
      </c>
      <c r="C2" s="4" t="s">
        <v>364</v>
      </c>
      <c r="D2" s="15" t="s">
        <v>365</v>
      </c>
      <c r="E2" s="15" t="s">
        <v>366</v>
      </c>
      <c r="F2" s="22">
        <f t="shared" ref="F2:F16" ca="1" si="0">ROUND(H2-NOW(),0)-1</f>
        <v>-115</v>
      </c>
      <c r="G2" s="16">
        <v>43554</v>
      </c>
      <c r="H2" s="16">
        <v>43616</v>
      </c>
      <c r="I2" s="17">
        <v>1</v>
      </c>
    </row>
    <row r="3" spans="1:9">
      <c r="A3" s="13">
        <v>2</v>
      </c>
      <c r="B3" s="14">
        <v>105966784</v>
      </c>
      <c r="C3" s="4" t="s">
        <v>367</v>
      </c>
      <c r="D3" s="15" t="s">
        <v>368</v>
      </c>
      <c r="E3" s="15" t="s">
        <v>369</v>
      </c>
      <c r="F3" s="22">
        <f t="shared" ca="1" si="0"/>
        <v>-115</v>
      </c>
      <c r="G3" s="16">
        <v>43554</v>
      </c>
      <c r="H3" s="16">
        <v>43616</v>
      </c>
      <c r="I3" s="17">
        <v>1</v>
      </c>
    </row>
    <row r="4" spans="1:9">
      <c r="A4" s="13">
        <v>3</v>
      </c>
      <c r="B4" s="14">
        <v>105651341</v>
      </c>
      <c r="C4" s="4" t="s">
        <v>370</v>
      </c>
      <c r="D4" s="15" t="s">
        <v>371</v>
      </c>
      <c r="E4" s="15" t="s">
        <v>372</v>
      </c>
      <c r="F4" s="22">
        <f t="shared" ca="1" si="0"/>
        <v>-115</v>
      </c>
      <c r="G4" s="16">
        <v>43554</v>
      </c>
      <c r="H4" s="16">
        <v>43616</v>
      </c>
      <c r="I4" s="17">
        <v>1</v>
      </c>
    </row>
    <row r="5" spans="1:9">
      <c r="A5" s="13">
        <v>4</v>
      </c>
      <c r="B5" s="14">
        <v>103665056</v>
      </c>
      <c r="C5" s="4" t="s">
        <v>373</v>
      </c>
      <c r="D5" s="15" t="s">
        <v>374</v>
      </c>
      <c r="E5" s="15" t="s">
        <v>375</v>
      </c>
      <c r="F5" s="22">
        <f t="shared" ca="1" si="0"/>
        <v>-115</v>
      </c>
      <c r="G5" s="16">
        <v>43554</v>
      </c>
      <c r="H5" s="16">
        <v>43616</v>
      </c>
      <c r="I5" s="17">
        <v>1</v>
      </c>
    </row>
    <row r="6" spans="1:9">
      <c r="A6" s="13">
        <v>5</v>
      </c>
      <c r="B6" s="14">
        <v>105387454</v>
      </c>
      <c r="C6" s="4" t="s">
        <v>376</v>
      </c>
      <c r="D6" s="15" t="s">
        <v>377</v>
      </c>
      <c r="E6" s="15" t="s">
        <v>378</v>
      </c>
      <c r="F6" s="22">
        <f t="shared" ca="1" si="0"/>
        <v>-115</v>
      </c>
      <c r="G6" s="16">
        <v>43554</v>
      </c>
      <c r="H6" s="16">
        <v>43616</v>
      </c>
      <c r="I6" s="17">
        <v>1</v>
      </c>
    </row>
    <row r="7" spans="1:9">
      <c r="A7" s="13">
        <v>6</v>
      </c>
      <c r="B7" s="14">
        <v>106085162</v>
      </c>
      <c r="C7" s="4" t="s">
        <v>379</v>
      </c>
      <c r="D7" s="15" t="s">
        <v>380</v>
      </c>
      <c r="E7" s="15" t="s">
        <v>381</v>
      </c>
      <c r="F7" s="22">
        <f t="shared" ca="1" si="0"/>
        <v>-115</v>
      </c>
      <c r="G7" s="16">
        <v>43554</v>
      </c>
      <c r="H7" s="16">
        <v>43616</v>
      </c>
      <c r="I7" s="17">
        <v>1</v>
      </c>
    </row>
    <row r="8" spans="1:9">
      <c r="A8" s="13">
        <v>7</v>
      </c>
      <c r="B8" s="14">
        <v>104665318</v>
      </c>
      <c r="C8" s="4" t="s">
        <v>382</v>
      </c>
      <c r="D8" s="15" t="s">
        <v>383</v>
      </c>
      <c r="E8" s="15" t="s">
        <v>384</v>
      </c>
      <c r="F8" s="22">
        <f t="shared" ca="1" si="0"/>
        <v>-115</v>
      </c>
      <c r="G8" s="16">
        <v>43554</v>
      </c>
      <c r="H8" s="16">
        <v>43616</v>
      </c>
      <c r="I8" s="17">
        <v>1</v>
      </c>
    </row>
    <row r="9" spans="1:9">
      <c r="A9" s="13">
        <v>8</v>
      </c>
      <c r="B9" s="14">
        <v>700100120274</v>
      </c>
      <c r="C9" s="4" t="s">
        <v>385</v>
      </c>
      <c r="D9" s="15" t="s">
        <v>386</v>
      </c>
      <c r="E9" s="15" t="s">
        <v>387</v>
      </c>
      <c r="F9" s="22">
        <f t="shared" ca="1" si="0"/>
        <v>-128</v>
      </c>
      <c r="G9" s="16">
        <v>43541</v>
      </c>
      <c r="H9" s="16">
        <v>43603</v>
      </c>
      <c r="I9" s="17">
        <v>1</v>
      </c>
    </row>
    <row r="10" spans="1:9">
      <c r="A10" s="13">
        <v>9</v>
      </c>
      <c r="B10" s="14">
        <v>800161902</v>
      </c>
      <c r="C10" s="4" t="s">
        <v>388</v>
      </c>
      <c r="D10" s="15" t="s">
        <v>389</v>
      </c>
      <c r="E10" s="15" t="s">
        <v>390</v>
      </c>
      <c r="F10" s="22">
        <f t="shared" ca="1" si="0"/>
        <v>-129</v>
      </c>
      <c r="G10" s="16">
        <v>43540</v>
      </c>
      <c r="H10" s="16">
        <v>43602</v>
      </c>
      <c r="I10" s="17">
        <v>1</v>
      </c>
    </row>
    <row r="11" spans="1:9">
      <c r="A11" s="13">
        <v>10</v>
      </c>
      <c r="B11" s="14">
        <v>104000504</v>
      </c>
      <c r="C11" s="4" t="s">
        <v>388</v>
      </c>
      <c r="D11" s="15" t="s">
        <v>389</v>
      </c>
      <c r="E11" s="15" t="s">
        <v>390</v>
      </c>
      <c r="F11" s="22">
        <f t="shared" ca="1" si="0"/>
        <v>-129</v>
      </c>
      <c r="G11" s="16">
        <v>43540</v>
      </c>
      <c r="H11" s="16">
        <v>43602</v>
      </c>
      <c r="I11" s="17">
        <v>1</v>
      </c>
    </row>
    <row r="12" spans="1:9">
      <c r="A12" s="13">
        <v>11</v>
      </c>
      <c r="B12" s="14">
        <v>800166163</v>
      </c>
      <c r="C12" s="4" t="s">
        <v>391</v>
      </c>
      <c r="D12" s="15" t="s">
        <v>392</v>
      </c>
      <c r="E12" s="15" t="s">
        <v>393</v>
      </c>
      <c r="F12" s="22">
        <f t="shared" ca="1" si="0"/>
        <v>-129</v>
      </c>
      <c r="G12" s="16">
        <v>43540</v>
      </c>
      <c r="H12" s="16">
        <v>43602</v>
      </c>
      <c r="I12" s="17">
        <v>1</v>
      </c>
    </row>
    <row r="13" spans="1:9">
      <c r="A13" s="13">
        <v>12</v>
      </c>
      <c r="B13" s="14">
        <v>103879541</v>
      </c>
      <c r="C13" s="4" t="s">
        <v>391</v>
      </c>
      <c r="D13" s="15" t="s">
        <v>392</v>
      </c>
      <c r="E13" s="15" t="s">
        <v>393</v>
      </c>
      <c r="F13" s="22">
        <f t="shared" ca="1" si="0"/>
        <v>-129</v>
      </c>
      <c r="G13" s="16">
        <v>43540</v>
      </c>
      <c r="H13" s="16">
        <v>43602</v>
      </c>
      <c r="I13" s="17">
        <v>1</v>
      </c>
    </row>
    <row r="14" spans="1:9">
      <c r="A14" s="13">
        <v>13</v>
      </c>
      <c r="B14" s="14">
        <v>105931218</v>
      </c>
      <c r="C14" s="4" t="s">
        <v>394</v>
      </c>
      <c r="D14" s="15" t="s">
        <v>116</v>
      </c>
      <c r="E14" s="15" t="s">
        <v>395</v>
      </c>
      <c r="F14" s="22">
        <f t="shared" ca="1" si="0"/>
        <v>-129</v>
      </c>
      <c r="G14" s="16">
        <v>43540</v>
      </c>
      <c r="H14" s="16">
        <v>43602</v>
      </c>
      <c r="I14" s="17">
        <v>1</v>
      </c>
    </row>
    <row r="15" spans="1:9">
      <c r="A15" s="13">
        <v>14</v>
      </c>
      <c r="B15" s="14">
        <v>105644696</v>
      </c>
      <c r="C15" s="4" t="s">
        <v>68</v>
      </c>
      <c r="D15" s="15" t="s">
        <v>69</v>
      </c>
      <c r="E15" s="15" t="s">
        <v>70</v>
      </c>
      <c r="F15" s="22">
        <f t="shared" ca="1" si="0"/>
        <v>-157</v>
      </c>
      <c r="G15" s="16">
        <v>43512</v>
      </c>
      <c r="H15" s="16">
        <v>43574</v>
      </c>
      <c r="I15" s="17">
        <v>1</v>
      </c>
    </row>
    <row r="16" spans="1:9">
      <c r="A16" s="13">
        <v>15</v>
      </c>
      <c r="B16" s="18">
        <v>105664744</v>
      </c>
      <c r="C16" s="5" t="s">
        <v>325</v>
      </c>
      <c r="D16" s="19" t="s">
        <v>326</v>
      </c>
      <c r="E16" s="19" t="s">
        <v>327</v>
      </c>
      <c r="F16" s="23">
        <f t="shared" ca="1" si="0"/>
        <v>-157</v>
      </c>
      <c r="G16" s="20">
        <v>43512</v>
      </c>
      <c r="H16" s="20">
        <v>43574</v>
      </c>
      <c r="I16" s="21">
        <v>1</v>
      </c>
    </row>
    <row r="17" spans="3:9">
      <c r="C17" s="1" t="s">
        <v>219</v>
      </c>
      <c r="G17" s="7" t="s">
        <v>6</v>
      </c>
      <c r="H17" s="3">
        <f>MIN(H$2:H16)</f>
        <v>43574</v>
      </c>
      <c r="I17" s="1" t="s">
        <v>404</v>
      </c>
    </row>
    <row r="18" spans="3:9">
      <c r="C18" s="1" t="s">
        <v>283</v>
      </c>
      <c r="I18" s="7" t="s">
        <v>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I20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2" sqref="C2:E2"/>
    </sheetView>
  </sheetViews>
  <sheetFormatPr defaultRowHeight="14.4"/>
  <cols>
    <col min="1" max="1" width="2.88671875" style="2" bestFit="1" customWidth="1"/>
    <col min="2" max="2" width="11.33203125" style="6" bestFit="1" customWidth="1"/>
    <col min="3" max="3" width="30.77734375" style="1" customWidth="1"/>
    <col min="4" max="4" width="23.77734375" style="1" customWidth="1"/>
    <col min="5" max="5" width="11.5546875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8" t="s">
        <v>412</v>
      </c>
      <c r="B1" s="9" t="s">
        <v>414</v>
      </c>
      <c r="C1" s="10" t="s">
        <v>405</v>
      </c>
      <c r="D1" s="10" t="s">
        <v>406</v>
      </c>
      <c r="E1" s="10" t="s">
        <v>407</v>
      </c>
      <c r="F1" s="11" t="s">
        <v>408</v>
      </c>
      <c r="G1" s="10" t="s">
        <v>409</v>
      </c>
      <c r="H1" s="10" t="s">
        <v>410</v>
      </c>
      <c r="I1" s="12" t="s">
        <v>411</v>
      </c>
    </row>
    <row r="2" spans="1:9">
      <c r="A2" s="13">
        <v>1</v>
      </c>
      <c r="B2" s="14">
        <v>106190513</v>
      </c>
      <c r="C2" s="4" t="s">
        <v>328</v>
      </c>
      <c r="D2" s="15" t="s">
        <v>329</v>
      </c>
      <c r="E2" s="15" t="s">
        <v>330</v>
      </c>
      <c r="F2" s="22">
        <f t="shared" ref="F2:F18" ca="1" si="0">ROUND(H2-NOW(),0)-1</f>
        <v>-101</v>
      </c>
      <c r="G2" s="16">
        <v>43568</v>
      </c>
      <c r="H2" s="16">
        <v>43630</v>
      </c>
      <c r="I2" s="17">
        <v>1</v>
      </c>
    </row>
    <row r="3" spans="1:9">
      <c r="A3" s="13">
        <v>2</v>
      </c>
      <c r="B3" s="14">
        <v>105922413</v>
      </c>
      <c r="C3" s="4" t="s">
        <v>364</v>
      </c>
      <c r="D3" s="15" t="s">
        <v>365</v>
      </c>
      <c r="E3" s="15" t="s">
        <v>366</v>
      </c>
      <c r="F3" s="22">
        <f t="shared" ca="1" si="0"/>
        <v>-115</v>
      </c>
      <c r="G3" s="16">
        <v>43554</v>
      </c>
      <c r="H3" s="16">
        <v>43616</v>
      </c>
      <c r="I3" s="17">
        <v>1</v>
      </c>
    </row>
    <row r="4" spans="1:9">
      <c r="A4" s="13">
        <v>3</v>
      </c>
      <c r="B4" s="14">
        <v>105966784</v>
      </c>
      <c r="C4" s="4" t="s">
        <v>367</v>
      </c>
      <c r="D4" s="15" t="s">
        <v>368</v>
      </c>
      <c r="E4" s="15" t="s">
        <v>369</v>
      </c>
      <c r="F4" s="22">
        <f t="shared" ca="1" si="0"/>
        <v>-115</v>
      </c>
      <c r="G4" s="16">
        <v>43554</v>
      </c>
      <c r="H4" s="16">
        <v>43616</v>
      </c>
      <c r="I4" s="17">
        <v>1</v>
      </c>
    </row>
    <row r="5" spans="1:9">
      <c r="A5" s="13">
        <v>4</v>
      </c>
      <c r="B5" s="14">
        <v>105651341</v>
      </c>
      <c r="C5" s="4" t="s">
        <v>370</v>
      </c>
      <c r="D5" s="15" t="s">
        <v>371</v>
      </c>
      <c r="E5" s="15" t="s">
        <v>372</v>
      </c>
      <c r="F5" s="22">
        <f t="shared" ca="1" si="0"/>
        <v>-115</v>
      </c>
      <c r="G5" s="16">
        <v>43554</v>
      </c>
      <c r="H5" s="16">
        <v>43616</v>
      </c>
      <c r="I5" s="17">
        <v>1</v>
      </c>
    </row>
    <row r="6" spans="1:9">
      <c r="A6" s="13">
        <v>5</v>
      </c>
      <c r="B6" s="14">
        <v>103665056</v>
      </c>
      <c r="C6" s="4" t="s">
        <v>373</v>
      </c>
      <c r="D6" s="15" t="s">
        <v>374</v>
      </c>
      <c r="E6" s="15" t="s">
        <v>375</v>
      </c>
      <c r="F6" s="22">
        <f t="shared" ca="1" si="0"/>
        <v>-115</v>
      </c>
      <c r="G6" s="16">
        <v>43554</v>
      </c>
      <c r="H6" s="16">
        <v>43616</v>
      </c>
      <c r="I6" s="17">
        <v>1</v>
      </c>
    </row>
    <row r="7" spans="1:9">
      <c r="A7" s="13">
        <v>6</v>
      </c>
      <c r="B7" s="14">
        <v>105387454</v>
      </c>
      <c r="C7" s="4" t="s">
        <v>376</v>
      </c>
      <c r="D7" s="15" t="s">
        <v>377</v>
      </c>
      <c r="E7" s="15" t="s">
        <v>378</v>
      </c>
      <c r="F7" s="22">
        <f t="shared" ca="1" si="0"/>
        <v>-115</v>
      </c>
      <c r="G7" s="16">
        <v>43554</v>
      </c>
      <c r="H7" s="16">
        <v>43616</v>
      </c>
      <c r="I7" s="17">
        <v>1</v>
      </c>
    </row>
    <row r="8" spans="1:9">
      <c r="A8" s="13">
        <v>7</v>
      </c>
      <c r="B8" s="14">
        <v>106085162</v>
      </c>
      <c r="C8" s="4" t="s">
        <v>379</v>
      </c>
      <c r="D8" s="15" t="s">
        <v>380</v>
      </c>
      <c r="E8" s="15" t="s">
        <v>381</v>
      </c>
      <c r="F8" s="22">
        <f t="shared" ca="1" si="0"/>
        <v>-115</v>
      </c>
      <c r="G8" s="16">
        <v>43554</v>
      </c>
      <c r="H8" s="16">
        <v>43616</v>
      </c>
      <c r="I8" s="17">
        <v>1</v>
      </c>
    </row>
    <row r="9" spans="1:9">
      <c r="A9" s="13">
        <v>8</v>
      </c>
      <c r="B9" s="14">
        <v>104665318</v>
      </c>
      <c r="C9" s="4" t="s">
        <v>382</v>
      </c>
      <c r="D9" s="15" t="s">
        <v>383</v>
      </c>
      <c r="E9" s="15" t="s">
        <v>384</v>
      </c>
      <c r="F9" s="22">
        <f t="shared" ca="1" si="0"/>
        <v>-115</v>
      </c>
      <c r="G9" s="16">
        <v>43554</v>
      </c>
      <c r="H9" s="16">
        <v>43616</v>
      </c>
      <c r="I9" s="17">
        <v>1</v>
      </c>
    </row>
    <row r="10" spans="1:9">
      <c r="A10" s="13">
        <v>9</v>
      </c>
      <c r="B10" s="14">
        <v>700100120274</v>
      </c>
      <c r="C10" s="4" t="s">
        <v>385</v>
      </c>
      <c r="D10" s="15" t="s">
        <v>386</v>
      </c>
      <c r="E10" s="15" t="s">
        <v>387</v>
      </c>
      <c r="F10" s="22">
        <f t="shared" ca="1" si="0"/>
        <v>-128</v>
      </c>
      <c r="G10" s="16">
        <v>43541</v>
      </c>
      <c r="H10" s="16">
        <v>43603</v>
      </c>
      <c r="I10" s="17">
        <v>1</v>
      </c>
    </row>
    <row r="11" spans="1:9">
      <c r="A11" s="13">
        <v>10</v>
      </c>
      <c r="B11" s="14">
        <v>800161902</v>
      </c>
      <c r="C11" s="4" t="s">
        <v>388</v>
      </c>
      <c r="D11" s="15" t="s">
        <v>389</v>
      </c>
      <c r="E11" s="15" t="s">
        <v>390</v>
      </c>
      <c r="F11" s="22">
        <f t="shared" ca="1" si="0"/>
        <v>-129</v>
      </c>
      <c r="G11" s="16">
        <v>43540</v>
      </c>
      <c r="H11" s="16">
        <v>43602</v>
      </c>
      <c r="I11" s="17">
        <v>1</v>
      </c>
    </row>
    <row r="12" spans="1:9">
      <c r="A12" s="13">
        <v>11</v>
      </c>
      <c r="B12" s="14">
        <v>104000504</v>
      </c>
      <c r="C12" s="4" t="s">
        <v>388</v>
      </c>
      <c r="D12" s="15" t="s">
        <v>389</v>
      </c>
      <c r="E12" s="15" t="s">
        <v>390</v>
      </c>
      <c r="F12" s="22">
        <f t="shared" ca="1" si="0"/>
        <v>-129</v>
      </c>
      <c r="G12" s="16">
        <v>43540</v>
      </c>
      <c r="H12" s="16">
        <v>43602</v>
      </c>
      <c r="I12" s="17">
        <v>1</v>
      </c>
    </row>
    <row r="13" spans="1:9">
      <c r="A13" s="13">
        <v>12</v>
      </c>
      <c r="B13" s="14">
        <v>103879541</v>
      </c>
      <c r="C13" s="4" t="s">
        <v>391</v>
      </c>
      <c r="D13" s="15" t="s">
        <v>392</v>
      </c>
      <c r="E13" s="15" t="s">
        <v>393</v>
      </c>
      <c r="F13" s="22">
        <f t="shared" ca="1" si="0"/>
        <v>-129</v>
      </c>
      <c r="G13" s="16">
        <v>43540</v>
      </c>
      <c r="H13" s="16">
        <v>43602</v>
      </c>
      <c r="I13" s="17">
        <v>1</v>
      </c>
    </row>
    <row r="14" spans="1:9">
      <c r="A14" s="13">
        <v>13</v>
      </c>
      <c r="B14" s="14">
        <v>800166163</v>
      </c>
      <c r="C14" s="4" t="s">
        <v>391</v>
      </c>
      <c r="D14" s="15" t="s">
        <v>392</v>
      </c>
      <c r="E14" s="15" t="s">
        <v>393</v>
      </c>
      <c r="F14" s="22">
        <f t="shared" ca="1" si="0"/>
        <v>-129</v>
      </c>
      <c r="G14" s="16">
        <v>43540</v>
      </c>
      <c r="H14" s="16">
        <v>43602</v>
      </c>
      <c r="I14" s="17">
        <v>1</v>
      </c>
    </row>
    <row r="15" spans="1:9">
      <c r="A15" s="13">
        <v>14</v>
      </c>
      <c r="B15" s="14">
        <v>105931218</v>
      </c>
      <c r="C15" s="4" t="s">
        <v>394</v>
      </c>
      <c r="D15" s="15" t="s">
        <v>116</v>
      </c>
      <c r="E15" s="15" t="s">
        <v>395</v>
      </c>
      <c r="F15" s="22">
        <f t="shared" ca="1" si="0"/>
        <v>-129</v>
      </c>
      <c r="G15" s="16">
        <v>43540</v>
      </c>
      <c r="H15" s="16">
        <v>43602</v>
      </c>
      <c r="I15" s="17">
        <v>1</v>
      </c>
    </row>
    <row r="16" spans="1:9">
      <c r="A16" s="13">
        <v>15</v>
      </c>
      <c r="B16" s="14">
        <v>700100009610</v>
      </c>
      <c r="C16" s="4" t="s">
        <v>331</v>
      </c>
      <c r="D16" s="15" t="s">
        <v>332</v>
      </c>
      <c r="E16" s="15" t="s">
        <v>333</v>
      </c>
      <c r="F16" s="22">
        <f t="shared" ca="1" si="0"/>
        <v>-159</v>
      </c>
      <c r="G16" s="16">
        <v>43510</v>
      </c>
      <c r="H16" s="16">
        <v>43572</v>
      </c>
      <c r="I16" s="17">
        <v>1</v>
      </c>
    </row>
    <row r="17" spans="1:9">
      <c r="A17" s="13">
        <v>16</v>
      </c>
      <c r="B17" s="14">
        <v>700100015629</v>
      </c>
      <c r="C17" s="4" t="s">
        <v>334</v>
      </c>
      <c r="D17" s="15" t="s">
        <v>335</v>
      </c>
      <c r="E17" s="15" t="s">
        <v>336</v>
      </c>
      <c r="F17" s="22">
        <f t="shared" ca="1" si="0"/>
        <v>-159</v>
      </c>
      <c r="G17" s="16">
        <v>43510</v>
      </c>
      <c r="H17" s="16">
        <v>43572</v>
      </c>
      <c r="I17" s="17">
        <v>1</v>
      </c>
    </row>
    <row r="18" spans="1:9">
      <c r="A18" s="13">
        <v>17</v>
      </c>
      <c r="B18" s="18">
        <v>700100001984</v>
      </c>
      <c r="C18" s="5" t="s">
        <v>337</v>
      </c>
      <c r="D18" s="19" t="s">
        <v>338</v>
      </c>
      <c r="E18" s="19" t="s">
        <v>339</v>
      </c>
      <c r="F18" s="23">
        <f t="shared" ca="1" si="0"/>
        <v>-159</v>
      </c>
      <c r="G18" s="20">
        <v>43510</v>
      </c>
      <c r="H18" s="20">
        <v>43572</v>
      </c>
      <c r="I18" s="21">
        <v>1</v>
      </c>
    </row>
    <row r="19" spans="1:9">
      <c r="C19" s="1" t="s">
        <v>416</v>
      </c>
      <c r="G19" s="7" t="s">
        <v>413</v>
      </c>
      <c r="H19" s="3">
        <f>MIN(H$2:H18)</f>
        <v>43572</v>
      </c>
      <c r="I19" s="1" t="s">
        <v>419</v>
      </c>
    </row>
    <row r="20" spans="1:9">
      <c r="C20" s="1" t="s">
        <v>417</v>
      </c>
      <c r="I20" s="7" t="s">
        <v>418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5"/>
  <dimension ref="A1:I21"/>
  <sheetViews>
    <sheetView showGridLines="0" workbookViewId="0">
      <pane xSplit="3" ySplit="1" topLeftCell="D5" activePane="bottomRight" state="frozen"/>
      <selection pane="topRight" activeCell="D1" sqref="D1"/>
      <selection pane="bottomLeft" activeCell="A2" sqref="A2"/>
      <selection pane="bottomRight" activeCell="D14" sqref="D14"/>
    </sheetView>
  </sheetViews>
  <sheetFormatPr defaultRowHeight="14.4"/>
  <cols>
    <col min="1" max="1" width="2.88671875" style="2" bestFit="1" customWidth="1"/>
    <col min="2" max="2" width="11.33203125" style="6" bestFit="1" customWidth="1"/>
    <col min="3" max="3" width="30.77734375" style="1" customWidth="1"/>
    <col min="4" max="4" width="23.77734375" style="1" customWidth="1"/>
    <col min="5" max="5" width="8.6640625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432</v>
      </c>
      <c r="C1" s="10" t="s">
        <v>433</v>
      </c>
      <c r="D1" s="10" t="s">
        <v>434</v>
      </c>
      <c r="E1" s="10" t="s">
        <v>435</v>
      </c>
      <c r="F1" s="11" t="s">
        <v>436</v>
      </c>
      <c r="G1" s="10" t="s">
        <v>437</v>
      </c>
      <c r="H1" s="10" t="s">
        <v>438</v>
      </c>
      <c r="I1" s="12" t="s">
        <v>439</v>
      </c>
    </row>
    <row r="2" spans="1:9">
      <c r="A2" s="13">
        <v>1</v>
      </c>
      <c r="B2" s="14">
        <v>104762416</v>
      </c>
      <c r="C2" s="4" t="s">
        <v>420</v>
      </c>
      <c r="D2" s="15" t="s">
        <v>421</v>
      </c>
      <c r="E2" s="15" t="s">
        <v>422</v>
      </c>
      <c r="F2" s="22">
        <f t="shared" ref="F2:F19" ca="1" si="0">ROUND(H2-NOW(),0)-1</f>
        <v>-92</v>
      </c>
      <c r="G2" s="16">
        <v>43576</v>
      </c>
      <c r="H2" s="16">
        <v>43639</v>
      </c>
      <c r="I2" s="17">
        <v>1</v>
      </c>
    </row>
    <row r="3" spans="1:9">
      <c r="A3" s="13">
        <v>2</v>
      </c>
      <c r="B3" s="14">
        <v>104936483</v>
      </c>
      <c r="C3" s="4" t="s">
        <v>423</v>
      </c>
      <c r="D3" s="15" t="s">
        <v>424</v>
      </c>
      <c r="E3" s="15" t="s">
        <v>425</v>
      </c>
      <c r="F3" s="22">
        <f t="shared" ca="1" si="0"/>
        <v>-92</v>
      </c>
      <c r="G3" s="16">
        <v>43576</v>
      </c>
      <c r="H3" s="16">
        <v>43639</v>
      </c>
      <c r="I3" s="17">
        <v>1</v>
      </c>
    </row>
    <row r="4" spans="1:9">
      <c r="A4" s="13">
        <v>3</v>
      </c>
      <c r="B4" s="14">
        <v>106278448</v>
      </c>
      <c r="C4" s="4" t="s">
        <v>426</v>
      </c>
      <c r="D4" s="15" t="s">
        <v>427</v>
      </c>
      <c r="E4" s="15" t="s">
        <v>428</v>
      </c>
      <c r="F4" s="22">
        <f t="shared" ca="1" si="0"/>
        <v>-92</v>
      </c>
      <c r="G4" s="16">
        <v>43576</v>
      </c>
      <c r="H4" s="16">
        <v>43639</v>
      </c>
      <c r="I4" s="17">
        <v>1</v>
      </c>
    </row>
    <row r="5" spans="1:9">
      <c r="A5" s="13">
        <v>4</v>
      </c>
      <c r="B5" s="14">
        <v>105891171</v>
      </c>
      <c r="C5" s="4" t="s">
        <v>429</v>
      </c>
      <c r="D5" s="15" t="s">
        <v>430</v>
      </c>
      <c r="E5" s="15" t="s">
        <v>431</v>
      </c>
      <c r="F5" s="22">
        <f t="shared" ca="1" si="0"/>
        <v>-92</v>
      </c>
      <c r="G5" s="16">
        <v>43576</v>
      </c>
      <c r="H5" s="16">
        <v>43639</v>
      </c>
      <c r="I5" s="17">
        <v>1</v>
      </c>
    </row>
    <row r="6" spans="1:9">
      <c r="A6" s="13">
        <v>5</v>
      </c>
      <c r="B6" s="14">
        <v>106190513</v>
      </c>
      <c r="C6" s="4" t="s">
        <v>328</v>
      </c>
      <c r="D6" s="15" t="s">
        <v>329</v>
      </c>
      <c r="E6" s="15" t="s">
        <v>330</v>
      </c>
      <c r="F6" s="22">
        <f t="shared" ca="1" si="0"/>
        <v>-101</v>
      </c>
      <c r="G6" s="16">
        <v>43568</v>
      </c>
      <c r="H6" s="16">
        <v>43630</v>
      </c>
      <c r="I6" s="17">
        <v>1</v>
      </c>
    </row>
    <row r="7" spans="1:9">
      <c r="A7" s="13">
        <v>6</v>
      </c>
      <c r="B7" s="14">
        <v>105922413</v>
      </c>
      <c r="C7" s="4" t="s">
        <v>364</v>
      </c>
      <c r="D7" s="15" t="s">
        <v>365</v>
      </c>
      <c r="E7" s="15" t="s">
        <v>366</v>
      </c>
      <c r="F7" s="22">
        <f t="shared" ca="1" si="0"/>
        <v>-115</v>
      </c>
      <c r="G7" s="16">
        <v>43554</v>
      </c>
      <c r="H7" s="16">
        <v>43616</v>
      </c>
      <c r="I7" s="17">
        <v>1</v>
      </c>
    </row>
    <row r="8" spans="1:9">
      <c r="A8" s="13">
        <v>7</v>
      </c>
      <c r="B8" s="14">
        <v>105966784</v>
      </c>
      <c r="C8" s="4" t="s">
        <v>367</v>
      </c>
      <c r="D8" s="15" t="s">
        <v>368</v>
      </c>
      <c r="E8" s="15" t="s">
        <v>369</v>
      </c>
      <c r="F8" s="22">
        <f t="shared" ca="1" si="0"/>
        <v>-115</v>
      </c>
      <c r="G8" s="16">
        <v>43554</v>
      </c>
      <c r="H8" s="16">
        <v>43616</v>
      </c>
      <c r="I8" s="17">
        <v>1</v>
      </c>
    </row>
    <row r="9" spans="1:9">
      <c r="A9" s="13">
        <v>8</v>
      </c>
      <c r="B9" s="14">
        <v>105651341</v>
      </c>
      <c r="C9" s="4" t="s">
        <v>370</v>
      </c>
      <c r="D9" s="15" t="s">
        <v>371</v>
      </c>
      <c r="E9" s="15" t="s">
        <v>372</v>
      </c>
      <c r="F9" s="22">
        <f t="shared" ca="1" si="0"/>
        <v>-115</v>
      </c>
      <c r="G9" s="16">
        <v>43554</v>
      </c>
      <c r="H9" s="16">
        <v>43616</v>
      </c>
      <c r="I9" s="17">
        <v>1</v>
      </c>
    </row>
    <row r="10" spans="1:9">
      <c r="A10" s="13">
        <v>9</v>
      </c>
      <c r="B10" s="14">
        <v>103665056</v>
      </c>
      <c r="C10" s="4" t="s">
        <v>373</v>
      </c>
      <c r="D10" s="15" t="s">
        <v>374</v>
      </c>
      <c r="E10" s="15" t="s">
        <v>375</v>
      </c>
      <c r="F10" s="22">
        <f t="shared" ca="1" si="0"/>
        <v>-115</v>
      </c>
      <c r="G10" s="16">
        <v>43554</v>
      </c>
      <c r="H10" s="16">
        <v>43616</v>
      </c>
      <c r="I10" s="17">
        <v>1</v>
      </c>
    </row>
    <row r="11" spans="1:9">
      <c r="A11" s="13">
        <v>10</v>
      </c>
      <c r="B11" s="14">
        <v>105387454</v>
      </c>
      <c r="C11" s="4" t="s">
        <v>376</v>
      </c>
      <c r="D11" s="15" t="s">
        <v>377</v>
      </c>
      <c r="E11" s="15" t="s">
        <v>378</v>
      </c>
      <c r="F11" s="22">
        <f t="shared" ca="1" si="0"/>
        <v>-115</v>
      </c>
      <c r="G11" s="16">
        <v>43554</v>
      </c>
      <c r="H11" s="16">
        <v>43616</v>
      </c>
      <c r="I11" s="17">
        <v>1</v>
      </c>
    </row>
    <row r="12" spans="1:9">
      <c r="A12" s="13">
        <v>11</v>
      </c>
      <c r="B12" s="14">
        <v>106085162</v>
      </c>
      <c r="C12" s="4" t="s">
        <v>379</v>
      </c>
      <c r="D12" s="15" t="s">
        <v>380</v>
      </c>
      <c r="E12" s="15" t="s">
        <v>381</v>
      </c>
      <c r="F12" s="22">
        <f t="shared" ca="1" si="0"/>
        <v>-115</v>
      </c>
      <c r="G12" s="16">
        <v>43554</v>
      </c>
      <c r="H12" s="16">
        <v>43616</v>
      </c>
      <c r="I12" s="17">
        <v>1</v>
      </c>
    </row>
    <row r="13" spans="1:9">
      <c r="A13" s="13">
        <v>12</v>
      </c>
      <c r="B13" s="14">
        <v>104665318</v>
      </c>
      <c r="C13" s="4" t="s">
        <v>382</v>
      </c>
      <c r="D13" s="15" t="s">
        <v>383</v>
      </c>
      <c r="E13" s="15" t="s">
        <v>384</v>
      </c>
      <c r="F13" s="22">
        <f t="shared" ca="1" si="0"/>
        <v>-115</v>
      </c>
      <c r="G13" s="16">
        <v>43554</v>
      </c>
      <c r="H13" s="16">
        <v>43616</v>
      </c>
      <c r="I13" s="17">
        <v>1</v>
      </c>
    </row>
    <row r="14" spans="1:9">
      <c r="A14" s="13">
        <v>13</v>
      </c>
      <c r="B14" s="14">
        <v>700100120274</v>
      </c>
      <c r="C14" s="4" t="s">
        <v>385</v>
      </c>
      <c r="D14" s="15" t="s">
        <v>386</v>
      </c>
      <c r="E14" s="15" t="s">
        <v>387</v>
      </c>
      <c r="F14" s="22">
        <f t="shared" ca="1" si="0"/>
        <v>-128</v>
      </c>
      <c r="G14" s="16">
        <v>43541</v>
      </c>
      <c r="H14" s="16">
        <v>43603</v>
      </c>
      <c r="I14" s="17">
        <v>1</v>
      </c>
    </row>
    <row r="15" spans="1:9">
      <c r="A15" s="13">
        <v>14</v>
      </c>
      <c r="B15" s="14">
        <v>800161902</v>
      </c>
      <c r="C15" s="4" t="s">
        <v>388</v>
      </c>
      <c r="D15" s="15" t="s">
        <v>389</v>
      </c>
      <c r="E15" s="15" t="s">
        <v>390</v>
      </c>
      <c r="F15" s="22">
        <f t="shared" ca="1" si="0"/>
        <v>-129</v>
      </c>
      <c r="G15" s="16">
        <v>43540</v>
      </c>
      <c r="H15" s="16">
        <v>43602</v>
      </c>
      <c r="I15" s="17">
        <v>1</v>
      </c>
    </row>
    <row r="16" spans="1:9">
      <c r="A16" s="13">
        <v>15</v>
      </c>
      <c r="B16" s="14">
        <v>104000504</v>
      </c>
      <c r="C16" s="4" t="s">
        <v>388</v>
      </c>
      <c r="D16" s="15" t="s">
        <v>389</v>
      </c>
      <c r="E16" s="15" t="s">
        <v>390</v>
      </c>
      <c r="F16" s="22">
        <f t="shared" ca="1" si="0"/>
        <v>-129</v>
      </c>
      <c r="G16" s="16">
        <v>43540</v>
      </c>
      <c r="H16" s="16">
        <v>43602</v>
      </c>
      <c r="I16" s="17">
        <v>1</v>
      </c>
    </row>
    <row r="17" spans="1:9">
      <c r="A17" s="13">
        <v>16</v>
      </c>
      <c r="B17" s="14">
        <v>103879541</v>
      </c>
      <c r="C17" s="4" t="s">
        <v>391</v>
      </c>
      <c r="D17" s="15" t="s">
        <v>392</v>
      </c>
      <c r="E17" s="15" t="s">
        <v>393</v>
      </c>
      <c r="F17" s="22">
        <f t="shared" ca="1" si="0"/>
        <v>-129</v>
      </c>
      <c r="G17" s="16">
        <v>43540</v>
      </c>
      <c r="H17" s="16">
        <v>43602</v>
      </c>
      <c r="I17" s="17">
        <v>1</v>
      </c>
    </row>
    <row r="18" spans="1:9">
      <c r="A18" s="13">
        <v>17</v>
      </c>
      <c r="B18" s="14">
        <v>800166163</v>
      </c>
      <c r="C18" s="4" t="s">
        <v>391</v>
      </c>
      <c r="D18" s="15" t="s">
        <v>392</v>
      </c>
      <c r="E18" s="15" t="s">
        <v>393</v>
      </c>
      <c r="F18" s="22">
        <f t="shared" ca="1" si="0"/>
        <v>-129</v>
      </c>
      <c r="G18" s="16">
        <v>43540</v>
      </c>
      <c r="H18" s="16">
        <v>43602</v>
      </c>
      <c r="I18" s="17">
        <v>1</v>
      </c>
    </row>
    <row r="19" spans="1:9">
      <c r="A19" s="13">
        <v>18</v>
      </c>
      <c r="B19" s="18">
        <v>105931218</v>
      </c>
      <c r="C19" s="5" t="s">
        <v>394</v>
      </c>
      <c r="D19" s="19" t="s">
        <v>116</v>
      </c>
      <c r="E19" s="19" t="s">
        <v>395</v>
      </c>
      <c r="F19" s="23">
        <f t="shared" ca="1" si="0"/>
        <v>-129</v>
      </c>
      <c r="G19" s="20">
        <v>43540</v>
      </c>
      <c r="H19" s="20">
        <v>43602</v>
      </c>
      <c r="I19" s="21">
        <v>1</v>
      </c>
    </row>
    <row r="20" spans="1:9">
      <c r="C20" s="1" t="s">
        <v>440</v>
      </c>
      <c r="G20" s="7" t="s">
        <v>6</v>
      </c>
      <c r="H20" s="3">
        <f>MIN(H$2:H19)</f>
        <v>43602</v>
      </c>
      <c r="I20" s="1" t="s">
        <v>441</v>
      </c>
    </row>
    <row r="21" spans="1:9">
      <c r="C21" s="1" t="s">
        <v>283</v>
      </c>
      <c r="I21" s="7" t="s">
        <v>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:I8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6" sqref="D16"/>
    </sheetView>
  </sheetViews>
  <sheetFormatPr defaultRowHeight="14.4"/>
  <cols>
    <col min="1" max="1" width="2.77734375" style="2" bestFit="1" customWidth="1"/>
    <col min="2" max="2" width="8.88671875" style="6" bestFit="1" customWidth="1"/>
    <col min="3" max="3" width="30.77734375" style="1" customWidth="1"/>
    <col min="4" max="4" width="23.77734375" style="1" customWidth="1"/>
    <col min="5" max="5" width="9" style="1" bestFit="1" customWidth="1"/>
    <col min="6" max="6" width="8" style="2" bestFit="1" customWidth="1"/>
    <col min="7" max="7" width="12.77734375" style="1" customWidth="1"/>
    <col min="8" max="8" width="9.554687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454</v>
      </c>
      <c r="C1" s="10" t="s">
        <v>455</v>
      </c>
      <c r="D1" s="10" t="s">
        <v>456</v>
      </c>
      <c r="E1" s="10" t="s">
        <v>457</v>
      </c>
      <c r="F1" s="11" t="s">
        <v>458</v>
      </c>
      <c r="G1" s="10" t="s">
        <v>459</v>
      </c>
      <c r="H1" s="10" t="s">
        <v>460</v>
      </c>
      <c r="I1" s="12" t="s">
        <v>461</v>
      </c>
    </row>
    <row r="2" spans="1:9">
      <c r="A2" s="13">
        <v>1</v>
      </c>
      <c r="B2" s="14">
        <v>106237051</v>
      </c>
      <c r="C2" s="4" t="s">
        <v>442</v>
      </c>
      <c r="D2" s="15" t="s">
        <v>443</v>
      </c>
      <c r="E2" s="15" t="s">
        <v>444</v>
      </c>
      <c r="F2" s="22">
        <f ca="1">ROUND(H2-NOW(),0)-1</f>
        <v>-81</v>
      </c>
      <c r="G2" s="16">
        <v>43588</v>
      </c>
      <c r="H2" s="16">
        <v>43650</v>
      </c>
      <c r="I2" s="17">
        <v>1</v>
      </c>
    </row>
    <row r="3" spans="1:9">
      <c r="A3" s="13">
        <v>2</v>
      </c>
      <c r="B3" s="14">
        <v>106237556</v>
      </c>
      <c r="C3" s="4" t="s">
        <v>445</v>
      </c>
      <c r="D3" s="15" t="s">
        <v>446</v>
      </c>
      <c r="E3" s="15" t="s">
        <v>447</v>
      </c>
      <c r="F3" s="22">
        <f ca="1">ROUND(H3-NOW(),0)-1</f>
        <v>-81</v>
      </c>
      <c r="G3" s="16">
        <v>43588</v>
      </c>
      <c r="H3" s="16">
        <v>43650</v>
      </c>
      <c r="I3" s="17">
        <v>1</v>
      </c>
    </row>
    <row r="4" spans="1:9">
      <c r="A4" s="13">
        <v>3</v>
      </c>
      <c r="B4" s="14">
        <v>800118682</v>
      </c>
      <c r="C4" s="4" t="s">
        <v>448</v>
      </c>
      <c r="D4" s="15" t="s">
        <v>449</v>
      </c>
      <c r="E4" s="15" t="s">
        <v>450</v>
      </c>
      <c r="F4" s="22">
        <f ca="1">ROUND(H4-NOW(),0)-1</f>
        <v>-81</v>
      </c>
      <c r="G4" s="16">
        <v>43588</v>
      </c>
      <c r="H4" s="16">
        <v>43650</v>
      </c>
      <c r="I4" s="17">
        <v>1</v>
      </c>
    </row>
    <row r="5" spans="1:9">
      <c r="A5" s="13">
        <v>4</v>
      </c>
      <c r="B5" s="14">
        <v>102806575</v>
      </c>
      <c r="C5" s="4" t="s">
        <v>448</v>
      </c>
      <c r="D5" s="15" t="s">
        <v>449</v>
      </c>
      <c r="E5" s="15" t="s">
        <v>450</v>
      </c>
      <c r="F5" s="22">
        <f ca="1">ROUND(H5-NOW(),0)-1</f>
        <v>-81</v>
      </c>
      <c r="G5" s="16">
        <v>43588</v>
      </c>
      <c r="H5" s="16">
        <v>43650</v>
      </c>
      <c r="I5" s="17">
        <v>1</v>
      </c>
    </row>
    <row r="6" spans="1:9">
      <c r="A6" s="13">
        <v>5</v>
      </c>
      <c r="B6" s="18">
        <v>104005476</v>
      </c>
      <c r="C6" s="5" t="s">
        <v>451</v>
      </c>
      <c r="D6" s="19" t="s">
        <v>452</v>
      </c>
      <c r="E6" s="19" t="s">
        <v>453</v>
      </c>
      <c r="F6" s="23">
        <f ca="1">ROUND(H6-NOW(),0)-1</f>
        <v>-81</v>
      </c>
      <c r="G6" s="20">
        <v>43588</v>
      </c>
      <c r="H6" s="20">
        <v>43650</v>
      </c>
      <c r="I6" s="21">
        <v>1</v>
      </c>
    </row>
    <row r="7" spans="1:9">
      <c r="C7" s="1" t="s">
        <v>462</v>
      </c>
      <c r="G7" s="7" t="s">
        <v>6</v>
      </c>
      <c r="H7" s="3">
        <f>MIN(H$2:H6)</f>
        <v>43650</v>
      </c>
      <c r="I7" s="1" t="s">
        <v>128</v>
      </c>
    </row>
    <row r="8" spans="1:9">
      <c r="C8" s="1" t="s">
        <v>9</v>
      </c>
      <c r="I8" s="7" t="s">
        <v>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I11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17" sqref="G17"/>
    </sheetView>
  </sheetViews>
  <sheetFormatPr defaultRowHeight="14.4"/>
  <cols>
    <col min="1" max="1" width="2.77734375" style="2" bestFit="1" customWidth="1"/>
    <col min="2" max="2" width="11.33203125" style="6" bestFit="1" customWidth="1"/>
    <col min="3" max="3" width="30.77734375" style="1" customWidth="1"/>
    <col min="4" max="4" width="23.77734375" style="1" customWidth="1"/>
    <col min="5" max="5" width="9" style="1" bestFit="1" customWidth="1"/>
    <col min="6" max="6" width="8" style="2" bestFit="1" customWidth="1"/>
    <col min="7" max="7" width="12.77734375" style="1" customWidth="1"/>
    <col min="8" max="8" width="9.554687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469</v>
      </c>
      <c r="C1" s="10" t="s">
        <v>470</v>
      </c>
      <c r="D1" s="10" t="s">
        <v>471</v>
      </c>
      <c r="E1" s="10" t="s">
        <v>472</v>
      </c>
      <c r="F1" s="11" t="s">
        <v>473</v>
      </c>
      <c r="G1" s="10" t="s">
        <v>474</v>
      </c>
      <c r="H1" s="10" t="s">
        <v>475</v>
      </c>
      <c r="I1" s="12" t="s">
        <v>476</v>
      </c>
    </row>
    <row r="2" spans="1:9">
      <c r="A2" s="13">
        <v>1</v>
      </c>
      <c r="B2" s="14">
        <v>702100106706</v>
      </c>
      <c r="C2" s="4" t="s">
        <v>463</v>
      </c>
      <c r="D2" s="15" t="s">
        <v>464</v>
      </c>
      <c r="E2" s="15" t="s">
        <v>465</v>
      </c>
      <c r="F2" s="22">
        <f t="shared" ref="F2:F9" ca="1" si="0">ROUND(H2-NOW(),0)-1</f>
        <v>-58</v>
      </c>
      <c r="G2" s="16">
        <v>43611</v>
      </c>
      <c r="H2" s="16">
        <v>43673</v>
      </c>
      <c r="I2" s="17">
        <v>1</v>
      </c>
    </row>
    <row r="3" spans="1:9">
      <c r="A3" s="13">
        <v>2</v>
      </c>
      <c r="B3" s="14">
        <v>702100106406</v>
      </c>
      <c r="C3" s="4" t="s">
        <v>466</v>
      </c>
      <c r="D3" s="15" t="s">
        <v>467</v>
      </c>
      <c r="E3" s="15" t="s">
        <v>468</v>
      </c>
      <c r="F3" s="22">
        <f t="shared" ca="1" si="0"/>
        <v>-58</v>
      </c>
      <c r="G3" s="16">
        <v>43611</v>
      </c>
      <c r="H3" s="16">
        <v>43673</v>
      </c>
      <c r="I3" s="17">
        <v>1</v>
      </c>
    </row>
    <row r="4" spans="1:9">
      <c r="A4" s="13">
        <v>3</v>
      </c>
      <c r="B4" s="14">
        <v>704100041933</v>
      </c>
      <c r="C4" s="4" t="s">
        <v>261</v>
      </c>
      <c r="D4" s="15" t="s">
        <v>262</v>
      </c>
      <c r="E4" s="15" t="s">
        <v>263</v>
      </c>
      <c r="F4" s="22">
        <f t="shared" ca="1" si="0"/>
        <v>-58</v>
      </c>
      <c r="G4" s="16">
        <v>43611</v>
      </c>
      <c r="H4" s="16">
        <v>43673</v>
      </c>
      <c r="I4" s="17">
        <v>1</v>
      </c>
    </row>
    <row r="5" spans="1:9">
      <c r="A5" s="13">
        <v>4</v>
      </c>
      <c r="B5" s="14">
        <v>106237051</v>
      </c>
      <c r="C5" s="4" t="s">
        <v>442</v>
      </c>
      <c r="D5" s="15" t="s">
        <v>443</v>
      </c>
      <c r="E5" s="15" t="s">
        <v>444</v>
      </c>
      <c r="F5" s="22">
        <f t="shared" ca="1" si="0"/>
        <v>-81</v>
      </c>
      <c r="G5" s="16">
        <v>43588</v>
      </c>
      <c r="H5" s="16">
        <v>43650</v>
      </c>
      <c r="I5" s="17">
        <v>1</v>
      </c>
    </row>
    <row r="6" spans="1:9">
      <c r="A6" s="13">
        <v>5</v>
      </c>
      <c r="B6" s="14">
        <v>106237556</v>
      </c>
      <c r="C6" s="4" t="s">
        <v>445</v>
      </c>
      <c r="D6" s="15" t="s">
        <v>446</v>
      </c>
      <c r="E6" s="15" t="s">
        <v>447</v>
      </c>
      <c r="F6" s="22">
        <f t="shared" ca="1" si="0"/>
        <v>-81</v>
      </c>
      <c r="G6" s="16">
        <v>43588</v>
      </c>
      <c r="H6" s="16">
        <v>43650</v>
      </c>
      <c r="I6" s="17">
        <v>1</v>
      </c>
    </row>
    <row r="7" spans="1:9">
      <c r="A7" s="13">
        <v>6</v>
      </c>
      <c r="B7" s="14">
        <v>800118682</v>
      </c>
      <c r="C7" s="4" t="s">
        <v>448</v>
      </c>
      <c r="D7" s="15" t="s">
        <v>449</v>
      </c>
      <c r="E7" s="15" t="s">
        <v>450</v>
      </c>
      <c r="F7" s="22">
        <f t="shared" ca="1" si="0"/>
        <v>-81</v>
      </c>
      <c r="G7" s="16">
        <v>43588</v>
      </c>
      <c r="H7" s="16">
        <v>43650</v>
      </c>
      <c r="I7" s="17">
        <v>1</v>
      </c>
    </row>
    <row r="8" spans="1:9">
      <c r="A8" s="13">
        <v>7</v>
      </c>
      <c r="B8" s="14">
        <v>102806575</v>
      </c>
      <c r="C8" s="4" t="s">
        <v>448</v>
      </c>
      <c r="D8" s="15" t="s">
        <v>449</v>
      </c>
      <c r="E8" s="15" t="s">
        <v>450</v>
      </c>
      <c r="F8" s="22">
        <f t="shared" ca="1" si="0"/>
        <v>-81</v>
      </c>
      <c r="G8" s="16">
        <v>43588</v>
      </c>
      <c r="H8" s="16">
        <v>43650</v>
      </c>
      <c r="I8" s="17">
        <v>1</v>
      </c>
    </row>
    <row r="9" spans="1:9">
      <c r="A9" s="13">
        <v>8</v>
      </c>
      <c r="B9" s="18">
        <v>104005476</v>
      </c>
      <c r="C9" s="5" t="s">
        <v>451</v>
      </c>
      <c r="D9" s="19" t="s">
        <v>452</v>
      </c>
      <c r="E9" s="19" t="s">
        <v>453</v>
      </c>
      <c r="F9" s="23">
        <f t="shared" ca="1" si="0"/>
        <v>-81</v>
      </c>
      <c r="G9" s="20">
        <v>43588</v>
      </c>
      <c r="H9" s="20">
        <v>43650</v>
      </c>
      <c r="I9" s="21">
        <v>1</v>
      </c>
    </row>
    <row r="10" spans="1:9">
      <c r="C10" s="1" t="s">
        <v>362</v>
      </c>
      <c r="G10" s="7" t="s">
        <v>6</v>
      </c>
      <c r="H10" s="3">
        <f>MIN(H$2:H9)</f>
        <v>43650</v>
      </c>
      <c r="I10" s="1" t="s">
        <v>477</v>
      </c>
    </row>
    <row r="11" spans="1:9">
      <c r="C11" s="1" t="s">
        <v>9</v>
      </c>
      <c r="I11" s="7" t="s">
        <v>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I2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20" sqref="C20"/>
    </sheetView>
  </sheetViews>
  <sheetFormatPr defaultRowHeight="14.4"/>
  <cols>
    <col min="1" max="1" width="2.88671875" style="2" bestFit="1" customWidth="1"/>
    <col min="2" max="2" width="11.33203125" style="6" bestFit="1" customWidth="1"/>
    <col min="3" max="3" width="30.77734375" style="1" customWidth="1"/>
    <col min="4" max="4" width="23.77734375" style="1" customWidth="1"/>
    <col min="5" max="5" width="9.88671875" style="1" bestFit="1" customWidth="1"/>
    <col min="6" max="6" width="8" style="2" bestFit="1" customWidth="1"/>
    <col min="7" max="7" width="12.77734375" style="1" customWidth="1"/>
    <col min="8" max="8" width="9.5546875" style="1" bestFit="1" customWidth="1"/>
    <col min="9" max="9" width="8.77734375" style="2" customWidth="1"/>
    <col min="10" max="16384" width="8.88671875" style="1"/>
  </cols>
  <sheetData>
    <row r="1" spans="1:9">
      <c r="A1" s="8" t="s">
        <v>520</v>
      </c>
      <c r="B1" s="9" t="s">
        <v>521</v>
      </c>
      <c r="C1" s="10" t="s">
        <v>513</v>
      </c>
      <c r="D1" s="10" t="s">
        <v>514</v>
      </c>
      <c r="E1" s="10" t="s">
        <v>515</v>
      </c>
      <c r="F1" s="11" t="s">
        <v>516</v>
      </c>
      <c r="G1" s="10" t="s">
        <v>517</v>
      </c>
      <c r="H1" s="10" t="s">
        <v>518</v>
      </c>
      <c r="I1" s="12" t="s">
        <v>519</v>
      </c>
    </row>
    <row r="2" spans="1:9">
      <c r="A2" s="13">
        <v>1</v>
      </c>
      <c r="B2" s="14">
        <v>106615780</v>
      </c>
      <c r="C2" s="24" t="s">
        <v>478</v>
      </c>
      <c r="D2" s="15" t="s">
        <v>479</v>
      </c>
      <c r="E2" s="15" t="s">
        <v>480</v>
      </c>
      <c r="F2" s="22">
        <f t="shared" ref="F2:F21" ca="1" si="0">ROUND(H2-NOW(),0)-1</f>
        <v>-53</v>
      </c>
      <c r="G2" s="16">
        <v>43616</v>
      </c>
      <c r="H2" s="16">
        <v>43678</v>
      </c>
      <c r="I2" s="17">
        <v>1</v>
      </c>
    </row>
    <row r="3" spans="1:9">
      <c r="A3" s="13">
        <v>2</v>
      </c>
      <c r="B3" s="14">
        <v>106690668</v>
      </c>
      <c r="C3" s="24" t="s">
        <v>300</v>
      </c>
      <c r="D3" s="15" t="s">
        <v>301</v>
      </c>
      <c r="E3" s="15" t="s">
        <v>302</v>
      </c>
      <c r="F3" s="22">
        <f t="shared" ca="1" si="0"/>
        <v>-53</v>
      </c>
      <c r="G3" s="16">
        <v>43616</v>
      </c>
      <c r="H3" s="16">
        <v>43678</v>
      </c>
      <c r="I3" s="17">
        <v>1</v>
      </c>
    </row>
    <row r="4" spans="1:9">
      <c r="A4" s="13">
        <v>3</v>
      </c>
      <c r="B4" s="14">
        <v>104146794</v>
      </c>
      <c r="C4" s="24" t="s">
        <v>481</v>
      </c>
      <c r="D4" s="15" t="s">
        <v>482</v>
      </c>
      <c r="E4" s="15" t="s">
        <v>483</v>
      </c>
      <c r="F4" s="22">
        <f t="shared" ca="1" si="0"/>
        <v>-53</v>
      </c>
      <c r="G4" s="16">
        <v>43616</v>
      </c>
      <c r="H4" s="16">
        <v>43678</v>
      </c>
      <c r="I4" s="17">
        <v>1</v>
      </c>
    </row>
    <row r="5" spans="1:9">
      <c r="A5" s="13">
        <v>4</v>
      </c>
      <c r="B5" s="14">
        <v>800121489</v>
      </c>
      <c r="C5" s="24" t="s">
        <v>481</v>
      </c>
      <c r="D5" s="15" t="s">
        <v>484</v>
      </c>
      <c r="E5" s="15" t="s">
        <v>485</v>
      </c>
      <c r="F5" s="22">
        <f t="shared" ca="1" si="0"/>
        <v>-53</v>
      </c>
      <c r="G5" s="16">
        <v>43616</v>
      </c>
      <c r="H5" s="16">
        <v>43678</v>
      </c>
      <c r="I5" s="17">
        <v>1</v>
      </c>
    </row>
    <row r="6" spans="1:9">
      <c r="A6" s="13">
        <v>5</v>
      </c>
      <c r="B6" s="14">
        <v>105651817</v>
      </c>
      <c r="C6" s="24" t="s">
        <v>486</v>
      </c>
      <c r="D6" s="15" t="s">
        <v>487</v>
      </c>
      <c r="E6" s="15" t="s">
        <v>488</v>
      </c>
      <c r="F6" s="22">
        <f t="shared" ca="1" si="0"/>
        <v>-53</v>
      </c>
      <c r="G6" s="16">
        <v>43616</v>
      </c>
      <c r="H6" s="16">
        <v>43678</v>
      </c>
      <c r="I6" s="17">
        <v>1</v>
      </c>
    </row>
    <row r="7" spans="1:9">
      <c r="A7" s="13">
        <v>6</v>
      </c>
      <c r="B7" s="14">
        <v>106564512</v>
      </c>
      <c r="C7" s="24" t="s">
        <v>489</v>
      </c>
      <c r="D7" s="15" t="s">
        <v>490</v>
      </c>
      <c r="E7" s="15" t="s">
        <v>491</v>
      </c>
      <c r="F7" s="22">
        <f t="shared" ca="1" si="0"/>
        <v>-53</v>
      </c>
      <c r="G7" s="16">
        <v>43616</v>
      </c>
      <c r="H7" s="16">
        <v>43678</v>
      </c>
      <c r="I7" s="17">
        <v>1</v>
      </c>
    </row>
    <row r="8" spans="1:9">
      <c r="A8" s="13">
        <v>7</v>
      </c>
      <c r="B8" s="14">
        <v>106564362</v>
      </c>
      <c r="C8" s="25" t="s">
        <v>492</v>
      </c>
      <c r="D8" s="15" t="s">
        <v>493</v>
      </c>
      <c r="E8" s="15" t="s">
        <v>494</v>
      </c>
      <c r="F8" s="22">
        <f t="shared" ca="1" si="0"/>
        <v>-53</v>
      </c>
      <c r="G8" s="16">
        <v>43616</v>
      </c>
      <c r="H8" s="16">
        <v>43678</v>
      </c>
      <c r="I8" s="17">
        <v>1</v>
      </c>
    </row>
    <row r="9" spans="1:9">
      <c r="A9" s="13">
        <v>8</v>
      </c>
      <c r="B9" s="14">
        <v>106617255</v>
      </c>
      <c r="C9" s="24" t="s">
        <v>495</v>
      </c>
      <c r="D9" s="15" t="s">
        <v>496</v>
      </c>
      <c r="E9" s="15" t="s">
        <v>497</v>
      </c>
      <c r="F9" s="22">
        <f t="shared" ca="1" si="0"/>
        <v>-53</v>
      </c>
      <c r="G9" s="16">
        <v>43616</v>
      </c>
      <c r="H9" s="16">
        <v>43678</v>
      </c>
      <c r="I9" s="17">
        <v>1</v>
      </c>
    </row>
    <row r="10" spans="1:9">
      <c r="A10" s="13">
        <v>9</v>
      </c>
      <c r="B10" s="14">
        <v>105513908</v>
      </c>
      <c r="C10" s="24" t="s">
        <v>498</v>
      </c>
      <c r="D10" s="15" t="s">
        <v>499</v>
      </c>
      <c r="E10" s="15" t="s">
        <v>500</v>
      </c>
      <c r="F10" s="22">
        <f t="shared" ca="1" si="0"/>
        <v>-53</v>
      </c>
      <c r="G10" s="16">
        <v>43616</v>
      </c>
      <c r="H10" s="16">
        <v>43678</v>
      </c>
      <c r="I10" s="17">
        <v>1</v>
      </c>
    </row>
    <row r="11" spans="1:9">
      <c r="A11" s="13">
        <v>10</v>
      </c>
      <c r="B11" s="14">
        <v>105187644</v>
      </c>
      <c r="C11" s="24" t="s">
        <v>501</v>
      </c>
      <c r="D11" s="15" t="s">
        <v>502</v>
      </c>
      <c r="E11" s="15" t="s">
        <v>503</v>
      </c>
      <c r="F11" s="22">
        <f t="shared" ca="1" si="0"/>
        <v>-53</v>
      </c>
      <c r="G11" s="16">
        <v>43616</v>
      </c>
      <c r="H11" s="16">
        <v>43678</v>
      </c>
      <c r="I11" s="17">
        <v>1</v>
      </c>
    </row>
    <row r="12" spans="1:9">
      <c r="A12" s="13">
        <v>11</v>
      </c>
      <c r="B12" s="14">
        <v>105875250</v>
      </c>
      <c r="C12" s="4" t="s">
        <v>504</v>
      </c>
      <c r="D12" s="15" t="s">
        <v>505</v>
      </c>
      <c r="E12" s="15" t="s">
        <v>506</v>
      </c>
      <c r="F12" s="22">
        <f t="shared" ca="1" si="0"/>
        <v>-53</v>
      </c>
      <c r="G12" s="16">
        <v>43616</v>
      </c>
      <c r="H12" s="16">
        <v>43678</v>
      </c>
      <c r="I12" s="17">
        <v>1</v>
      </c>
    </row>
    <row r="13" spans="1:9">
      <c r="A13" s="13">
        <v>12</v>
      </c>
      <c r="B13" s="14">
        <v>106244957</v>
      </c>
      <c r="C13" s="24" t="s">
        <v>507</v>
      </c>
      <c r="D13" s="15" t="s">
        <v>508</v>
      </c>
      <c r="E13" s="15" t="s">
        <v>509</v>
      </c>
      <c r="F13" s="22">
        <f t="shared" ca="1" si="0"/>
        <v>-53</v>
      </c>
      <c r="G13" s="16">
        <v>43616</v>
      </c>
      <c r="H13" s="16">
        <v>43678</v>
      </c>
      <c r="I13" s="17">
        <v>1</v>
      </c>
    </row>
    <row r="14" spans="1:9">
      <c r="A14" s="13">
        <v>13</v>
      </c>
      <c r="B14" s="14">
        <v>105606404</v>
      </c>
      <c r="C14" s="24" t="s">
        <v>510</v>
      </c>
      <c r="D14" s="15" t="s">
        <v>511</v>
      </c>
      <c r="E14" s="15" t="s">
        <v>512</v>
      </c>
      <c r="F14" s="22">
        <f t="shared" ca="1" si="0"/>
        <v>-53</v>
      </c>
      <c r="G14" s="16">
        <v>43616</v>
      </c>
      <c r="H14" s="16">
        <v>43678</v>
      </c>
      <c r="I14" s="17">
        <v>1</v>
      </c>
    </row>
    <row r="15" spans="1:9">
      <c r="A15" s="13">
        <v>14</v>
      </c>
      <c r="B15" s="14">
        <v>702100106706</v>
      </c>
      <c r="C15" s="24" t="s">
        <v>463</v>
      </c>
      <c r="D15" s="15" t="s">
        <v>464</v>
      </c>
      <c r="E15" s="15" t="s">
        <v>465</v>
      </c>
      <c r="F15" s="22">
        <f t="shared" ca="1" si="0"/>
        <v>-58</v>
      </c>
      <c r="G15" s="16">
        <v>43611</v>
      </c>
      <c r="H15" s="16">
        <v>43673</v>
      </c>
      <c r="I15" s="17">
        <v>1</v>
      </c>
    </row>
    <row r="16" spans="1:9">
      <c r="A16" s="13">
        <v>15</v>
      </c>
      <c r="B16" s="14">
        <v>702100106406</v>
      </c>
      <c r="C16" s="24" t="s">
        <v>466</v>
      </c>
      <c r="D16" s="15" t="s">
        <v>467</v>
      </c>
      <c r="E16" s="15" t="s">
        <v>468</v>
      </c>
      <c r="F16" s="22">
        <f t="shared" ca="1" si="0"/>
        <v>-58</v>
      </c>
      <c r="G16" s="16">
        <v>43611</v>
      </c>
      <c r="H16" s="16">
        <v>43673</v>
      </c>
      <c r="I16" s="17">
        <v>1</v>
      </c>
    </row>
    <row r="17" spans="1:9">
      <c r="A17" s="13">
        <v>16</v>
      </c>
      <c r="B17" s="14">
        <v>704100041933</v>
      </c>
      <c r="C17" s="24" t="s">
        <v>261</v>
      </c>
      <c r="D17" s="15" t="s">
        <v>262</v>
      </c>
      <c r="E17" s="15" t="s">
        <v>263</v>
      </c>
      <c r="F17" s="22">
        <f t="shared" ca="1" si="0"/>
        <v>-58</v>
      </c>
      <c r="G17" s="16">
        <v>43611</v>
      </c>
      <c r="H17" s="16">
        <v>43673</v>
      </c>
      <c r="I17" s="17">
        <v>1</v>
      </c>
    </row>
    <row r="18" spans="1:9">
      <c r="A18" s="13">
        <v>17</v>
      </c>
      <c r="B18" s="14">
        <v>106237556</v>
      </c>
      <c r="C18" s="24" t="s">
        <v>445</v>
      </c>
      <c r="D18" s="15" t="s">
        <v>446</v>
      </c>
      <c r="E18" s="15" t="s">
        <v>447</v>
      </c>
      <c r="F18" s="22">
        <f t="shared" ca="1" si="0"/>
        <v>-81</v>
      </c>
      <c r="G18" s="16">
        <v>43588</v>
      </c>
      <c r="H18" s="16">
        <v>43650</v>
      </c>
      <c r="I18" s="17">
        <v>1</v>
      </c>
    </row>
    <row r="19" spans="1:9">
      <c r="A19" s="13">
        <v>18</v>
      </c>
      <c r="B19" s="14">
        <v>800118682</v>
      </c>
      <c r="C19" s="24" t="s">
        <v>448</v>
      </c>
      <c r="D19" s="15" t="s">
        <v>449</v>
      </c>
      <c r="E19" s="15" t="s">
        <v>450</v>
      </c>
      <c r="F19" s="22">
        <f t="shared" ca="1" si="0"/>
        <v>-81</v>
      </c>
      <c r="G19" s="16">
        <v>43588</v>
      </c>
      <c r="H19" s="16">
        <v>43650</v>
      </c>
      <c r="I19" s="17">
        <v>1</v>
      </c>
    </row>
    <row r="20" spans="1:9">
      <c r="A20" s="13">
        <v>19</v>
      </c>
      <c r="B20" s="14">
        <v>102806575</v>
      </c>
      <c r="C20" s="25" t="s">
        <v>448</v>
      </c>
      <c r="D20" s="15" t="s">
        <v>449</v>
      </c>
      <c r="E20" s="15" t="s">
        <v>450</v>
      </c>
      <c r="F20" s="22">
        <f t="shared" ca="1" si="0"/>
        <v>-81</v>
      </c>
      <c r="G20" s="16">
        <v>43588</v>
      </c>
      <c r="H20" s="16">
        <v>43650</v>
      </c>
      <c r="I20" s="17">
        <v>1</v>
      </c>
    </row>
    <row r="21" spans="1:9">
      <c r="A21" s="13">
        <v>20</v>
      </c>
      <c r="B21" s="18">
        <v>104005476</v>
      </c>
      <c r="C21" s="58" t="s">
        <v>451</v>
      </c>
      <c r="D21" s="19" t="s">
        <v>452</v>
      </c>
      <c r="E21" s="19" t="s">
        <v>453</v>
      </c>
      <c r="F21" s="23">
        <f t="shared" ca="1" si="0"/>
        <v>-81</v>
      </c>
      <c r="G21" s="20">
        <v>43588</v>
      </c>
      <c r="H21" s="20">
        <v>43650</v>
      </c>
      <c r="I21" s="21">
        <v>1</v>
      </c>
    </row>
    <row r="22" spans="1:9">
      <c r="C22" s="1" t="s">
        <v>525</v>
      </c>
      <c r="G22" s="7" t="s">
        <v>522</v>
      </c>
      <c r="H22" s="3">
        <f>MIN(H$2:H21)</f>
        <v>43650</v>
      </c>
      <c r="I22" s="1" t="s">
        <v>524</v>
      </c>
    </row>
    <row r="23" spans="1:9">
      <c r="C23" s="1" t="s">
        <v>526</v>
      </c>
      <c r="I23" s="7" t="s">
        <v>523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1:I2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15" sqref="C15"/>
    </sheetView>
  </sheetViews>
  <sheetFormatPr defaultRowHeight="14.4"/>
  <cols>
    <col min="1" max="1" width="2.88671875" style="2" bestFit="1" customWidth="1"/>
    <col min="2" max="2" width="11.33203125" style="6" bestFit="1" customWidth="1"/>
    <col min="3" max="3" width="30.77734375" style="1" customWidth="1"/>
    <col min="4" max="4" width="23.77734375" style="1" customWidth="1"/>
    <col min="5" max="5" width="9.88671875" style="1" bestFit="1" customWidth="1"/>
    <col min="6" max="6" width="8" style="2" bestFit="1" customWidth="1"/>
    <col min="7" max="7" width="12.77734375" style="1" customWidth="1"/>
    <col min="8" max="8" width="9.5546875" style="1" bestFit="1" customWidth="1"/>
    <col min="9" max="9" width="8.77734375" style="2" customWidth="1"/>
    <col min="10" max="16384" width="8.88671875" style="1"/>
  </cols>
  <sheetData>
    <row r="1" spans="1:9">
      <c r="A1" s="8" t="s">
        <v>539</v>
      </c>
      <c r="B1" s="9" t="s">
        <v>531</v>
      </c>
      <c r="C1" s="10" t="s">
        <v>532</v>
      </c>
      <c r="D1" s="10" t="s">
        <v>533</v>
      </c>
      <c r="E1" s="10" t="s">
        <v>534</v>
      </c>
      <c r="F1" s="11" t="s">
        <v>535</v>
      </c>
      <c r="G1" s="10" t="s">
        <v>536</v>
      </c>
      <c r="H1" s="10" t="s">
        <v>537</v>
      </c>
      <c r="I1" s="12" t="s">
        <v>538</v>
      </c>
    </row>
    <row r="2" spans="1:9">
      <c r="A2" s="13">
        <v>1</v>
      </c>
      <c r="B2" s="14">
        <v>105408665</v>
      </c>
      <c r="C2" s="4" t="s">
        <v>527</v>
      </c>
      <c r="D2" s="15" t="s">
        <v>528</v>
      </c>
      <c r="E2" s="15" t="s">
        <v>529</v>
      </c>
      <c r="F2" s="22">
        <f t="shared" ref="F2:F21" ca="1" si="0">ROUND(H2-NOW(),0)-1</f>
        <v>-37</v>
      </c>
      <c r="G2" s="16">
        <v>43632</v>
      </c>
      <c r="H2" s="16">
        <v>43694</v>
      </c>
      <c r="I2" s="17">
        <v>1</v>
      </c>
    </row>
    <row r="3" spans="1:9">
      <c r="A3" s="13">
        <v>2</v>
      </c>
      <c r="B3" s="14">
        <v>106615780</v>
      </c>
      <c r="C3" s="4" t="s">
        <v>478</v>
      </c>
      <c r="D3" s="15" t="s">
        <v>479</v>
      </c>
      <c r="E3" s="15" t="s">
        <v>480</v>
      </c>
      <c r="F3" s="22">
        <f t="shared" ca="1" si="0"/>
        <v>-53</v>
      </c>
      <c r="G3" s="16">
        <v>43616</v>
      </c>
      <c r="H3" s="16">
        <v>43678</v>
      </c>
      <c r="I3" s="17">
        <v>1</v>
      </c>
    </row>
    <row r="4" spans="1:9">
      <c r="A4" s="13">
        <v>3</v>
      </c>
      <c r="B4" s="14">
        <v>106690668</v>
      </c>
      <c r="C4" s="4" t="s">
        <v>300</v>
      </c>
      <c r="D4" s="15" t="s">
        <v>301</v>
      </c>
      <c r="E4" s="15" t="s">
        <v>302</v>
      </c>
      <c r="F4" s="22">
        <f t="shared" ca="1" si="0"/>
        <v>-53</v>
      </c>
      <c r="G4" s="16">
        <v>43616</v>
      </c>
      <c r="H4" s="16">
        <v>43678</v>
      </c>
      <c r="I4" s="17">
        <v>1</v>
      </c>
    </row>
    <row r="5" spans="1:9">
      <c r="A5" s="13">
        <v>4</v>
      </c>
      <c r="B5" s="14">
        <v>104146794</v>
      </c>
      <c r="C5" s="24" t="s">
        <v>481</v>
      </c>
      <c r="D5" s="15" t="s">
        <v>482</v>
      </c>
      <c r="E5" s="15" t="s">
        <v>483</v>
      </c>
      <c r="F5" s="22">
        <f t="shared" ca="1" si="0"/>
        <v>-53</v>
      </c>
      <c r="G5" s="16">
        <v>43616</v>
      </c>
      <c r="H5" s="16">
        <v>43678</v>
      </c>
      <c r="I5" s="17">
        <v>1</v>
      </c>
    </row>
    <row r="6" spans="1:9">
      <c r="A6" s="13">
        <v>5</v>
      </c>
      <c r="B6" s="14">
        <v>800121489</v>
      </c>
      <c r="C6" s="25" t="s">
        <v>530</v>
      </c>
      <c r="D6" s="15" t="s">
        <v>484</v>
      </c>
      <c r="E6" s="15" t="s">
        <v>485</v>
      </c>
      <c r="F6" s="22">
        <f t="shared" ca="1" si="0"/>
        <v>-53</v>
      </c>
      <c r="G6" s="16">
        <v>43616</v>
      </c>
      <c r="H6" s="16">
        <v>43678</v>
      </c>
      <c r="I6" s="17">
        <v>1</v>
      </c>
    </row>
    <row r="7" spans="1:9">
      <c r="A7" s="13">
        <v>6</v>
      </c>
      <c r="B7" s="14">
        <v>105651817</v>
      </c>
      <c r="C7" s="4" t="s">
        <v>486</v>
      </c>
      <c r="D7" s="15" t="s">
        <v>487</v>
      </c>
      <c r="E7" s="15" t="s">
        <v>488</v>
      </c>
      <c r="F7" s="22">
        <f t="shared" ca="1" si="0"/>
        <v>-53</v>
      </c>
      <c r="G7" s="16">
        <v>43616</v>
      </c>
      <c r="H7" s="16">
        <v>43678</v>
      </c>
      <c r="I7" s="17">
        <v>1</v>
      </c>
    </row>
    <row r="8" spans="1:9">
      <c r="A8" s="13">
        <v>7</v>
      </c>
      <c r="B8" s="14">
        <v>106564512</v>
      </c>
      <c r="C8" s="4" t="s">
        <v>489</v>
      </c>
      <c r="D8" s="15" t="s">
        <v>490</v>
      </c>
      <c r="E8" s="15" t="s">
        <v>491</v>
      </c>
      <c r="F8" s="22">
        <f t="shared" ca="1" si="0"/>
        <v>-53</v>
      </c>
      <c r="G8" s="16">
        <v>43616</v>
      </c>
      <c r="H8" s="16">
        <v>43678</v>
      </c>
      <c r="I8" s="17">
        <v>1</v>
      </c>
    </row>
    <row r="9" spans="1:9">
      <c r="A9" s="13">
        <v>8</v>
      </c>
      <c r="B9" s="14">
        <v>106564362</v>
      </c>
      <c r="C9" s="4" t="s">
        <v>492</v>
      </c>
      <c r="D9" s="15" t="s">
        <v>493</v>
      </c>
      <c r="E9" s="15" t="s">
        <v>494</v>
      </c>
      <c r="F9" s="22">
        <f t="shared" ca="1" si="0"/>
        <v>-53</v>
      </c>
      <c r="G9" s="16">
        <v>43616</v>
      </c>
      <c r="H9" s="16">
        <v>43678</v>
      </c>
      <c r="I9" s="17">
        <v>1</v>
      </c>
    </row>
    <row r="10" spans="1:9">
      <c r="A10" s="13">
        <v>9</v>
      </c>
      <c r="B10" s="14">
        <v>106617255</v>
      </c>
      <c r="C10" s="4" t="s">
        <v>495</v>
      </c>
      <c r="D10" s="15" t="s">
        <v>496</v>
      </c>
      <c r="E10" s="15" t="s">
        <v>497</v>
      </c>
      <c r="F10" s="22">
        <f t="shared" ca="1" si="0"/>
        <v>-53</v>
      </c>
      <c r="G10" s="16">
        <v>43616</v>
      </c>
      <c r="H10" s="16">
        <v>43678</v>
      </c>
      <c r="I10" s="17">
        <v>1</v>
      </c>
    </row>
    <row r="11" spans="1:9">
      <c r="A11" s="13">
        <v>10</v>
      </c>
      <c r="B11" s="14">
        <v>105513908</v>
      </c>
      <c r="C11" s="4" t="s">
        <v>498</v>
      </c>
      <c r="D11" s="15" t="s">
        <v>499</v>
      </c>
      <c r="E11" s="15" t="s">
        <v>500</v>
      </c>
      <c r="F11" s="22">
        <f t="shared" ca="1" si="0"/>
        <v>-53</v>
      </c>
      <c r="G11" s="16">
        <v>43616</v>
      </c>
      <c r="H11" s="16">
        <v>43678</v>
      </c>
      <c r="I11" s="17">
        <v>1</v>
      </c>
    </row>
    <row r="12" spans="1:9">
      <c r="A12" s="13">
        <v>11</v>
      </c>
      <c r="B12" s="14">
        <v>105187644</v>
      </c>
      <c r="C12" s="4" t="s">
        <v>501</v>
      </c>
      <c r="D12" s="15" t="s">
        <v>502</v>
      </c>
      <c r="E12" s="15" t="s">
        <v>503</v>
      </c>
      <c r="F12" s="22">
        <f t="shared" ca="1" si="0"/>
        <v>-53</v>
      </c>
      <c r="G12" s="16">
        <v>43616</v>
      </c>
      <c r="H12" s="16">
        <v>43678</v>
      </c>
      <c r="I12" s="17">
        <v>1</v>
      </c>
    </row>
    <row r="13" spans="1:9">
      <c r="A13" s="13">
        <v>12</v>
      </c>
      <c r="B13" s="14">
        <v>105875250</v>
      </c>
      <c r="C13" s="4" t="s">
        <v>504</v>
      </c>
      <c r="D13" s="15" t="s">
        <v>505</v>
      </c>
      <c r="E13" s="15" t="s">
        <v>506</v>
      </c>
      <c r="F13" s="22">
        <f t="shared" ca="1" si="0"/>
        <v>-53</v>
      </c>
      <c r="G13" s="16">
        <v>43616</v>
      </c>
      <c r="H13" s="16">
        <v>43678</v>
      </c>
      <c r="I13" s="17">
        <v>1</v>
      </c>
    </row>
    <row r="14" spans="1:9">
      <c r="A14" s="13">
        <v>13</v>
      </c>
      <c r="B14" s="14">
        <v>106244957</v>
      </c>
      <c r="C14" s="4" t="s">
        <v>507</v>
      </c>
      <c r="D14" s="15" t="s">
        <v>508</v>
      </c>
      <c r="E14" s="15" t="s">
        <v>509</v>
      </c>
      <c r="F14" s="22">
        <f t="shared" ca="1" si="0"/>
        <v>-53</v>
      </c>
      <c r="G14" s="16">
        <v>43616</v>
      </c>
      <c r="H14" s="16">
        <v>43678</v>
      </c>
      <c r="I14" s="17">
        <v>1</v>
      </c>
    </row>
    <row r="15" spans="1:9">
      <c r="A15" s="13">
        <v>14</v>
      </c>
      <c r="B15" s="14">
        <v>105606404</v>
      </c>
      <c r="C15" s="4" t="s">
        <v>510</v>
      </c>
      <c r="D15" s="15" t="s">
        <v>511</v>
      </c>
      <c r="E15" s="15" t="s">
        <v>512</v>
      </c>
      <c r="F15" s="22">
        <f t="shared" ca="1" si="0"/>
        <v>-53</v>
      </c>
      <c r="G15" s="16">
        <v>43616</v>
      </c>
      <c r="H15" s="16">
        <v>43678</v>
      </c>
      <c r="I15" s="17">
        <v>1</v>
      </c>
    </row>
    <row r="16" spans="1:9">
      <c r="A16" s="13">
        <v>15</v>
      </c>
      <c r="B16" s="14">
        <v>702100106706</v>
      </c>
      <c r="C16" s="4" t="s">
        <v>463</v>
      </c>
      <c r="D16" s="15" t="s">
        <v>464</v>
      </c>
      <c r="E16" s="15" t="s">
        <v>465</v>
      </c>
      <c r="F16" s="22">
        <f t="shared" ca="1" si="0"/>
        <v>-58</v>
      </c>
      <c r="G16" s="16">
        <v>43611</v>
      </c>
      <c r="H16" s="16">
        <v>43673</v>
      </c>
      <c r="I16" s="17">
        <v>1</v>
      </c>
    </row>
    <row r="17" spans="1:9">
      <c r="A17" s="13">
        <v>16</v>
      </c>
      <c r="B17" s="14">
        <v>704100041933</v>
      </c>
      <c r="C17" s="4" t="s">
        <v>261</v>
      </c>
      <c r="D17" s="15" t="s">
        <v>262</v>
      </c>
      <c r="E17" s="15" t="s">
        <v>263</v>
      </c>
      <c r="F17" s="22">
        <f t="shared" ca="1" si="0"/>
        <v>-58</v>
      </c>
      <c r="G17" s="16">
        <v>43611</v>
      </c>
      <c r="H17" s="16">
        <v>43673</v>
      </c>
      <c r="I17" s="17">
        <v>1</v>
      </c>
    </row>
    <row r="18" spans="1:9">
      <c r="A18" s="13">
        <v>17</v>
      </c>
      <c r="B18" s="14">
        <v>106237556</v>
      </c>
      <c r="C18" s="24" t="s">
        <v>445</v>
      </c>
      <c r="D18" s="15" t="s">
        <v>446</v>
      </c>
      <c r="E18" s="15" t="s">
        <v>447</v>
      </c>
      <c r="F18" s="22">
        <f t="shared" ca="1" si="0"/>
        <v>-81</v>
      </c>
      <c r="G18" s="16">
        <v>43588</v>
      </c>
      <c r="H18" s="16">
        <v>43650</v>
      </c>
      <c r="I18" s="17">
        <v>1</v>
      </c>
    </row>
    <row r="19" spans="1:9">
      <c r="A19" s="13">
        <v>18</v>
      </c>
      <c r="B19" s="14">
        <v>800118682</v>
      </c>
      <c r="C19" s="25" t="s">
        <v>448</v>
      </c>
      <c r="D19" s="15" t="s">
        <v>449</v>
      </c>
      <c r="E19" s="15" t="s">
        <v>450</v>
      </c>
      <c r="F19" s="22">
        <f t="shared" ca="1" si="0"/>
        <v>-81</v>
      </c>
      <c r="G19" s="16">
        <v>43588</v>
      </c>
      <c r="H19" s="16">
        <v>43650</v>
      </c>
      <c r="I19" s="17">
        <v>1</v>
      </c>
    </row>
    <row r="20" spans="1:9">
      <c r="A20" s="13">
        <v>19</v>
      </c>
      <c r="B20" s="14">
        <v>102806575</v>
      </c>
      <c r="C20" s="25" t="s">
        <v>448</v>
      </c>
      <c r="D20" s="15" t="s">
        <v>449</v>
      </c>
      <c r="E20" s="15" t="s">
        <v>450</v>
      </c>
      <c r="F20" s="22">
        <f t="shared" ca="1" si="0"/>
        <v>-81</v>
      </c>
      <c r="G20" s="16">
        <v>43588</v>
      </c>
      <c r="H20" s="16">
        <v>43650</v>
      </c>
      <c r="I20" s="17">
        <v>1</v>
      </c>
    </row>
    <row r="21" spans="1:9">
      <c r="A21" s="13">
        <v>20</v>
      </c>
      <c r="B21" s="18">
        <v>104005476</v>
      </c>
      <c r="C21" s="59" t="s">
        <v>451</v>
      </c>
      <c r="D21" s="19" t="s">
        <v>452</v>
      </c>
      <c r="E21" s="19" t="s">
        <v>453</v>
      </c>
      <c r="F21" s="23">
        <f t="shared" ca="1" si="0"/>
        <v>-81</v>
      </c>
      <c r="G21" s="20">
        <v>43588</v>
      </c>
      <c r="H21" s="20">
        <v>43650</v>
      </c>
      <c r="I21" s="21">
        <v>1</v>
      </c>
    </row>
    <row r="22" spans="1:9">
      <c r="C22" s="1" t="s">
        <v>540</v>
      </c>
      <c r="G22" s="7" t="s">
        <v>541</v>
      </c>
      <c r="H22" s="3">
        <f>MIN(H$2:H21)</f>
        <v>43650</v>
      </c>
      <c r="I22" s="1" t="s">
        <v>544</v>
      </c>
    </row>
    <row r="23" spans="1:9">
      <c r="C23" s="1" t="s">
        <v>542</v>
      </c>
      <c r="I23" s="7" t="s">
        <v>543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I21"/>
  <sheetViews>
    <sheetView showGridLines="0" workbookViewId="0">
      <pane xSplit="3" ySplit="1" topLeftCell="D8" activePane="bottomRight" state="frozen"/>
      <selection pane="topRight" activeCell="D1" sqref="D1"/>
      <selection pane="bottomLeft" activeCell="A2" sqref="A2"/>
      <selection pane="bottomRight" activeCell="J12" sqref="J12"/>
    </sheetView>
  </sheetViews>
  <sheetFormatPr defaultRowHeight="14.4"/>
  <cols>
    <col min="1" max="1" width="2.88671875" style="2" bestFit="1" customWidth="1"/>
    <col min="2" max="2" width="11.33203125" style="6" bestFit="1" customWidth="1"/>
    <col min="3" max="3" width="30.77734375" style="1" customWidth="1"/>
    <col min="4" max="4" width="23.77734375" style="1" customWidth="1"/>
    <col min="5" max="5" width="9.44140625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8" t="s">
        <v>562</v>
      </c>
      <c r="B1" s="9" t="s">
        <v>554</v>
      </c>
      <c r="C1" s="10" t="s">
        <v>555</v>
      </c>
      <c r="D1" s="10" t="s">
        <v>556</v>
      </c>
      <c r="E1" s="10" t="s">
        <v>557</v>
      </c>
      <c r="F1" s="11" t="s">
        <v>558</v>
      </c>
      <c r="G1" s="10" t="s">
        <v>559</v>
      </c>
      <c r="H1" s="10" t="s">
        <v>560</v>
      </c>
      <c r="I1" s="12" t="s">
        <v>561</v>
      </c>
    </row>
    <row r="2" spans="1:9">
      <c r="A2" s="13">
        <v>1</v>
      </c>
      <c r="B2" s="14">
        <v>106672158</v>
      </c>
      <c r="C2" s="4" t="s">
        <v>545</v>
      </c>
      <c r="D2" s="15" t="s">
        <v>546</v>
      </c>
      <c r="E2" s="15" t="s">
        <v>547</v>
      </c>
      <c r="F2" s="22">
        <f t="shared" ref="F2:F19" ca="1" si="0">ROUND(H2-NOW(),0)-1</f>
        <v>-31</v>
      </c>
      <c r="G2" s="16">
        <v>43638</v>
      </c>
      <c r="H2" s="16">
        <v>43700</v>
      </c>
      <c r="I2" s="17">
        <v>1</v>
      </c>
    </row>
    <row r="3" spans="1:9">
      <c r="A3" s="13">
        <v>2</v>
      </c>
      <c r="B3" s="14">
        <v>106629178</v>
      </c>
      <c r="C3" s="4" t="s">
        <v>548</v>
      </c>
      <c r="D3" s="15" t="s">
        <v>549</v>
      </c>
      <c r="E3" s="15" t="s">
        <v>550</v>
      </c>
      <c r="F3" s="22">
        <f t="shared" ca="1" si="0"/>
        <v>-31</v>
      </c>
      <c r="G3" s="16">
        <v>43638</v>
      </c>
      <c r="H3" s="16">
        <v>43700</v>
      </c>
      <c r="I3" s="17">
        <v>1</v>
      </c>
    </row>
    <row r="4" spans="1:9">
      <c r="A4" s="13">
        <v>3</v>
      </c>
      <c r="B4" s="14">
        <v>105319072</v>
      </c>
      <c r="C4" s="4" t="s">
        <v>551</v>
      </c>
      <c r="D4" s="15" t="s">
        <v>552</v>
      </c>
      <c r="E4" s="15" t="s">
        <v>553</v>
      </c>
      <c r="F4" s="22">
        <f t="shared" ca="1" si="0"/>
        <v>-31</v>
      </c>
      <c r="G4" s="16">
        <v>43638</v>
      </c>
      <c r="H4" s="16">
        <v>43700</v>
      </c>
      <c r="I4" s="17">
        <v>1</v>
      </c>
    </row>
    <row r="5" spans="1:9">
      <c r="A5" s="13">
        <v>4</v>
      </c>
      <c r="B5" s="14">
        <v>106564510</v>
      </c>
      <c r="C5" s="4" t="s">
        <v>489</v>
      </c>
      <c r="D5" s="15" t="s">
        <v>490</v>
      </c>
      <c r="E5" s="15" t="s">
        <v>491</v>
      </c>
      <c r="F5" s="22">
        <f t="shared" ca="1" si="0"/>
        <v>-31</v>
      </c>
      <c r="G5" s="16">
        <v>43638</v>
      </c>
      <c r="H5" s="16">
        <v>43700</v>
      </c>
      <c r="I5" s="17">
        <v>1</v>
      </c>
    </row>
    <row r="6" spans="1:9">
      <c r="A6" s="13">
        <v>5</v>
      </c>
      <c r="B6" s="14">
        <v>105408665</v>
      </c>
      <c r="C6" s="4" t="s">
        <v>527</v>
      </c>
      <c r="D6" s="15" t="s">
        <v>528</v>
      </c>
      <c r="E6" s="15" t="s">
        <v>529</v>
      </c>
      <c r="F6" s="22">
        <f t="shared" ca="1" si="0"/>
        <v>-37</v>
      </c>
      <c r="G6" s="16">
        <v>43632</v>
      </c>
      <c r="H6" s="16">
        <v>43694</v>
      </c>
      <c r="I6" s="17">
        <v>1</v>
      </c>
    </row>
    <row r="7" spans="1:9">
      <c r="A7" s="13">
        <v>6</v>
      </c>
      <c r="B7" s="14">
        <v>106615780</v>
      </c>
      <c r="C7" s="4" t="s">
        <v>478</v>
      </c>
      <c r="D7" s="15" t="s">
        <v>479</v>
      </c>
      <c r="E7" s="15" t="s">
        <v>480</v>
      </c>
      <c r="F7" s="22">
        <f t="shared" ca="1" si="0"/>
        <v>-53</v>
      </c>
      <c r="G7" s="16">
        <v>43616</v>
      </c>
      <c r="H7" s="16">
        <v>43678</v>
      </c>
      <c r="I7" s="17">
        <v>1</v>
      </c>
    </row>
    <row r="8" spans="1:9">
      <c r="A8" s="13">
        <v>7</v>
      </c>
      <c r="B8" s="14">
        <v>106690668</v>
      </c>
      <c r="C8" s="4" t="s">
        <v>300</v>
      </c>
      <c r="D8" s="15" t="s">
        <v>301</v>
      </c>
      <c r="E8" s="15" t="s">
        <v>302</v>
      </c>
      <c r="F8" s="22">
        <f t="shared" ca="1" si="0"/>
        <v>-53</v>
      </c>
      <c r="G8" s="16">
        <v>43616</v>
      </c>
      <c r="H8" s="16">
        <v>43678</v>
      </c>
      <c r="I8" s="17">
        <v>1</v>
      </c>
    </row>
    <row r="9" spans="1:9">
      <c r="A9" s="13">
        <v>8</v>
      </c>
      <c r="B9" s="14">
        <v>105651817</v>
      </c>
      <c r="C9" s="4" t="s">
        <v>486</v>
      </c>
      <c r="D9" s="15" t="s">
        <v>487</v>
      </c>
      <c r="E9" s="15" t="s">
        <v>488</v>
      </c>
      <c r="F9" s="22">
        <f t="shared" ca="1" si="0"/>
        <v>-53</v>
      </c>
      <c r="G9" s="16">
        <v>43616</v>
      </c>
      <c r="H9" s="16">
        <v>43678</v>
      </c>
      <c r="I9" s="17">
        <v>1</v>
      </c>
    </row>
    <row r="10" spans="1:9">
      <c r="A10" s="13">
        <v>9</v>
      </c>
      <c r="B10" s="14">
        <v>106564512</v>
      </c>
      <c r="C10" s="4" t="s">
        <v>489</v>
      </c>
      <c r="D10" s="15" t="s">
        <v>490</v>
      </c>
      <c r="E10" s="15" t="s">
        <v>491</v>
      </c>
      <c r="F10" s="22">
        <f t="shared" ca="1" si="0"/>
        <v>-53</v>
      </c>
      <c r="G10" s="16">
        <v>43616</v>
      </c>
      <c r="H10" s="16">
        <v>43678</v>
      </c>
      <c r="I10" s="17">
        <v>1</v>
      </c>
    </row>
    <row r="11" spans="1:9">
      <c r="A11" s="13">
        <v>10</v>
      </c>
      <c r="B11" s="14">
        <v>106564362</v>
      </c>
      <c r="C11" s="4" t="s">
        <v>492</v>
      </c>
      <c r="D11" s="15" t="s">
        <v>493</v>
      </c>
      <c r="E11" s="15" t="s">
        <v>494</v>
      </c>
      <c r="F11" s="22">
        <f t="shared" ca="1" si="0"/>
        <v>-53</v>
      </c>
      <c r="G11" s="16">
        <v>43616</v>
      </c>
      <c r="H11" s="16">
        <v>43678</v>
      </c>
      <c r="I11" s="17">
        <v>1</v>
      </c>
    </row>
    <row r="12" spans="1:9">
      <c r="A12" s="13">
        <v>11</v>
      </c>
      <c r="B12" s="14">
        <v>106617255</v>
      </c>
      <c r="C12" s="4" t="s">
        <v>495</v>
      </c>
      <c r="D12" s="15" t="s">
        <v>496</v>
      </c>
      <c r="E12" s="15" t="s">
        <v>497</v>
      </c>
      <c r="F12" s="22">
        <f t="shared" ca="1" si="0"/>
        <v>-53</v>
      </c>
      <c r="G12" s="16">
        <v>43616</v>
      </c>
      <c r="H12" s="16">
        <v>43678</v>
      </c>
      <c r="I12" s="17">
        <v>1</v>
      </c>
    </row>
    <row r="13" spans="1:9">
      <c r="A13" s="13">
        <v>12</v>
      </c>
      <c r="B13" s="14">
        <v>105513908</v>
      </c>
      <c r="C13" s="4" t="s">
        <v>498</v>
      </c>
      <c r="D13" s="15" t="s">
        <v>499</v>
      </c>
      <c r="E13" s="15" t="s">
        <v>500</v>
      </c>
      <c r="F13" s="22">
        <f t="shared" ca="1" si="0"/>
        <v>-53</v>
      </c>
      <c r="G13" s="16">
        <v>43616</v>
      </c>
      <c r="H13" s="16">
        <v>43678</v>
      </c>
      <c r="I13" s="17">
        <v>1</v>
      </c>
    </row>
    <row r="14" spans="1:9">
      <c r="A14" s="13">
        <v>13</v>
      </c>
      <c r="B14" s="14">
        <v>105187644</v>
      </c>
      <c r="C14" s="4" t="s">
        <v>501</v>
      </c>
      <c r="D14" s="15" t="s">
        <v>502</v>
      </c>
      <c r="E14" s="15" t="s">
        <v>503</v>
      </c>
      <c r="F14" s="22">
        <f t="shared" ca="1" si="0"/>
        <v>-53</v>
      </c>
      <c r="G14" s="16">
        <v>43616</v>
      </c>
      <c r="H14" s="16">
        <v>43678</v>
      </c>
      <c r="I14" s="17">
        <v>1</v>
      </c>
    </row>
    <row r="15" spans="1:9">
      <c r="A15" s="13">
        <v>14</v>
      </c>
      <c r="B15" s="14">
        <v>105875250</v>
      </c>
      <c r="C15" s="4" t="s">
        <v>504</v>
      </c>
      <c r="D15" s="15" t="s">
        <v>505</v>
      </c>
      <c r="E15" s="15" t="s">
        <v>506</v>
      </c>
      <c r="F15" s="22">
        <f t="shared" ca="1" si="0"/>
        <v>-53</v>
      </c>
      <c r="G15" s="16">
        <v>43616</v>
      </c>
      <c r="H15" s="16">
        <v>43678</v>
      </c>
      <c r="I15" s="17">
        <v>1</v>
      </c>
    </row>
    <row r="16" spans="1:9">
      <c r="A16" s="13">
        <v>15</v>
      </c>
      <c r="B16" s="14">
        <v>106244957</v>
      </c>
      <c r="C16" s="4" t="s">
        <v>507</v>
      </c>
      <c r="D16" s="15" t="s">
        <v>508</v>
      </c>
      <c r="E16" s="15" t="s">
        <v>509</v>
      </c>
      <c r="F16" s="22">
        <f t="shared" ca="1" si="0"/>
        <v>-53</v>
      </c>
      <c r="G16" s="16">
        <v>43616</v>
      </c>
      <c r="H16" s="16">
        <v>43678</v>
      </c>
      <c r="I16" s="17">
        <v>1</v>
      </c>
    </row>
    <row r="17" spans="1:9">
      <c r="A17" s="13">
        <v>16</v>
      </c>
      <c r="B17" s="14">
        <v>105606404</v>
      </c>
      <c r="C17" s="4" t="s">
        <v>510</v>
      </c>
      <c r="D17" s="15" t="s">
        <v>511</v>
      </c>
      <c r="E17" s="15" t="s">
        <v>512</v>
      </c>
      <c r="F17" s="22">
        <f t="shared" ca="1" si="0"/>
        <v>-53</v>
      </c>
      <c r="G17" s="16">
        <v>43616</v>
      </c>
      <c r="H17" s="16">
        <v>43678</v>
      </c>
      <c r="I17" s="17">
        <v>1</v>
      </c>
    </row>
    <row r="18" spans="1:9">
      <c r="A18" s="13">
        <v>17</v>
      </c>
      <c r="B18" s="14">
        <v>702100106706</v>
      </c>
      <c r="C18" s="4" t="s">
        <v>463</v>
      </c>
      <c r="D18" s="15" t="s">
        <v>464</v>
      </c>
      <c r="E18" s="15" t="s">
        <v>465</v>
      </c>
      <c r="F18" s="22">
        <f t="shared" ca="1" si="0"/>
        <v>-58</v>
      </c>
      <c r="G18" s="16">
        <v>43611</v>
      </c>
      <c r="H18" s="16">
        <v>43673</v>
      </c>
      <c r="I18" s="17">
        <v>1</v>
      </c>
    </row>
    <row r="19" spans="1:9">
      <c r="A19" s="13">
        <v>18</v>
      </c>
      <c r="B19" s="18">
        <v>704100041933</v>
      </c>
      <c r="C19" s="5" t="s">
        <v>261</v>
      </c>
      <c r="D19" s="19" t="s">
        <v>262</v>
      </c>
      <c r="E19" s="19" t="s">
        <v>263</v>
      </c>
      <c r="F19" s="23">
        <f t="shared" ca="1" si="0"/>
        <v>-58</v>
      </c>
      <c r="G19" s="20">
        <v>43611</v>
      </c>
      <c r="H19" s="20">
        <v>43673</v>
      </c>
      <c r="I19" s="21">
        <v>1</v>
      </c>
    </row>
    <row r="20" spans="1:9">
      <c r="C20" s="1" t="s">
        <v>563</v>
      </c>
      <c r="G20" s="7" t="s">
        <v>564</v>
      </c>
      <c r="H20" s="3">
        <f>MIN(H$2:H19)</f>
        <v>43673</v>
      </c>
      <c r="I20" s="1" t="s">
        <v>567</v>
      </c>
    </row>
    <row r="21" spans="1:9">
      <c r="C21" s="1" t="s">
        <v>565</v>
      </c>
      <c r="I21" s="7" t="s">
        <v>566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I21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16" sqref="C16"/>
    </sheetView>
  </sheetViews>
  <sheetFormatPr defaultRowHeight="14.4"/>
  <cols>
    <col min="1" max="1" width="2.88671875" style="2" bestFit="1" customWidth="1"/>
    <col min="2" max="2" width="11.33203125" style="6" bestFit="1" customWidth="1"/>
    <col min="3" max="3" width="30.77734375" style="1" customWidth="1"/>
    <col min="4" max="4" width="23.77734375" style="1" customWidth="1"/>
    <col min="5" max="5" width="9.21875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571</v>
      </c>
      <c r="C1" s="10" t="s">
        <v>572</v>
      </c>
      <c r="D1" s="10" t="s">
        <v>573</v>
      </c>
      <c r="E1" s="10" t="s">
        <v>574</v>
      </c>
      <c r="F1" s="11" t="s">
        <v>575</v>
      </c>
      <c r="G1" s="10" t="s">
        <v>576</v>
      </c>
      <c r="H1" s="10" t="s">
        <v>577</v>
      </c>
      <c r="I1" s="12" t="s">
        <v>578</v>
      </c>
    </row>
    <row r="2" spans="1:9">
      <c r="A2" s="13">
        <v>1</v>
      </c>
      <c r="B2" s="14">
        <v>705100000544</v>
      </c>
      <c r="C2" s="4" t="s">
        <v>568</v>
      </c>
      <c r="D2" s="15" t="s">
        <v>569</v>
      </c>
      <c r="E2" s="15" t="s">
        <v>570</v>
      </c>
      <c r="F2" s="22">
        <f t="shared" ref="F2:F19" ca="1" si="0">ROUND(H2-NOW(),0)-1</f>
        <v>-23</v>
      </c>
      <c r="G2" s="16">
        <v>43646</v>
      </c>
      <c r="H2" s="16">
        <v>43708</v>
      </c>
      <c r="I2" s="17">
        <v>1</v>
      </c>
    </row>
    <row r="3" spans="1:9">
      <c r="A3" s="13">
        <v>2</v>
      </c>
      <c r="B3" s="14">
        <v>702100106706</v>
      </c>
      <c r="C3" s="4" t="s">
        <v>463</v>
      </c>
      <c r="D3" s="15" t="s">
        <v>464</v>
      </c>
      <c r="E3" s="15" t="s">
        <v>465</v>
      </c>
      <c r="F3" s="22">
        <f t="shared" ca="1" si="0"/>
        <v>-23</v>
      </c>
      <c r="G3" s="16">
        <v>43646</v>
      </c>
      <c r="H3" s="16">
        <v>43708</v>
      </c>
      <c r="I3" s="17">
        <v>1</v>
      </c>
    </row>
    <row r="4" spans="1:9">
      <c r="A4" s="13">
        <v>3</v>
      </c>
      <c r="B4" s="14">
        <v>106672158</v>
      </c>
      <c r="C4" s="4" t="s">
        <v>545</v>
      </c>
      <c r="D4" s="15" t="s">
        <v>546</v>
      </c>
      <c r="E4" s="15" t="s">
        <v>547</v>
      </c>
      <c r="F4" s="22">
        <f t="shared" ca="1" si="0"/>
        <v>-31</v>
      </c>
      <c r="G4" s="16">
        <v>43638</v>
      </c>
      <c r="H4" s="16">
        <v>43700</v>
      </c>
      <c r="I4" s="17">
        <v>1</v>
      </c>
    </row>
    <row r="5" spans="1:9">
      <c r="A5" s="13">
        <v>4</v>
      </c>
      <c r="B5" s="14">
        <v>106629178</v>
      </c>
      <c r="C5" s="4" t="s">
        <v>548</v>
      </c>
      <c r="D5" s="15" t="s">
        <v>549</v>
      </c>
      <c r="E5" s="15" t="s">
        <v>550</v>
      </c>
      <c r="F5" s="22">
        <f t="shared" ca="1" si="0"/>
        <v>-31</v>
      </c>
      <c r="G5" s="16">
        <v>43638</v>
      </c>
      <c r="H5" s="16">
        <v>43700</v>
      </c>
      <c r="I5" s="17">
        <v>1</v>
      </c>
    </row>
    <row r="6" spans="1:9">
      <c r="A6" s="13">
        <v>5</v>
      </c>
      <c r="B6" s="14">
        <v>105319072</v>
      </c>
      <c r="C6" s="4" t="s">
        <v>551</v>
      </c>
      <c r="D6" s="15" t="s">
        <v>552</v>
      </c>
      <c r="E6" s="15" t="s">
        <v>553</v>
      </c>
      <c r="F6" s="22">
        <f t="shared" ca="1" si="0"/>
        <v>-31</v>
      </c>
      <c r="G6" s="16">
        <v>43638</v>
      </c>
      <c r="H6" s="16">
        <v>43700</v>
      </c>
      <c r="I6" s="17">
        <v>1</v>
      </c>
    </row>
    <row r="7" spans="1:9">
      <c r="A7" s="13">
        <v>6</v>
      </c>
      <c r="B7" s="14">
        <v>105408665</v>
      </c>
      <c r="C7" s="4" t="s">
        <v>527</v>
      </c>
      <c r="D7" s="15" t="s">
        <v>528</v>
      </c>
      <c r="E7" s="15" t="s">
        <v>529</v>
      </c>
      <c r="F7" s="22">
        <f t="shared" ca="1" si="0"/>
        <v>-37</v>
      </c>
      <c r="G7" s="16">
        <v>43632</v>
      </c>
      <c r="H7" s="16">
        <v>43694</v>
      </c>
      <c r="I7" s="17">
        <v>1</v>
      </c>
    </row>
    <row r="8" spans="1:9">
      <c r="A8" s="13">
        <v>7</v>
      </c>
      <c r="B8" s="14">
        <v>106615780</v>
      </c>
      <c r="C8" s="4" t="s">
        <v>478</v>
      </c>
      <c r="D8" s="15" t="s">
        <v>479</v>
      </c>
      <c r="E8" s="15" t="s">
        <v>480</v>
      </c>
      <c r="F8" s="22">
        <f t="shared" ca="1" si="0"/>
        <v>-53</v>
      </c>
      <c r="G8" s="16">
        <v>43616</v>
      </c>
      <c r="H8" s="16">
        <v>43678</v>
      </c>
      <c r="I8" s="17">
        <v>1</v>
      </c>
    </row>
    <row r="9" spans="1:9">
      <c r="A9" s="13">
        <v>8</v>
      </c>
      <c r="B9" s="14">
        <v>106690668</v>
      </c>
      <c r="C9" s="4" t="s">
        <v>300</v>
      </c>
      <c r="D9" s="15" t="s">
        <v>301</v>
      </c>
      <c r="E9" s="15" t="s">
        <v>302</v>
      </c>
      <c r="F9" s="22">
        <f t="shared" ca="1" si="0"/>
        <v>-53</v>
      </c>
      <c r="G9" s="16">
        <v>43616</v>
      </c>
      <c r="H9" s="16">
        <v>43678</v>
      </c>
      <c r="I9" s="17">
        <v>1</v>
      </c>
    </row>
    <row r="10" spans="1:9">
      <c r="A10" s="13">
        <v>9</v>
      </c>
      <c r="B10" s="14">
        <v>105651817</v>
      </c>
      <c r="C10" s="4" t="s">
        <v>486</v>
      </c>
      <c r="D10" s="15" t="s">
        <v>487</v>
      </c>
      <c r="E10" s="15" t="s">
        <v>488</v>
      </c>
      <c r="F10" s="22">
        <f t="shared" ca="1" si="0"/>
        <v>-53</v>
      </c>
      <c r="G10" s="16">
        <v>43616</v>
      </c>
      <c r="H10" s="16">
        <v>43678</v>
      </c>
      <c r="I10" s="17">
        <v>1</v>
      </c>
    </row>
    <row r="11" spans="1:9">
      <c r="A11" s="13">
        <v>10</v>
      </c>
      <c r="B11" s="14">
        <v>106564512</v>
      </c>
      <c r="C11" s="4" t="s">
        <v>489</v>
      </c>
      <c r="D11" s="15" t="s">
        <v>490</v>
      </c>
      <c r="E11" s="15" t="s">
        <v>491</v>
      </c>
      <c r="F11" s="22">
        <f t="shared" ca="1" si="0"/>
        <v>-53</v>
      </c>
      <c r="G11" s="16">
        <v>43616</v>
      </c>
      <c r="H11" s="16">
        <v>43678</v>
      </c>
      <c r="I11" s="17">
        <v>1</v>
      </c>
    </row>
    <row r="12" spans="1:9">
      <c r="A12" s="13">
        <v>11</v>
      </c>
      <c r="B12" s="14">
        <v>106564362</v>
      </c>
      <c r="C12" s="4" t="s">
        <v>492</v>
      </c>
      <c r="D12" s="15" t="s">
        <v>493</v>
      </c>
      <c r="E12" s="15" t="s">
        <v>494</v>
      </c>
      <c r="F12" s="22">
        <f t="shared" ca="1" si="0"/>
        <v>-53</v>
      </c>
      <c r="G12" s="16">
        <v>43616</v>
      </c>
      <c r="H12" s="16">
        <v>43678</v>
      </c>
      <c r="I12" s="17">
        <v>1</v>
      </c>
    </row>
    <row r="13" spans="1:9">
      <c r="A13" s="13">
        <v>12</v>
      </c>
      <c r="B13" s="14">
        <v>106617255</v>
      </c>
      <c r="C13" s="4" t="s">
        <v>495</v>
      </c>
      <c r="D13" s="15" t="s">
        <v>496</v>
      </c>
      <c r="E13" s="15" t="s">
        <v>497</v>
      </c>
      <c r="F13" s="22">
        <f t="shared" ca="1" si="0"/>
        <v>-53</v>
      </c>
      <c r="G13" s="16">
        <v>43616</v>
      </c>
      <c r="H13" s="16">
        <v>43678</v>
      </c>
      <c r="I13" s="17">
        <v>1</v>
      </c>
    </row>
    <row r="14" spans="1:9">
      <c r="A14" s="13">
        <v>13</v>
      </c>
      <c r="B14" s="14">
        <v>105513908</v>
      </c>
      <c r="C14" s="4" t="s">
        <v>498</v>
      </c>
      <c r="D14" s="15" t="s">
        <v>499</v>
      </c>
      <c r="E14" s="15" t="s">
        <v>500</v>
      </c>
      <c r="F14" s="22">
        <f t="shared" ca="1" si="0"/>
        <v>-53</v>
      </c>
      <c r="G14" s="16">
        <v>43616</v>
      </c>
      <c r="H14" s="16">
        <v>43678</v>
      </c>
      <c r="I14" s="17">
        <v>1</v>
      </c>
    </row>
    <row r="15" spans="1:9">
      <c r="A15" s="13">
        <v>14</v>
      </c>
      <c r="B15" s="14">
        <v>105875250</v>
      </c>
      <c r="C15" s="4" t="s">
        <v>504</v>
      </c>
      <c r="D15" s="15" t="s">
        <v>505</v>
      </c>
      <c r="E15" s="15" t="s">
        <v>506</v>
      </c>
      <c r="F15" s="22">
        <f t="shared" ca="1" si="0"/>
        <v>-53</v>
      </c>
      <c r="G15" s="16">
        <v>43616</v>
      </c>
      <c r="H15" s="16">
        <v>43678</v>
      </c>
      <c r="I15" s="17">
        <v>1</v>
      </c>
    </row>
    <row r="16" spans="1:9">
      <c r="A16" s="13">
        <v>15</v>
      </c>
      <c r="B16" s="14">
        <v>105187644</v>
      </c>
      <c r="C16" s="4" t="s">
        <v>501</v>
      </c>
      <c r="D16" s="15" t="s">
        <v>502</v>
      </c>
      <c r="E16" s="15" t="s">
        <v>503</v>
      </c>
      <c r="F16" s="22">
        <f t="shared" ca="1" si="0"/>
        <v>-53</v>
      </c>
      <c r="G16" s="16">
        <v>43616</v>
      </c>
      <c r="H16" s="16">
        <v>43678</v>
      </c>
      <c r="I16" s="17">
        <v>1</v>
      </c>
    </row>
    <row r="17" spans="1:9">
      <c r="A17" s="13">
        <v>16</v>
      </c>
      <c r="B17" s="14">
        <v>106244957</v>
      </c>
      <c r="C17" s="4" t="s">
        <v>507</v>
      </c>
      <c r="D17" s="15" t="s">
        <v>508</v>
      </c>
      <c r="E17" s="15" t="s">
        <v>509</v>
      </c>
      <c r="F17" s="22">
        <f t="shared" ca="1" si="0"/>
        <v>-53</v>
      </c>
      <c r="G17" s="16">
        <v>43616</v>
      </c>
      <c r="H17" s="16">
        <v>43678</v>
      </c>
      <c r="I17" s="17">
        <v>1</v>
      </c>
    </row>
    <row r="18" spans="1:9">
      <c r="A18" s="13">
        <v>17</v>
      </c>
      <c r="B18" s="14">
        <v>105606404</v>
      </c>
      <c r="C18" s="4" t="s">
        <v>510</v>
      </c>
      <c r="D18" s="15" t="s">
        <v>511</v>
      </c>
      <c r="E18" s="15" t="s">
        <v>512</v>
      </c>
      <c r="F18" s="22">
        <f t="shared" ca="1" si="0"/>
        <v>-53</v>
      </c>
      <c r="G18" s="16">
        <v>43616</v>
      </c>
      <c r="H18" s="16">
        <v>43678</v>
      </c>
      <c r="I18" s="17">
        <v>1</v>
      </c>
    </row>
    <row r="19" spans="1:9">
      <c r="A19" s="13">
        <v>18</v>
      </c>
      <c r="B19" s="18">
        <v>704100041933</v>
      </c>
      <c r="C19" s="5" t="s">
        <v>261</v>
      </c>
      <c r="D19" s="19" t="s">
        <v>262</v>
      </c>
      <c r="E19" s="19" t="s">
        <v>263</v>
      </c>
      <c r="F19" s="23">
        <f t="shared" ca="1" si="0"/>
        <v>-58</v>
      </c>
      <c r="G19" s="20">
        <v>43611</v>
      </c>
      <c r="H19" s="20">
        <v>43673</v>
      </c>
      <c r="I19" s="21">
        <v>1</v>
      </c>
    </row>
    <row r="20" spans="1:9">
      <c r="C20" s="1" t="s">
        <v>579</v>
      </c>
      <c r="G20" s="7" t="s">
        <v>6</v>
      </c>
      <c r="H20" s="3">
        <f>MIN(H$2:H19)</f>
        <v>43673</v>
      </c>
      <c r="I20" s="1" t="s">
        <v>580</v>
      </c>
    </row>
    <row r="21" spans="1:9">
      <c r="C21" s="1" t="s">
        <v>81</v>
      </c>
      <c r="I21" s="7" t="s">
        <v>7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1:I17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21" sqref="F21"/>
    </sheetView>
  </sheetViews>
  <sheetFormatPr defaultRowHeight="14.4"/>
  <cols>
    <col min="1" max="1" width="2.88671875" style="2" bestFit="1" customWidth="1"/>
    <col min="2" max="2" width="11.33203125" style="6" bestFit="1" customWidth="1"/>
    <col min="3" max="3" width="30.77734375" style="1" customWidth="1"/>
    <col min="4" max="4" width="23.77734375" style="1" customWidth="1"/>
    <col min="5" max="5" width="9.21875" style="1" bestFit="1" customWidth="1"/>
    <col min="6" max="6" width="8" style="2" bestFit="1" customWidth="1"/>
    <col min="7" max="7" width="12.77734375" style="1" customWidth="1"/>
    <col min="8" max="8" width="9.554687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581</v>
      </c>
      <c r="C1" s="10" t="s">
        <v>582</v>
      </c>
      <c r="D1" s="10" t="s">
        <v>583</v>
      </c>
      <c r="E1" s="10" t="s">
        <v>584</v>
      </c>
      <c r="F1" s="11" t="s">
        <v>585</v>
      </c>
      <c r="G1" s="10" t="s">
        <v>586</v>
      </c>
      <c r="H1" s="10" t="s">
        <v>587</v>
      </c>
      <c r="I1" s="12" t="s">
        <v>588</v>
      </c>
    </row>
    <row r="2" spans="1:9">
      <c r="A2" s="13">
        <v>1</v>
      </c>
      <c r="B2" s="14">
        <v>705100000544</v>
      </c>
      <c r="C2" s="4" t="s">
        <v>568</v>
      </c>
      <c r="D2" s="15" t="s">
        <v>569</v>
      </c>
      <c r="E2" s="15" t="s">
        <v>570</v>
      </c>
      <c r="F2" s="22">
        <f t="shared" ref="F2:F15" ca="1" si="0">ROUND(H2-NOW(),0)-1</f>
        <v>-23</v>
      </c>
      <c r="G2" s="16">
        <v>43646</v>
      </c>
      <c r="H2" s="16">
        <v>43708</v>
      </c>
      <c r="I2" s="17">
        <v>1</v>
      </c>
    </row>
    <row r="3" spans="1:9">
      <c r="A3" s="13">
        <v>2</v>
      </c>
      <c r="B3" s="14">
        <v>702100106706</v>
      </c>
      <c r="C3" s="4" t="s">
        <v>463</v>
      </c>
      <c r="D3" s="15" t="s">
        <v>464</v>
      </c>
      <c r="E3" s="15" t="s">
        <v>465</v>
      </c>
      <c r="F3" s="22">
        <f t="shared" ca="1" si="0"/>
        <v>-23</v>
      </c>
      <c r="G3" s="16">
        <v>43646</v>
      </c>
      <c r="H3" s="16">
        <v>43708</v>
      </c>
      <c r="I3" s="17">
        <v>1</v>
      </c>
    </row>
    <row r="4" spans="1:9">
      <c r="A4" s="13">
        <v>3</v>
      </c>
      <c r="B4" s="14">
        <v>106672158</v>
      </c>
      <c r="C4" s="4" t="s">
        <v>545</v>
      </c>
      <c r="D4" s="15" t="s">
        <v>546</v>
      </c>
      <c r="E4" s="15" t="s">
        <v>547</v>
      </c>
      <c r="F4" s="22">
        <f t="shared" ca="1" si="0"/>
        <v>-31</v>
      </c>
      <c r="G4" s="16">
        <v>43638</v>
      </c>
      <c r="H4" s="16">
        <v>43700</v>
      </c>
      <c r="I4" s="17">
        <v>1</v>
      </c>
    </row>
    <row r="5" spans="1:9">
      <c r="A5" s="13">
        <v>4</v>
      </c>
      <c r="B5" s="14">
        <v>106629178</v>
      </c>
      <c r="C5" s="4" t="s">
        <v>548</v>
      </c>
      <c r="D5" s="15" t="s">
        <v>549</v>
      </c>
      <c r="E5" s="15" t="s">
        <v>550</v>
      </c>
      <c r="F5" s="22">
        <f t="shared" ca="1" si="0"/>
        <v>-31</v>
      </c>
      <c r="G5" s="16">
        <v>43638</v>
      </c>
      <c r="H5" s="16">
        <v>43700</v>
      </c>
      <c r="I5" s="17">
        <v>1</v>
      </c>
    </row>
    <row r="6" spans="1:9">
      <c r="A6" s="13">
        <v>5</v>
      </c>
      <c r="B6" s="14">
        <v>105319072</v>
      </c>
      <c r="C6" s="4" t="s">
        <v>551</v>
      </c>
      <c r="D6" s="15" t="s">
        <v>552</v>
      </c>
      <c r="E6" s="15" t="s">
        <v>553</v>
      </c>
      <c r="F6" s="22">
        <f t="shared" ca="1" si="0"/>
        <v>-31</v>
      </c>
      <c r="G6" s="16">
        <v>43638</v>
      </c>
      <c r="H6" s="16">
        <v>43700</v>
      </c>
      <c r="I6" s="17">
        <v>1</v>
      </c>
    </row>
    <row r="7" spans="1:9">
      <c r="A7" s="13">
        <v>6</v>
      </c>
      <c r="B7" s="14">
        <v>105408665</v>
      </c>
      <c r="C7" s="4" t="s">
        <v>527</v>
      </c>
      <c r="D7" s="15" t="s">
        <v>528</v>
      </c>
      <c r="E7" s="15" t="s">
        <v>529</v>
      </c>
      <c r="F7" s="22">
        <f t="shared" ca="1" si="0"/>
        <v>-37</v>
      </c>
      <c r="G7" s="16">
        <v>43632</v>
      </c>
      <c r="H7" s="16">
        <v>43694</v>
      </c>
      <c r="I7" s="17">
        <v>1</v>
      </c>
    </row>
    <row r="8" spans="1:9">
      <c r="A8" s="13">
        <v>7</v>
      </c>
      <c r="B8" s="14">
        <v>106615780</v>
      </c>
      <c r="C8" s="4" t="s">
        <v>478</v>
      </c>
      <c r="D8" s="15" t="s">
        <v>479</v>
      </c>
      <c r="E8" s="15" t="s">
        <v>480</v>
      </c>
      <c r="F8" s="22">
        <f t="shared" ca="1" si="0"/>
        <v>-53</v>
      </c>
      <c r="G8" s="16">
        <v>43616</v>
      </c>
      <c r="H8" s="16">
        <v>43678</v>
      </c>
      <c r="I8" s="17">
        <v>1</v>
      </c>
    </row>
    <row r="9" spans="1:9">
      <c r="A9" s="13">
        <v>8</v>
      </c>
      <c r="B9" s="14">
        <v>106690668</v>
      </c>
      <c r="C9" s="4" t="s">
        <v>300</v>
      </c>
      <c r="D9" s="15" t="s">
        <v>301</v>
      </c>
      <c r="E9" s="15" t="s">
        <v>302</v>
      </c>
      <c r="F9" s="22">
        <f t="shared" ca="1" si="0"/>
        <v>-53</v>
      </c>
      <c r="G9" s="16">
        <v>43616</v>
      </c>
      <c r="H9" s="16">
        <v>43678</v>
      </c>
      <c r="I9" s="17">
        <v>1</v>
      </c>
    </row>
    <row r="10" spans="1:9">
      <c r="A10" s="13">
        <v>9</v>
      </c>
      <c r="B10" s="14">
        <v>106564362</v>
      </c>
      <c r="C10" s="4" t="s">
        <v>492</v>
      </c>
      <c r="D10" s="15" t="s">
        <v>493</v>
      </c>
      <c r="E10" s="15" t="s">
        <v>494</v>
      </c>
      <c r="F10" s="22">
        <f t="shared" ca="1" si="0"/>
        <v>-53</v>
      </c>
      <c r="G10" s="16">
        <v>43616</v>
      </c>
      <c r="H10" s="16">
        <v>43678</v>
      </c>
      <c r="I10" s="17">
        <v>1</v>
      </c>
    </row>
    <row r="11" spans="1:9">
      <c r="A11" s="13">
        <v>10</v>
      </c>
      <c r="B11" s="14">
        <v>106617255</v>
      </c>
      <c r="C11" s="4" t="s">
        <v>495</v>
      </c>
      <c r="D11" s="15" t="s">
        <v>496</v>
      </c>
      <c r="E11" s="15" t="s">
        <v>497</v>
      </c>
      <c r="F11" s="22">
        <f t="shared" ca="1" si="0"/>
        <v>-53</v>
      </c>
      <c r="G11" s="16">
        <v>43616</v>
      </c>
      <c r="H11" s="16">
        <v>43678</v>
      </c>
      <c r="I11" s="17">
        <v>1</v>
      </c>
    </row>
    <row r="12" spans="1:9">
      <c r="A12" s="13">
        <v>11</v>
      </c>
      <c r="B12" s="14">
        <v>105513908</v>
      </c>
      <c r="C12" s="4" t="s">
        <v>498</v>
      </c>
      <c r="D12" s="15" t="s">
        <v>499</v>
      </c>
      <c r="E12" s="15" t="s">
        <v>500</v>
      </c>
      <c r="F12" s="22">
        <f t="shared" ca="1" si="0"/>
        <v>-53</v>
      </c>
      <c r="G12" s="16">
        <v>43616</v>
      </c>
      <c r="H12" s="16">
        <v>43678</v>
      </c>
      <c r="I12" s="17">
        <v>1</v>
      </c>
    </row>
    <row r="13" spans="1:9">
      <c r="A13" s="13">
        <v>12</v>
      </c>
      <c r="B13" s="14">
        <v>105187644</v>
      </c>
      <c r="C13" s="4" t="s">
        <v>501</v>
      </c>
      <c r="D13" s="15" t="s">
        <v>502</v>
      </c>
      <c r="E13" s="15" t="s">
        <v>503</v>
      </c>
      <c r="F13" s="22">
        <f t="shared" ca="1" si="0"/>
        <v>-53</v>
      </c>
      <c r="G13" s="16">
        <v>43616</v>
      </c>
      <c r="H13" s="16">
        <v>43678</v>
      </c>
      <c r="I13" s="17">
        <v>1</v>
      </c>
    </row>
    <row r="14" spans="1:9">
      <c r="A14" s="13">
        <v>13</v>
      </c>
      <c r="B14" s="14">
        <v>106244957</v>
      </c>
      <c r="C14" s="4" t="s">
        <v>507</v>
      </c>
      <c r="D14" s="15" t="s">
        <v>508</v>
      </c>
      <c r="E14" s="15" t="s">
        <v>509</v>
      </c>
      <c r="F14" s="22">
        <f t="shared" ca="1" si="0"/>
        <v>-53</v>
      </c>
      <c r="G14" s="16">
        <v>43616</v>
      </c>
      <c r="H14" s="16">
        <v>43678</v>
      </c>
      <c r="I14" s="17">
        <v>1</v>
      </c>
    </row>
    <row r="15" spans="1:9">
      <c r="A15" s="13">
        <v>14</v>
      </c>
      <c r="B15" s="18">
        <v>105606404</v>
      </c>
      <c r="C15" s="5" t="s">
        <v>510</v>
      </c>
      <c r="D15" s="19" t="s">
        <v>511</v>
      </c>
      <c r="E15" s="19" t="s">
        <v>512</v>
      </c>
      <c r="F15" s="23">
        <f t="shared" ca="1" si="0"/>
        <v>-53</v>
      </c>
      <c r="G15" s="20">
        <v>43616</v>
      </c>
      <c r="H15" s="20">
        <v>43678</v>
      </c>
      <c r="I15" s="21">
        <v>1</v>
      </c>
    </row>
    <row r="16" spans="1:9">
      <c r="C16" s="1" t="s">
        <v>127</v>
      </c>
      <c r="G16" s="7" t="s">
        <v>6</v>
      </c>
      <c r="H16" s="3">
        <f>MIN(H$2:H15)</f>
        <v>43678</v>
      </c>
      <c r="I16" s="1" t="s">
        <v>353</v>
      </c>
    </row>
    <row r="17" spans="3:9">
      <c r="C17" s="1" t="s">
        <v>81</v>
      </c>
      <c r="I17" s="7" t="s">
        <v>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:I1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H17" sqref="H17"/>
    </sheetView>
  </sheetViews>
  <sheetFormatPr defaultRowHeight="14.4"/>
  <cols>
    <col min="1" max="1" width="2.88671875" style="2" bestFit="1" customWidth="1"/>
    <col min="2" max="2" width="8.88671875" style="6" bestFit="1" customWidth="1"/>
    <col min="3" max="3" width="30.77734375" style="1" customWidth="1"/>
    <col min="4" max="4" width="23.77734375" style="1" customWidth="1"/>
    <col min="5" max="5" width="9.21875" style="1" bestFit="1" customWidth="1"/>
    <col min="6" max="6" width="8" style="2" bestFit="1" customWidth="1"/>
    <col min="7" max="7" width="12.77734375" style="1" customWidth="1"/>
    <col min="8" max="8" width="9.554687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607</v>
      </c>
      <c r="C1" s="10" t="s">
        <v>608</v>
      </c>
      <c r="D1" s="10" t="s">
        <v>609</v>
      </c>
      <c r="E1" s="10" t="s">
        <v>610</v>
      </c>
      <c r="F1" s="11" t="s">
        <v>611</v>
      </c>
      <c r="G1" s="10" t="s">
        <v>612</v>
      </c>
      <c r="H1" s="10" t="s">
        <v>613</v>
      </c>
      <c r="I1" s="12" t="s">
        <v>614</v>
      </c>
    </row>
    <row r="2" spans="1:9">
      <c r="A2" s="13">
        <v>1</v>
      </c>
      <c r="B2" s="14">
        <v>106812264</v>
      </c>
      <c r="C2" s="4" t="s">
        <v>589</v>
      </c>
      <c r="D2" s="15" t="s">
        <v>590</v>
      </c>
      <c r="E2" s="15" t="s">
        <v>591</v>
      </c>
      <c r="F2" s="22">
        <f t="shared" ref="F2:F11" ca="1" si="0">ROUND(H2-NOW(),0)-1</f>
        <v>-4</v>
      </c>
      <c r="G2" s="16">
        <v>43664</v>
      </c>
      <c r="H2" s="16">
        <v>43727</v>
      </c>
      <c r="I2" s="17">
        <v>1</v>
      </c>
    </row>
    <row r="3" spans="1:9">
      <c r="A3" s="13">
        <v>2</v>
      </c>
      <c r="B3" s="14">
        <v>105333822</v>
      </c>
      <c r="C3" s="4" t="s">
        <v>592</v>
      </c>
      <c r="D3" s="15" t="s">
        <v>593</v>
      </c>
      <c r="E3" s="15" t="s">
        <v>594</v>
      </c>
      <c r="F3" s="22">
        <f t="shared" ca="1" si="0"/>
        <v>-4</v>
      </c>
      <c r="G3" s="16">
        <v>43664</v>
      </c>
      <c r="H3" s="16">
        <v>43727</v>
      </c>
      <c r="I3" s="17">
        <v>1</v>
      </c>
    </row>
    <row r="4" spans="1:9">
      <c r="A4" s="13">
        <v>3</v>
      </c>
      <c r="B4" s="14">
        <v>101795128</v>
      </c>
      <c r="C4" s="4" t="s">
        <v>595</v>
      </c>
      <c r="D4" s="15" t="s">
        <v>596</v>
      </c>
      <c r="E4" s="15" t="s">
        <v>597</v>
      </c>
      <c r="F4" s="22">
        <f t="shared" ca="1" si="0"/>
        <v>-4</v>
      </c>
      <c r="G4" s="16">
        <v>43664</v>
      </c>
      <c r="H4" s="16">
        <v>43727</v>
      </c>
      <c r="I4" s="17">
        <v>1</v>
      </c>
    </row>
    <row r="5" spans="1:9">
      <c r="A5" s="13">
        <v>4</v>
      </c>
      <c r="B5" s="14">
        <v>105644692</v>
      </c>
      <c r="C5" s="4" t="s">
        <v>68</v>
      </c>
      <c r="D5" s="15" t="s">
        <v>69</v>
      </c>
      <c r="E5" s="15" t="s">
        <v>70</v>
      </c>
      <c r="F5" s="22">
        <f t="shared" ca="1" si="0"/>
        <v>-4</v>
      </c>
      <c r="G5" s="16">
        <v>43664</v>
      </c>
      <c r="H5" s="16">
        <v>43727</v>
      </c>
      <c r="I5" s="17">
        <v>1</v>
      </c>
    </row>
    <row r="6" spans="1:9">
      <c r="A6" s="13">
        <v>5</v>
      </c>
      <c r="B6" s="14">
        <v>106577123</v>
      </c>
      <c r="C6" s="4" t="s">
        <v>598</v>
      </c>
      <c r="D6" s="15" t="s">
        <v>599</v>
      </c>
      <c r="E6" s="15" t="s">
        <v>600</v>
      </c>
      <c r="F6" s="22">
        <f t="shared" ca="1" si="0"/>
        <v>-4</v>
      </c>
      <c r="G6" s="16">
        <v>43664</v>
      </c>
      <c r="H6" s="16">
        <v>43727</v>
      </c>
      <c r="I6" s="17">
        <v>1</v>
      </c>
    </row>
    <row r="7" spans="1:9">
      <c r="A7" s="13">
        <v>6</v>
      </c>
      <c r="B7" s="14">
        <v>106605187</v>
      </c>
      <c r="C7" s="4" t="s">
        <v>601</v>
      </c>
      <c r="D7" s="15" t="s">
        <v>602</v>
      </c>
      <c r="E7" s="15" t="s">
        <v>603</v>
      </c>
      <c r="F7" s="22">
        <f t="shared" ca="1" si="0"/>
        <v>-4</v>
      </c>
      <c r="G7" s="16">
        <v>43664</v>
      </c>
      <c r="H7" s="16">
        <v>43727</v>
      </c>
      <c r="I7" s="17">
        <v>1</v>
      </c>
    </row>
    <row r="8" spans="1:9">
      <c r="A8" s="13">
        <v>7</v>
      </c>
      <c r="B8" s="14">
        <v>105474479</v>
      </c>
      <c r="C8" s="4" t="s">
        <v>604</v>
      </c>
      <c r="D8" s="15" t="s">
        <v>605</v>
      </c>
      <c r="E8" s="15" t="s">
        <v>606</v>
      </c>
      <c r="F8" s="22">
        <f t="shared" ca="1" si="0"/>
        <v>-4</v>
      </c>
      <c r="G8" s="16">
        <v>43664</v>
      </c>
      <c r="H8" s="16">
        <v>43727</v>
      </c>
      <c r="I8" s="17">
        <v>1</v>
      </c>
    </row>
    <row r="9" spans="1:9">
      <c r="A9" s="13">
        <v>8</v>
      </c>
      <c r="B9" s="14">
        <v>105319072</v>
      </c>
      <c r="C9" s="4" t="s">
        <v>551</v>
      </c>
      <c r="D9" s="15" t="s">
        <v>552</v>
      </c>
      <c r="E9" s="15" t="s">
        <v>553</v>
      </c>
      <c r="F9" s="22">
        <f t="shared" ca="1" si="0"/>
        <v>-31</v>
      </c>
      <c r="G9" s="16">
        <v>43638</v>
      </c>
      <c r="H9" s="16">
        <v>43700</v>
      </c>
      <c r="I9" s="17">
        <v>1</v>
      </c>
    </row>
    <row r="10" spans="1:9">
      <c r="A10" s="13">
        <v>9</v>
      </c>
      <c r="B10" s="14">
        <v>106615780</v>
      </c>
      <c r="C10" s="4" t="s">
        <v>478</v>
      </c>
      <c r="D10" s="15" t="s">
        <v>479</v>
      </c>
      <c r="E10" s="15" t="s">
        <v>480</v>
      </c>
      <c r="F10" s="22">
        <f t="shared" ca="1" si="0"/>
        <v>-53</v>
      </c>
      <c r="G10" s="16">
        <v>43616</v>
      </c>
      <c r="H10" s="16">
        <v>43678</v>
      </c>
      <c r="I10" s="17">
        <v>1</v>
      </c>
    </row>
    <row r="11" spans="1:9">
      <c r="A11" s="13">
        <v>10</v>
      </c>
      <c r="B11" s="18">
        <v>106617255</v>
      </c>
      <c r="C11" s="5" t="s">
        <v>495</v>
      </c>
      <c r="D11" s="19" t="s">
        <v>496</v>
      </c>
      <c r="E11" s="19" t="s">
        <v>497</v>
      </c>
      <c r="F11" s="23">
        <f t="shared" ca="1" si="0"/>
        <v>-53</v>
      </c>
      <c r="G11" s="20">
        <v>43616</v>
      </c>
      <c r="H11" s="20">
        <v>43678</v>
      </c>
      <c r="I11" s="21">
        <v>1</v>
      </c>
    </row>
    <row r="12" spans="1:9">
      <c r="C12" s="1" t="s">
        <v>8</v>
      </c>
      <c r="G12" s="7" t="s">
        <v>6</v>
      </c>
      <c r="H12" s="3">
        <f>MIN(H$2:H11)</f>
        <v>43678</v>
      </c>
      <c r="I12" s="1" t="s">
        <v>615</v>
      </c>
    </row>
    <row r="13" spans="1:9">
      <c r="C13" s="1" t="s">
        <v>81</v>
      </c>
      <c r="I13" s="7" t="s">
        <v>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I1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4" sqref="C4"/>
    </sheetView>
  </sheetViews>
  <sheetFormatPr defaultRowHeight="14.4"/>
  <cols>
    <col min="1" max="1" width="2.88671875" style="2" bestFit="1" customWidth="1"/>
    <col min="2" max="2" width="11.33203125" style="6" bestFit="1" customWidth="1"/>
    <col min="3" max="3" width="30.77734375" style="1" customWidth="1"/>
    <col min="4" max="4" width="23.77734375" style="1" customWidth="1"/>
    <col min="5" max="5" width="9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630</v>
      </c>
      <c r="C1" s="10" t="s">
        <v>631</v>
      </c>
      <c r="D1" s="10" t="s">
        <v>632</v>
      </c>
      <c r="E1" s="10" t="s">
        <v>633</v>
      </c>
      <c r="F1" s="11" t="s">
        <v>634</v>
      </c>
      <c r="G1" s="10" t="s">
        <v>635</v>
      </c>
      <c r="H1" s="10" t="s">
        <v>636</v>
      </c>
      <c r="I1" s="12" t="s">
        <v>637</v>
      </c>
    </row>
    <row r="2" spans="1:9">
      <c r="A2" s="13">
        <v>1</v>
      </c>
      <c r="B2" s="14">
        <v>106388515</v>
      </c>
      <c r="C2" s="4" t="s">
        <v>616</v>
      </c>
      <c r="D2" s="15" t="s">
        <v>617</v>
      </c>
      <c r="E2" s="15" t="s">
        <v>618</v>
      </c>
      <c r="F2" s="22">
        <f t="shared" ref="F2:F11" ca="1" si="0">ROUND(H2-NOW(),0)-1</f>
        <v>11</v>
      </c>
      <c r="G2" s="16">
        <v>43680</v>
      </c>
      <c r="H2" s="16">
        <v>43742</v>
      </c>
      <c r="I2" s="17">
        <v>1</v>
      </c>
    </row>
    <row r="3" spans="1:9">
      <c r="A3" s="13">
        <v>2</v>
      </c>
      <c r="B3" s="14">
        <v>105977252</v>
      </c>
      <c r="C3" s="4" t="s">
        <v>619</v>
      </c>
      <c r="D3" s="15" t="s">
        <v>620</v>
      </c>
      <c r="E3" s="15" t="s">
        <v>621</v>
      </c>
      <c r="F3" s="22">
        <f t="shared" ca="1" si="0"/>
        <v>11</v>
      </c>
      <c r="G3" s="16">
        <v>43680</v>
      </c>
      <c r="H3" s="16">
        <v>43742</v>
      </c>
      <c r="I3" s="17">
        <v>1</v>
      </c>
    </row>
    <row r="4" spans="1:9">
      <c r="A4" s="13">
        <v>3</v>
      </c>
      <c r="B4" s="14">
        <v>105116879</v>
      </c>
      <c r="C4" s="4" t="s">
        <v>639</v>
      </c>
      <c r="D4" s="15" t="s">
        <v>622</v>
      </c>
      <c r="E4" s="15" t="s">
        <v>623</v>
      </c>
      <c r="F4" s="22">
        <f t="shared" ca="1" si="0"/>
        <v>11</v>
      </c>
      <c r="G4" s="16">
        <v>43680</v>
      </c>
      <c r="H4" s="16">
        <v>43742</v>
      </c>
      <c r="I4" s="17">
        <v>1</v>
      </c>
    </row>
    <row r="5" spans="1:9">
      <c r="A5" s="13">
        <v>4</v>
      </c>
      <c r="B5" s="14">
        <v>106802111</v>
      </c>
      <c r="C5" s="4" t="s">
        <v>624</v>
      </c>
      <c r="D5" s="15" t="s">
        <v>625</v>
      </c>
      <c r="E5" s="15" t="s">
        <v>626</v>
      </c>
      <c r="F5" s="22">
        <f t="shared" ca="1" si="0"/>
        <v>11</v>
      </c>
      <c r="G5" s="16">
        <v>43680</v>
      </c>
      <c r="H5" s="16">
        <v>43742</v>
      </c>
      <c r="I5" s="17">
        <v>1</v>
      </c>
    </row>
    <row r="6" spans="1:9">
      <c r="A6" s="13">
        <v>5</v>
      </c>
      <c r="B6" s="14">
        <v>702100118620</v>
      </c>
      <c r="C6" s="4" t="s">
        <v>627</v>
      </c>
      <c r="D6" s="15" t="s">
        <v>628</v>
      </c>
      <c r="E6" s="15" t="s">
        <v>629</v>
      </c>
      <c r="F6" s="22">
        <f t="shared" ca="1" si="0"/>
        <v>5</v>
      </c>
      <c r="G6" s="16">
        <v>43674</v>
      </c>
      <c r="H6" s="16">
        <v>43736</v>
      </c>
      <c r="I6" s="17">
        <v>1</v>
      </c>
    </row>
    <row r="7" spans="1:9">
      <c r="A7" s="13">
        <v>6</v>
      </c>
      <c r="B7" s="14">
        <v>106812264</v>
      </c>
      <c r="C7" s="4" t="s">
        <v>589</v>
      </c>
      <c r="D7" s="15" t="s">
        <v>590</v>
      </c>
      <c r="E7" s="15" t="s">
        <v>591</v>
      </c>
      <c r="F7" s="22">
        <f t="shared" ca="1" si="0"/>
        <v>-4</v>
      </c>
      <c r="G7" s="16">
        <v>43664</v>
      </c>
      <c r="H7" s="16">
        <v>43727</v>
      </c>
      <c r="I7" s="17">
        <v>1</v>
      </c>
    </row>
    <row r="8" spans="1:9">
      <c r="A8" s="13">
        <v>7</v>
      </c>
      <c r="B8" s="14">
        <v>105644692</v>
      </c>
      <c r="C8" s="4" t="s">
        <v>68</v>
      </c>
      <c r="D8" s="15" t="s">
        <v>69</v>
      </c>
      <c r="E8" s="15" t="s">
        <v>70</v>
      </c>
      <c r="F8" s="22">
        <f t="shared" ca="1" si="0"/>
        <v>-4</v>
      </c>
      <c r="G8" s="16">
        <v>43664</v>
      </c>
      <c r="H8" s="16">
        <v>43727</v>
      </c>
      <c r="I8" s="17">
        <v>1</v>
      </c>
    </row>
    <row r="9" spans="1:9">
      <c r="A9" s="13">
        <v>8</v>
      </c>
      <c r="B9" s="14">
        <v>106605187</v>
      </c>
      <c r="C9" s="4" t="s">
        <v>601</v>
      </c>
      <c r="D9" s="15" t="s">
        <v>602</v>
      </c>
      <c r="E9" s="15" t="s">
        <v>603</v>
      </c>
      <c r="F9" s="22">
        <f t="shared" ca="1" si="0"/>
        <v>-4</v>
      </c>
      <c r="G9" s="16">
        <v>43664</v>
      </c>
      <c r="H9" s="16">
        <v>43727</v>
      </c>
      <c r="I9" s="17">
        <v>1</v>
      </c>
    </row>
    <row r="10" spans="1:9">
      <c r="A10" s="13">
        <v>9</v>
      </c>
      <c r="B10" s="14">
        <v>105474479</v>
      </c>
      <c r="C10" s="4" t="s">
        <v>604</v>
      </c>
      <c r="D10" s="15" t="s">
        <v>605</v>
      </c>
      <c r="E10" s="15" t="s">
        <v>606</v>
      </c>
      <c r="F10" s="22">
        <f t="shared" ca="1" si="0"/>
        <v>-4</v>
      </c>
      <c r="G10" s="16">
        <v>43664</v>
      </c>
      <c r="H10" s="16">
        <v>43727</v>
      </c>
      <c r="I10" s="17">
        <v>1</v>
      </c>
    </row>
    <row r="11" spans="1:9">
      <c r="A11" s="13">
        <v>10</v>
      </c>
      <c r="B11" s="18">
        <v>105319072</v>
      </c>
      <c r="C11" s="5" t="s">
        <v>551</v>
      </c>
      <c r="D11" s="19" t="s">
        <v>552</v>
      </c>
      <c r="E11" s="19" t="s">
        <v>553</v>
      </c>
      <c r="F11" s="23">
        <f t="shared" ca="1" si="0"/>
        <v>-31</v>
      </c>
      <c r="G11" s="20">
        <v>43638</v>
      </c>
      <c r="H11" s="20">
        <v>43700</v>
      </c>
      <c r="I11" s="21">
        <v>1</v>
      </c>
    </row>
    <row r="12" spans="1:9">
      <c r="C12" s="1" t="s">
        <v>8</v>
      </c>
      <c r="G12" s="7" t="s">
        <v>6</v>
      </c>
      <c r="H12" s="3">
        <f>MIN(H$2:H11)</f>
        <v>43700</v>
      </c>
      <c r="I12" s="1" t="s">
        <v>638</v>
      </c>
    </row>
    <row r="13" spans="1:9">
      <c r="C13" s="1" t="s">
        <v>81</v>
      </c>
      <c r="I13" s="7" t="s">
        <v>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6"/>
  <dimension ref="A1:I1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11" sqref="C11"/>
    </sheetView>
  </sheetViews>
  <sheetFormatPr defaultRowHeight="14.4"/>
  <cols>
    <col min="1" max="1" width="2.88671875" style="2" bestFit="1" customWidth="1"/>
    <col min="2" max="2" width="8.88671875" style="6" bestFit="1" customWidth="1"/>
    <col min="3" max="3" width="30.77734375" style="1" customWidth="1"/>
    <col min="4" max="4" width="23.77734375" style="1" customWidth="1"/>
    <col min="5" max="5" width="9.44140625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661</v>
      </c>
      <c r="C1" s="10" t="s">
        <v>662</v>
      </c>
      <c r="D1" s="10" t="s">
        <v>663</v>
      </c>
      <c r="E1" s="10" t="s">
        <v>664</v>
      </c>
      <c r="F1" s="11" t="s">
        <v>665</v>
      </c>
      <c r="G1" s="10" t="s">
        <v>666</v>
      </c>
      <c r="H1" s="10" t="s">
        <v>667</v>
      </c>
      <c r="I1" s="12" t="s">
        <v>668</v>
      </c>
    </row>
    <row r="2" spans="1:9">
      <c r="A2" s="13">
        <v>1</v>
      </c>
      <c r="B2" s="14">
        <v>106420116</v>
      </c>
      <c r="C2" s="4" t="s">
        <v>640</v>
      </c>
      <c r="D2" s="15" t="s">
        <v>641</v>
      </c>
      <c r="E2" s="15" t="s">
        <v>642</v>
      </c>
      <c r="F2" s="22">
        <f t="shared" ref="F2:F11" ca="1" si="0">ROUND(H2-NOW(),0)-1</f>
        <v>32</v>
      </c>
      <c r="G2" s="16">
        <v>43701</v>
      </c>
      <c r="H2" s="16">
        <v>43763</v>
      </c>
      <c r="I2" s="17">
        <v>1</v>
      </c>
    </row>
    <row r="3" spans="1:9">
      <c r="A3" s="13">
        <v>2</v>
      </c>
      <c r="B3" s="14">
        <v>106521755</v>
      </c>
      <c r="C3" s="4" t="s">
        <v>643</v>
      </c>
      <c r="D3" s="15" t="s">
        <v>644</v>
      </c>
      <c r="E3" s="15" t="s">
        <v>645</v>
      </c>
      <c r="F3" s="22">
        <f t="shared" ca="1" si="0"/>
        <v>32</v>
      </c>
      <c r="G3" s="16">
        <v>43701</v>
      </c>
      <c r="H3" s="16">
        <v>43763</v>
      </c>
      <c r="I3" s="17">
        <v>1</v>
      </c>
    </row>
    <row r="4" spans="1:9">
      <c r="A4" s="13">
        <v>3</v>
      </c>
      <c r="B4" s="14">
        <v>106483686</v>
      </c>
      <c r="C4" s="4" t="s">
        <v>646</v>
      </c>
      <c r="D4" s="15" t="s">
        <v>647</v>
      </c>
      <c r="E4" s="15" t="s">
        <v>648</v>
      </c>
      <c r="F4" s="22">
        <f t="shared" ca="1" si="0"/>
        <v>32</v>
      </c>
      <c r="G4" s="16">
        <v>43701</v>
      </c>
      <c r="H4" s="16">
        <v>43763</v>
      </c>
      <c r="I4" s="17">
        <v>1</v>
      </c>
    </row>
    <row r="5" spans="1:9">
      <c r="A5" s="13">
        <v>4</v>
      </c>
      <c r="B5" s="14">
        <v>104266807</v>
      </c>
      <c r="C5" s="4" t="s">
        <v>649</v>
      </c>
      <c r="D5" s="15" t="s">
        <v>650</v>
      </c>
      <c r="E5" s="15" t="s">
        <v>651</v>
      </c>
      <c r="F5" s="22">
        <f t="shared" ca="1" si="0"/>
        <v>32</v>
      </c>
      <c r="G5" s="16">
        <v>43701</v>
      </c>
      <c r="H5" s="16">
        <v>43763</v>
      </c>
      <c r="I5" s="17">
        <v>1</v>
      </c>
    </row>
    <row r="6" spans="1:9">
      <c r="A6" s="13">
        <v>5</v>
      </c>
      <c r="B6" s="14">
        <v>105542296</v>
      </c>
      <c r="C6" s="4" t="s">
        <v>652</v>
      </c>
      <c r="D6" s="15" t="s">
        <v>653</v>
      </c>
      <c r="E6" s="15" t="s">
        <v>654</v>
      </c>
      <c r="F6" s="22">
        <f t="shared" ca="1" si="0"/>
        <v>32</v>
      </c>
      <c r="G6" s="16">
        <v>43701</v>
      </c>
      <c r="H6" s="16">
        <v>43763</v>
      </c>
      <c r="I6" s="17">
        <v>1</v>
      </c>
    </row>
    <row r="7" spans="1:9">
      <c r="A7" s="13">
        <v>6</v>
      </c>
      <c r="B7" s="14">
        <v>106270528</v>
      </c>
      <c r="C7" s="4" t="s">
        <v>655</v>
      </c>
      <c r="D7" s="15" t="s">
        <v>656</v>
      </c>
      <c r="E7" s="15" t="s">
        <v>657</v>
      </c>
      <c r="F7" s="22">
        <f t="shared" ca="1" si="0"/>
        <v>32</v>
      </c>
      <c r="G7" s="16">
        <v>43701</v>
      </c>
      <c r="H7" s="16">
        <v>43763</v>
      </c>
      <c r="I7" s="17">
        <v>1</v>
      </c>
    </row>
    <row r="8" spans="1:9">
      <c r="A8" s="13">
        <v>7</v>
      </c>
      <c r="B8" s="14">
        <v>105354910</v>
      </c>
      <c r="C8" s="4" t="s">
        <v>658</v>
      </c>
      <c r="D8" s="15" t="s">
        <v>659</v>
      </c>
      <c r="E8" s="15" t="s">
        <v>660</v>
      </c>
      <c r="F8" s="22">
        <f t="shared" ca="1" si="0"/>
        <v>32</v>
      </c>
      <c r="G8" s="16">
        <v>43701</v>
      </c>
      <c r="H8" s="16">
        <v>43763</v>
      </c>
      <c r="I8" s="17">
        <v>1</v>
      </c>
    </row>
    <row r="9" spans="1:9">
      <c r="A9" s="13">
        <v>8</v>
      </c>
      <c r="B9" s="14">
        <v>105977252</v>
      </c>
      <c r="C9" s="4" t="s">
        <v>619</v>
      </c>
      <c r="D9" s="15" t="s">
        <v>620</v>
      </c>
      <c r="E9" s="15" t="s">
        <v>621</v>
      </c>
      <c r="F9" s="22">
        <f t="shared" ca="1" si="0"/>
        <v>11</v>
      </c>
      <c r="G9" s="16">
        <v>43680</v>
      </c>
      <c r="H9" s="16">
        <v>43742</v>
      </c>
      <c r="I9" s="17">
        <v>1</v>
      </c>
    </row>
    <row r="10" spans="1:9">
      <c r="A10" s="13">
        <v>9</v>
      </c>
      <c r="B10" s="14">
        <v>106802111</v>
      </c>
      <c r="C10" s="4" t="s">
        <v>624</v>
      </c>
      <c r="D10" s="15" t="s">
        <v>625</v>
      </c>
      <c r="E10" s="15" t="s">
        <v>626</v>
      </c>
      <c r="F10" s="22">
        <f t="shared" ca="1" si="0"/>
        <v>11</v>
      </c>
      <c r="G10" s="16">
        <v>43680</v>
      </c>
      <c r="H10" s="16">
        <v>43742</v>
      </c>
      <c r="I10" s="17">
        <v>1</v>
      </c>
    </row>
    <row r="11" spans="1:9">
      <c r="A11" s="13">
        <v>10</v>
      </c>
      <c r="B11" s="18">
        <v>105644692</v>
      </c>
      <c r="C11" s="5" t="s">
        <v>68</v>
      </c>
      <c r="D11" s="19" t="s">
        <v>69</v>
      </c>
      <c r="E11" s="19" t="s">
        <v>70</v>
      </c>
      <c r="F11" s="23">
        <f t="shared" ca="1" si="0"/>
        <v>-4</v>
      </c>
      <c r="G11" s="20">
        <v>43664</v>
      </c>
      <c r="H11" s="20">
        <v>43727</v>
      </c>
      <c r="I11" s="21">
        <v>1</v>
      </c>
    </row>
    <row r="12" spans="1:9">
      <c r="C12" s="1" t="s">
        <v>669</v>
      </c>
      <c r="G12" s="7" t="s">
        <v>670</v>
      </c>
      <c r="H12" s="3">
        <f>MIN(H$2:H11)</f>
        <v>43727</v>
      </c>
      <c r="I12" s="1" t="s">
        <v>673</v>
      </c>
    </row>
    <row r="13" spans="1:9">
      <c r="C13" s="1" t="s">
        <v>671</v>
      </c>
      <c r="I13" s="7" t="s">
        <v>672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7"/>
  <dimension ref="A1:I14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20" sqref="G20"/>
    </sheetView>
  </sheetViews>
  <sheetFormatPr defaultRowHeight="14.4"/>
  <cols>
    <col min="1" max="1" width="2.88671875" style="2" bestFit="1" customWidth="1"/>
    <col min="2" max="2" width="11.33203125" style="6" bestFit="1" customWidth="1"/>
    <col min="3" max="3" width="30.77734375" style="1" customWidth="1"/>
    <col min="4" max="4" width="23.77734375" style="1" customWidth="1"/>
    <col min="5" max="5" width="9.44140625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8" t="s">
        <v>5</v>
      </c>
      <c r="B1" s="9" t="s">
        <v>677</v>
      </c>
      <c r="C1" s="10" t="s">
        <v>678</v>
      </c>
      <c r="D1" s="10" t="s">
        <v>679</v>
      </c>
      <c r="E1" s="10" t="s">
        <v>680</v>
      </c>
      <c r="F1" s="11" t="s">
        <v>681</v>
      </c>
      <c r="G1" s="10" t="s">
        <v>682</v>
      </c>
      <c r="H1" s="10" t="s">
        <v>683</v>
      </c>
      <c r="I1" s="12" t="s">
        <v>684</v>
      </c>
    </row>
    <row r="2" spans="1:9">
      <c r="A2" s="13">
        <v>1</v>
      </c>
      <c r="B2" s="14">
        <v>700100162149</v>
      </c>
      <c r="C2" s="4" t="s">
        <v>674</v>
      </c>
      <c r="D2" s="15" t="s">
        <v>675</v>
      </c>
      <c r="E2" s="15" t="s">
        <v>676</v>
      </c>
      <c r="F2" s="22">
        <f t="shared" ref="F2:F12" ca="1" si="0">ROUND(H2-NOW(),0)-1</f>
        <v>47</v>
      </c>
      <c r="G2" s="16">
        <v>43716</v>
      </c>
      <c r="H2" s="16">
        <v>43778</v>
      </c>
      <c r="I2" s="17">
        <v>1</v>
      </c>
    </row>
    <row r="3" spans="1:9">
      <c r="A3" s="13">
        <v>2</v>
      </c>
      <c r="B3" s="14">
        <v>106420116</v>
      </c>
      <c r="C3" s="4" t="s">
        <v>640</v>
      </c>
      <c r="D3" s="15" t="s">
        <v>641</v>
      </c>
      <c r="E3" s="15" t="s">
        <v>642</v>
      </c>
      <c r="F3" s="22">
        <f t="shared" ca="1" si="0"/>
        <v>32</v>
      </c>
      <c r="G3" s="16">
        <v>43701</v>
      </c>
      <c r="H3" s="16">
        <v>43763</v>
      </c>
      <c r="I3" s="17">
        <v>1</v>
      </c>
    </row>
    <row r="4" spans="1:9">
      <c r="A4" s="13">
        <v>3</v>
      </c>
      <c r="B4" s="14">
        <v>106521755</v>
      </c>
      <c r="C4" s="4" t="s">
        <v>643</v>
      </c>
      <c r="D4" s="15" t="s">
        <v>644</v>
      </c>
      <c r="E4" s="15" t="s">
        <v>645</v>
      </c>
      <c r="F4" s="22">
        <f t="shared" ca="1" si="0"/>
        <v>32</v>
      </c>
      <c r="G4" s="16">
        <v>43701</v>
      </c>
      <c r="H4" s="16">
        <v>43763</v>
      </c>
      <c r="I4" s="17">
        <v>1</v>
      </c>
    </row>
    <row r="5" spans="1:9">
      <c r="A5" s="13">
        <v>4</v>
      </c>
      <c r="B5" s="14">
        <v>106483686</v>
      </c>
      <c r="C5" s="4" t="s">
        <v>646</v>
      </c>
      <c r="D5" s="15" t="s">
        <v>647</v>
      </c>
      <c r="E5" s="15" t="s">
        <v>648</v>
      </c>
      <c r="F5" s="22">
        <f t="shared" ca="1" si="0"/>
        <v>32</v>
      </c>
      <c r="G5" s="16">
        <v>43701</v>
      </c>
      <c r="H5" s="16">
        <v>43763</v>
      </c>
      <c r="I5" s="17">
        <v>1</v>
      </c>
    </row>
    <row r="6" spans="1:9">
      <c r="A6" s="13">
        <v>5</v>
      </c>
      <c r="B6" s="14">
        <v>104266807</v>
      </c>
      <c r="C6" s="4" t="s">
        <v>649</v>
      </c>
      <c r="D6" s="15" t="s">
        <v>650</v>
      </c>
      <c r="E6" s="15" t="s">
        <v>651</v>
      </c>
      <c r="F6" s="22">
        <f t="shared" ca="1" si="0"/>
        <v>32</v>
      </c>
      <c r="G6" s="16">
        <v>43701</v>
      </c>
      <c r="H6" s="16">
        <v>43763</v>
      </c>
      <c r="I6" s="17">
        <v>1</v>
      </c>
    </row>
    <row r="7" spans="1:9">
      <c r="A7" s="13">
        <v>6</v>
      </c>
      <c r="B7" s="14">
        <v>105542296</v>
      </c>
      <c r="C7" s="4" t="s">
        <v>652</v>
      </c>
      <c r="D7" s="15" t="s">
        <v>653</v>
      </c>
      <c r="E7" s="15" t="s">
        <v>654</v>
      </c>
      <c r="F7" s="22">
        <f t="shared" ca="1" si="0"/>
        <v>32</v>
      </c>
      <c r="G7" s="16">
        <v>43701</v>
      </c>
      <c r="H7" s="16">
        <v>43763</v>
      </c>
      <c r="I7" s="17">
        <v>1</v>
      </c>
    </row>
    <row r="8" spans="1:9">
      <c r="A8" s="13">
        <v>7</v>
      </c>
      <c r="B8" s="14">
        <v>106270528</v>
      </c>
      <c r="C8" s="4" t="s">
        <v>655</v>
      </c>
      <c r="D8" s="15" t="s">
        <v>656</v>
      </c>
      <c r="E8" s="15" t="s">
        <v>657</v>
      </c>
      <c r="F8" s="22">
        <f t="shared" ca="1" si="0"/>
        <v>32</v>
      </c>
      <c r="G8" s="16">
        <v>43701</v>
      </c>
      <c r="H8" s="16">
        <v>43763</v>
      </c>
      <c r="I8" s="17">
        <v>1</v>
      </c>
    </row>
    <row r="9" spans="1:9">
      <c r="A9" s="13">
        <v>8</v>
      </c>
      <c r="B9" s="14">
        <v>105354910</v>
      </c>
      <c r="C9" s="4" t="s">
        <v>658</v>
      </c>
      <c r="D9" s="15" t="s">
        <v>659</v>
      </c>
      <c r="E9" s="15" t="s">
        <v>660</v>
      </c>
      <c r="F9" s="22">
        <f t="shared" ca="1" si="0"/>
        <v>32</v>
      </c>
      <c r="G9" s="16">
        <v>43701</v>
      </c>
      <c r="H9" s="16">
        <v>43763</v>
      </c>
      <c r="I9" s="17">
        <v>1</v>
      </c>
    </row>
    <row r="10" spans="1:9">
      <c r="A10" s="13">
        <v>9</v>
      </c>
      <c r="B10" s="14">
        <v>105977252</v>
      </c>
      <c r="C10" s="4" t="s">
        <v>619</v>
      </c>
      <c r="D10" s="15" t="s">
        <v>620</v>
      </c>
      <c r="E10" s="15" t="s">
        <v>621</v>
      </c>
      <c r="F10" s="22">
        <f t="shared" ca="1" si="0"/>
        <v>11</v>
      </c>
      <c r="G10" s="16">
        <v>43680</v>
      </c>
      <c r="H10" s="16">
        <v>43742</v>
      </c>
      <c r="I10" s="17">
        <v>1</v>
      </c>
    </row>
    <row r="11" spans="1:9">
      <c r="A11" s="13">
        <v>10</v>
      </c>
      <c r="B11" s="14">
        <v>106802111</v>
      </c>
      <c r="C11" s="4" t="s">
        <v>624</v>
      </c>
      <c r="D11" s="15" t="s">
        <v>625</v>
      </c>
      <c r="E11" s="15" t="s">
        <v>626</v>
      </c>
      <c r="F11" s="22">
        <f t="shared" ca="1" si="0"/>
        <v>11</v>
      </c>
      <c r="G11" s="16">
        <v>43680</v>
      </c>
      <c r="H11" s="16">
        <v>43742</v>
      </c>
      <c r="I11" s="17">
        <v>1</v>
      </c>
    </row>
    <row r="12" spans="1:9">
      <c r="A12" s="13">
        <v>11</v>
      </c>
      <c r="B12" s="18">
        <v>105644692</v>
      </c>
      <c r="C12" s="5" t="s">
        <v>68</v>
      </c>
      <c r="D12" s="19" t="s">
        <v>69</v>
      </c>
      <c r="E12" s="19" t="s">
        <v>70</v>
      </c>
      <c r="F12" s="23">
        <f t="shared" ca="1" si="0"/>
        <v>-4</v>
      </c>
      <c r="G12" s="20">
        <v>43664</v>
      </c>
      <c r="H12" s="20">
        <v>43727</v>
      </c>
      <c r="I12" s="21">
        <v>1</v>
      </c>
    </row>
    <row r="13" spans="1:9">
      <c r="C13" s="1" t="s">
        <v>685</v>
      </c>
      <c r="G13" s="7" t="s">
        <v>6</v>
      </c>
      <c r="H13" s="3">
        <f>MIN(H$2:H12)</f>
        <v>43727</v>
      </c>
      <c r="I13" s="1" t="s">
        <v>686</v>
      </c>
    </row>
    <row r="14" spans="1:9">
      <c r="C14" s="1" t="s">
        <v>81</v>
      </c>
      <c r="I14" s="7" t="s">
        <v>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8"/>
  <dimension ref="A1:I13"/>
  <sheetViews>
    <sheetView showGridLines="0"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14" sqref="C14"/>
    </sheetView>
  </sheetViews>
  <sheetFormatPr defaultRowHeight="14.4"/>
  <cols>
    <col min="1" max="1" width="2.88671875" style="2" bestFit="1" customWidth="1"/>
    <col min="2" max="2" width="11.33203125" style="6" bestFit="1" customWidth="1"/>
    <col min="3" max="3" width="30.77734375" style="1" customWidth="1"/>
    <col min="4" max="4" width="23.77734375" style="1" customWidth="1"/>
    <col min="5" max="5" width="11.5546875" style="1" bestFit="1" customWidth="1"/>
    <col min="6" max="6" width="8" style="2" bestFit="1" customWidth="1"/>
    <col min="7" max="7" width="12.77734375" style="1" customWidth="1"/>
    <col min="8" max="8" width="11.6640625" style="1" bestFit="1" customWidth="1"/>
    <col min="9" max="9" width="8.77734375" style="2" customWidth="1"/>
    <col min="10" max="16384" width="8.88671875" style="1"/>
  </cols>
  <sheetData>
    <row r="1" spans="1:9">
      <c r="A1" s="8" t="s">
        <v>701</v>
      </c>
      <c r="B1" s="9" t="s">
        <v>693</v>
      </c>
      <c r="C1" s="10" t="s">
        <v>694</v>
      </c>
      <c r="D1" s="10" t="s">
        <v>695</v>
      </c>
      <c r="E1" s="10" t="s">
        <v>696</v>
      </c>
      <c r="F1" s="11" t="s">
        <v>697</v>
      </c>
      <c r="G1" s="10" t="s">
        <v>698</v>
      </c>
      <c r="H1" s="10" t="s">
        <v>699</v>
      </c>
      <c r="I1" s="12" t="s">
        <v>700</v>
      </c>
    </row>
    <row r="2" spans="1:9">
      <c r="A2" s="13">
        <v>1</v>
      </c>
      <c r="B2" s="14">
        <v>105348575</v>
      </c>
      <c r="C2" s="4" t="s">
        <v>687</v>
      </c>
      <c r="D2" s="15" t="s">
        <v>688</v>
      </c>
      <c r="E2" s="15" t="s">
        <v>689</v>
      </c>
      <c r="F2" s="22">
        <f ca="1">ROUND(H2-NOW(),0)-1</f>
        <v>60</v>
      </c>
      <c r="G2" s="16">
        <v>43729</v>
      </c>
      <c r="H2" s="16">
        <v>43791</v>
      </c>
      <c r="I2" s="17">
        <v>1</v>
      </c>
    </row>
    <row r="3" spans="1:9">
      <c r="A3" s="13">
        <v>2</v>
      </c>
      <c r="B3" s="14">
        <v>106526782</v>
      </c>
      <c r="C3" s="4" t="s">
        <v>690</v>
      </c>
      <c r="D3" s="15" t="s">
        <v>691</v>
      </c>
      <c r="E3" s="15" t="s">
        <v>692</v>
      </c>
      <c r="F3" s="22">
        <f ca="1">ROUND(H3-NOW(),0)-1</f>
        <v>60</v>
      </c>
      <c r="G3" s="16">
        <v>43729</v>
      </c>
      <c r="H3" s="16">
        <v>43791</v>
      </c>
      <c r="I3" s="17">
        <v>1</v>
      </c>
    </row>
    <row r="4" spans="1:9">
      <c r="A4" s="13">
        <v>3</v>
      </c>
      <c r="B4" s="14">
        <v>700100162149</v>
      </c>
      <c r="C4" s="4" t="s">
        <v>674</v>
      </c>
      <c r="D4" s="15" t="s">
        <v>675</v>
      </c>
      <c r="E4" s="15" t="s">
        <v>676</v>
      </c>
      <c r="F4" s="22">
        <f ca="1">ROUND(H4-NOW(),0)-1</f>
        <v>47</v>
      </c>
      <c r="G4" s="16">
        <v>43716</v>
      </c>
      <c r="H4" s="16">
        <v>43778</v>
      </c>
      <c r="I4" s="17">
        <v>1</v>
      </c>
    </row>
    <row r="5" spans="1:9">
      <c r="A5" s="13">
        <v>4</v>
      </c>
      <c r="B5" s="14">
        <v>106420116</v>
      </c>
      <c r="C5" s="4" t="s">
        <v>640</v>
      </c>
      <c r="D5" s="15" t="s">
        <v>641</v>
      </c>
      <c r="E5" s="15" t="s">
        <v>642</v>
      </c>
      <c r="F5" s="22">
        <f ca="1">ROUND(H5-NOW(),0)-1</f>
        <v>32</v>
      </c>
      <c r="G5" s="16">
        <v>43701</v>
      </c>
      <c r="H5" s="16">
        <v>43763</v>
      </c>
      <c r="I5" s="17">
        <v>1</v>
      </c>
    </row>
    <row r="6" spans="1:9">
      <c r="A6" s="13">
        <v>5</v>
      </c>
      <c r="B6" s="14">
        <v>106521755</v>
      </c>
      <c r="C6" s="4" t="s">
        <v>643</v>
      </c>
      <c r="D6" s="15" t="s">
        <v>644</v>
      </c>
      <c r="E6" s="15" t="s">
        <v>645</v>
      </c>
      <c r="F6" s="22">
        <f ca="1">ROUND(H6-NOW(),0)-1</f>
        <v>32</v>
      </c>
      <c r="G6" s="16">
        <v>43701</v>
      </c>
      <c r="H6" s="16">
        <v>43763</v>
      </c>
      <c r="I6" s="17">
        <v>1</v>
      </c>
    </row>
    <row r="7" spans="1:9">
      <c r="A7" s="13">
        <v>6</v>
      </c>
      <c r="B7" s="14">
        <v>106483686</v>
      </c>
      <c r="C7" s="4" t="s">
        <v>646</v>
      </c>
      <c r="D7" s="15" t="s">
        <v>647</v>
      </c>
      <c r="E7" s="15" t="s">
        <v>648</v>
      </c>
      <c r="F7" s="22">
        <f ca="1">ROUND(H7-NOW(),0)-1</f>
        <v>32</v>
      </c>
      <c r="G7" s="16">
        <v>43701</v>
      </c>
      <c r="H7" s="16">
        <v>43763</v>
      </c>
      <c r="I7" s="17">
        <v>1</v>
      </c>
    </row>
    <row r="8" spans="1:9">
      <c r="A8" s="13">
        <v>7</v>
      </c>
      <c r="B8" s="14">
        <v>104266807</v>
      </c>
      <c r="C8" s="4" t="s">
        <v>649</v>
      </c>
      <c r="D8" s="15" t="s">
        <v>650</v>
      </c>
      <c r="E8" s="15" t="s">
        <v>651</v>
      </c>
      <c r="F8" s="22">
        <f ca="1">ROUND(H8-NOW(),0)-1</f>
        <v>32</v>
      </c>
      <c r="G8" s="16">
        <v>43701</v>
      </c>
      <c r="H8" s="16">
        <v>43763</v>
      </c>
      <c r="I8" s="17">
        <v>1</v>
      </c>
    </row>
    <row r="9" spans="1:9">
      <c r="A9" s="13">
        <v>8</v>
      </c>
      <c r="B9" s="14">
        <v>105542296</v>
      </c>
      <c r="C9" s="4" t="s">
        <v>652</v>
      </c>
      <c r="D9" s="15" t="s">
        <v>653</v>
      </c>
      <c r="E9" s="15" t="s">
        <v>654</v>
      </c>
      <c r="F9" s="22">
        <f ca="1">ROUND(H9-NOW(),0)-1</f>
        <v>32</v>
      </c>
      <c r="G9" s="16">
        <v>43701</v>
      </c>
      <c r="H9" s="16">
        <v>43763</v>
      </c>
      <c r="I9" s="17">
        <v>1</v>
      </c>
    </row>
    <row r="10" spans="1:9">
      <c r="A10" s="13">
        <v>9</v>
      </c>
      <c r="B10" s="14">
        <v>106270528</v>
      </c>
      <c r="C10" s="4" t="s">
        <v>655</v>
      </c>
      <c r="D10" s="15" t="s">
        <v>656</v>
      </c>
      <c r="E10" s="15" t="s">
        <v>657</v>
      </c>
      <c r="F10" s="22">
        <f ca="1">ROUND(H10-NOW(),0)-1</f>
        <v>32</v>
      </c>
      <c r="G10" s="16">
        <v>43701</v>
      </c>
      <c r="H10" s="16">
        <v>43763</v>
      </c>
      <c r="I10" s="17">
        <v>1</v>
      </c>
    </row>
    <row r="11" spans="1:9">
      <c r="A11" s="13">
        <v>10</v>
      </c>
      <c r="B11" s="18">
        <v>105354910</v>
      </c>
      <c r="C11" s="5" t="s">
        <v>658</v>
      </c>
      <c r="D11" s="19" t="s">
        <v>659</v>
      </c>
      <c r="E11" s="19" t="s">
        <v>660</v>
      </c>
      <c r="F11" s="23">
        <f ca="1">ROUND(H11-NOW(),0)-1</f>
        <v>32</v>
      </c>
      <c r="G11" s="20">
        <v>43701</v>
      </c>
      <c r="H11" s="20">
        <v>43763</v>
      </c>
      <c r="I11" s="21">
        <v>1</v>
      </c>
    </row>
    <row r="12" spans="1:9">
      <c r="C12" s="1" t="s">
        <v>702</v>
      </c>
      <c r="G12" s="7" t="s">
        <v>703</v>
      </c>
      <c r="H12" s="3">
        <f>MIN(H$2:H11)</f>
        <v>43763</v>
      </c>
      <c r="I12" s="1" t="s">
        <v>706</v>
      </c>
    </row>
    <row r="13" spans="1:9">
      <c r="C13" s="1" t="s">
        <v>704</v>
      </c>
      <c r="I13" s="7" t="s">
        <v>705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2018-7-26</vt:lpstr>
      <vt:lpstr>2018-9-19</vt:lpstr>
      <vt:lpstr>2018-10-7</vt:lpstr>
      <vt:lpstr>2018-10-20</vt:lpstr>
      <vt:lpstr>2018-10-28</vt:lpstr>
      <vt:lpstr>2018-11-4</vt:lpstr>
      <vt:lpstr>2018-11-20</vt:lpstr>
      <vt:lpstr>2018-12-14</vt:lpstr>
      <vt:lpstr>2018-12-15</vt:lpstr>
      <vt:lpstr>2018-12-25</vt:lpstr>
      <vt:lpstr>2019-1-8</vt:lpstr>
      <vt:lpstr>2019-2-20</vt:lpstr>
      <vt:lpstr>2019-2-24</vt:lpstr>
      <vt:lpstr>2019-4-4</vt:lpstr>
      <vt:lpstr>2019-4-14</vt:lpstr>
      <vt:lpstr>2019-4-22</vt:lpstr>
      <vt:lpstr>2019-5-4</vt:lpstr>
      <vt:lpstr>2019-5-27</vt:lpstr>
      <vt:lpstr>2019-5-31</vt:lpstr>
      <vt:lpstr>2019-6-22</vt:lpstr>
      <vt:lpstr>Sheet1</vt:lpstr>
      <vt:lpstr>2019-6-30</vt:lpstr>
      <vt:lpstr>2019-7-14</vt:lpstr>
      <vt:lpstr>2019-7-21</vt:lpstr>
      <vt:lpstr>2019-8-3</vt:lpstr>
      <vt:lpstr>Sheet2</vt:lpstr>
      <vt:lpstr>2019-8-24</vt:lpstr>
      <vt:lpstr>2019-9-17</vt:lpstr>
      <vt:lpstr>2019-9-21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cp:lastPrinted>2018-01-23T04:28:05Z</cp:lastPrinted>
  <dcterms:created xsi:type="dcterms:W3CDTF">2006-09-13T11:21:51Z</dcterms:created>
  <dcterms:modified xsi:type="dcterms:W3CDTF">2019-09-21T14:11:12Z</dcterms:modified>
</cp:coreProperties>
</file>