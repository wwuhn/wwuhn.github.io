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rent" sheetId="1" r:id="rId1"/>
    <sheet name="userform" sheetId="2" r:id="rId2"/>
    <sheet name="外住用品" sheetId="3" r:id="rId3"/>
    <sheet name="mobile" sheetId="4" r:id="rId4"/>
    <sheet name="000目录" sheetId="13" r:id="rId5"/>
  </sheets>
  <calcPr calcId="124519"/>
</workbook>
</file>

<file path=xl/calcChain.xml><?xml version="1.0" encoding="utf-8"?>
<calcChain xmlns="http://schemas.openxmlformats.org/spreadsheetml/2006/main">
  <c r="I6" i="1"/>
  <c r="F6"/>
  <c r="J6" s="1"/>
  <c r="L6" s="1"/>
  <c r="I5"/>
  <c r="F5"/>
  <c r="J5" s="1"/>
  <c r="L5" s="1"/>
  <c r="I4"/>
  <c r="F4"/>
  <c r="J4" s="1"/>
  <c r="L4" s="1"/>
  <c r="I3"/>
  <c r="F3"/>
  <c r="J3" s="1"/>
  <c r="L3" s="1"/>
  <c r="I2"/>
  <c r="F2"/>
  <c r="J2" s="1"/>
  <c r="L2" s="1"/>
</calcChain>
</file>

<file path=xl/sharedStrings.xml><?xml version="1.0" encoding="utf-8"?>
<sst xmlns="http://schemas.openxmlformats.org/spreadsheetml/2006/main" count="105" uniqueCount="101">
  <si>
    <t>上月</t>
    <phoneticPr fontId="1" type="noConversion"/>
  </si>
  <si>
    <t>本月</t>
    <phoneticPr fontId="1" type="noConversion"/>
  </si>
  <si>
    <t>月</t>
    <phoneticPr fontId="1" type="noConversion"/>
  </si>
  <si>
    <t>底</t>
    <phoneticPr fontId="1" type="noConversion"/>
  </si>
  <si>
    <t>网费</t>
    <phoneticPr fontId="1" type="noConversion"/>
  </si>
  <si>
    <t>合计</t>
    <phoneticPr fontId="1" type="noConversion"/>
  </si>
  <si>
    <t>实交</t>
    <phoneticPr fontId="1" type="noConversion"/>
  </si>
  <si>
    <t>diff</t>
    <phoneticPr fontId="1" type="noConversion"/>
  </si>
  <si>
    <t>金额</t>
    <phoneticPr fontId="1" type="noConversion"/>
  </si>
  <si>
    <t>remark</t>
    <phoneticPr fontId="1" type="noConversion"/>
  </si>
  <si>
    <t>插入窗体：VBE→菜单：插入→插入窗体；</t>
    <phoneticPr fontId="1" type="noConversion"/>
  </si>
  <si>
    <t>显示窗体：Userform1.Show</t>
    <phoneticPr fontId="1" type="noConversion"/>
  </si>
  <si>
    <t>关闭窗体：Unload UserForm1</t>
    <phoneticPr fontId="1" type="noConversion"/>
  </si>
  <si>
    <t>当前窗体：Me</t>
    <phoneticPr fontId="1" type="noConversion"/>
  </si>
  <si>
    <t>窗体事件</t>
    <phoneticPr fontId="1" type="noConversion"/>
  </si>
  <si>
    <t>编辑和查看窗体代码：双击窗体；</t>
    <phoneticPr fontId="1" type="noConversion"/>
  </si>
  <si>
    <t>窗体初始化事件</t>
    <phoneticPr fontId="1" type="noConversion"/>
  </si>
  <si>
    <t>ListBox1.AddItem "体育"</t>
    <phoneticPr fontId="1" type="noConversion"/>
  </si>
  <si>
    <t>控件事件</t>
    <phoneticPr fontId="1" type="noConversion"/>
  </si>
  <si>
    <t>列表框单击事件</t>
    <phoneticPr fontId="1" type="noConversion"/>
  </si>
  <si>
    <t>Private Sub ListBox_Click()</t>
    <phoneticPr fontId="1" type="noConversion"/>
  </si>
  <si>
    <t>Dim MST As String</t>
    <phoneticPr fontId="1" type="noConversion"/>
  </si>
  <si>
    <t>MST = ListBox1.Value</t>
    <phoneticPr fontId="1" type="noConversion"/>
  </si>
  <si>
    <t>End Sub</t>
    <phoneticPr fontId="1" type="noConversion"/>
  </si>
  <si>
    <t>Cells(2,2).Value = MST</t>
    <phoneticPr fontId="1" type="noConversion"/>
  </si>
  <si>
    <t>Private Sub SpinButton1_SpinUp()</t>
    <phoneticPr fontId="1" type="noConversion"/>
  </si>
  <si>
    <t>TextBox1.Value = TextBox1.Value - 1</t>
    <phoneticPr fontId="1" type="noConversion"/>
  </si>
  <si>
    <t>列表框控制可以与单元格相关联</t>
    <phoneticPr fontId="1" type="noConversion"/>
  </si>
  <si>
    <t>属性列表中设置</t>
    <phoneticPr fontId="1" type="noConversion"/>
  </si>
  <si>
    <t>ListBox1.RowSource = "Sheet!J2:J22"</t>
    <phoneticPr fontId="1" type="noConversion"/>
  </si>
  <si>
    <t>控件文本提示：属性列表</t>
    <phoneticPr fontId="1" type="noConversion"/>
  </si>
  <si>
    <t>Tab顺序：窗体右击→Tab键顺序</t>
    <phoneticPr fontId="1" type="noConversion"/>
  </si>
  <si>
    <t>文本框值：TextBox1.Value（或Text，也可省略）</t>
    <phoneticPr fontId="1" type="noConversion"/>
  </si>
  <si>
    <t>多选框值</t>
    <phoneticPr fontId="1" type="noConversion"/>
  </si>
  <si>
    <t>If CheckBox1.Value = True Then</t>
    <phoneticPr fontId="1" type="noConversion"/>
  </si>
  <si>
    <t>Cells(2,2).Value = OptionButton3.Caption</t>
    <phoneticPr fontId="1" type="noConversion"/>
  </si>
  <si>
    <t>复选框值</t>
    <phoneticPr fontId="1" type="noConversion"/>
  </si>
  <si>
    <t>If OptionBox1.Value = True Then</t>
    <phoneticPr fontId="1" type="noConversion"/>
  </si>
  <si>
    <t>Cells(2,2).Value = "体育"</t>
    <phoneticPr fontId="1" type="noConversion"/>
  </si>
  <si>
    <t>穿：</t>
  </si>
  <si>
    <t>上衣</t>
  </si>
  <si>
    <t>裤子</t>
  </si>
  <si>
    <t>底裤</t>
  </si>
  <si>
    <t>洗刷：</t>
  </si>
  <si>
    <t>牙刷</t>
  </si>
  <si>
    <t>牙膏</t>
  </si>
  <si>
    <t>口杯</t>
  </si>
  <si>
    <t>毛巾</t>
  </si>
  <si>
    <t>桶</t>
  </si>
  <si>
    <t>洗发水</t>
  </si>
  <si>
    <t>沐浴露</t>
  </si>
  <si>
    <t>洗衣粉</t>
  </si>
  <si>
    <t>衣架</t>
  </si>
  <si>
    <t>梳子</t>
  </si>
  <si>
    <t>镜子</t>
  </si>
  <si>
    <t>胡须刀</t>
  </si>
  <si>
    <t>睡：</t>
  </si>
  <si>
    <t>席子</t>
  </si>
  <si>
    <t>被子</t>
  </si>
  <si>
    <t>床单</t>
  </si>
  <si>
    <t>枕头</t>
  </si>
  <si>
    <t>日常生活用品：</t>
  </si>
  <si>
    <t>纸巾</t>
  </si>
  <si>
    <t>雨伞</t>
  </si>
  <si>
    <t>棉签</t>
  </si>
  <si>
    <t>达克宁</t>
  </si>
  <si>
    <t>牙签</t>
  </si>
  <si>
    <t>水杯</t>
  </si>
  <si>
    <t>茶叶</t>
  </si>
  <si>
    <t>饭盒</t>
  </si>
  <si>
    <t>抹布</t>
  </si>
  <si>
    <t>其它：</t>
  </si>
  <si>
    <t>蚊香</t>
  </si>
  <si>
    <t>风扇</t>
  </si>
  <si>
    <t>插牌</t>
  </si>
  <si>
    <t>笔</t>
  </si>
  <si>
    <t>笔记本</t>
  </si>
  <si>
    <t>球鞋</t>
    <phoneticPr fontId="1" type="noConversion"/>
  </si>
  <si>
    <t>凉鞋</t>
    <phoneticPr fontId="1" type="noConversion"/>
  </si>
  <si>
    <t>短裤2</t>
    <phoneticPr fontId="1" type="noConversion"/>
  </si>
  <si>
    <t>T恤2</t>
    <phoneticPr fontId="1" type="noConversion"/>
  </si>
  <si>
    <t>浴巾</t>
  </si>
  <si>
    <t>打火机</t>
  </si>
  <si>
    <t>蚊帐</t>
    <phoneticPr fontId="1" type="noConversion"/>
  </si>
  <si>
    <t>袜子</t>
    <phoneticPr fontId="1" type="noConversion"/>
  </si>
  <si>
    <t>盆</t>
    <phoneticPr fontId="1" type="noConversion"/>
  </si>
  <si>
    <t>书</t>
    <phoneticPr fontId="1" type="noConversion"/>
  </si>
  <si>
    <t>手机充电器2</t>
    <phoneticPr fontId="1" type="noConversion"/>
  </si>
  <si>
    <t>时间</t>
    <phoneticPr fontId="1" type="noConversion"/>
  </si>
  <si>
    <t>余额</t>
    <phoneticPr fontId="1" type="noConversion"/>
  </si>
  <si>
    <t>充值</t>
    <phoneticPr fontId="1" type="noConversion"/>
  </si>
  <si>
    <t>之前余额</t>
    <phoneticPr fontId="1" type="noConversion"/>
  </si>
  <si>
    <t>编号</t>
  </si>
  <si>
    <t>目录</t>
  </si>
  <si>
    <t>userform</t>
  </si>
  <si>
    <t>外住用品</t>
  </si>
  <si>
    <t>mobile</t>
  </si>
  <si>
    <t>000目录</t>
  </si>
  <si>
    <t>rent</t>
  </si>
  <si>
    <t>在details.txt有记录</t>
    <phoneticPr fontId="1" type="noConversion"/>
  </si>
  <si>
    <t>免网费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</si>
</sst>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12"/>
      <color rgb="FF00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rgb="FFFF00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rgb="FFDDDDDD"/>
      </left>
      <right style="medium">
        <color rgb="FFDDDDDD"/>
      </right>
      <top/>
      <bottom/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0" xfId="0" applyFill="1" applyAlignment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 applyAlignment="1">
      <alignment vertical="center"/>
    </xf>
    <xf numFmtId="0" fontId="3" fillId="0" borderId="3" xfId="0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4" fillId="0" borderId="6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0" fontId="5" fillId="0" borderId="6" xfId="0" applyFont="1" applyFill="1" applyBorder="1" applyAlignment="1">
      <alignment horizontal="left" vertical="top"/>
    </xf>
    <xf numFmtId="0" fontId="5" fillId="0" borderId="1" xfId="0" applyFont="1" applyFill="1" applyBorder="1" applyAlignment="1">
      <alignment horizontal="left" vertical="top"/>
    </xf>
    <xf numFmtId="0" fontId="5" fillId="0" borderId="7" xfId="0" applyFont="1" applyFill="1" applyBorder="1" applyAlignment="1">
      <alignment horizontal="left" vertical="top"/>
    </xf>
    <xf numFmtId="0" fontId="5" fillId="0" borderId="0" xfId="0" applyFont="1" applyFill="1">
      <alignment vertical="center"/>
    </xf>
    <xf numFmtId="0" fontId="5" fillId="0" borderId="9" xfId="0" applyFont="1" applyFill="1" applyBorder="1" applyAlignment="1">
      <alignment horizontal="left" vertical="top"/>
    </xf>
    <xf numFmtId="0" fontId="5" fillId="0" borderId="10" xfId="0" applyFont="1" applyFill="1" applyBorder="1" applyAlignment="1">
      <alignment horizontal="left" vertical="top"/>
    </xf>
    <xf numFmtId="0" fontId="5" fillId="0" borderId="8" xfId="0" applyFont="1" applyFill="1" applyBorder="1" applyAlignment="1">
      <alignment horizontal="left" vertical="top"/>
    </xf>
    <xf numFmtId="0" fontId="4" fillId="0" borderId="14" xfId="0" applyFont="1" applyBorder="1" applyAlignment="1">
      <alignment horizontal="left" vertical="top"/>
    </xf>
    <xf numFmtId="0" fontId="4" fillId="0" borderId="11" xfId="0" applyFont="1" applyFill="1" applyBorder="1" applyAlignment="1">
      <alignment horizontal="left" vertical="top"/>
    </xf>
    <xf numFmtId="0" fontId="4" fillId="0" borderId="7" xfId="0" applyFont="1" applyFill="1" applyBorder="1" applyAlignment="1">
      <alignment horizontal="left" vertical="top"/>
    </xf>
    <xf numFmtId="14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7" fillId="0" borderId="0" xfId="1" applyAlignment="1" applyProtection="1">
      <alignment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0</xdr:row>
      <xdr:rowOff>0</xdr:rowOff>
    </xdr:from>
    <xdr:to>
      <xdr:col>5</xdr:col>
      <xdr:colOff>342900</xdr:colOff>
      <xdr:row>0</xdr:row>
      <xdr:rowOff>198120</xdr:rowOff>
    </xdr:to>
    <xdr:sp macro="" textlink="">
      <xdr:nvSpPr>
        <xdr:cNvPr id="2" name="TextBox 1"/>
        <xdr:cNvSpPr txBox="1"/>
      </xdr:nvSpPr>
      <xdr:spPr>
        <a:xfrm>
          <a:off x="1082040" y="0"/>
          <a:ext cx="1013460" cy="1981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ctr"/>
          <a:r>
            <a:rPr lang="zh-CN" altLang="en-US" sz="1100"/>
            <a:t>电  费</a:t>
          </a:r>
        </a:p>
      </xdr:txBody>
    </xdr:sp>
    <xdr:clientData/>
  </xdr:twoCellAnchor>
  <xdr:twoCellAnchor>
    <xdr:from>
      <xdr:col>5</xdr:col>
      <xdr:colOff>441960</xdr:colOff>
      <xdr:row>0</xdr:row>
      <xdr:rowOff>0</xdr:rowOff>
    </xdr:from>
    <xdr:to>
      <xdr:col>8</xdr:col>
      <xdr:colOff>243840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2194560" y="0"/>
          <a:ext cx="876300" cy="1981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ctr"/>
          <a:r>
            <a:rPr lang="zh-CN" altLang="en-US" sz="1100"/>
            <a:t>水  费</a:t>
          </a:r>
        </a:p>
      </xdr:txBody>
    </xdr:sp>
    <xdr:clientData/>
  </xdr:twoCellAnchor>
  <xdr:twoCellAnchor>
    <xdr:from>
      <xdr:col>3</xdr:col>
      <xdr:colOff>7620</xdr:colOff>
      <xdr:row>0</xdr:row>
      <xdr:rowOff>182880</xdr:rowOff>
    </xdr:from>
    <xdr:to>
      <xdr:col>8</xdr:col>
      <xdr:colOff>295200</xdr:colOff>
      <xdr:row>0</xdr:row>
      <xdr:rowOff>184468</xdr:rowOff>
    </xdr:to>
    <xdr:cxnSp macro="">
      <xdr:nvCxnSpPr>
        <xdr:cNvPr id="7" name="直接连接符 6"/>
        <xdr:cNvCxnSpPr/>
      </xdr:nvCxnSpPr>
      <xdr:spPr>
        <a:xfrm>
          <a:off x="998220" y="182880"/>
          <a:ext cx="212400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7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7" sqref="A7"/>
    </sheetView>
  </sheetViews>
  <sheetFormatPr defaultRowHeight="14.4"/>
  <cols>
    <col min="1" max="1" width="4.33203125" style="6" customWidth="1"/>
    <col min="2" max="3" width="5.5546875" style="6" bestFit="1" customWidth="1"/>
    <col min="4" max="4" width="5.5546875" style="6" customWidth="1"/>
    <col min="5" max="5" width="5.5546875" style="6" bestFit="1" customWidth="1"/>
    <col min="6" max="6" width="6.5546875" style="6" bestFit="1" customWidth="1"/>
    <col min="7" max="9" width="4.5546875" style="6" bestFit="1" customWidth="1"/>
    <col min="10" max="11" width="6.5546875" style="6" bestFit="1" customWidth="1"/>
    <col min="12" max="12" width="6.77734375" style="6" customWidth="1"/>
    <col min="13" max="13" width="20.44140625" style="6" customWidth="1"/>
    <col min="14" max="16384" width="8.88671875" style="6"/>
  </cols>
  <sheetData>
    <row r="1" spans="1:13" s="2" customFormat="1" ht="30" customHeight="1">
      <c r="A1" s="1" t="s">
        <v>2</v>
      </c>
      <c r="B1" s="1" t="s">
        <v>3</v>
      </c>
      <c r="C1" s="1" t="s">
        <v>4</v>
      </c>
      <c r="D1" s="2" t="s">
        <v>0</v>
      </c>
      <c r="E1" s="2" t="s">
        <v>1</v>
      </c>
      <c r="F1" s="3" t="s">
        <v>8</v>
      </c>
      <c r="G1" s="2" t="s">
        <v>0</v>
      </c>
      <c r="H1" s="2" t="s">
        <v>1</v>
      </c>
      <c r="I1" s="3" t="s">
        <v>8</v>
      </c>
      <c r="J1" s="4" t="s">
        <v>5</v>
      </c>
      <c r="K1" s="4" t="s">
        <v>6</v>
      </c>
      <c r="L1" s="4" t="s">
        <v>7</v>
      </c>
      <c r="M1" s="8" t="s">
        <v>9</v>
      </c>
    </row>
    <row r="2" spans="1:13">
      <c r="A2" s="5">
        <v>1</v>
      </c>
      <c r="B2" s="5">
        <v>1220</v>
      </c>
      <c r="C2" s="5">
        <v>40</v>
      </c>
      <c r="D2" s="5">
        <v>2160</v>
      </c>
      <c r="E2" s="5">
        <v>2249</v>
      </c>
      <c r="F2" s="5">
        <f t="shared" ref="F2:F5" si="0">(E2-D2)*1.3</f>
        <v>115.7</v>
      </c>
      <c r="G2" s="5">
        <v>374</v>
      </c>
      <c r="H2" s="5">
        <v>374</v>
      </c>
      <c r="I2" s="5">
        <f t="shared" ref="I2:I5" si="1">(H2-G2)*4.5</f>
        <v>0</v>
      </c>
      <c r="J2" s="5">
        <f t="shared" ref="J2:J5" si="2">B2+C2+F2+I2</f>
        <v>1375.7</v>
      </c>
      <c r="K2" s="5">
        <v>1376</v>
      </c>
      <c r="L2" s="7">
        <f t="shared" ref="L2:L5" si="3">K2-J2</f>
        <v>0.29999999999995453</v>
      </c>
      <c r="M2" s="5"/>
    </row>
    <row r="3" spans="1:13">
      <c r="A3" s="5">
        <v>2</v>
      </c>
      <c r="B3" s="5">
        <v>1220</v>
      </c>
      <c r="C3" s="32">
        <v>40</v>
      </c>
      <c r="D3" s="5">
        <v>2249</v>
      </c>
      <c r="E3" s="5">
        <v>2355</v>
      </c>
      <c r="F3" s="5">
        <f t="shared" si="0"/>
        <v>137.80000000000001</v>
      </c>
      <c r="G3" s="5">
        <v>374</v>
      </c>
      <c r="H3" s="5">
        <v>374</v>
      </c>
      <c r="I3" s="5">
        <f t="shared" si="1"/>
        <v>0</v>
      </c>
      <c r="J3" s="5">
        <f t="shared" si="2"/>
        <v>1397.8</v>
      </c>
      <c r="K3" s="5">
        <v>1358</v>
      </c>
      <c r="L3" s="7">
        <f t="shared" si="3"/>
        <v>-39.799999999999955</v>
      </c>
      <c r="M3" s="5" t="s">
        <v>100</v>
      </c>
    </row>
    <row r="4" spans="1:13">
      <c r="A4" s="5">
        <v>3</v>
      </c>
      <c r="B4" s="5">
        <v>1220</v>
      </c>
      <c r="C4" s="5">
        <v>40</v>
      </c>
      <c r="D4" s="5">
        <v>2355</v>
      </c>
      <c r="E4" s="5">
        <v>2415</v>
      </c>
      <c r="F4" s="5">
        <f t="shared" si="0"/>
        <v>78</v>
      </c>
      <c r="G4" s="5">
        <v>374</v>
      </c>
      <c r="H4" s="5">
        <v>376</v>
      </c>
      <c r="I4" s="5">
        <f t="shared" si="1"/>
        <v>9</v>
      </c>
      <c r="J4" s="5">
        <f t="shared" si="2"/>
        <v>1347</v>
      </c>
      <c r="K4" s="5">
        <v>1346</v>
      </c>
      <c r="L4" s="7">
        <f t="shared" si="3"/>
        <v>-1</v>
      </c>
      <c r="M4" s="5"/>
    </row>
    <row r="5" spans="1:13">
      <c r="A5" s="5">
        <v>4</v>
      </c>
      <c r="B5" s="5">
        <v>1220</v>
      </c>
      <c r="C5" s="5">
        <v>40</v>
      </c>
      <c r="D5" s="5">
        <v>2415</v>
      </c>
      <c r="E5" s="5">
        <v>2454</v>
      </c>
      <c r="F5" s="5">
        <f t="shared" si="0"/>
        <v>50.7</v>
      </c>
      <c r="G5" s="5">
        <v>376</v>
      </c>
      <c r="H5" s="5">
        <v>376</v>
      </c>
      <c r="I5" s="5">
        <f t="shared" si="1"/>
        <v>0</v>
      </c>
      <c r="J5" s="5">
        <f t="shared" si="2"/>
        <v>1310.7</v>
      </c>
      <c r="K5" s="5">
        <v>1310</v>
      </c>
      <c r="L5" s="7">
        <f t="shared" si="3"/>
        <v>-0.70000000000004547</v>
      </c>
      <c r="M5" s="5"/>
    </row>
    <row r="6" spans="1:13">
      <c r="A6" s="5">
        <v>5</v>
      </c>
      <c r="B6" s="5">
        <v>1220</v>
      </c>
      <c r="C6" s="5">
        <v>40</v>
      </c>
      <c r="D6" s="5">
        <v>2454</v>
      </c>
      <c r="E6" s="5">
        <v>2487</v>
      </c>
      <c r="F6" s="5">
        <f>(E6-D6)*1.3</f>
        <v>42.9</v>
      </c>
      <c r="G6" s="5">
        <v>376</v>
      </c>
      <c r="H6" s="5">
        <v>378</v>
      </c>
      <c r="I6" s="5">
        <f>(H6-G6)*4.5</f>
        <v>9</v>
      </c>
      <c r="J6" s="5">
        <f>B6+C6+F6+I6</f>
        <v>1311.9</v>
      </c>
      <c r="K6" s="5">
        <v>1311</v>
      </c>
      <c r="L6" s="7">
        <f>K6-J6</f>
        <v>-0.90000000000009095</v>
      </c>
      <c r="M6" s="5"/>
    </row>
    <row r="7" spans="1:1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7"/>
      <c r="M7" s="5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1"/>
  <sheetViews>
    <sheetView workbookViewId="0">
      <selection activeCell="A18" sqref="A18"/>
    </sheetView>
  </sheetViews>
  <sheetFormatPr defaultRowHeight="14.4"/>
  <cols>
    <col min="1" max="1" width="60.77734375" customWidth="1"/>
  </cols>
  <sheetData>
    <row r="1" spans="1:1">
      <c r="A1" t="s">
        <v>10</v>
      </c>
    </row>
    <row r="2" spans="1:1">
      <c r="A2" t="s">
        <v>11</v>
      </c>
    </row>
    <row r="3" spans="1:1">
      <c r="A3" t="s">
        <v>12</v>
      </c>
    </row>
    <row r="4" spans="1:1">
      <c r="A4" t="s">
        <v>13</v>
      </c>
    </row>
    <row r="5" spans="1:1">
      <c r="A5" t="s">
        <v>15</v>
      </c>
    </row>
    <row r="6" spans="1:1">
      <c r="A6" t="s">
        <v>14</v>
      </c>
    </row>
    <row r="7" spans="1:1">
      <c r="A7" t="s">
        <v>16</v>
      </c>
    </row>
    <row r="8" spans="1:1">
      <c r="A8" t="s">
        <v>17</v>
      </c>
    </row>
    <row r="9" spans="1:1">
      <c r="A9" t="s">
        <v>18</v>
      </c>
    </row>
    <row r="10" spans="1:1">
      <c r="A10" t="s">
        <v>19</v>
      </c>
    </row>
    <row r="11" spans="1:1">
      <c r="A11" t="s">
        <v>20</v>
      </c>
    </row>
    <row r="12" spans="1:1">
      <c r="A12" t="s">
        <v>21</v>
      </c>
    </row>
    <row r="13" spans="1:1">
      <c r="A13" t="s">
        <v>22</v>
      </c>
    </row>
    <row r="14" spans="1:1">
      <c r="A14" t="s">
        <v>24</v>
      </c>
    </row>
    <row r="15" spans="1:1">
      <c r="A15" t="s">
        <v>23</v>
      </c>
    </row>
    <row r="16" spans="1:1">
      <c r="A16" t="s">
        <v>25</v>
      </c>
    </row>
    <row r="17" spans="1:1">
      <c r="A17" t="s">
        <v>26</v>
      </c>
    </row>
    <row r="18" spans="1:1">
      <c r="A18" t="s">
        <v>23</v>
      </c>
    </row>
    <row r="19" spans="1:1">
      <c r="A19" t="s">
        <v>27</v>
      </c>
    </row>
    <row r="20" spans="1:1">
      <c r="A20" t="s">
        <v>28</v>
      </c>
    </row>
    <row r="21" spans="1:1">
      <c r="A21" t="s">
        <v>29</v>
      </c>
    </row>
    <row r="22" spans="1:1">
      <c r="A22" t="s">
        <v>30</v>
      </c>
    </row>
    <row r="23" spans="1:1">
      <c r="A23" t="s">
        <v>31</v>
      </c>
    </row>
    <row r="25" spans="1:1">
      <c r="A25" t="s">
        <v>32</v>
      </c>
    </row>
    <row r="26" spans="1:1">
      <c r="A26" t="s">
        <v>33</v>
      </c>
    </row>
    <row r="27" spans="1:1">
      <c r="A27" t="s">
        <v>37</v>
      </c>
    </row>
    <row r="28" spans="1:1">
      <c r="A28" t="s">
        <v>35</v>
      </c>
    </row>
    <row r="29" spans="1:1">
      <c r="A29" t="s">
        <v>36</v>
      </c>
    </row>
    <row r="30" spans="1:1">
      <c r="A30" t="s">
        <v>34</v>
      </c>
    </row>
    <row r="31" spans="1:1">
      <c r="A31" t="s">
        <v>38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E17"/>
  <sheetViews>
    <sheetView workbookViewId="0">
      <selection activeCell="F20" sqref="F20"/>
    </sheetView>
  </sheetViews>
  <sheetFormatPr defaultRowHeight="14.4"/>
  <cols>
    <col min="1" max="1" width="6.21875" bestFit="1" customWidth="1"/>
    <col min="2" max="2" width="8.5546875" bestFit="1" customWidth="1"/>
    <col min="3" max="3" width="9.6640625" customWidth="1"/>
    <col min="4" max="4" width="18.6640625" bestFit="1" customWidth="1"/>
    <col min="5" max="5" width="8.5546875" bestFit="1" customWidth="1"/>
  </cols>
  <sheetData>
    <row r="2" spans="1:5" ht="15.6">
      <c r="A2" s="9" t="s">
        <v>39</v>
      </c>
      <c r="B2" s="10" t="s">
        <v>43</v>
      </c>
      <c r="C2" s="10" t="s">
        <v>56</v>
      </c>
      <c r="D2" s="10" t="s">
        <v>61</v>
      </c>
      <c r="E2" s="11" t="s">
        <v>71</v>
      </c>
    </row>
    <row r="3" spans="1:5" ht="15.6">
      <c r="A3" s="14"/>
      <c r="B3" s="15"/>
      <c r="C3" s="12"/>
      <c r="D3" s="12"/>
      <c r="E3" s="13"/>
    </row>
    <row r="4" spans="1:5">
      <c r="A4" s="16" t="s">
        <v>42</v>
      </c>
      <c r="B4" s="17" t="s">
        <v>44</v>
      </c>
      <c r="C4" s="19" t="s">
        <v>57</v>
      </c>
      <c r="D4" s="17" t="s">
        <v>62</v>
      </c>
      <c r="E4" s="27" t="s">
        <v>72</v>
      </c>
    </row>
    <row r="5" spans="1:5">
      <c r="A5" s="18" t="s">
        <v>77</v>
      </c>
      <c r="B5" s="17" t="s">
        <v>45</v>
      </c>
      <c r="C5" s="19" t="s">
        <v>58</v>
      </c>
      <c r="D5" s="19" t="s">
        <v>64</v>
      </c>
      <c r="E5" s="27" t="s">
        <v>74</v>
      </c>
    </row>
    <row r="6" spans="1:5">
      <c r="A6" s="16" t="s">
        <v>79</v>
      </c>
      <c r="B6" s="17" t="s">
        <v>46</v>
      </c>
      <c r="C6" s="19" t="s">
        <v>59</v>
      </c>
      <c r="D6" s="19" t="s">
        <v>65</v>
      </c>
      <c r="E6" s="27" t="s">
        <v>75</v>
      </c>
    </row>
    <row r="7" spans="1:5">
      <c r="A7" s="16" t="s">
        <v>80</v>
      </c>
      <c r="B7" s="17" t="s">
        <v>47</v>
      </c>
      <c r="C7" s="19" t="s">
        <v>60</v>
      </c>
      <c r="D7" s="17" t="s">
        <v>66</v>
      </c>
      <c r="E7" s="27" t="s">
        <v>76</v>
      </c>
    </row>
    <row r="8" spans="1:5">
      <c r="A8" s="16" t="s">
        <v>78</v>
      </c>
      <c r="B8" s="17" t="s">
        <v>51</v>
      </c>
      <c r="C8" s="19" t="s">
        <v>83</v>
      </c>
      <c r="D8" s="17" t="s">
        <v>68</v>
      </c>
      <c r="E8" s="20" t="s">
        <v>73</v>
      </c>
    </row>
    <row r="9" spans="1:5">
      <c r="A9" s="16" t="s">
        <v>84</v>
      </c>
      <c r="B9" s="17" t="s">
        <v>52</v>
      </c>
      <c r="C9" s="19"/>
      <c r="D9" s="19" t="s">
        <v>70</v>
      </c>
      <c r="E9" s="27" t="s">
        <v>86</v>
      </c>
    </row>
    <row r="10" spans="1:5">
      <c r="A10" s="16" t="s">
        <v>40</v>
      </c>
      <c r="B10" s="17" t="s">
        <v>53</v>
      </c>
      <c r="C10" s="19"/>
      <c r="D10" s="17" t="s">
        <v>67</v>
      </c>
      <c r="E10" s="25" t="s">
        <v>82</v>
      </c>
    </row>
    <row r="11" spans="1:5">
      <c r="A11" s="16" t="s">
        <v>41</v>
      </c>
      <c r="B11" s="17" t="s">
        <v>54</v>
      </c>
      <c r="C11" s="19"/>
      <c r="D11" s="17" t="s">
        <v>63</v>
      </c>
      <c r="E11" s="25" t="s">
        <v>87</v>
      </c>
    </row>
    <row r="12" spans="1:5">
      <c r="A12" s="21"/>
      <c r="B12" s="26" t="s">
        <v>85</v>
      </c>
      <c r="C12" s="19"/>
      <c r="D12" s="19" t="s">
        <v>69</v>
      </c>
      <c r="E12" s="20"/>
    </row>
    <row r="13" spans="1:5">
      <c r="A13" s="21"/>
      <c r="B13" s="22" t="s">
        <v>55</v>
      </c>
      <c r="C13" s="19"/>
      <c r="D13" s="21"/>
      <c r="E13" s="20"/>
    </row>
    <row r="14" spans="1:5">
      <c r="A14" s="21"/>
      <c r="B14" s="17" t="s">
        <v>49</v>
      </c>
      <c r="C14" s="19"/>
      <c r="D14" s="21"/>
      <c r="E14" s="20"/>
    </row>
    <row r="15" spans="1:5">
      <c r="A15" s="18"/>
      <c r="B15" s="17" t="s">
        <v>50</v>
      </c>
      <c r="C15" s="22"/>
      <c r="D15" s="21"/>
      <c r="E15" s="23"/>
    </row>
    <row r="16" spans="1:5">
      <c r="A16" s="24"/>
      <c r="B16" s="17" t="s">
        <v>48</v>
      </c>
      <c r="C16" s="21"/>
      <c r="D16" s="21"/>
      <c r="E16" s="21"/>
    </row>
    <row r="17" spans="2:2">
      <c r="B17" s="25" t="s">
        <v>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RowHeight="14.4"/>
  <cols>
    <col min="1" max="1" width="10.5546875" bestFit="1" customWidth="1"/>
    <col min="4" max="4" width="11.21875" customWidth="1"/>
  </cols>
  <sheetData>
    <row r="1" spans="1:6">
      <c r="A1" s="29" t="s">
        <v>88</v>
      </c>
      <c r="B1" s="29" t="s">
        <v>91</v>
      </c>
      <c r="C1" s="29" t="s">
        <v>90</v>
      </c>
      <c r="D1" s="29" t="s">
        <v>89</v>
      </c>
      <c r="E1" s="29"/>
      <c r="F1" s="29"/>
    </row>
    <row r="2" spans="1:6">
      <c r="A2" s="28">
        <v>43216</v>
      </c>
      <c r="C2">
        <v>30</v>
      </c>
      <c r="D2">
        <v>28.16</v>
      </c>
      <c r="F2" t="s">
        <v>99</v>
      </c>
    </row>
    <row r="3" spans="1:6">
      <c r="A3" s="28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A1:B7"/>
  <sheetViews>
    <sheetView workbookViewId="0">
      <pane ySplit="1" topLeftCell="A2" activePane="bottomLeft" state="frozen"/>
      <selection pane="bottomLeft" activeCell="B5" sqref="B5"/>
    </sheetView>
  </sheetViews>
  <sheetFormatPr defaultRowHeight="14.4"/>
  <cols>
    <col min="1" max="1" width="5.5546875" style="31" bestFit="1" customWidth="1"/>
    <col min="2" max="2" width="9.5546875" bestFit="1" customWidth="1"/>
  </cols>
  <sheetData>
    <row r="1" spans="1:2">
      <c r="A1" s="31" t="s">
        <v>92</v>
      </c>
      <c r="B1" t="s">
        <v>93</v>
      </c>
    </row>
    <row r="2" spans="1:2">
      <c r="A2" s="31">
        <v>0</v>
      </c>
      <c r="B2" s="30" t="s">
        <v>98</v>
      </c>
    </row>
    <row r="3" spans="1:2">
      <c r="A3" s="31">
        <v>1</v>
      </c>
      <c r="B3" s="30" t="s">
        <v>94</v>
      </c>
    </row>
    <row r="4" spans="1:2">
      <c r="A4" s="31">
        <v>2</v>
      </c>
      <c r="B4" s="30" t="s">
        <v>95</v>
      </c>
    </row>
    <row r="5" spans="1:2">
      <c r="A5" s="31">
        <v>3</v>
      </c>
      <c r="B5" s="30" t="s">
        <v>96</v>
      </c>
    </row>
    <row r="6" spans="1:2">
      <c r="A6" s="31">
        <v>4</v>
      </c>
      <c r="B6" s="30" t="s">
        <v>97</v>
      </c>
    </row>
    <row r="7" spans="1:2">
      <c r="B7" s="30"/>
    </row>
  </sheetData>
  <phoneticPr fontId="1" type="noConversion"/>
  <hyperlinks>
    <hyperlink ref="B2" location="rent!A1" tooltip="单击打开rent" display="rent"/>
    <hyperlink ref="B3" location="userform!A1" tooltip="单击打开userform" display="userform"/>
    <hyperlink ref="B4" location="外住用品!A1" tooltip="单击打开外住用品" display="外住用品"/>
    <hyperlink ref="B5" location="mobile!A1" tooltip="单击打开mobile" display="mobile"/>
    <hyperlink ref="B6" location="000目录!A1" tooltip="单击打开000目录" display="000目录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rent</vt:lpstr>
      <vt:lpstr>userform</vt:lpstr>
      <vt:lpstr>外住用品</vt:lpstr>
      <vt:lpstr>mobile</vt:lpstr>
      <vt:lpstr>000目录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wwuhnwu01</cp:lastModifiedBy>
  <dcterms:created xsi:type="dcterms:W3CDTF">2006-09-13T11:21:51Z</dcterms:created>
  <dcterms:modified xsi:type="dcterms:W3CDTF">2019-05-27T09:16:50Z</dcterms:modified>
</cp:coreProperties>
</file>