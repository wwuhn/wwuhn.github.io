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activeX/activeX2.bin" ContentType="application/vnd.ms-office.activeX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 firstSheet="32" activeTab="37"/>
  </bookViews>
  <sheets>
    <sheet name="000目录" sheetId="47" r:id="rId1"/>
    <sheet name="goodbook" sheetId="39" r:id="rId2"/>
    <sheet name="2016-8-7" sheetId="13" r:id="rId3"/>
    <sheet name="2016-8-12" sheetId="9" r:id="rId4"/>
    <sheet name="2016-8-15" sheetId="14" r:id="rId5"/>
    <sheet name="2016-8-26" sheetId="15" r:id="rId6"/>
    <sheet name="2016-8-29" sheetId="16" r:id="rId7"/>
    <sheet name="2016-9-4" sheetId="17" r:id="rId8"/>
    <sheet name="2016-9-25" sheetId="18" r:id="rId9"/>
    <sheet name="2016-9-26" sheetId="19" r:id="rId10"/>
    <sheet name="2016-10-21 (2)" sheetId="21" r:id="rId11"/>
    <sheet name="2016-10-21" sheetId="20" r:id="rId12"/>
    <sheet name="2016-11-23" sheetId="22" r:id="rId13"/>
    <sheet name="2017-2-14" sheetId="23" r:id="rId14"/>
    <sheet name="2017-3-6" sheetId="24" r:id="rId15"/>
    <sheet name="2017-3-14" sheetId="25" r:id="rId16"/>
    <sheet name="2017-4-2" sheetId="26" r:id="rId17"/>
    <sheet name="2017-4-30" sheetId="29" r:id="rId18"/>
    <sheet name="2017-5-15" sheetId="30" r:id="rId19"/>
    <sheet name="2017-5-23" sheetId="31" r:id="rId20"/>
    <sheet name="2017-5-31" sheetId="37" r:id="rId21"/>
    <sheet name="2017-6-4" sheetId="38" r:id="rId22"/>
    <sheet name="2017-8-4" sheetId="40" r:id="rId23"/>
    <sheet name="2017-10-16" sheetId="41" r:id="rId24"/>
    <sheet name="2017-11-3" sheetId="42" r:id="rId25"/>
    <sheet name="2017-11-11" sheetId="43" r:id="rId26"/>
    <sheet name="2017-12-4" sheetId="44" r:id="rId27"/>
    <sheet name="2017-12-25" sheetId="45" r:id="rId28"/>
    <sheet name="2018-1-15" sheetId="46" r:id="rId29"/>
    <sheet name="2018-1-23" sheetId="48" r:id="rId30"/>
    <sheet name="2018-2-22" sheetId="49" r:id="rId31"/>
    <sheet name="2018-3-30" sheetId="50" r:id="rId32"/>
    <sheet name="2018-4-21" sheetId="51" r:id="rId33"/>
    <sheet name="2018-5-31" sheetId="52" r:id="rId34"/>
    <sheet name="2018-6-6" sheetId="53" r:id="rId35"/>
    <sheet name="2018-7-1" sheetId="54" r:id="rId36"/>
    <sheet name="2018-7-17" sheetId="55" r:id="rId37"/>
    <sheet name="Sheet1" sheetId="56" r:id="rId38"/>
  </sheets>
  <calcPr calcId="124519"/>
</workbook>
</file>

<file path=xl/calcChain.xml><?xml version="1.0" encoding="utf-8"?>
<calcChain xmlns="http://schemas.openxmlformats.org/spreadsheetml/2006/main">
  <c r="H16" i="55"/>
  <c r="F15"/>
  <c r="F14"/>
  <c r="F13"/>
  <c r="F12"/>
  <c r="F11"/>
  <c r="F10"/>
  <c r="F9"/>
  <c r="F8"/>
  <c r="F7"/>
  <c r="F6"/>
  <c r="F5"/>
  <c r="F4"/>
  <c r="F3"/>
  <c r="F2"/>
  <c r="H17" i="54"/>
  <c r="F16"/>
  <c r="F15"/>
  <c r="F14"/>
  <c r="F13"/>
  <c r="F12"/>
  <c r="F11"/>
  <c r="F10"/>
  <c r="F9"/>
  <c r="F8"/>
  <c r="F7"/>
  <c r="F6"/>
  <c r="F5"/>
  <c r="F4"/>
  <c r="F3"/>
  <c r="F2"/>
  <c r="H16" i="53"/>
  <c r="F15"/>
  <c r="F14"/>
  <c r="F13"/>
  <c r="F12"/>
  <c r="F11"/>
  <c r="F10"/>
  <c r="F9"/>
  <c r="F8"/>
  <c r="F7"/>
  <c r="F6"/>
  <c r="F5"/>
  <c r="F4"/>
  <c r="F3"/>
  <c r="F2"/>
  <c r="H17" i="52"/>
  <c r="F16"/>
  <c r="F15"/>
  <c r="F14"/>
  <c r="F13"/>
  <c r="F12"/>
  <c r="F11"/>
  <c r="F10"/>
  <c r="F9"/>
  <c r="F8"/>
  <c r="F7"/>
  <c r="F6"/>
  <c r="F5"/>
  <c r="F4"/>
  <c r="F3"/>
  <c r="F2"/>
  <c r="H13" i="51"/>
  <c r="F12"/>
  <c r="F11"/>
  <c r="F10"/>
  <c r="F9"/>
  <c r="F8"/>
  <c r="F7"/>
  <c r="F6"/>
  <c r="F5"/>
  <c r="F4"/>
  <c r="F3"/>
  <c r="F2"/>
  <c r="H9" i="50"/>
  <c r="F8"/>
  <c r="F7"/>
  <c r="F6"/>
  <c r="F5"/>
  <c r="F4"/>
  <c r="F3"/>
  <c r="F2"/>
  <c r="H14" i="49"/>
  <c r="F13"/>
  <c r="F12"/>
  <c r="F11"/>
  <c r="F10"/>
  <c r="F9"/>
  <c r="F8"/>
  <c r="F7"/>
  <c r="F6"/>
  <c r="F5"/>
  <c r="F4"/>
  <c r="F3"/>
  <c r="F2"/>
  <c r="H18" i="48"/>
  <c r="F17"/>
  <c r="F16"/>
  <c r="F15"/>
  <c r="F14"/>
  <c r="F13"/>
  <c r="F12"/>
  <c r="F11"/>
  <c r="F10"/>
  <c r="F9"/>
  <c r="F8"/>
  <c r="F7"/>
  <c r="F6"/>
  <c r="F5"/>
  <c r="F4"/>
  <c r="F3"/>
  <c r="F2"/>
  <c r="H20" i="46"/>
  <c r="F19"/>
  <c r="F18"/>
  <c r="F17"/>
  <c r="F16"/>
  <c r="F15"/>
  <c r="F14"/>
  <c r="F13"/>
  <c r="F12"/>
  <c r="F11"/>
  <c r="F10"/>
  <c r="F9"/>
  <c r="F8"/>
  <c r="F7"/>
  <c r="F6"/>
  <c r="F5"/>
  <c r="F4"/>
  <c r="F3"/>
  <c r="F2"/>
  <c r="H12" i="43"/>
  <c r="F11"/>
  <c r="F10"/>
  <c r="F9"/>
  <c r="F8"/>
  <c r="F7"/>
  <c r="F6"/>
  <c r="F5"/>
  <c r="F4"/>
  <c r="F3"/>
  <c r="F2"/>
  <c r="H19" i="45"/>
  <c r="F18"/>
  <c r="F17"/>
  <c r="F16"/>
  <c r="F15"/>
  <c r="F14"/>
  <c r="F13"/>
  <c r="F12"/>
  <c r="F11"/>
  <c r="F10"/>
  <c r="F9"/>
  <c r="F8"/>
  <c r="F7"/>
  <c r="F6"/>
  <c r="F5"/>
  <c r="F4"/>
  <c r="F3"/>
  <c r="F2"/>
  <c r="H15" i="44"/>
  <c r="H17" i="42"/>
  <c r="H14" i="41"/>
  <c r="H18" i="40"/>
  <c r="H8" i="38"/>
  <c r="H17" i="37"/>
  <c r="H17" i="31"/>
  <c r="H17" i="30"/>
  <c r="H12" i="29"/>
  <c r="D4"/>
  <c r="D3"/>
  <c r="D2"/>
  <c r="D1"/>
  <c r="H8" i="26"/>
  <c r="H17" i="25"/>
  <c r="H10" i="24"/>
  <c r="H17" i="23"/>
  <c r="H13" i="22"/>
  <c r="H11" i="21"/>
  <c r="H19" i="20"/>
  <c r="H14" i="19"/>
  <c r="H14" i="18"/>
  <c r="H13" i="17"/>
  <c r="H12" i="16"/>
  <c r="H12" i="15"/>
  <c r="H16" i="14"/>
  <c r="C18" i="13"/>
  <c r="H22" i="9"/>
  <c r="H16" i="13"/>
</calcChain>
</file>

<file path=xl/sharedStrings.xml><?xml version="1.0" encoding="utf-8"?>
<sst xmlns="http://schemas.openxmlformats.org/spreadsheetml/2006/main" count="2161" uniqueCount="758">
  <si>
    <t xml:space="preserve">防黑杀毒必学的66个任务 </t>
  </si>
  <si>
    <t>徐洪霞等编著</t>
  </si>
  <si>
    <t>TP393.08/8</t>
  </si>
  <si>
    <t>图书</t>
  </si>
  <si>
    <t xml:space="preserve">职场力！Excel VBA这样学最有用 </t>
  </si>
  <si>
    <t>(日)早坂清志著</t>
  </si>
  <si>
    <t>TP391.1/3</t>
  </si>
  <si>
    <t>条码号</t>
  </si>
  <si>
    <t>题目</t>
  </si>
  <si>
    <t>责任者</t>
  </si>
  <si>
    <t>索书号</t>
  </si>
  <si>
    <t>文献类型</t>
  </si>
  <si>
    <t>借出日期</t>
  </si>
  <si>
    <t>应还日期</t>
  </si>
  <si>
    <t>续借次数</t>
  </si>
  <si>
    <t xml:space="preserve">Android开发秘籍：building applications with the Android SDK </t>
  </si>
  <si>
    <t>(美)Ronan Schwarz[等]著</t>
  </si>
  <si>
    <t>TN929.53/36</t>
  </si>
  <si>
    <t xml:space="preserve">微信公众平台企业应用开发实战 </t>
  </si>
  <si>
    <t>刘捷编著</t>
  </si>
  <si>
    <t>TN929.53/40</t>
  </si>
  <si>
    <t xml:space="preserve">疯狂Android讲义 </t>
  </si>
  <si>
    <t>李刚编著</t>
  </si>
  <si>
    <t>TN929.5/677/[3]</t>
  </si>
  <si>
    <t xml:space="preserve">Photoshop CS3宝典 </t>
  </si>
  <si>
    <t>(美)Laurie Ulrich Fuller, (美)Robert C. Fuller著</t>
  </si>
  <si>
    <t>TP391/5736</t>
  </si>
  <si>
    <t xml:space="preserve">超写实3ds Max建模技术精粹 </t>
  </si>
  <si>
    <t>尹承红, 唐文杰等编著</t>
  </si>
  <si>
    <t>TP391/8720/2</t>
  </si>
  <si>
    <t xml:space="preserve">3ds Max 2015中文版完全自学一本通 </t>
  </si>
  <si>
    <t>王玉敏，刘有亮编著</t>
  </si>
  <si>
    <t>TP391.41/189</t>
  </si>
  <si>
    <t xml:space="preserve">图说相对论 </t>
  </si>
  <si>
    <t>(日)山口健一著</t>
  </si>
  <si>
    <t>O412/48</t>
  </si>
  <si>
    <t xml:space="preserve">Excel 2010 VBA实战技巧精粹 </t>
  </si>
  <si>
    <t>Excel Home编著</t>
  </si>
  <si>
    <t>TP391/10833</t>
  </si>
  <si>
    <t xml:space="preserve">车主必备宝典 </t>
  </si>
  <si>
    <t>徐椿，施红星主编</t>
  </si>
  <si>
    <t>U471/517</t>
  </si>
  <si>
    <t xml:space="preserve">私家车车主手册：理性购车 科学用车 安全驾车 </t>
  </si>
  <si>
    <t>夏星著</t>
  </si>
  <si>
    <t>U471/345</t>
  </si>
  <si>
    <t xml:space="preserve">比尔·盖茨 </t>
  </si>
  <si>
    <t>时贵仁，佟艳光编著</t>
  </si>
  <si>
    <t>K837.12/2633</t>
  </si>
  <si>
    <t xml:space="preserve">从零开始学英语发音 </t>
  </si>
  <si>
    <t>李可编著</t>
  </si>
  <si>
    <t>H311/10</t>
  </si>
  <si>
    <t xml:space="preserve">代码的未来 </t>
  </si>
  <si>
    <t>(日)松本行弘著</t>
  </si>
  <si>
    <t>TP312/31</t>
  </si>
  <si>
    <t xml:space="preserve">一看就懂的500项汽车构造原理 </t>
  </si>
  <si>
    <t>李林主编</t>
  </si>
  <si>
    <t>U463/669</t>
  </si>
  <si>
    <t xml:space="preserve">达尔文 </t>
  </si>
  <si>
    <t>(英)阿德里安·戴斯蒙德，(英)詹姆斯·穆尔著</t>
  </si>
  <si>
    <t>K835.61/1</t>
  </si>
  <si>
    <t xml:space="preserve">PHOTOSHOP完美演绎图像处理 </t>
  </si>
  <si>
    <t>锐艺视觉编著</t>
  </si>
  <si>
    <t>TP391/9964</t>
  </si>
  <si>
    <t xml:space="preserve">Excel 2007应用大全 </t>
  </si>
  <si>
    <t>(美)Bill Jelen著</t>
  </si>
  <si>
    <t>TP391/5618</t>
  </si>
  <si>
    <t>sn</t>
  </si>
  <si>
    <t>共借书本数：11本</t>
  </si>
  <si>
    <t>最近需还书日期：</t>
  </si>
  <si>
    <t>应该包含的光盘个数：3个</t>
  </si>
  <si>
    <t>700开头的条码是白云区图书馆的图书；其它是广图的图书；</t>
  </si>
  <si>
    <t>(34天后到期!)</t>
  </si>
  <si>
    <t>sn</t>
    <phoneticPr fontId="1" type="noConversion"/>
  </si>
  <si>
    <t>共借书本数：13本</t>
    <phoneticPr fontId="1" type="noConversion"/>
  </si>
  <si>
    <t>最近需还书日期：</t>
    <phoneticPr fontId="1" type="noConversion"/>
  </si>
  <si>
    <t>应该包含的光盘个数：6个</t>
    <phoneticPr fontId="1" type="noConversion"/>
  </si>
  <si>
    <t>700开头的条码是白云区图书馆的图书；其它是广图的图书；</t>
    <phoneticPr fontId="1" type="noConversion"/>
  </si>
  <si>
    <t>(15天后到期!)</t>
    <phoneticPr fontId="1" type="noConversion"/>
  </si>
  <si>
    <t xml:space="preserve">单词的逻辑 </t>
  </si>
  <si>
    <t>朱子熹编著</t>
  </si>
  <si>
    <t>H313/1689/[2]</t>
  </si>
  <si>
    <t xml:space="preserve">代码之髓：编程语言核心概念 </t>
  </si>
  <si>
    <t>(日)西尾泰和著</t>
  </si>
  <si>
    <t>TP312/32</t>
  </si>
  <si>
    <t xml:space="preserve">细说英语词源 </t>
  </si>
  <si>
    <t>李奭学著</t>
  </si>
  <si>
    <t>H312/2</t>
  </si>
  <si>
    <t>(26天后到期!)</t>
  </si>
  <si>
    <t xml:space="preserve">爱因斯坦传 </t>
  </si>
  <si>
    <t>(美)沃尔特·艾萨克森著</t>
  </si>
  <si>
    <t>K837.12/1915</t>
  </si>
  <si>
    <t xml:space="preserve">算法的乐趣 </t>
  </si>
  <si>
    <t>王晓华著</t>
  </si>
  <si>
    <t>TP30/631</t>
  </si>
  <si>
    <t xml:space="preserve">最强大脑：数字时代的前世今生 </t>
  </si>
  <si>
    <t>(美)简·斯迈利(Jane Smiley)著</t>
  </si>
  <si>
    <t>TP3/1546</t>
  </si>
  <si>
    <t xml:space="preserve">转折：眺望IT巅峰：heading to a new summit of it industry </t>
  </si>
  <si>
    <t>谢耘著</t>
  </si>
  <si>
    <t>TP3/1459</t>
  </si>
  <si>
    <t xml:space="preserve">金牌车主手册 </t>
  </si>
  <si>
    <t>陈新亚编著</t>
  </si>
  <si>
    <t>U46/166/[5]</t>
  </si>
  <si>
    <t>共借书本数：10本</t>
  </si>
  <si>
    <t>(31天后到期!)</t>
  </si>
  <si>
    <t>(40天后到期!)</t>
  </si>
  <si>
    <t xml:space="preserve">中国人史纲．上 </t>
  </si>
  <si>
    <t>柏杨著</t>
  </si>
  <si>
    <t>K20/26</t>
  </si>
  <si>
    <t xml:space="preserve">唐史并不如烟．第三部，武后当国 </t>
  </si>
  <si>
    <t>曲昌春著</t>
  </si>
  <si>
    <t>K242.09/23</t>
  </si>
  <si>
    <t>sn</t>
    <phoneticPr fontId="1" type="noConversion"/>
  </si>
  <si>
    <t>共借书本数：11本</t>
    <phoneticPr fontId="1" type="noConversion"/>
  </si>
  <si>
    <t>最近需还书日期：</t>
    <phoneticPr fontId="1" type="noConversion"/>
  </si>
  <si>
    <t>没有光盘！</t>
    <phoneticPr fontId="1" type="noConversion"/>
  </si>
  <si>
    <t>700开头的条码是白云区图书馆的图书；其它是广图的图书；</t>
    <phoneticPr fontId="1" type="noConversion"/>
  </si>
  <si>
    <t>(27天后到期!)</t>
    <phoneticPr fontId="1" type="noConversion"/>
  </si>
  <si>
    <t xml:space="preserve">Visual C++从入门到精通：视频实战版：15小时多媒体教学视频 </t>
  </si>
  <si>
    <t>祝明慧, 车玉生等编著</t>
  </si>
  <si>
    <t>TP312/4957</t>
  </si>
  <si>
    <t xml:space="preserve">计算机达人成长之路．憧憬与迷茫篇 </t>
  </si>
  <si>
    <t>朱云翔著</t>
  </si>
  <si>
    <t>TP3/1221</t>
  </si>
  <si>
    <t>sn</t>
    <phoneticPr fontId="1" type="noConversion"/>
  </si>
  <si>
    <t>共借书本数：12本</t>
    <phoneticPr fontId="1" type="noConversion"/>
  </si>
  <si>
    <t>最近需还书日期：</t>
    <phoneticPr fontId="1" type="noConversion"/>
  </si>
  <si>
    <t>没有光盘！</t>
    <phoneticPr fontId="1" type="noConversion"/>
  </si>
  <si>
    <t>700开头的条码是白云区图书馆的图书；其它是广图的图书；</t>
    <phoneticPr fontId="1" type="noConversion"/>
  </si>
  <si>
    <t>(13天后到期!)</t>
    <phoneticPr fontId="1" type="noConversion"/>
  </si>
  <si>
    <t xml:space="preserve">程序设计基础教程：C语言 </t>
  </si>
  <si>
    <t>黄同成，周红波主编</t>
  </si>
  <si>
    <t>TP312C/8</t>
  </si>
  <si>
    <t xml:space="preserve">数据结构：C语言版 </t>
  </si>
  <si>
    <t>陈燕[等]编著</t>
  </si>
  <si>
    <t>TP311.12/4</t>
  </si>
  <si>
    <t>共借书本数：12本</t>
  </si>
  <si>
    <t>没有光盘！</t>
  </si>
  <si>
    <t>(19天后到期!)</t>
  </si>
  <si>
    <t xml:space="preserve">C++语言探索发现学习教程 </t>
  </si>
  <si>
    <t>雷小锋，毛善君，张海荣著</t>
  </si>
  <si>
    <t>TP312/6303</t>
  </si>
  <si>
    <t xml:space="preserve">零基础学Visual C++ </t>
  </si>
  <si>
    <t>申远，古万荣等编著</t>
  </si>
  <si>
    <t>TP312/6079</t>
  </si>
  <si>
    <t xml:space="preserve">C++程序设计经典300例 </t>
  </si>
  <si>
    <t>侯晓琴编著</t>
  </si>
  <si>
    <t>TP312/5959</t>
  </si>
  <si>
    <t>sn</t>
    <phoneticPr fontId="1" type="noConversion"/>
  </si>
  <si>
    <t>共借书本数：15本</t>
    <phoneticPr fontId="1" type="noConversion"/>
  </si>
  <si>
    <t>最近需还书日期：</t>
    <phoneticPr fontId="1" type="noConversion"/>
  </si>
  <si>
    <t>应该包含的光盘个数：2个</t>
    <phoneticPr fontId="1" type="noConversion"/>
  </si>
  <si>
    <t>700开头的条码是白云区图书馆的图书；其它是广图的图书；</t>
    <phoneticPr fontId="1" type="noConversion"/>
  </si>
  <si>
    <t>(-6天后到期!)</t>
    <phoneticPr fontId="1" type="noConversion"/>
  </si>
  <si>
    <t>sn</t>
    <phoneticPr fontId="1" type="noConversion"/>
  </si>
  <si>
    <t>共借书本数：7本</t>
    <phoneticPr fontId="1" type="noConversion"/>
  </si>
  <si>
    <t>(5天后到期!)</t>
    <phoneticPr fontId="1" type="noConversion"/>
  </si>
  <si>
    <t xml:space="preserve">编码的法则：C++程序员不可不知的101条实用经验 </t>
  </si>
  <si>
    <t>刘光编著</t>
  </si>
  <si>
    <t>TP312/5819</t>
  </si>
  <si>
    <t xml:space="preserve">别样诠释：一个Visual C++老鸟10年学习与开发心得 </t>
  </si>
  <si>
    <t>管皓, 高永丽编著</t>
  </si>
  <si>
    <t>TP312/5564</t>
  </si>
  <si>
    <t>sn</t>
    <phoneticPr fontId="1" type="noConversion"/>
  </si>
  <si>
    <t>共借书本数：9本</t>
    <phoneticPr fontId="1" type="noConversion"/>
  </si>
  <si>
    <t>最近需还书日期：</t>
    <phoneticPr fontId="1" type="noConversion"/>
  </si>
  <si>
    <t>应该包含的光盘个数：2个</t>
    <phoneticPr fontId="1" type="noConversion"/>
  </si>
  <si>
    <t>700开头的条码是白云区图书馆的图书；其它是广图的图书；</t>
    <phoneticPr fontId="1" type="noConversion"/>
  </si>
  <si>
    <t>(-11天后到期!)</t>
    <phoneticPr fontId="1" type="noConversion"/>
  </si>
  <si>
    <t>Visual C++开发宝典</t>
  </si>
  <si>
    <t>匡松，李强主编</t>
  </si>
  <si>
    <t>TP312/19</t>
  </si>
  <si>
    <t>代码的未来</t>
  </si>
  <si>
    <t>代码之髓：编程语言核心概念</t>
  </si>
  <si>
    <t>果壳中的宇宙</t>
  </si>
  <si>
    <t>(英)史蒂芬·霍金(Stephen Hawking)著</t>
  </si>
  <si>
    <t>P159/47</t>
  </si>
  <si>
    <t>时间简史：插图本</t>
  </si>
  <si>
    <t>(英)史蒂芬·霍金著</t>
  </si>
  <si>
    <t>P159/1/[6]</t>
  </si>
  <si>
    <t>会声会影X8影片编辑与后期制作基础教程</t>
  </si>
  <si>
    <t>文杰书院编著</t>
  </si>
  <si>
    <t>TP391/11497</t>
  </si>
  <si>
    <t>Visual C++开发实战</t>
  </si>
  <si>
    <t>软件开发技术联盟编著</t>
  </si>
  <si>
    <t>TP312/5712</t>
  </si>
  <si>
    <t>零点起飞学Visual C++</t>
  </si>
  <si>
    <t>葛亮等编著</t>
  </si>
  <si>
    <t>TP312/5693</t>
  </si>
  <si>
    <t>Visual C++入门经典</t>
  </si>
  <si>
    <t>赵永发，刘莉莉等编著</t>
  </si>
  <si>
    <t>TP312/5616</t>
  </si>
  <si>
    <t>图解汽车原理与构造：彩色版</t>
  </si>
  <si>
    <t>张金柱主编</t>
  </si>
  <si>
    <t>U46/250</t>
  </si>
  <si>
    <t>王二的经济学故事</t>
  </si>
  <si>
    <t>郭凯著</t>
  </si>
  <si>
    <t>F0/1196</t>
  </si>
  <si>
    <t>应该包含的光盘个数：4个</t>
  </si>
  <si>
    <t>(23天后到期!)</t>
  </si>
  <si>
    <t>零基础学Visual C++</t>
  </si>
  <si>
    <t>C++从入门到精通</t>
  </si>
  <si>
    <t>国家863中部软件孵化器编著</t>
  </si>
  <si>
    <t>TP312/4703/[2]</t>
  </si>
  <si>
    <t>编码的法则：C++程序员不可不知的101条实用经验</t>
  </si>
  <si>
    <t>光的故事：从原子到星系：the story of light from atoms to galaxies</t>
  </si>
  <si>
    <t>亚历克斯·蒙特威尔，安·布雷斯林著</t>
  </si>
  <si>
    <t>O43/89</t>
  </si>
  <si>
    <t>写给大忙人看的C++</t>
  </si>
  <si>
    <t>(美)Brian Overland著</t>
  </si>
  <si>
    <t>TP312/6415</t>
  </si>
  <si>
    <t>30秒探索．科学理论</t>
  </si>
  <si>
    <t>(英)保罗·帕森斯(Paul Parsons)主编</t>
  </si>
  <si>
    <t>N0/593</t>
  </si>
  <si>
    <t>给世界的答案：发现现代科学</t>
  </si>
  <si>
    <t>(美)斯蒂芬·温伯格著</t>
  </si>
  <si>
    <t>K02/128</t>
  </si>
  <si>
    <t>TP312/6026</t>
  </si>
  <si>
    <t>共借书本数：8本</t>
  </si>
  <si>
    <t>(62天后到期!)</t>
  </si>
  <si>
    <t>深入浅出C语言程序设计：习题集和编程指导</t>
  </si>
  <si>
    <t>李俊萩，张晴晖，徐伟恒主编</t>
  </si>
  <si>
    <t>TP312/6688</t>
  </si>
  <si>
    <t>C语言从入门到精通</t>
  </si>
  <si>
    <t>TP312/4790/[2]</t>
  </si>
  <si>
    <t>B0074094</t>
  </si>
  <si>
    <t>科学的旅程：插图版</t>
  </si>
  <si>
    <t>(美)雷·斯潘根贝格, (美)黛安娜·莫泽著</t>
  </si>
  <si>
    <t>N091/21</t>
  </si>
  <si>
    <t>科学的历史：改变世界的100个重大发现</t>
  </si>
  <si>
    <t>(英)Paul Parsons著</t>
  </si>
  <si>
    <t>N19/19</t>
  </si>
  <si>
    <t>B0022993</t>
  </si>
  <si>
    <t>科学进化史</t>
  </si>
  <si>
    <t>(美)雅·布伦诺斯基(J.Bronowski)著</t>
  </si>
  <si>
    <t>N09/5</t>
  </si>
  <si>
    <t>21天学通C语言</t>
  </si>
  <si>
    <t>(美)Bradley Jones，(美)Peter Aitken，(美)Dean Miller著</t>
  </si>
  <si>
    <t>TP312/6161</t>
  </si>
  <si>
    <t>共借书本数：14本</t>
  </si>
  <si>
    <t>应该包含的光盘个数：1个</t>
  </si>
  <si>
    <t>(54天后到期!)</t>
  </si>
  <si>
    <t>极简科学史：人类探索世界和自我的2500年</t>
  </si>
  <si>
    <t>(美)苏珊·怀斯·鲍尔(Susan Wise Bauer)著</t>
  </si>
  <si>
    <t>N09/423</t>
  </si>
  <si>
    <t>100个奇妙的物理知识</t>
  </si>
  <si>
    <t>(英)科林·斯图尔特(Colin Stuart)著</t>
  </si>
  <si>
    <t>O4/673</t>
  </si>
  <si>
    <t>C++之旅：英文版</t>
  </si>
  <si>
    <t>(美)Bjarne Stroustrup著</t>
  </si>
  <si>
    <t>TP312/6552</t>
  </si>
  <si>
    <t>Objective-C程序设计：英文版</t>
  </si>
  <si>
    <t>(美)Stephen G.Kochan著</t>
  </si>
  <si>
    <t>TP312/6598</t>
  </si>
  <si>
    <t>Excel 2010 VBA入门与提高</t>
  </si>
  <si>
    <t>黄朝阳主编</t>
  </si>
  <si>
    <t>TP391/9932</t>
  </si>
  <si>
    <t>Visual C++程序开发范例宝典</t>
  </si>
  <si>
    <t>刘志铭，李贺，高茹编著</t>
  </si>
  <si>
    <t>TP312/6225</t>
  </si>
  <si>
    <t>共借书本数：6本</t>
  </si>
  <si>
    <t>(60天后到期!)</t>
  </si>
  <si>
    <t>奇妙数学的100个重大突破．上册</t>
  </si>
  <si>
    <t>O1/741/1</t>
  </si>
  <si>
    <t>奇妙数学的100个重大突破．下册</t>
  </si>
  <si>
    <t>O1/741/2</t>
  </si>
  <si>
    <t>趣味数学366</t>
  </si>
  <si>
    <t>O1/863</t>
  </si>
  <si>
    <t>一本书读完科学发现的历史</t>
  </si>
  <si>
    <t>崔佳编著</t>
  </si>
  <si>
    <t>N1/418</t>
  </si>
  <si>
    <t>30秒探索．数学</t>
  </si>
  <si>
    <t>(美)理查德·布朗(Richard Brown)主编</t>
  </si>
  <si>
    <t>O1/786</t>
  </si>
  <si>
    <t>卡夫卡传：墓地里的寒鸦</t>
  </si>
  <si>
    <t>邵嘉骥著</t>
  </si>
  <si>
    <t>K835.21/69</t>
  </si>
  <si>
    <t>VC++项目开发实战密码</t>
  </si>
  <si>
    <t>朱桂英编著</t>
  </si>
  <si>
    <t>TP312/6394</t>
  </si>
  <si>
    <t>电子计算60年</t>
  </si>
  <si>
    <t>彭民德著</t>
  </si>
  <si>
    <t>TP3/1640</t>
  </si>
  <si>
    <t>双语版C++程序设计</t>
  </si>
  <si>
    <t>(爱尔兰)Paul Kelly, 苏小红著</t>
  </si>
  <si>
    <t>TP312/6725</t>
  </si>
  <si>
    <t>共借书本数：9本</t>
  </si>
  <si>
    <t>(63天后到期!)</t>
  </si>
  <si>
    <t>指针的编程艺术</t>
  </si>
  <si>
    <t>蔡明志著</t>
  </si>
  <si>
    <t>TP312/5549</t>
  </si>
  <si>
    <t>数据结构与算法分析新视角</t>
  </si>
  <si>
    <t>周幸妮[等]编著</t>
  </si>
  <si>
    <t>TP311.1/20</t>
  </si>
  <si>
    <t>程序员生存手册．面试篇</t>
  </si>
  <si>
    <t>孙宇熙编著</t>
  </si>
  <si>
    <t>TP311.1/14</t>
  </si>
  <si>
    <t>C程序员从校园到职场</t>
  </si>
  <si>
    <t>周兆熊著</t>
  </si>
  <si>
    <t>TP312/6406</t>
  </si>
  <si>
    <t>C++编程规范：101条规则、准则与最佳实践</t>
  </si>
  <si>
    <t>(加)Herb Sutter, (罗)Andrei Alexandrescu著</t>
  </si>
  <si>
    <t>TP312/6538</t>
  </si>
  <si>
    <t>C语言程序设计任务驱动教程</t>
  </si>
  <si>
    <t>许洪军, 贺维主编</t>
  </si>
  <si>
    <t>TP312/6572</t>
  </si>
  <si>
    <t>(英)Richard Elwes著</t>
  </si>
  <si>
    <t>任现淼编著</t>
  </si>
  <si>
    <t>共借书本数：14本</t>
    <phoneticPr fontId="1" type="noConversion"/>
  </si>
  <si>
    <t>应该包含的光盘个数：1个</t>
    <phoneticPr fontId="1" type="noConversion"/>
  </si>
  <si>
    <t>(48天后到期!)</t>
    <phoneticPr fontId="1" type="noConversion"/>
  </si>
  <si>
    <t>最近需还书日期：</t>
    <phoneticPr fontId="1" type="noConversion"/>
  </si>
  <si>
    <t>700开头的条码是白云区图书馆的图书；其它是广图的图书；</t>
    <phoneticPr fontId="1" type="noConversion"/>
  </si>
  <si>
    <t>C++大学教程</t>
  </si>
  <si>
    <t>(美)H.M.Deitel，(美)P.J.Deitel著</t>
  </si>
  <si>
    <t>TP312/1388/[3]</t>
  </si>
  <si>
    <t>从零开始学C语言：实战案例版</t>
  </si>
  <si>
    <t>肖宪华编著</t>
  </si>
  <si>
    <t>TP312/5792</t>
  </si>
  <si>
    <t>C语言入门1·2·3：一个老鸟的C语言学习心得</t>
  </si>
  <si>
    <t>周凌霄等编著</t>
  </si>
  <si>
    <t>TP312/5994</t>
  </si>
  <si>
    <t>(32天后到期!)</t>
  </si>
  <si>
    <t>一本书读完发现自然的历史</t>
  </si>
  <si>
    <t>N09/343</t>
  </si>
  <si>
    <t>C++语言探索发现学习教程</t>
  </si>
  <si>
    <t>Visual C++教程</t>
  </si>
  <si>
    <t>郑阿奇主编</t>
  </si>
  <si>
    <t>TP312/2448/[2]</t>
  </si>
  <si>
    <t>共借书本数：5本</t>
  </si>
  <si>
    <t>C专家编程：英文版</t>
  </si>
  <si>
    <t>(美)Peter van der Linden著</t>
  </si>
  <si>
    <t>TP312/6251</t>
  </si>
  <si>
    <t>布谷鸟的蛋是谁的</t>
  </si>
  <si>
    <t>(日)东野圭吾著</t>
  </si>
  <si>
    <t>I313.45/623</t>
  </si>
  <si>
    <t>Excel 2007 VBA实战技巧精粹</t>
  </si>
  <si>
    <t>TP391/9573</t>
  </si>
  <si>
    <t>电脑硬件选购、组装与维修从入门到精通</t>
  </si>
  <si>
    <t>徐伟，张鹏编著</t>
  </si>
  <si>
    <t>TP36/2552</t>
  </si>
  <si>
    <t>Excel函数与公式速查手册</t>
  </si>
  <si>
    <t>赛贝尔资讯编著</t>
  </si>
  <si>
    <t>TP391/10987</t>
  </si>
  <si>
    <t>编程人生：15位软件先驱访谈录．下卷</t>
  </si>
  <si>
    <t>(美)Peter Seibel著</t>
  </si>
  <si>
    <t>K816/318/2</t>
  </si>
  <si>
    <t>汽车不神秘：汽车构造透视图典</t>
  </si>
  <si>
    <t>U463/470/[2]</t>
  </si>
  <si>
    <t>机器之心：当计算机超越人类，机器拥有了心灵</t>
  </si>
  <si>
    <t>(美)雷·库兹韦尔著</t>
  </si>
  <si>
    <t>TP18/344</t>
  </si>
  <si>
    <t>机器崛起前传：自我意识与人类智慧的开端</t>
  </si>
  <si>
    <t>蔡恒进[等]著</t>
  </si>
  <si>
    <t>TP18/392</t>
  </si>
  <si>
    <t>C指针：基本概念、核心技术及最佳实践</t>
  </si>
  <si>
    <t>(印)纳威恩·拓奥普(Naveen Toppo)，(印)海瑞思科什·德万(Hrishikesh Dewan)著</t>
  </si>
  <si>
    <t>TP312/6626</t>
  </si>
  <si>
    <t>编程大师访谈录：interviews with 19 programmers who shaped the computer indus try</t>
  </si>
  <si>
    <t>(美)Susan Lammers著</t>
  </si>
  <si>
    <t>K816/260</t>
  </si>
  <si>
    <t>共借书本数：13本</t>
  </si>
  <si>
    <t>(51天后到期!)</t>
  </si>
  <si>
    <t xml:space="preserve">科学+预见人工智能 </t>
  </si>
  <si>
    <t>王晶，李贵民主编</t>
  </si>
  <si>
    <t>TP18/417</t>
  </si>
  <si>
    <t xml:space="preserve">世界文化探秘 </t>
  </si>
  <si>
    <t>龚苗苗编著</t>
  </si>
  <si>
    <t>K103/372</t>
  </si>
  <si>
    <t xml:space="preserve">现用现查：DOS命令行应用实战秘籍 </t>
  </si>
  <si>
    <t>高洪涛编著</t>
  </si>
  <si>
    <t>TP316/3561</t>
  </si>
  <si>
    <t xml:space="preserve">科学的极致：漫谈人工智能 </t>
  </si>
  <si>
    <t>集智俱乐部编著</t>
  </si>
  <si>
    <t>TP18/316</t>
  </si>
  <si>
    <t xml:space="preserve">Visual C++ 开发从入门到精通 </t>
  </si>
  <si>
    <t>王东华，李樱编著</t>
  </si>
  <si>
    <t>TP312/6727</t>
  </si>
  <si>
    <t xml:space="preserve">Excel专家案例与技巧金典 </t>
  </si>
  <si>
    <t>邢新建, 张五成, 彭宗勤编著</t>
  </si>
  <si>
    <t>TP391/6379</t>
  </si>
  <si>
    <t xml:space="preserve">科学的历程 </t>
  </si>
  <si>
    <t>吴国盛著</t>
  </si>
  <si>
    <t>N0/71/[3]</t>
  </si>
  <si>
    <t xml:space="preserve">Excel 2010公式·函数·图表与数据分析速查手册 </t>
  </si>
  <si>
    <t>TP391/11258</t>
  </si>
  <si>
    <t xml:space="preserve">Excel公式与函数案例速查手册 </t>
  </si>
  <si>
    <t>文杰书院组编</t>
  </si>
  <si>
    <t>TP391/9609</t>
  </si>
  <si>
    <t xml:space="preserve">Excel函数、图表与透视表从入门到精通：全新版 </t>
  </si>
  <si>
    <t>罗刚君编著</t>
  </si>
  <si>
    <t>TP391/11240</t>
  </si>
  <si>
    <t>sn</t>
    <phoneticPr fontId="1" type="noConversion"/>
  </si>
  <si>
    <t>应该包含的光盘个数：2个</t>
  </si>
  <si>
    <t>(27天后到期!)</t>
  </si>
  <si>
    <t xml:space="preserve">国外50部经典纪录片：品味世界百年的光影波动 </t>
  </si>
  <si>
    <t>桂清萍编著</t>
  </si>
  <si>
    <t>J952/49</t>
  </si>
  <si>
    <t xml:space="preserve">超图解人类简史：人类如何从动物到文明 </t>
  </si>
  <si>
    <t>王宇琨, 董志道编著</t>
  </si>
  <si>
    <t>K02/140</t>
  </si>
  <si>
    <t xml:space="preserve">一本书读懂人工智能 </t>
  </si>
  <si>
    <t>李连德著</t>
  </si>
  <si>
    <t>TP18/362</t>
  </si>
  <si>
    <t xml:space="preserve">Visual C++项目开发全程实录 </t>
  </si>
  <si>
    <t>郭鑫，陈英编著</t>
  </si>
  <si>
    <t>TP312/3992/[2]</t>
  </si>
  <si>
    <t xml:space="preserve">Excel VBA编程实战宝典 </t>
  </si>
  <si>
    <t>伍远高等编著</t>
  </si>
  <si>
    <t>TP391/10659</t>
  </si>
  <si>
    <t xml:space="preserve">和秋叶一起学Word：又快又好搞定工作文档排版 </t>
  </si>
  <si>
    <t>张志主编</t>
  </si>
  <si>
    <t>TP391/10996</t>
  </si>
  <si>
    <t xml:space="preserve">一本书读懂36大科学定理 </t>
  </si>
  <si>
    <t>李啸虎，田廷彦，马丁玲编著</t>
  </si>
  <si>
    <t>O/14</t>
  </si>
  <si>
    <t>(法)克里斯托弗·加尔法德(Christophe Galfard)著</t>
  </si>
  <si>
    <t xml:space="preserve">科技英语阅读 </t>
  </si>
  <si>
    <t>谢小苑主编</t>
  </si>
  <si>
    <t>N4/11</t>
  </si>
  <si>
    <t xml:space="preserve">走近钱学森 </t>
  </si>
  <si>
    <t>叶永烈著</t>
  </si>
  <si>
    <t>K826.16=76/3</t>
  </si>
  <si>
    <t>sn</t>
    <phoneticPr fontId="1" type="noConversion"/>
  </si>
  <si>
    <t>(46天后到期!)</t>
  </si>
  <si>
    <t>极简宇宙史</t>
    <phoneticPr fontId="1" type="noConversion"/>
  </si>
  <si>
    <t>P159/512</t>
    <phoneticPr fontId="1" type="noConversion"/>
  </si>
  <si>
    <t xml:space="preserve">爱因斯坦的天才思想：相对论简易入门 </t>
    <phoneticPr fontId="1" type="noConversion"/>
  </si>
  <si>
    <t>巴里·帕克(Barry Parker)著</t>
    <phoneticPr fontId="1" type="noConversion"/>
  </si>
  <si>
    <t>O412/37</t>
    <phoneticPr fontId="1" type="noConversion"/>
  </si>
  <si>
    <t xml:space="preserve">MATLAB 2014从新手到高手 </t>
  </si>
  <si>
    <t>龙马高新教育编著</t>
  </si>
  <si>
    <t>TP317/1279</t>
  </si>
  <si>
    <t xml:space="preserve">MATLAB工程与科学绘图 </t>
  </si>
  <si>
    <t>周博, 薛世峰编著</t>
  </si>
  <si>
    <t>TP312/6411</t>
  </si>
  <si>
    <t xml:space="preserve">MATLAB 8.5基础教程 </t>
  </si>
  <si>
    <t>杨德平，孙显录，管殿柱等编著</t>
  </si>
  <si>
    <t>TP312/6719</t>
  </si>
  <si>
    <t xml:space="preserve">电的旅程：探索人类驾驭电子的历史过程 </t>
  </si>
  <si>
    <t>张大凯著</t>
  </si>
  <si>
    <t>O441/5</t>
  </si>
  <si>
    <t xml:space="preserve">科学的奥秘：现代科技重大发现与发明．上，数学 物理 化学 </t>
  </si>
  <si>
    <t>(澳)艾伦·R. 格兰维尔(Allan R. Glanville)著</t>
  </si>
  <si>
    <t>Z228/607</t>
  </si>
  <si>
    <t xml:space="preserve">科学的奥秘：现代科技重大发现与发明．下，天文 生物 医学 地质 </t>
  </si>
  <si>
    <t>题名</t>
  </si>
  <si>
    <t>馆藏地点</t>
  </si>
  <si>
    <t>图书类型</t>
  </si>
  <si>
    <t>卷册信息</t>
  </si>
  <si>
    <t>操作</t>
  </si>
  <si>
    <t>大历史：虚无与万物之间</t>
  </si>
  <si>
    <t>K109/604</t>
  </si>
  <si>
    <t>社会科学图书二区</t>
  </si>
  <si>
    <t>中文图书外借</t>
  </si>
  <si>
    <t>科学技术图书区</t>
  </si>
  <si>
    <t>附件外借</t>
  </si>
  <si>
    <t>Excel VBA程序开发自学宝典</t>
  </si>
  <si>
    <t>TP391/6716</t>
  </si>
  <si>
    <t>电的旅程：探索人类驾驭电子的历史过程</t>
  </si>
  <si>
    <t>成人阅览室</t>
  </si>
  <si>
    <t>科学的奥秘：现代科技重大发现与发明．上，数学 物理 化学</t>
  </si>
  <si>
    <t>科学的奥秘：现代科技重大发现与发明．下，天文 生物 医学 地质</t>
  </si>
  <si>
    <t>Excel VBA编程实战宝典</t>
  </si>
  <si>
    <t>走近钱学森</t>
  </si>
  <si>
    <t>sn</t>
    <phoneticPr fontId="1" type="noConversion"/>
  </si>
  <si>
    <t>(-47天后到期!)</t>
  </si>
  <si>
    <t>湖南人性格地图</t>
  </si>
  <si>
    <t>李世化编著</t>
  </si>
  <si>
    <t>C95/519</t>
  </si>
  <si>
    <t>饥饿的盛世</t>
  </si>
  <si>
    <t>张宏杰著</t>
  </si>
  <si>
    <t>JavaScript详解</t>
  </si>
  <si>
    <t>(美)Ellie Quigley著</t>
  </si>
  <si>
    <t>TP312/5229</t>
  </si>
  <si>
    <t>Excel VBA活用范例实用手册</t>
  </si>
  <si>
    <t>韩小良编著</t>
  </si>
  <si>
    <t>TP391/11706</t>
  </si>
  <si>
    <t>程序员面试宝典</t>
  </si>
  <si>
    <t>欧立奇，刘洋，段韬编著</t>
  </si>
  <si>
    <t>TP311/2885[3]</t>
  </si>
  <si>
    <t>中国国民性演变历程：专制制度的演进导致国民性格大倒退</t>
  </si>
  <si>
    <t>Dreamweaver CS5+ASP动态网站开发与典型实例</t>
  </si>
  <si>
    <t>李睦芳，肖新容编著</t>
  </si>
  <si>
    <t>TP393/6055</t>
  </si>
  <si>
    <t>12堂魔力数学课</t>
  </si>
  <si>
    <t>(美)阿瑟·本杰明(Arthur Benjamin)著</t>
  </si>
  <si>
    <t>O1/895</t>
  </si>
  <si>
    <t>三体：地球往事三部曲之一</t>
  </si>
  <si>
    <t>刘慈欣著</t>
  </si>
  <si>
    <t>三体．Ⅲ，死神永生．Ⅲ，Dead end</t>
  </si>
  <si>
    <t>I247.5/15805/3</t>
  </si>
  <si>
    <t>三体．Ⅱ，黑暗森林</t>
  </si>
  <si>
    <t>(美)大卫·克里斯蒂安，(美)辛西娅·斯托克斯·布朗，(美)克雷格·本杰明著</t>
  </si>
  <si>
    <t>I247.5/15805</t>
    <phoneticPr fontId="1" type="noConversion"/>
  </si>
  <si>
    <t>I247.5/15805/2</t>
    <phoneticPr fontId="1" type="noConversion"/>
  </si>
  <si>
    <t>K249/513</t>
    <phoneticPr fontId="1" type="noConversion"/>
  </si>
  <si>
    <t>C95/398</t>
    <phoneticPr fontId="1" type="noConversion"/>
  </si>
  <si>
    <t>I247.5/15805</t>
  </si>
  <si>
    <t>好的数学：微积分的故事</t>
  </si>
  <si>
    <t>刘里鹏著</t>
  </si>
  <si>
    <t>O172/99</t>
  </si>
  <si>
    <t>Visual C++从入门到精通</t>
  </si>
  <si>
    <t>明日科技编著</t>
  </si>
  <si>
    <t>TP312/5511/[2]</t>
  </si>
  <si>
    <t>微积分．下册</t>
  </si>
  <si>
    <t>威廉·布里格斯(William Briggs)，莱尔·科克伦(Lyle Cochran)，伯纳德·吉勒特(Bernard Gillett)著</t>
  </si>
  <si>
    <t>O172/125/12</t>
  </si>
  <si>
    <t>K249/513</t>
  </si>
  <si>
    <t>C95/398</t>
  </si>
  <si>
    <t>I247.5/15805/2</t>
  </si>
  <si>
    <t>sn</t>
    <phoneticPr fontId="1" type="noConversion"/>
  </si>
  <si>
    <t>共借书本数：15本</t>
    <phoneticPr fontId="1" type="noConversion"/>
  </si>
  <si>
    <t>最近需还书日期：</t>
    <phoneticPr fontId="1" type="noConversion"/>
  </si>
  <si>
    <t>应该包含的光盘个数：2个</t>
    <phoneticPr fontId="1" type="noConversion"/>
  </si>
  <si>
    <t>700开头的条码是白云区图书馆的图书；其它是广图的图书；</t>
    <phoneticPr fontId="1" type="noConversion"/>
  </si>
  <si>
    <t>(10天后到期!)</t>
    <phoneticPr fontId="1" type="noConversion"/>
  </si>
  <si>
    <t>应该包含的光盘个数：3个</t>
    <phoneticPr fontId="1" type="noConversion"/>
  </si>
  <si>
    <t>到期天数</t>
    <phoneticPr fontId="1" type="noConversion"/>
  </si>
  <si>
    <t>共借书本数：8本</t>
    <phoneticPr fontId="1" type="noConversion"/>
  </si>
  <si>
    <t>最近需还书日期：</t>
    <phoneticPr fontId="1" type="noConversion"/>
  </si>
  <si>
    <t>应该包含的光盘个数：2个</t>
    <phoneticPr fontId="1" type="noConversion"/>
  </si>
  <si>
    <t>700开头的条码是白云区图书馆的图书；其它是广图的图书；</t>
    <phoneticPr fontId="1" type="noConversion"/>
  </si>
  <si>
    <t>(-27天后到期!)</t>
    <phoneticPr fontId="1" type="noConversion"/>
  </si>
  <si>
    <t>sn</t>
    <phoneticPr fontId="1" type="noConversion"/>
  </si>
  <si>
    <t>书名</t>
    <phoneticPr fontId="1" type="noConversion"/>
  </si>
  <si>
    <t>作者</t>
    <phoneticPr fontId="1" type="noConversion"/>
  </si>
  <si>
    <t>到期天数</t>
    <phoneticPr fontId="1" type="noConversion"/>
  </si>
  <si>
    <t>最近需还书日期：</t>
    <phoneticPr fontId="1" type="noConversion"/>
  </si>
  <si>
    <t>700开头的条码是白云区图书馆的图书；其它是广图的图书；</t>
    <phoneticPr fontId="1" type="noConversion"/>
  </si>
  <si>
    <t>编号</t>
  </si>
  <si>
    <t>目录</t>
  </si>
  <si>
    <t>goodbook</t>
  </si>
  <si>
    <t>2016-10-21 (2)</t>
  </si>
  <si>
    <t xml:space="preserve">电脑组装、维修与选购 </t>
  </si>
  <si>
    <t>王良明编著</t>
  </si>
  <si>
    <t>TP30/725</t>
  </si>
  <si>
    <t xml:space="preserve">隐匿的宇宙：用基本粒子揭开宇宙之谜 </t>
  </si>
  <si>
    <t>(日)村山齐著</t>
  </si>
  <si>
    <t>O572/98</t>
  </si>
  <si>
    <t xml:space="preserve">职场菜鸟12天玩爆数据透视表 </t>
  </si>
  <si>
    <t>肖炳军，范明，马利燕编著</t>
  </si>
  <si>
    <t>TP391/11411</t>
  </si>
  <si>
    <t xml:space="preserve">叩响天堂之门：宇宙探索的历程：how physics and scientific thinking illuminate the universe and the modern world </t>
  </si>
  <si>
    <t>(美)丽莎·兰道尔(Lisa Randall)著</t>
  </si>
  <si>
    <t>O572/97</t>
  </si>
  <si>
    <t xml:space="preserve">三体：地球往事三部曲之一 </t>
  </si>
  <si>
    <t xml:space="preserve">好的数学：微积分的故事 </t>
  </si>
  <si>
    <t xml:space="preserve">Visual C++从入门到精通 </t>
  </si>
  <si>
    <t xml:space="preserve">微积分．下册 </t>
  </si>
  <si>
    <t xml:space="preserve">饥饿的盛世 </t>
  </si>
  <si>
    <t xml:space="preserve">JavaScript详解 </t>
  </si>
  <si>
    <t xml:space="preserve">程序员面试宝典 </t>
  </si>
  <si>
    <t xml:space="preserve">三体．Ⅲ，死神永生．Ⅲ，Dead end </t>
  </si>
  <si>
    <t xml:space="preserve">三体．Ⅱ，黑暗森林 </t>
  </si>
  <si>
    <t>书名</t>
    <phoneticPr fontId="1" type="noConversion"/>
  </si>
  <si>
    <t>作者</t>
    <phoneticPr fontId="1" type="noConversion"/>
  </si>
  <si>
    <t>到期天数</t>
    <phoneticPr fontId="1" type="noConversion"/>
  </si>
  <si>
    <t>共借书本数：15本</t>
  </si>
  <si>
    <t xml:space="preserve">Excel VBA活用范例实用手册 </t>
    <phoneticPr fontId="1" type="noConversion"/>
  </si>
  <si>
    <t>韩小良编著</t>
    <phoneticPr fontId="1" type="noConversion"/>
  </si>
  <si>
    <t>TP391/11706</t>
    <phoneticPr fontId="1" type="noConversion"/>
  </si>
  <si>
    <t xml:space="preserve">C语言解惑：指针、数组、函数和多文件编程：pointer, array, function and multi-file programming </t>
    <phoneticPr fontId="1" type="noConversion"/>
  </si>
  <si>
    <t>刘振安，刘燕君编著</t>
    <phoneticPr fontId="1" type="noConversion"/>
  </si>
  <si>
    <t>TP312/7024</t>
    <phoneticPr fontId="1" type="noConversion"/>
  </si>
  <si>
    <t>数学都知道．1</t>
  </si>
  <si>
    <t>蒋迅，王淑红著</t>
  </si>
  <si>
    <t>O1/938/1</t>
  </si>
  <si>
    <t>数学万花筒</t>
  </si>
  <si>
    <t>(英)伊恩·斯图尔特著</t>
  </si>
  <si>
    <t>O1/387/[2]1</t>
  </si>
  <si>
    <t>C语言解惑：指针、数组、函数和多文件编程：pointer, array, function and multi-file programming</t>
  </si>
  <si>
    <t>刘振安，刘燕君编著</t>
  </si>
  <si>
    <t>TP312/7024</t>
  </si>
  <si>
    <t>基于案例的Visual C++程序设计</t>
  </si>
  <si>
    <t>梁海英主编</t>
  </si>
  <si>
    <t>TP312/7085</t>
  </si>
  <si>
    <t>C语言程序设计案例教程</t>
  </si>
  <si>
    <t>曲海平，岳峻，董相志编著</t>
  </si>
  <si>
    <t>TP312/7069</t>
  </si>
  <si>
    <t>一个令人敬畏的星球：地球究竟是什么？</t>
  </si>
  <si>
    <t>丁照著</t>
  </si>
  <si>
    <t>P183/171</t>
  </si>
  <si>
    <t>明日学院编著</t>
  </si>
  <si>
    <t>C程序设计</t>
  </si>
  <si>
    <t>雍俊海编著</t>
  </si>
  <si>
    <t>TP312/6848</t>
  </si>
  <si>
    <t>计算机编程基础：C语言</t>
  </si>
  <si>
    <t>潘永惠，王香菊主编</t>
  </si>
  <si>
    <t>TP312/7076</t>
  </si>
  <si>
    <t>数据结构：C语言版</t>
  </si>
  <si>
    <t>梁海英，王凤领主编</t>
  </si>
  <si>
    <t>TP312/7045</t>
  </si>
  <si>
    <t>谁“拆”了我的汽车：透视电气设备构造与原理</t>
  </si>
  <si>
    <t>刘汉涛编著</t>
  </si>
  <si>
    <t>U463/800</t>
  </si>
  <si>
    <t>书名</t>
    <phoneticPr fontId="1" type="noConversion"/>
  </si>
  <si>
    <t>作者</t>
    <phoneticPr fontId="1" type="noConversion"/>
  </si>
  <si>
    <t>到期天数</t>
    <phoneticPr fontId="1" type="noConversion"/>
  </si>
  <si>
    <t>C语言从入门到精通：项目案例版</t>
    <phoneticPr fontId="1" type="noConversion"/>
  </si>
  <si>
    <t>TP312/7025</t>
    <phoneticPr fontId="1" type="noConversion"/>
  </si>
  <si>
    <t>简明大历史</t>
  </si>
  <si>
    <t>(英)伊恩·克夫顿(Ian Crofton)，(英)杰里米·布莱克(Jeremy Black)著</t>
  </si>
  <si>
    <t>K109/686</t>
  </si>
  <si>
    <t>程序员面试笔记．C/C++、算法、数据结构篇．C/C++ algorithm data structure</t>
  </si>
  <si>
    <t>杨峰，吴波，王楠编著</t>
  </si>
  <si>
    <t>TP311.1/97</t>
  </si>
  <si>
    <t>网页程序设计HTML5·JavaScript CSS·XHTML·Ajax</t>
  </si>
  <si>
    <t>陈惠贞编著</t>
  </si>
  <si>
    <t>TP393/6683</t>
  </si>
  <si>
    <t>数字文明：物理学和计算机</t>
  </si>
  <si>
    <t>郝柏林，张淑誉著</t>
  </si>
  <si>
    <t>O4/277/[2]</t>
  </si>
  <si>
    <t>书名</t>
    <phoneticPr fontId="1" type="noConversion"/>
  </si>
  <si>
    <t>作者</t>
    <phoneticPr fontId="1" type="noConversion"/>
  </si>
  <si>
    <t>到期天数</t>
    <phoneticPr fontId="1" type="noConversion"/>
  </si>
  <si>
    <t>共借书本数：7本</t>
  </si>
  <si>
    <t>(59天后到期!)</t>
  </si>
  <si>
    <t>谁是剽窃者：牛顿与莱布尼茨的微积分战争：Newton, Leibniz and the greatest mathematical clash of all time</t>
    <phoneticPr fontId="1" type="noConversion"/>
  </si>
  <si>
    <r>
      <t>(</t>
    </r>
    <r>
      <rPr>
        <sz val="8"/>
        <color rgb="FF000000"/>
        <rFont val="宋体"/>
        <family val="3"/>
        <charset val="134"/>
      </rPr>
      <t>美</t>
    </r>
    <r>
      <rPr>
        <sz val="8"/>
        <color rgb="FF000000"/>
        <rFont val="Tahoma"/>
        <family val="2"/>
      </rPr>
      <t>)</t>
    </r>
    <r>
      <rPr>
        <sz val="8"/>
        <color rgb="FF000000"/>
        <rFont val="宋体"/>
        <family val="3"/>
        <charset val="134"/>
      </rPr>
      <t>杰森</t>
    </r>
    <r>
      <rPr>
        <sz val="8"/>
        <color rgb="FF000000"/>
        <rFont val="Tahoma"/>
        <family val="2"/>
      </rPr>
      <t>·</t>
    </r>
    <r>
      <rPr>
        <sz val="8"/>
        <color rgb="FF000000"/>
        <rFont val="宋体"/>
        <family val="3"/>
        <charset val="134"/>
      </rPr>
      <t>苏格拉底</t>
    </r>
    <r>
      <rPr>
        <sz val="8"/>
        <color rgb="FF000000"/>
        <rFont val="Tahoma"/>
        <family val="2"/>
      </rPr>
      <t>·</t>
    </r>
    <r>
      <rPr>
        <sz val="8"/>
        <color rgb="FF000000"/>
        <rFont val="宋体"/>
        <family val="3"/>
        <charset val="134"/>
      </rPr>
      <t>巴迪</t>
    </r>
    <r>
      <rPr>
        <sz val="8"/>
        <color rgb="FF000000"/>
        <rFont val="Tahoma"/>
        <family val="2"/>
      </rPr>
      <t>(Jason Socrates Bardi)</t>
    </r>
    <r>
      <rPr>
        <sz val="8"/>
        <color rgb="FF000000"/>
        <rFont val="宋体"/>
        <family val="3"/>
        <charset val="134"/>
      </rPr>
      <t>著</t>
    </r>
    <phoneticPr fontId="1" type="noConversion"/>
  </si>
  <si>
    <t>O172/151</t>
    <phoneticPr fontId="1" type="noConversion"/>
  </si>
  <si>
    <t>C语言程序设计经典236例</t>
    <phoneticPr fontId="1" type="noConversion"/>
  </si>
  <si>
    <t>梁凯，谭毓银，冯志强等编著</t>
    <phoneticPr fontId="1" type="noConversion"/>
  </si>
  <si>
    <t>TP312/6222</t>
    <phoneticPr fontId="1" type="noConversion"/>
  </si>
  <si>
    <t>数据结构与算法分析：C语言描述</t>
  </si>
  <si>
    <t>(美)Mark Allen Weiss著</t>
  </si>
  <si>
    <t>TP311/3708</t>
  </si>
  <si>
    <t>银河帝国．5，迈向基地</t>
  </si>
  <si>
    <t>(美)艾萨克·阿西莫夫著</t>
  </si>
  <si>
    <t>I712.4/4901/5</t>
  </si>
  <si>
    <t>数据结构：用C语言描述</t>
  </si>
  <si>
    <t>耿国华，张德同，周明全等编著</t>
  </si>
  <si>
    <t>TP312/6580</t>
  </si>
  <si>
    <t>人类的攀升</t>
  </si>
  <si>
    <t>(英)雅可布·布洛诺夫斯基著</t>
  </si>
  <si>
    <t>N09/344</t>
  </si>
  <si>
    <t>Python网络爬虫实战</t>
  </si>
  <si>
    <t>胡松涛编著</t>
  </si>
  <si>
    <t>TP311.5/375</t>
  </si>
  <si>
    <t>Python数据处理</t>
  </si>
  <si>
    <t>(美)Jacqueline Kazil，(美)Katharine Jarmul著</t>
  </si>
  <si>
    <t>TP311.5/433</t>
  </si>
  <si>
    <t>用Python写网络爬虫</t>
  </si>
  <si>
    <t>(澳)Richard Lawson著</t>
  </si>
  <si>
    <t>TP311.5/309</t>
  </si>
  <si>
    <t>书名</t>
    <phoneticPr fontId="1" type="noConversion"/>
  </si>
  <si>
    <t>作者</t>
    <phoneticPr fontId="1" type="noConversion"/>
  </si>
  <si>
    <t>到期天数</t>
    <phoneticPr fontId="1" type="noConversion"/>
  </si>
  <si>
    <t>(61天后到期!)</t>
  </si>
  <si>
    <t>从问题到程序：用Python学编程和计算：learn computing and programming using Python</t>
    <phoneticPr fontId="1" type="noConversion"/>
  </si>
  <si>
    <t>裘宗燕著</t>
    <phoneticPr fontId="1" type="noConversion"/>
  </si>
  <si>
    <t>TP311.5/432</t>
    <phoneticPr fontId="1" type="noConversion"/>
  </si>
  <si>
    <t>C++入门经典</t>
    <phoneticPr fontId="1" type="noConversion"/>
  </si>
  <si>
    <r>
      <t>(</t>
    </r>
    <r>
      <rPr>
        <sz val="8"/>
        <color rgb="FF000000"/>
        <rFont val="宋体"/>
        <family val="3"/>
        <charset val="134"/>
      </rPr>
      <t>美</t>
    </r>
    <r>
      <rPr>
        <sz val="8"/>
        <color rgb="FF000000"/>
        <rFont val="Tahoma"/>
        <family val="2"/>
      </rPr>
      <t>)Rogers Cadenhead</t>
    </r>
    <r>
      <rPr>
        <sz val="8"/>
        <color rgb="FF000000"/>
        <rFont val="宋体"/>
        <family val="3"/>
        <charset val="134"/>
      </rPr>
      <t>，</t>
    </r>
    <r>
      <rPr>
        <sz val="8"/>
        <color rgb="FF000000"/>
        <rFont val="Tahoma"/>
        <family val="2"/>
      </rPr>
      <t>(</t>
    </r>
    <r>
      <rPr>
        <sz val="8"/>
        <color rgb="FF000000"/>
        <rFont val="宋体"/>
        <family val="3"/>
        <charset val="134"/>
      </rPr>
      <t>美</t>
    </r>
    <r>
      <rPr>
        <sz val="8"/>
        <color rgb="FF000000"/>
        <rFont val="Tahoma"/>
        <family val="2"/>
      </rPr>
      <t>)Jesse Liberty</t>
    </r>
    <r>
      <rPr>
        <sz val="8"/>
        <color rgb="FF000000"/>
        <rFont val="宋体"/>
        <family val="3"/>
        <charset val="134"/>
      </rPr>
      <t>著</t>
    </r>
    <phoneticPr fontId="1" type="noConversion"/>
  </si>
  <si>
    <t>TP312/6970</t>
    <phoneticPr fontId="1" type="noConversion"/>
  </si>
  <si>
    <t>宇宙：从起源到未来：leading scientists explore the origin, mysteries, and future of the cosmos</t>
  </si>
  <si>
    <t>(美)约翰·布罗克曼(John Brockman)编著</t>
  </si>
  <si>
    <t>P159/594</t>
  </si>
  <si>
    <t>图解数据结构：使用C++</t>
  </si>
  <si>
    <t>胡昭民, 吴灿铭著</t>
  </si>
  <si>
    <t>TP311.1/33</t>
  </si>
  <si>
    <t>托马斯微积分．上册</t>
  </si>
  <si>
    <t>Maurice D.Weir，Joel Hass，Frank R.Giordano[著]</t>
  </si>
  <si>
    <t>O172/136/1</t>
  </si>
  <si>
    <t>C语言编程精解及面试攻略</t>
  </si>
  <si>
    <t>(印)R. 纳热瓦拉·拉奥(R. Nageswara Rao)著</t>
  </si>
  <si>
    <t>TP312/6726</t>
  </si>
  <si>
    <t>C++入门经典</t>
  </si>
  <si>
    <t>(美)Rogers Cadenhead，(美)Jesse Liberty著</t>
  </si>
  <si>
    <t>TP312/6970</t>
  </si>
  <si>
    <t>从问题到程序：用Python学编程和计算：learn computing and programming using Python</t>
  </si>
  <si>
    <t>裘宗燕著</t>
  </si>
  <si>
    <t>TP311.5/432</t>
  </si>
  <si>
    <t>书名</t>
    <phoneticPr fontId="1" type="noConversion"/>
  </si>
  <si>
    <t>作者</t>
    <phoneticPr fontId="1" type="noConversion"/>
  </si>
  <si>
    <t>到期天数</t>
    <phoneticPr fontId="1" type="noConversion"/>
  </si>
  <si>
    <t>(21天后到期!)</t>
  </si>
  <si>
    <t>像计算机科学家一样思考Python</t>
  </si>
  <si>
    <t>(美)Allen B. Downey著</t>
  </si>
  <si>
    <t>TP311/3537/[2]</t>
  </si>
  <si>
    <t>白夜行</t>
  </si>
  <si>
    <t>I313.4/813/[2]</t>
  </si>
  <si>
    <t>苏菲的世界</t>
  </si>
  <si>
    <t>(挪)乔斯坦·贾德(Jostein Gaarder)著</t>
  </si>
  <si>
    <t>I533/1/[3]</t>
  </si>
  <si>
    <t>图解苏菲的世界</t>
  </si>
  <si>
    <t>孙阳编著</t>
  </si>
  <si>
    <t>I533/86</t>
  </si>
  <si>
    <t>数的故事</t>
  </si>
  <si>
    <t>(德)玛丽安·佛里伯格(Marianne Freiberger)，(英)瑞秋·汤马斯(Rachel Thomas)著</t>
  </si>
  <si>
    <t>O1/970</t>
  </si>
  <si>
    <t>21天学通C++</t>
  </si>
  <si>
    <t>(美)Siddhartha Rao著</t>
  </si>
  <si>
    <t>TP312/7063</t>
  </si>
  <si>
    <t>C++STL标准程序库开发指南</t>
  </si>
  <si>
    <t>闫常友，王敏编著</t>
  </si>
  <si>
    <t>TP312/6826</t>
  </si>
  <si>
    <t>Python语言及其应用</t>
  </si>
  <si>
    <t>(美)Bill Lubanovic著</t>
  </si>
  <si>
    <t>TP311.5/182</t>
  </si>
  <si>
    <t>零基础学Python：图文版</t>
  </si>
  <si>
    <t>(英)Craig Richardson著</t>
  </si>
  <si>
    <t>TP311.5/142</t>
  </si>
  <si>
    <t>Python入门经典</t>
  </si>
  <si>
    <t>(美)Katie Cunningham著</t>
  </si>
  <si>
    <t>TP311/3650</t>
  </si>
  <si>
    <t>数学写真集：无需语言的证明．第1季</t>
  </si>
  <si>
    <t>(美)Roger B. Nelsen编</t>
  </si>
  <si>
    <t>O1/673</t>
  </si>
  <si>
    <t>数学悖论与三次数学危机</t>
  </si>
  <si>
    <t>韩雪涛著</t>
  </si>
  <si>
    <t>O144/30</t>
  </si>
  <si>
    <t>书名</t>
    <phoneticPr fontId="1" type="noConversion"/>
  </si>
  <si>
    <t>作者</t>
    <phoneticPr fontId="1" type="noConversion"/>
  </si>
  <si>
    <t>到期天数</t>
    <phoneticPr fontId="1" type="noConversion"/>
  </si>
  <si>
    <t>Python语言程序设计</t>
    <phoneticPr fontId="1" type="noConversion"/>
  </si>
  <si>
    <r>
      <t>(</t>
    </r>
    <r>
      <rPr>
        <sz val="8"/>
        <color rgb="FF000000"/>
        <rFont val="宋体"/>
        <family val="3"/>
        <charset val="134"/>
      </rPr>
      <t>美</t>
    </r>
    <r>
      <rPr>
        <sz val="8"/>
        <color rgb="FF000000"/>
        <rFont val="Tahoma"/>
        <family val="2"/>
      </rPr>
      <t>)</t>
    </r>
    <r>
      <rPr>
        <sz val="8"/>
        <color rgb="FF000000"/>
        <rFont val="宋体"/>
        <family val="3"/>
        <charset val="134"/>
      </rPr>
      <t>梁勇</t>
    </r>
    <r>
      <rPr>
        <sz val="8"/>
        <color rgb="FF000000"/>
        <rFont val="Tahoma"/>
        <family val="2"/>
      </rPr>
      <t>(Y. Daniel Liang)</t>
    </r>
    <r>
      <rPr>
        <sz val="8"/>
        <color rgb="FF000000"/>
        <rFont val="宋体"/>
        <family val="3"/>
        <charset val="134"/>
      </rPr>
      <t>著</t>
    </r>
    <phoneticPr fontId="1" type="noConversion"/>
  </si>
  <si>
    <t>TP311.5/102</t>
    <phoneticPr fontId="1" type="noConversion"/>
  </si>
  <si>
    <t>Python程序设计教程</t>
  </si>
  <si>
    <t>林信良著</t>
  </si>
  <si>
    <t>TP311.5/470</t>
  </si>
  <si>
    <t>Python程序设计：从基础到开发</t>
  </si>
  <si>
    <t>夏敏捷, 杨关主编</t>
  </si>
  <si>
    <t>TP311.5/453</t>
  </si>
  <si>
    <t>北京法源寺</t>
  </si>
  <si>
    <t>李敖著</t>
  </si>
  <si>
    <t>I247.5/9535/[3]</t>
  </si>
  <si>
    <t>东方快车谋杀案</t>
  </si>
  <si>
    <t>(英)阿加莎·克里斯蒂著</t>
  </si>
  <si>
    <t>I561.4/193/[5]</t>
  </si>
  <si>
    <t>查泰莱夫人的情人</t>
  </si>
  <si>
    <t>(英)D.H. 劳伦斯著</t>
  </si>
  <si>
    <t>I561.4/2695</t>
  </si>
  <si>
    <t>Python语言程序设计</t>
  </si>
  <si>
    <t>(美)梁勇(Y. Daniel Liang)著</t>
  </si>
  <si>
    <t>TP311.5/102</t>
  </si>
  <si>
    <t>书名</t>
    <phoneticPr fontId="1" type="noConversion"/>
  </si>
  <si>
    <t>作者</t>
    <phoneticPr fontId="1" type="noConversion"/>
  </si>
  <si>
    <t>到期天数</t>
    <phoneticPr fontId="1" type="noConversion"/>
  </si>
  <si>
    <t>(35天后到期!)</t>
  </si>
  <si>
    <t>像计算机科学家一样思考Python</t>
    <phoneticPr fontId="1" type="noConversion"/>
  </si>
  <si>
    <r>
      <t>(</t>
    </r>
    <r>
      <rPr>
        <sz val="8"/>
        <color rgb="FF000000"/>
        <rFont val="宋体"/>
        <family val="3"/>
        <charset val="134"/>
      </rPr>
      <t>美</t>
    </r>
    <r>
      <rPr>
        <sz val="8"/>
        <color rgb="FF000000"/>
        <rFont val="Tahoma"/>
        <family val="2"/>
      </rPr>
      <t>)Allen B. Downey</t>
    </r>
    <r>
      <rPr>
        <sz val="8"/>
        <color rgb="FF000000"/>
        <rFont val="宋体"/>
        <family val="3"/>
        <charset val="134"/>
      </rPr>
      <t>著</t>
    </r>
    <phoneticPr fontId="1" type="noConversion"/>
  </si>
  <si>
    <t>TP311/3537/[2]</t>
    <phoneticPr fontId="1" type="noConversion"/>
  </si>
  <si>
    <t>用数学的语言看世界</t>
  </si>
  <si>
    <t>(日)大栗博司著</t>
  </si>
  <si>
    <t>O1/888</t>
  </si>
  <si>
    <t>Python算法教程</t>
  </si>
  <si>
    <t>(挪)Magnus Lie Hetland著</t>
  </si>
  <si>
    <t>TP311.5/242</t>
  </si>
  <si>
    <t>Excel VBA范例应用大全</t>
  </si>
  <si>
    <t>杰诚文化编著</t>
  </si>
  <si>
    <t>TP391/6121</t>
  </si>
  <si>
    <t>C/C++实践进阶之道：写给程序员看的编程书</t>
  </si>
  <si>
    <t>陈黎娟编著</t>
  </si>
  <si>
    <t>TP312/7241</t>
  </si>
  <si>
    <t>书名</t>
    <phoneticPr fontId="1" type="noConversion"/>
  </si>
  <si>
    <t>作者</t>
    <phoneticPr fontId="1" type="noConversion"/>
  </si>
  <si>
    <t>到期天数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</si>
</sst>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1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Tahoma"/>
      <family val="2"/>
    </font>
    <font>
      <sz val="11"/>
      <color theme="0"/>
      <name val="Tahoma"/>
      <family val="2"/>
    </font>
    <font>
      <sz val="11"/>
      <color theme="0"/>
      <name val="宋体"/>
      <charset val="134"/>
      <scheme val="minor"/>
    </font>
    <font>
      <sz val="8"/>
      <color rgb="FF000000"/>
      <name val="Tahoma"/>
      <family val="2"/>
    </font>
    <font>
      <sz val="8"/>
      <color theme="0"/>
      <name val="Tahoma"/>
      <family val="2"/>
    </font>
    <font>
      <sz val="11"/>
      <color rgb="FF000000"/>
      <name val="宋体"/>
      <family val="3"/>
      <charset val="134"/>
      <scheme val="minor"/>
    </font>
    <font>
      <sz val="11"/>
      <color theme="1"/>
      <name val="寰敓鏂ゆ嫹閿熻剼鐚存嫹"/>
      <family val="3"/>
      <charset val="134"/>
    </font>
    <font>
      <u/>
      <sz val="11"/>
      <color theme="10"/>
      <name val="宋体"/>
      <family val="3"/>
      <charset val="134"/>
    </font>
    <font>
      <sz val="8"/>
      <color rgb="FF00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/>
      <bottom style="medium">
        <color rgb="FFF1F1F1"/>
      </bottom>
      <diagonal/>
    </border>
    <border>
      <left style="medium">
        <color rgb="FFDBD3D3"/>
      </left>
      <right style="medium">
        <color rgb="FFD7D7D7"/>
      </right>
      <top style="medium">
        <color rgb="FFD7D7D7"/>
      </top>
      <bottom style="medium">
        <color rgb="FFCCCCCC"/>
      </bottom>
      <diagonal/>
    </border>
    <border>
      <left/>
      <right style="medium">
        <color rgb="FFD7D7D7"/>
      </right>
      <top/>
      <bottom style="medium">
        <color rgb="FFF1F1F1"/>
      </bottom>
      <diagonal/>
    </border>
    <border>
      <left/>
      <right style="medium">
        <color rgb="FFD7D7D7"/>
      </right>
      <top/>
      <bottom/>
      <diagonal/>
    </border>
    <border>
      <left/>
      <right/>
      <top style="medium">
        <color rgb="FFD7D7D7"/>
      </top>
      <bottom style="medium">
        <color rgb="FFF1F1F1"/>
      </bottom>
      <diagonal/>
    </border>
    <border>
      <left/>
      <right style="medium">
        <color rgb="FFD7D7D7"/>
      </right>
      <top style="medium">
        <color rgb="FFD7D7D7"/>
      </top>
      <bottom style="medium">
        <color rgb="FFF1F1F1"/>
      </bottom>
      <diagonal/>
    </border>
    <border>
      <left/>
      <right/>
      <top style="medium">
        <color rgb="FFD7D7D7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14" fillId="0" borderId="0" applyNumberFormat="0" applyFill="0" applyBorder="0" applyAlignment="0" applyProtection="0">
      <alignment vertical="top"/>
      <protection locked="0"/>
    </xf>
  </cellStyleXfs>
  <cellXfs count="141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5" xfId="0" applyNumberFormat="1" applyBorder="1" applyAlignment="1">
      <alignment horizontal="left" vertical="center"/>
    </xf>
    <xf numFmtId="14" fontId="0" fillId="0" borderId="7" xfId="0" applyNumberFormat="1" applyBorder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176" fontId="0" fillId="0" borderId="5" xfId="0" applyNumberFormat="1" applyBorder="1" applyAlignment="1">
      <alignment horizontal="right" vertical="center"/>
    </xf>
    <xf numFmtId="176" fontId="0" fillId="0" borderId="7" xfId="0" applyNumberFormat="1" applyBorder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0" fontId="0" fillId="0" borderId="4" xfId="0" applyBorder="1" applyAlignment="1">
      <alignment horizontal="center" vertical="center"/>
    </xf>
    <xf numFmtId="176" fontId="0" fillId="2" borderId="5" xfId="0" applyNumberFormat="1" applyFill="1" applyBorder="1" applyAlignment="1">
      <alignment horizontal="right" vertical="center"/>
    </xf>
    <xf numFmtId="0" fontId="0" fillId="2" borderId="5" xfId="0" applyFill="1" applyBorder="1" applyAlignment="1">
      <alignment horizontal="center" vertical="center"/>
    </xf>
    <xf numFmtId="14" fontId="0" fillId="2" borderId="5" xfId="0" applyNumberFormat="1" applyFill="1" applyBorder="1" applyAlignment="1">
      <alignment horizontal="left" vertical="center"/>
    </xf>
    <xf numFmtId="0" fontId="0" fillId="2" borderId="6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176" fontId="3" fillId="3" borderId="2" xfId="0" applyNumberFormat="1" applyFont="1" applyFill="1" applyBorder="1" applyAlignment="1">
      <alignment horizontal="righ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6" fontId="4" fillId="0" borderId="5" xfId="0" applyNumberFormat="1" applyFont="1" applyBorder="1" applyAlignment="1">
      <alignment horizontal="right" vertical="center"/>
    </xf>
    <xf numFmtId="0" fontId="4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76" fontId="5" fillId="0" borderId="5" xfId="0" applyNumberFormat="1" applyFont="1" applyBorder="1" applyAlignment="1">
      <alignment horizontal="right" vertical="center"/>
    </xf>
    <xf numFmtId="176" fontId="6" fillId="0" borderId="5" xfId="0" applyNumberFormat="1" applyFont="1" applyBorder="1" applyAlignment="1">
      <alignment horizontal="right" vertical="center"/>
    </xf>
    <xf numFmtId="0" fontId="6" fillId="0" borderId="5" xfId="0" applyFont="1" applyBorder="1" applyAlignment="1">
      <alignment horizontal="left" vertical="center"/>
    </xf>
    <xf numFmtId="0" fontId="6" fillId="0" borderId="5" xfId="0" applyFont="1" applyBorder="1" applyAlignment="1">
      <alignment horizontal="center" vertical="center"/>
    </xf>
    <xf numFmtId="14" fontId="6" fillId="0" borderId="5" xfId="0" applyNumberFormat="1" applyFont="1" applyBorder="1" applyAlignment="1">
      <alignment horizontal="left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76" fontId="6" fillId="2" borderId="5" xfId="0" applyNumberFormat="1" applyFont="1" applyFill="1" applyBorder="1" applyAlignment="1">
      <alignment horizontal="right" vertical="center"/>
    </xf>
    <xf numFmtId="0" fontId="6" fillId="2" borderId="5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center" vertical="center"/>
    </xf>
    <xf numFmtId="14" fontId="6" fillId="2" borderId="5" xfId="0" applyNumberFormat="1" applyFont="1" applyFill="1" applyBorder="1" applyAlignment="1">
      <alignment horizontal="left" vertical="center"/>
    </xf>
    <xf numFmtId="0" fontId="6" fillId="2" borderId="6" xfId="0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right" vertical="center"/>
    </xf>
    <xf numFmtId="0" fontId="8" fillId="3" borderId="1" xfId="0" applyFont="1" applyFill="1" applyBorder="1" applyAlignment="1">
      <alignment horizontal="center" vertical="center"/>
    </xf>
    <xf numFmtId="176" fontId="8" fillId="3" borderId="2" xfId="0" applyNumberFormat="1" applyFont="1" applyFill="1" applyBorder="1" applyAlignment="1">
      <alignment horizontal="right" vertical="center"/>
    </xf>
    <xf numFmtId="0" fontId="8" fillId="3" borderId="2" xfId="0" applyFont="1" applyFill="1" applyBorder="1" applyAlignment="1">
      <alignment horizontal="left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176" fontId="7" fillId="4" borderId="5" xfId="0" applyNumberFormat="1" applyFont="1" applyFill="1" applyBorder="1" applyAlignment="1">
      <alignment horizontal="righ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horizontal="center" vertical="center"/>
    </xf>
    <xf numFmtId="14" fontId="7" fillId="4" borderId="5" xfId="0" applyNumberFormat="1" applyFont="1" applyFill="1" applyBorder="1" applyAlignment="1">
      <alignment horizontal="left" vertical="center"/>
    </xf>
    <xf numFmtId="0" fontId="7" fillId="4" borderId="6" xfId="0" applyFont="1" applyFill="1" applyBorder="1" applyAlignment="1">
      <alignment horizontal="center" vertical="center"/>
    </xf>
    <xf numFmtId="176" fontId="7" fillId="4" borderId="7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center" vertical="center"/>
    </xf>
    <xf numFmtId="14" fontId="7" fillId="4" borderId="7" xfId="0" applyNumberFormat="1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left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176" fontId="9" fillId="3" borderId="2" xfId="0" applyNumberFormat="1" applyFont="1" applyFill="1" applyBorder="1" applyAlignment="1">
      <alignment horizontal="right" vertical="center"/>
    </xf>
    <xf numFmtId="176" fontId="4" fillId="0" borderId="7" xfId="0" applyNumberFormat="1" applyFont="1" applyBorder="1" applyAlignment="1">
      <alignment horizontal="right" vertical="center"/>
    </xf>
    <xf numFmtId="0" fontId="4" fillId="0" borderId="7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5" fillId="0" borderId="7" xfId="0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left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1" fillId="3" borderId="1" xfId="0" applyFont="1" applyFill="1" applyBorder="1" applyAlignment="1">
      <alignment horizontal="center" vertical="center"/>
    </xf>
    <xf numFmtId="176" fontId="11" fillId="3" borderId="2" xfId="0" applyNumberFormat="1" applyFont="1" applyFill="1" applyBorder="1" applyAlignment="1">
      <alignment horizontal="right" vertical="center"/>
    </xf>
    <xf numFmtId="0" fontId="11" fillId="3" borderId="2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176" fontId="10" fillId="4" borderId="5" xfId="0" applyNumberFormat="1" applyFont="1" applyFill="1" applyBorder="1" applyAlignment="1">
      <alignment horizontal="right" vertical="center"/>
    </xf>
    <xf numFmtId="0" fontId="10" fillId="4" borderId="5" xfId="0" applyFont="1" applyFill="1" applyBorder="1" applyAlignment="1">
      <alignment horizontal="left" vertical="center"/>
    </xf>
    <xf numFmtId="0" fontId="10" fillId="4" borderId="5" xfId="0" applyFont="1" applyFill="1" applyBorder="1" applyAlignment="1">
      <alignment horizontal="center" vertical="center"/>
    </xf>
    <xf numFmtId="14" fontId="10" fillId="4" borderId="5" xfId="0" applyNumberFormat="1" applyFont="1" applyFill="1" applyBorder="1" applyAlignment="1">
      <alignment horizontal="left" vertical="center"/>
    </xf>
    <xf numFmtId="0" fontId="10" fillId="4" borderId="6" xfId="0" applyFont="1" applyFill="1" applyBorder="1" applyAlignment="1">
      <alignment horizontal="center" vertical="center"/>
    </xf>
    <xf numFmtId="176" fontId="10" fillId="4" borderId="7" xfId="0" applyNumberFormat="1" applyFont="1" applyFill="1" applyBorder="1" applyAlignment="1">
      <alignment horizontal="right" vertical="center"/>
    </xf>
    <xf numFmtId="0" fontId="10" fillId="4" borderId="7" xfId="0" applyFont="1" applyFill="1" applyBorder="1" applyAlignment="1">
      <alignment horizontal="left" vertical="center"/>
    </xf>
    <xf numFmtId="0" fontId="10" fillId="4" borderId="7" xfId="0" applyFont="1" applyFill="1" applyBorder="1" applyAlignment="1">
      <alignment horizontal="center" vertical="center"/>
    </xf>
    <xf numFmtId="14" fontId="10" fillId="4" borderId="7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left" vertical="center"/>
    </xf>
    <xf numFmtId="0" fontId="0" fillId="5" borderId="7" xfId="0" applyFill="1" applyBorder="1" applyAlignment="1">
      <alignment horizontal="left" vertical="center"/>
    </xf>
    <xf numFmtId="0" fontId="13" fillId="6" borderId="10" xfId="0" applyFont="1" applyFill="1" applyBorder="1" applyAlignment="1">
      <alignment horizontal="left" vertical="center"/>
    </xf>
    <xf numFmtId="0" fontId="13" fillId="4" borderId="9" xfId="0" applyFont="1" applyFill="1" applyBorder="1" applyAlignment="1">
      <alignment horizontal="left" vertical="center"/>
    </xf>
    <xf numFmtId="0" fontId="13" fillId="4" borderId="11" xfId="0" applyFont="1" applyFill="1" applyBorder="1" applyAlignment="1">
      <alignment horizontal="left" vertical="center"/>
    </xf>
    <xf numFmtId="0" fontId="13" fillId="6" borderId="9" xfId="0" applyFont="1" applyFill="1" applyBorder="1" applyAlignment="1">
      <alignment horizontal="left" vertical="center"/>
    </xf>
    <xf numFmtId="0" fontId="13" fillId="6" borderId="11" xfId="0" applyFont="1" applyFill="1" applyBorder="1" applyAlignment="1">
      <alignment horizontal="left" vertical="center"/>
    </xf>
    <xf numFmtId="0" fontId="13" fillId="6" borderId="0" xfId="0" applyFont="1" applyFill="1" applyBorder="1" applyAlignment="1">
      <alignment horizontal="left" vertical="center"/>
    </xf>
    <xf numFmtId="0" fontId="13" fillId="6" borderId="12" xfId="0" applyFont="1" applyFill="1" applyBorder="1" applyAlignment="1">
      <alignment horizontal="left" vertical="center"/>
    </xf>
    <xf numFmtId="0" fontId="0" fillId="4" borderId="13" xfId="0" applyFill="1" applyBorder="1" applyAlignment="1">
      <alignment horizontal="left" vertical="center"/>
    </xf>
    <xf numFmtId="0" fontId="0" fillId="4" borderId="14" xfId="0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6" borderId="12" xfId="0" applyFill="1" applyBorder="1" applyAlignment="1">
      <alignment horizontal="left" vertical="center"/>
    </xf>
    <xf numFmtId="0" fontId="13" fillId="6" borderId="15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3" fillId="6" borderId="4" xfId="0" applyFont="1" applyFill="1" applyBorder="1" applyAlignment="1">
      <alignment horizontal="center" vertical="center"/>
    </xf>
    <xf numFmtId="176" fontId="13" fillId="6" borderId="5" xfId="0" applyNumberFormat="1" applyFont="1" applyFill="1" applyBorder="1" applyAlignment="1">
      <alignment horizontal="right" vertical="center"/>
    </xf>
    <xf numFmtId="0" fontId="13" fillId="6" borderId="5" xfId="0" applyFont="1" applyFill="1" applyBorder="1" applyAlignment="1">
      <alignment horizontal="left" vertical="center"/>
    </xf>
    <xf numFmtId="0" fontId="13" fillId="6" borderId="5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176" fontId="13" fillId="4" borderId="5" xfId="0" applyNumberFormat="1" applyFont="1" applyFill="1" applyBorder="1" applyAlignment="1">
      <alignment horizontal="right" vertical="center"/>
    </xf>
    <xf numFmtId="0" fontId="13" fillId="4" borderId="5" xfId="0" applyFont="1" applyFill="1" applyBorder="1" applyAlignment="1">
      <alignment horizontal="left" vertical="center"/>
    </xf>
    <xf numFmtId="0" fontId="13" fillId="4" borderId="5" xfId="0" applyFont="1" applyFill="1" applyBorder="1" applyAlignment="1">
      <alignment horizontal="center" vertical="center"/>
    </xf>
    <xf numFmtId="14" fontId="13" fillId="4" borderId="5" xfId="0" applyNumberFormat="1" applyFont="1" applyFill="1" applyBorder="1" applyAlignment="1">
      <alignment horizontal="left" vertical="center"/>
    </xf>
    <xf numFmtId="14" fontId="13" fillId="4" borderId="6" xfId="0" applyNumberFormat="1" applyFont="1" applyFill="1" applyBorder="1" applyAlignment="1">
      <alignment horizontal="center" vertical="center"/>
    </xf>
    <xf numFmtId="14" fontId="13" fillId="6" borderId="5" xfId="0" applyNumberFormat="1" applyFont="1" applyFill="1" applyBorder="1" applyAlignment="1">
      <alignment horizontal="left" vertical="center"/>
    </xf>
    <xf numFmtId="14" fontId="13" fillId="6" borderId="6" xfId="0" applyNumberFormat="1" applyFont="1" applyFill="1" applyBorder="1" applyAlignment="1">
      <alignment horizontal="center" vertical="center"/>
    </xf>
    <xf numFmtId="176" fontId="0" fillId="4" borderId="5" xfId="0" applyNumberFormat="1" applyFill="1" applyBorder="1" applyAlignment="1">
      <alignment horizontal="right" vertical="center"/>
    </xf>
    <xf numFmtId="0" fontId="0" fillId="4" borderId="5" xfId="0" applyFill="1" applyBorder="1" applyAlignment="1">
      <alignment horizontal="left" vertical="center"/>
    </xf>
    <xf numFmtId="0" fontId="0" fillId="4" borderId="5" xfId="0" applyFill="1" applyBorder="1" applyAlignment="1">
      <alignment horizontal="center" vertical="center"/>
    </xf>
    <xf numFmtId="14" fontId="0" fillId="4" borderId="5" xfId="0" applyNumberFormat="1" applyFill="1" applyBorder="1" applyAlignment="1">
      <alignment horizontal="left" vertical="center"/>
    </xf>
    <xf numFmtId="14" fontId="0" fillId="4" borderId="6" xfId="0" applyNumberFormat="1" applyFill="1" applyBorder="1" applyAlignment="1">
      <alignment horizontal="center" vertical="center"/>
    </xf>
    <xf numFmtId="176" fontId="0" fillId="6" borderId="7" xfId="0" applyNumberFormat="1" applyFill="1" applyBorder="1" applyAlignment="1">
      <alignment horizontal="right" vertical="center"/>
    </xf>
    <xf numFmtId="0" fontId="0" fillId="6" borderId="7" xfId="0" applyFill="1" applyBorder="1" applyAlignment="1">
      <alignment horizontal="left" vertical="center"/>
    </xf>
    <xf numFmtId="0" fontId="0" fillId="6" borderId="7" xfId="0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left" vertical="center"/>
    </xf>
    <xf numFmtId="14" fontId="0" fillId="6" borderId="8" xfId="0" applyNumberFormat="1" applyFill="1" applyBorder="1" applyAlignment="1">
      <alignment horizontal="center" vertical="center"/>
    </xf>
    <xf numFmtId="176" fontId="10" fillId="4" borderId="5" xfId="0" applyNumberFormat="1" applyFont="1" applyFill="1" applyBorder="1" applyAlignment="1">
      <alignment horizontal="center" vertical="center"/>
    </xf>
    <xf numFmtId="176" fontId="10" fillId="4" borderId="4" xfId="0" applyNumberFormat="1" applyFont="1" applyFill="1" applyBorder="1" applyAlignment="1">
      <alignment horizontal="center" vertical="center"/>
    </xf>
    <xf numFmtId="176" fontId="11" fillId="3" borderId="2" xfId="0" applyNumberFormat="1" applyFont="1" applyFill="1" applyBorder="1" applyAlignment="1">
      <alignment horizontal="center" vertical="center"/>
    </xf>
    <xf numFmtId="176" fontId="10" fillId="4" borderId="7" xfId="0" applyNumberFormat="1" applyFont="1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0" fontId="14" fillId="0" borderId="0" xfId="1" applyAlignment="1" applyProtection="1">
      <alignment vertical="center"/>
    </xf>
    <xf numFmtId="14" fontId="14" fillId="0" borderId="0" xfId="1" applyNumberFormat="1" applyAlignment="1" applyProtection="1">
      <alignment vertical="center"/>
    </xf>
    <xf numFmtId="0" fontId="15" fillId="4" borderId="7" xfId="0" applyFont="1" applyFill="1" applyBorder="1" applyAlignment="1">
      <alignment horizontal="left" vertical="center"/>
    </xf>
    <xf numFmtId="0" fontId="15" fillId="4" borderId="5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7"/>
  <dimension ref="A1:B29"/>
  <sheetViews>
    <sheetView workbookViewId="0">
      <pane ySplit="1" topLeftCell="A2" activePane="bottomLeft" state="frozen"/>
      <selection pane="bottomLeft" activeCell="G10" sqref="G10"/>
    </sheetView>
  </sheetViews>
  <sheetFormatPr defaultRowHeight="14.4"/>
  <cols>
    <col min="1" max="1" width="5.5546875" style="2" bestFit="1" customWidth="1"/>
    <col min="2" max="2" width="16.109375" bestFit="1" customWidth="1"/>
  </cols>
  <sheetData>
    <row r="1" spans="1:2">
      <c r="A1" s="2" t="s">
        <v>530</v>
      </c>
      <c r="B1" t="s">
        <v>531</v>
      </c>
    </row>
    <row r="2" spans="1:2">
      <c r="A2" s="2">
        <v>1</v>
      </c>
      <c r="B2" s="137" t="s">
        <v>532</v>
      </c>
    </row>
    <row r="3" spans="1:2">
      <c r="A3" s="2">
        <v>2</v>
      </c>
      <c r="B3" s="138">
        <v>42589</v>
      </c>
    </row>
    <row r="4" spans="1:2">
      <c r="A4" s="2">
        <v>3</v>
      </c>
      <c r="B4" s="138">
        <v>42594</v>
      </c>
    </row>
    <row r="5" spans="1:2">
      <c r="A5" s="2">
        <v>4</v>
      </c>
      <c r="B5" s="138">
        <v>42597</v>
      </c>
    </row>
    <row r="6" spans="1:2">
      <c r="A6" s="2">
        <v>5</v>
      </c>
      <c r="B6" s="138">
        <v>42608</v>
      </c>
    </row>
    <row r="7" spans="1:2">
      <c r="A7" s="2">
        <v>6</v>
      </c>
      <c r="B7" s="138">
        <v>42611</v>
      </c>
    </row>
    <row r="8" spans="1:2">
      <c r="A8" s="2">
        <v>7</v>
      </c>
      <c r="B8" s="138">
        <v>42617</v>
      </c>
    </row>
    <row r="9" spans="1:2">
      <c r="A9" s="2">
        <v>8</v>
      </c>
      <c r="B9" s="138">
        <v>42638</v>
      </c>
    </row>
    <row r="10" spans="1:2">
      <c r="A10" s="2">
        <v>9</v>
      </c>
      <c r="B10" s="138">
        <v>42639</v>
      </c>
    </row>
    <row r="11" spans="1:2">
      <c r="A11" s="2">
        <v>10</v>
      </c>
      <c r="B11" s="137" t="s">
        <v>533</v>
      </c>
    </row>
    <row r="12" spans="1:2">
      <c r="A12" s="2">
        <v>11</v>
      </c>
      <c r="B12" s="138">
        <v>42664</v>
      </c>
    </row>
    <row r="13" spans="1:2">
      <c r="A13" s="2">
        <v>12</v>
      </c>
      <c r="B13" s="138">
        <v>42697</v>
      </c>
    </row>
    <row r="14" spans="1:2">
      <c r="A14" s="2">
        <v>13</v>
      </c>
      <c r="B14" s="138">
        <v>42780</v>
      </c>
    </row>
    <row r="15" spans="1:2">
      <c r="A15" s="2">
        <v>14</v>
      </c>
      <c r="B15" s="138">
        <v>42800</v>
      </c>
    </row>
    <row r="16" spans="1:2">
      <c r="A16" s="2">
        <v>15</v>
      </c>
      <c r="B16" s="138">
        <v>42808</v>
      </c>
    </row>
    <row r="17" spans="1:2">
      <c r="A17" s="2">
        <v>16</v>
      </c>
      <c r="B17" s="138">
        <v>42827</v>
      </c>
    </row>
    <row r="18" spans="1:2">
      <c r="A18" s="2">
        <v>17</v>
      </c>
      <c r="B18" s="138">
        <v>42855</v>
      </c>
    </row>
    <row r="19" spans="1:2">
      <c r="A19" s="2">
        <v>18</v>
      </c>
      <c r="B19" s="138">
        <v>42870</v>
      </c>
    </row>
    <row r="20" spans="1:2">
      <c r="A20" s="2">
        <v>19</v>
      </c>
      <c r="B20" s="138">
        <v>42878</v>
      </c>
    </row>
    <row r="21" spans="1:2">
      <c r="A21" s="2">
        <v>20</v>
      </c>
      <c r="B21" s="138">
        <v>42886</v>
      </c>
    </row>
    <row r="22" spans="1:2">
      <c r="A22" s="2">
        <v>21</v>
      </c>
      <c r="B22" s="138">
        <v>42890</v>
      </c>
    </row>
    <row r="23" spans="1:2">
      <c r="A23" s="2">
        <v>22</v>
      </c>
      <c r="B23" s="138">
        <v>42951</v>
      </c>
    </row>
    <row r="24" spans="1:2">
      <c r="A24" s="2">
        <v>23</v>
      </c>
      <c r="B24" s="138">
        <v>43024</v>
      </c>
    </row>
    <row r="25" spans="1:2">
      <c r="A25" s="2">
        <v>24</v>
      </c>
      <c r="B25" s="138">
        <v>43042</v>
      </c>
    </row>
    <row r="26" spans="1:2">
      <c r="A26" s="2">
        <v>25</v>
      </c>
      <c r="B26" s="138">
        <v>43050</v>
      </c>
    </row>
    <row r="27" spans="1:2">
      <c r="A27" s="2">
        <v>26</v>
      </c>
      <c r="B27" s="138">
        <v>43073</v>
      </c>
    </row>
    <row r="28" spans="1:2">
      <c r="A28" s="2">
        <v>27</v>
      </c>
      <c r="B28" s="138">
        <v>43094</v>
      </c>
    </row>
    <row r="29" spans="1:2">
      <c r="A29" s="2">
        <v>28</v>
      </c>
      <c r="B29" s="138">
        <v>43115</v>
      </c>
    </row>
  </sheetData>
  <phoneticPr fontId="1" type="noConversion"/>
  <hyperlinks>
    <hyperlink ref="B2" location="goodbook!A1" tooltip="单击打开goodbook" display="goodbook"/>
    <hyperlink ref="B3" location="2016-8-7!A1" tooltip="单击打开2016-8-7" display="2016-8-7"/>
    <hyperlink ref="B4" location="2016-8-12!A1" tooltip="单击打开2016-8-12" display="2016-8-12"/>
    <hyperlink ref="B5" location="2016-8-15!A1" tooltip="单击打开2016-8-15" display="2016-8-15"/>
    <hyperlink ref="B6" location="2016-8-26!A1" tooltip="单击打开2016-8-26" display="2016-8-26"/>
    <hyperlink ref="B7" location="2016-8-29!A1" tooltip="单击打开2016-8-29" display="2016-8-29"/>
    <hyperlink ref="B8" location="2016-9-4!A1" tooltip="单击打开2016-9-4" display="2016-9-4"/>
    <hyperlink ref="B9" location="2016-9-25!A1" tooltip="单击打开2016-9-25" display="2016-9-25"/>
    <hyperlink ref="B10" location="2016-9-26!A1" tooltip="单击打开2016-9-26" display="2016-9-26"/>
    <hyperlink ref="B11" location="2016-10-21 (2)!A1" tooltip="单击打开2016-10-21 (2)" display="2016-10-21 (2)"/>
    <hyperlink ref="B12" location="2016-10-21!A1" tooltip="单击打开2016-10-21" display="2016-10-21"/>
    <hyperlink ref="B13" location="2016-11-23!A1" tooltip="单击打开2016-11-23" display="2016-11-23"/>
    <hyperlink ref="B14" location="2017-2-14!A1" tooltip="单击打开2017-2-14" display="2017-2-14"/>
    <hyperlink ref="B15" location="2017-3-6!A1" tooltip="单击打开2017-3-6" display="2017-3-6"/>
    <hyperlink ref="B16" location="2017-3-14!A1" tooltip="单击打开2017-3-14" display="2017-3-14"/>
    <hyperlink ref="B17" location="2017-4-2!A1" tooltip="单击打开2017-4-2" display="2017-4-2"/>
    <hyperlink ref="B18" location="2017-4-30!A1" tooltip="单击打开2017-4-30" display="2017-4-30"/>
    <hyperlink ref="B19" location="2017-5-15!A1" tooltip="单击打开2017-5-15" display="2017-5-15"/>
    <hyperlink ref="B20" location="2017-5-23!A1" tooltip="单击打开2017-5-23" display="2017-5-23"/>
    <hyperlink ref="B21" location="2017-5-31!A1" tooltip="单击打开2017-5-31" display="2017-5-31"/>
    <hyperlink ref="B22" location="2017-6-4!A1" tooltip="单击打开2017-6-4" display="2017-6-4"/>
    <hyperlink ref="B23" location="2017-8-4!A1" tooltip="单击打开2017-8-4" display="2017-8-4"/>
    <hyperlink ref="B24" location="2017-10-16!A1" tooltip="单击打开2017-10-16" display="2017-10-16"/>
    <hyperlink ref="B25" location="2017-11-3!A1" tooltip="单击打开2017-11-3" display="2017-11-3"/>
    <hyperlink ref="B26" location="2017-11-11!A1" tooltip="单击打开2017-11-11" display="2017-11-11"/>
    <hyperlink ref="B27" location="2017-12-4!A1" tooltip="单击打开2017-12-4" display="2017-12-4"/>
    <hyperlink ref="B28" location="2017-12-25!A1" tooltip="单击打开2017-12-25" display="2017-12-25"/>
    <hyperlink ref="B29" location="2018-1-15!A1" tooltip="单击打开2018-1-15" display="2018-1-15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5"/>
  <dimension ref="A1:I5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8" sqref="D8"/>
    </sheetView>
  </sheetViews>
  <sheetFormatPr defaultRowHeight="14.4"/>
  <cols>
    <col min="1" max="1" width="2.88671875" style="2" bestFit="1" customWidth="1"/>
    <col min="2" max="2" width="8.88671875" style="15" bestFit="1" customWidth="1"/>
    <col min="3" max="3" width="30.77734375" style="1" customWidth="1"/>
    <col min="4" max="4" width="23.77734375" style="1" customWidth="1"/>
    <col min="5" max="5" width="9" style="1" bestFit="1" customWidth="1"/>
    <col min="6" max="6" width="8" style="2" bestFit="1" customWidth="1"/>
    <col min="7" max="7" width="12.77734375" style="1" customWidth="1"/>
    <col min="8" max="8" width="9.5546875" style="1" bestFit="1" customWidth="1"/>
    <col min="9" max="9" width="8.77734375" style="2" customWidth="1"/>
    <col min="10" max="16384" width="8.88671875" style="1"/>
  </cols>
  <sheetData>
    <row r="1" spans="1:9">
      <c r="A1" s="75" t="s">
        <v>66</v>
      </c>
      <c r="B1" s="76" t="s">
        <v>7</v>
      </c>
      <c r="C1" s="77" t="s">
        <v>8</v>
      </c>
      <c r="D1" s="77" t="s">
        <v>9</v>
      </c>
      <c r="E1" s="77" t="s">
        <v>10</v>
      </c>
      <c r="F1" s="78" t="s">
        <v>11</v>
      </c>
      <c r="G1" s="77" t="s">
        <v>12</v>
      </c>
      <c r="H1" s="77" t="s">
        <v>13</v>
      </c>
      <c r="I1" s="79" t="s">
        <v>14</v>
      </c>
    </row>
    <row r="2" spans="1:9">
      <c r="A2" s="80">
        <v>1</v>
      </c>
      <c r="B2" s="81">
        <v>100211976</v>
      </c>
      <c r="C2" s="10" t="s">
        <v>313</v>
      </c>
      <c r="D2" s="82" t="s">
        <v>314</v>
      </c>
      <c r="E2" s="82" t="s">
        <v>315</v>
      </c>
      <c r="F2" s="83" t="s">
        <v>3</v>
      </c>
      <c r="G2" s="84">
        <v>42876</v>
      </c>
      <c r="H2" s="84">
        <v>42938</v>
      </c>
      <c r="I2" s="85">
        <v>1</v>
      </c>
    </row>
    <row r="3" spans="1:9">
      <c r="A3" s="80">
        <v>4</v>
      </c>
      <c r="B3" s="81">
        <v>800088764</v>
      </c>
      <c r="C3" s="10" t="s">
        <v>288</v>
      </c>
      <c r="D3" s="82" t="s">
        <v>289</v>
      </c>
      <c r="E3" s="82" t="s">
        <v>290</v>
      </c>
      <c r="F3" s="83" t="s">
        <v>3</v>
      </c>
      <c r="G3" s="84">
        <v>42869</v>
      </c>
      <c r="H3" s="84">
        <v>42931</v>
      </c>
      <c r="I3" s="85">
        <v>1</v>
      </c>
    </row>
    <row r="4" spans="1:9">
      <c r="A4" s="80">
        <v>7</v>
      </c>
      <c r="B4" s="81">
        <v>104786820</v>
      </c>
      <c r="C4" s="10" t="s">
        <v>291</v>
      </c>
      <c r="D4" s="82" t="s">
        <v>292</v>
      </c>
      <c r="E4" s="82" t="s">
        <v>293</v>
      </c>
      <c r="F4" s="83" t="s">
        <v>3</v>
      </c>
      <c r="G4" s="84">
        <v>42865</v>
      </c>
      <c r="H4" s="84">
        <v>42927</v>
      </c>
      <c r="I4" s="85">
        <v>1</v>
      </c>
    </row>
    <row r="5" spans="1:9">
      <c r="A5" s="80">
        <v>9</v>
      </c>
      <c r="B5" s="81">
        <v>104658891</v>
      </c>
      <c r="C5" s="10" t="s">
        <v>283</v>
      </c>
      <c r="D5" s="82" t="s">
        <v>284</v>
      </c>
      <c r="E5" s="82" t="s">
        <v>285</v>
      </c>
      <c r="F5" s="83" t="s">
        <v>3</v>
      </c>
      <c r="G5" s="84">
        <v>42855</v>
      </c>
      <c r="H5" s="84">
        <v>42918</v>
      </c>
      <c r="I5" s="8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18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9" sqref="D9"/>
    </sheetView>
  </sheetViews>
  <sheetFormatPr defaultRowHeight="14.4"/>
  <cols>
    <col min="1" max="1" width="3.5546875" style="2" bestFit="1" customWidth="1"/>
    <col min="2" max="2" width="15" style="15" bestFit="1" customWidth="1"/>
    <col min="3" max="3" width="30.77734375" style="1" customWidth="1"/>
    <col min="4" max="4" width="23.77734375" style="1" customWidth="1"/>
    <col min="5" max="5" width="9.5546875" style="1" bestFit="1" customWidth="1"/>
    <col min="6" max="6" width="9.5546875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22" t="s">
        <v>66</v>
      </c>
      <c r="B1" s="47" t="s">
        <v>7</v>
      </c>
      <c r="C1" s="24" t="s">
        <v>8</v>
      </c>
      <c r="D1" s="24" t="s">
        <v>9</v>
      </c>
      <c r="E1" s="24" t="s">
        <v>10</v>
      </c>
      <c r="F1" s="25" t="s">
        <v>11</v>
      </c>
      <c r="G1" s="24" t="s">
        <v>12</v>
      </c>
      <c r="H1" s="24" t="s">
        <v>13</v>
      </c>
      <c r="I1" s="26" t="s">
        <v>14</v>
      </c>
    </row>
    <row r="2" spans="1:9">
      <c r="A2" s="16">
        <v>1</v>
      </c>
      <c r="B2" s="13">
        <v>700100140132</v>
      </c>
      <c r="C2" s="10" t="s">
        <v>51</v>
      </c>
      <c r="D2" s="10" t="s">
        <v>52</v>
      </c>
      <c r="E2" s="10" t="s">
        <v>53</v>
      </c>
      <c r="F2" s="8" t="s">
        <v>3</v>
      </c>
      <c r="G2" s="5">
        <v>42589</v>
      </c>
      <c r="H2" s="5">
        <v>42651</v>
      </c>
      <c r="I2" s="3">
        <v>1</v>
      </c>
    </row>
    <row r="3" spans="1:9">
      <c r="A3" s="16">
        <v>2</v>
      </c>
      <c r="B3" s="13">
        <v>103130303</v>
      </c>
      <c r="C3" s="10" t="s">
        <v>54</v>
      </c>
      <c r="D3" s="10" t="s">
        <v>55</v>
      </c>
      <c r="E3" s="10" t="s">
        <v>56</v>
      </c>
      <c r="F3" s="8" t="s">
        <v>3</v>
      </c>
      <c r="G3" s="5">
        <v>42589</v>
      </c>
      <c r="H3" s="5">
        <v>42651</v>
      </c>
      <c r="I3" s="3">
        <v>1</v>
      </c>
    </row>
    <row r="4" spans="1:9">
      <c r="A4" s="16">
        <v>3</v>
      </c>
      <c r="B4" s="13">
        <v>700100023174</v>
      </c>
      <c r="C4" s="10" t="s">
        <v>57</v>
      </c>
      <c r="D4" s="10" t="s">
        <v>58</v>
      </c>
      <c r="E4" s="10" t="s">
        <v>59</v>
      </c>
      <c r="F4" s="8" t="s">
        <v>3</v>
      </c>
      <c r="G4" s="5">
        <v>42589</v>
      </c>
      <c r="H4" s="5">
        <v>42651</v>
      </c>
      <c r="I4" s="3">
        <v>1</v>
      </c>
    </row>
    <row r="5" spans="1:9">
      <c r="A5" s="16">
        <v>4</v>
      </c>
      <c r="B5" s="13">
        <v>103148679</v>
      </c>
      <c r="C5" s="10" t="s">
        <v>60</v>
      </c>
      <c r="D5" s="10" t="s">
        <v>61</v>
      </c>
      <c r="E5" s="10" t="s">
        <v>62</v>
      </c>
      <c r="F5" s="8" t="s">
        <v>3</v>
      </c>
      <c r="G5" s="5">
        <v>42589</v>
      </c>
      <c r="H5" s="5">
        <v>42651</v>
      </c>
      <c r="I5" s="3">
        <v>1</v>
      </c>
    </row>
    <row r="6" spans="1:9">
      <c r="A6" s="16">
        <v>5</v>
      </c>
      <c r="B6" s="13">
        <v>800121744</v>
      </c>
      <c r="C6" s="10" t="s">
        <v>60</v>
      </c>
      <c r="D6" s="10" t="s">
        <v>61</v>
      </c>
      <c r="E6" s="10" t="s">
        <v>62</v>
      </c>
      <c r="F6" s="8" t="s">
        <v>3</v>
      </c>
      <c r="G6" s="5">
        <v>42589</v>
      </c>
      <c r="H6" s="5">
        <v>42651</v>
      </c>
      <c r="I6" s="3">
        <v>1</v>
      </c>
    </row>
    <row r="7" spans="1:9">
      <c r="A7" s="16">
        <v>6</v>
      </c>
      <c r="B7" s="13">
        <v>100468419</v>
      </c>
      <c r="C7" s="10" t="s">
        <v>63</v>
      </c>
      <c r="D7" s="10" t="s">
        <v>64</v>
      </c>
      <c r="E7" s="10" t="s">
        <v>65</v>
      </c>
      <c r="F7" s="8" t="s">
        <v>3</v>
      </c>
      <c r="G7" s="5">
        <v>42589</v>
      </c>
      <c r="H7" s="5">
        <v>42651</v>
      </c>
      <c r="I7" s="3">
        <v>1</v>
      </c>
    </row>
    <row r="8" spans="1:9">
      <c r="A8" s="16">
        <v>7</v>
      </c>
      <c r="B8" s="13">
        <v>700100142259</v>
      </c>
      <c r="C8" s="10" t="s">
        <v>15</v>
      </c>
      <c r="D8" s="10" t="s">
        <v>16</v>
      </c>
      <c r="E8" s="10" t="s">
        <v>17</v>
      </c>
      <c r="F8" s="8" t="s">
        <v>3</v>
      </c>
      <c r="G8" s="5">
        <v>42575</v>
      </c>
      <c r="H8" s="5">
        <v>42637</v>
      </c>
      <c r="I8" s="3">
        <v>1</v>
      </c>
    </row>
    <row r="9" spans="1:9">
      <c r="A9" s="16">
        <v>8</v>
      </c>
      <c r="B9" s="13">
        <v>700100144438</v>
      </c>
      <c r="C9" s="10" t="s">
        <v>18</v>
      </c>
      <c r="D9" s="10" t="s">
        <v>19</v>
      </c>
      <c r="E9" s="10" t="s">
        <v>20</v>
      </c>
      <c r="F9" s="8" t="s">
        <v>3</v>
      </c>
      <c r="G9" s="5">
        <v>42575</v>
      </c>
      <c r="H9" s="5">
        <v>42637</v>
      </c>
      <c r="I9" s="3">
        <v>1</v>
      </c>
    </row>
    <row r="10" spans="1:9">
      <c r="A10" s="16">
        <v>9</v>
      </c>
      <c r="B10" s="13">
        <v>104004964</v>
      </c>
      <c r="C10" s="10" t="s">
        <v>21</v>
      </c>
      <c r="D10" s="10" t="s">
        <v>22</v>
      </c>
      <c r="E10" s="10" t="s">
        <v>23</v>
      </c>
      <c r="F10" s="8" t="s">
        <v>3</v>
      </c>
      <c r="G10" s="5">
        <v>42575</v>
      </c>
      <c r="H10" s="5">
        <v>42637</v>
      </c>
      <c r="I10" s="3">
        <v>1</v>
      </c>
    </row>
    <row r="11" spans="1:9">
      <c r="A11" s="16">
        <v>10</v>
      </c>
      <c r="B11" s="13">
        <v>800152535</v>
      </c>
      <c r="C11" s="10" t="s">
        <v>21</v>
      </c>
      <c r="D11" s="10" t="s">
        <v>22</v>
      </c>
      <c r="E11" s="10" t="s">
        <v>23</v>
      </c>
      <c r="F11" s="8" t="s">
        <v>3</v>
      </c>
      <c r="G11" s="5">
        <v>42575</v>
      </c>
      <c r="H11" s="5">
        <v>42637</v>
      </c>
      <c r="I11" s="3">
        <v>1</v>
      </c>
    </row>
    <row r="12" spans="1:9">
      <c r="A12" s="16">
        <v>11</v>
      </c>
      <c r="B12" s="13">
        <v>800018528</v>
      </c>
      <c r="C12" s="10" t="s">
        <v>24</v>
      </c>
      <c r="D12" s="10" t="s">
        <v>25</v>
      </c>
      <c r="E12" s="10" t="s">
        <v>26</v>
      </c>
      <c r="F12" s="8" t="s">
        <v>3</v>
      </c>
      <c r="G12" s="5">
        <v>42568</v>
      </c>
      <c r="H12" s="5">
        <v>42630</v>
      </c>
      <c r="I12" s="3">
        <v>1</v>
      </c>
    </row>
    <row r="13" spans="1:9">
      <c r="A13" s="16">
        <v>12</v>
      </c>
      <c r="B13" s="13">
        <v>100536751</v>
      </c>
      <c r="C13" s="10" t="s">
        <v>24</v>
      </c>
      <c r="D13" s="10" t="s">
        <v>25</v>
      </c>
      <c r="E13" s="10" t="s">
        <v>26</v>
      </c>
      <c r="F13" s="8" t="s">
        <v>3</v>
      </c>
      <c r="G13" s="5">
        <v>42568</v>
      </c>
      <c r="H13" s="5">
        <v>42630</v>
      </c>
      <c r="I13" s="3">
        <v>1</v>
      </c>
    </row>
    <row r="14" spans="1:9">
      <c r="A14" s="16">
        <v>13</v>
      </c>
      <c r="B14" s="13">
        <v>700100144678</v>
      </c>
      <c r="C14" s="10" t="s">
        <v>30</v>
      </c>
      <c r="D14" s="10" t="s">
        <v>31</v>
      </c>
      <c r="E14" s="10" t="s">
        <v>32</v>
      </c>
      <c r="F14" s="8" t="s">
        <v>3</v>
      </c>
      <c r="G14" s="5">
        <v>42561</v>
      </c>
      <c r="H14" s="5">
        <v>42623</v>
      </c>
      <c r="I14" s="3">
        <v>1</v>
      </c>
    </row>
    <row r="15" spans="1:9">
      <c r="A15" s="16">
        <v>14</v>
      </c>
      <c r="B15" s="14">
        <v>104081665</v>
      </c>
      <c r="C15" s="12" t="s">
        <v>36</v>
      </c>
      <c r="D15" s="12" t="s">
        <v>37</v>
      </c>
      <c r="E15" s="12" t="s">
        <v>38</v>
      </c>
      <c r="F15" s="9" t="s">
        <v>3</v>
      </c>
      <c r="G15" s="6">
        <v>42561</v>
      </c>
      <c r="H15" s="6">
        <v>42623</v>
      </c>
      <c r="I15" s="4">
        <v>1</v>
      </c>
    </row>
    <row r="16" spans="1:9">
      <c r="C16" s="1" t="s">
        <v>67</v>
      </c>
      <c r="G16" s="21" t="s">
        <v>68</v>
      </c>
      <c r="H16" s="7">
        <f>MIN(H$2:H15)</f>
        <v>42623</v>
      </c>
      <c r="I16" s="1" t="s">
        <v>71</v>
      </c>
    </row>
    <row r="17" spans="3:9">
      <c r="C17" s="1" t="s">
        <v>69</v>
      </c>
      <c r="I17" s="21" t="s">
        <v>70</v>
      </c>
    </row>
    <row r="18" spans="3:9">
      <c r="C18" s="1">
        <f>COUNTIF(C$2:C15,C15)</f>
        <v>1</v>
      </c>
    </row>
  </sheetData>
  <phoneticPr fontId="1" type="noConversion"/>
  <pageMargins left="0.32" right="0.32" top="0.6" bottom="0.38" header="0.3" footer="0.3"/>
  <pageSetup paperSize="9" orientation="portrait" verticalDpi="0" r:id="rId1"/>
  <headerFooter>
    <oddHeader>&amp;C&amp;A</oddHeader>
    <oddFooter>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9"/>
  <dimension ref="A1:I23"/>
  <sheetViews>
    <sheetView workbookViewId="0">
      <pane xSplit="3" ySplit="1" topLeftCell="D8" activePane="bottomRight" state="frozen"/>
      <selection pane="topRight" activeCell="D1" sqref="D1"/>
      <selection pane="bottomLeft" activeCell="A2" sqref="A2"/>
      <selection pane="bottomRight" activeCell="C23" sqref="C23"/>
    </sheetView>
  </sheetViews>
  <sheetFormatPr defaultRowHeight="14.4"/>
  <cols>
    <col min="1" max="1" width="3.5546875" style="2" bestFit="1" customWidth="1"/>
    <col min="2" max="2" width="15" style="15" bestFit="1" customWidth="1"/>
    <col min="3" max="3" width="30.77734375" style="1" customWidth="1"/>
    <col min="4" max="4" width="23.77734375" style="1" customWidth="1"/>
    <col min="5" max="5" width="17.21875" style="1" bestFit="1" customWidth="1"/>
    <col min="6" max="6" width="9.5546875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22" t="s">
        <v>72</v>
      </c>
      <c r="B1" s="23" t="s">
        <v>7</v>
      </c>
      <c r="C1" s="24" t="s">
        <v>8</v>
      </c>
      <c r="D1" s="24" t="s">
        <v>9</v>
      </c>
      <c r="E1" s="24" t="s">
        <v>10</v>
      </c>
      <c r="F1" s="25" t="s">
        <v>11</v>
      </c>
      <c r="G1" s="24" t="s">
        <v>12</v>
      </c>
      <c r="H1" s="24" t="s">
        <v>13</v>
      </c>
      <c r="I1" s="26" t="s">
        <v>14</v>
      </c>
    </row>
    <row r="2" spans="1:9">
      <c r="A2" s="27">
        <v>1</v>
      </c>
      <c r="B2" s="28">
        <v>700100018693</v>
      </c>
      <c r="C2" s="29" t="s">
        <v>0</v>
      </c>
      <c r="D2" s="30" t="s">
        <v>1</v>
      </c>
      <c r="E2" s="30" t="s">
        <v>2</v>
      </c>
      <c r="F2" s="31" t="s">
        <v>3</v>
      </c>
      <c r="G2" s="32">
        <v>42547</v>
      </c>
      <c r="H2" s="32">
        <v>42609</v>
      </c>
      <c r="I2" s="33">
        <v>1</v>
      </c>
    </row>
    <row r="3" spans="1:9">
      <c r="A3" s="34">
        <v>2</v>
      </c>
      <c r="B3" s="35">
        <v>700100136098</v>
      </c>
      <c r="C3" s="30" t="s">
        <v>4</v>
      </c>
      <c r="D3" s="30" t="s">
        <v>5</v>
      </c>
      <c r="E3" s="30" t="s">
        <v>6</v>
      </c>
      <c r="F3" s="31" t="s">
        <v>3</v>
      </c>
      <c r="G3" s="32">
        <v>42547</v>
      </c>
      <c r="H3" s="32">
        <v>42609</v>
      </c>
      <c r="I3" s="33">
        <v>1</v>
      </c>
    </row>
    <row r="4" spans="1:9" s="41" customFormat="1">
      <c r="A4" s="27">
        <v>3</v>
      </c>
      <c r="B4" s="42">
        <v>700800006820</v>
      </c>
      <c r="C4" s="43" t="s">
        <v>48</v>
      </c>
      <c r="D4" s="43" t="s">
        <v>49</v>
      </c>
      <c r="E4" s="43" t="s">
        <v>50</v>
      </c>
      <c r="F4" s="44" t="s">
        <v>3</v>
      </c>
      <c r="G4" s="45">
        <v>42554</v>
      </c>
      <c r="H4" s="45">
        <v>42616</v>
      </c>
      <c r="I4" s="46">
        <v>1</v>
      </c>
    </row>
    <row r="5" spans="1:9">
      <c r="A5" s="34">
        <v>4</v>
      </c>
      <c r="B5" s="35">
        <v>103522000</v>
      </c>
      <c r="C5" s="30" t="s">
        <v>45</v>
      </c>
      <c r="D5" s="30" t="s">
        <v>46</v>
      </c>
      <c r="E5" s="30" t="s">
        <v>47</v>
      </c>
      <c r="F5" s="31" t="s">
        <v>3</v>
      </c>
      <c r="G5" s="32">
        <v>42556</v>
      </c>
      <c r="H5" s="32">
        <v>42618</v>
      </c>
      <c r="I5" s="33">
        <v>1</v>
      </c>
    </row>
    <row r="6" spans="1:9">
      <c r="A6" s="27">
        <v>5</v>
      </c>
      <c r="B6" s="35">
        <v>103678717</v>
      </c>
      <c r="C6" s="30" t="s">
        <v>39</v>
      </c>
      <c r="D6" s="30" t="s">
        <v>40</v>
      </c>
      <c r="E6" s="30" t="s">
        <v>41</v>
      </c>
      <c r="F6" s="31" t="s">
        <v>3</v>
      </c>
      <c r="G6" s="32">
        <v>42556</v>
      </c>
      <c r="H6" s="32">
        <v>42618</v>
      </c>
      <c r="I6" s="33">
        <v>1</v>
      </c>
    </row>
    <row r="7" spans="1:9">
      <c r="A7" s="34">
        <v>6</v>
      </c>
      <c r="B7" s="35">
        <v>103678717</v>
      </c>
      <c r="C7" s="30" t="s">
        <v>39</v>
      </c>
      <c r="D7" s="30" t="s">
        <v>40</v>
      </c>
      <c r="E7" s="30" t="s">
        <v>41</v>
      </c>
      <c r="F7" s="31" t="s">
        <v>3</v>
      </c>
      <c r="G7" s="32">
        <v>42556</v>
      </c>
      <c r="H7" s="32">
        <v>42618</v>
      </c>
      <c r="I7" s="33">
        <v>1</v>
      </c>
    </row>
    <row r="8" spans="1:9">
      <c r="A8" s="27">
        <v>7</v>
      </c>
      <c r="B8" s="35">
        <v>101682545</v>
      </c>
      <c r="C8" s="30" t="s">
        <v>42</v>
      </c>
      <c r="D8" s="30" t="s">
        <v>43</v>
      </c>
      <c r="E8" s="30" t="s">
        <v>44</v>
      </c>
      <c r="F8" s="31" t="s">
        <v>3</v>
      </c>
      <c r="G8" s="32">
        <v>42556</v>
      </c>
      <c r="H8" s="32">
        <v>42618</v>
      </c>
      <c r="I8" s="33">
        <v>1</v>
      </c>
    </row>
    <row r="9" spans="1:9" s="41" customFormat="1">
      <c r="A9" s="34">
        <v>8</v>
      </c>
      <c r="B9" s="36">
        <v>700800007194</v>
      </c>
      <c r="C9" s="37" t="s">
        <v>30</v>
      </c>
      <c r="D9" s="37" t="s">
        <v>31</v>
      </c>
      <c r="E9" s="37" t="s">
        <v>32</v>
      </c>
      <c r="F9" s="38" t="s">
        <v>3</v>
      </c>
      <c r="G9" s="39">
        <v>42561</v>
      </c>
      <c r="H9" s="39">
        <v>42623</v>
      </c>
      <c r="I9" s="40">
        <v>1</v>
      </c>
    </row>
    <row r="10" spans="1:9" s="41" customFormat="1">
      <c r="A10" s="27">
        <v>9</v>
      </c>
      <c r="B10" s="36">
        <v>700100144678</v>
      </c>
      <c r="C10" s="37" t="s">
        <v>30</v>
      </c>
      <c r="D10" s="37" t="s">
        <v>31</v>
      </c>
      <c r="E10" s="37" t="s">
        <v>32</v>
      </c>
      <c r="F10" s="38" t="s">
        <v>3</v>
      </c>
      <c r="G10" s="39">
        <v>42561</v>
      </c>
      <c r="H10" s="39">
        <v>42623</v>
      </c>
      <c r="I10" s="40">
        <v>1</v>
      </c>
    </row>
    <row r="11" spans="1:9" s="41" customFormat="1">
      <c r="A11" s="34">
        <v>10</v>
      </c>
      <c r="B11" s="36">
        <v>104081665</v>
      </c>
      <c r="C11" s="37" t="s">
        <v>36</v>
      </c>
      <c r="D11" s="37" t="s">
        <v>37</v>
      </c>
      <c r="E11" s="37" t="s">
        <v>38</v>
      </c>
      <c r="F11" s="38" t="s">
        <v>3</v>
      </c>
      <c r="G11" s="39">
        <v>42561</v>
      </c>
      <c r="H11" s="39">
        <v>42623</v>
      </c>
      <c r="I11" s="40">
        <v>1</v>
      </c>
    </row>
    <row r="12" spans="1:9">
      <c r="A12" s="27">
        <v>11</v>
      </c>
      <c r="B12" s="17">
        <v>800076643</v>
      </c>
      <c r="C12" s="11" t="s">
        <v>27</v>
      </c>
      <c r="D12" s="11" t="s">
        <v>28</v>
      </c>
      <c r="E12" s="11" t="s">
        <v>29</v>
      </c>
      <c r="F12" s="18" t="s">
        <v>3</v>
      </c>
      <c r="G12" s="19">
        <v>42561</v>
      </c>
      <c r="H12" s="19">
        <v>42623</v>
      </c>
      <c r="I12" s="20">
        <v>1</v>
      </c>
    </row>
    <row r="13" spans="1:9">
      <c r="A13" s="34">
        <v>12</v>
      </c>
      <c r="B13" s="28">
        <v>100620682</v>
      </c>
      <c r="C13" s="29" t="s">
        <v>33</v>
      </c>
      <c r="D13" s="30" t="s">
        <v>34</v>
      </c>
      <c r="E13" s="30" t="s">
        <v>35</v>
      </c>
      <c r="F13" s="31" t="s">
        <v>3</v>
      </c>
      <c r="G13" s="32">
        <v>42561</v>
      </c>
      <c r="H13" s="32">
        <v>42623</v>
      </c>
      <c r="I13" s="33">
        <v>1</v>
      </c>
    </row>
    <row r="14" spans="1:9">
      <c r="A14" s="27">
        <v>13</v>
      </c>
      <c r="B14" s="13">
        <v>800018528</v>
      </c>
      <c r="C14" s="10" t="s">
        <v>24</v>
      </c>
      <c r="D14" s="10" t="s">
        <v>25</v>
      </c>
      <c r="E14" s="10" t="s">
        <v>26</v>
      </c>
      <c r="F14" s="8" t="s">
        <v>3</v>
      </c>
      <c r="G14" s="5">
        <v>42568</v>
      </c>
      <c r="H14" s="5">
        <v>42630</v>
      </c>
      <c r="I14" s="3">
        <v>1</v>
      </c>
    </row>
    <row r="15" spans="1:9">
      <c r="A15" s="34">
        <v>14</v>
      </c>
      <c r="B15" s="13">
        <v>100536751</v>
      </c>
      <c r="C15" s="10" t="s">
        <v>24</v>
      </c>
      <c r="D15" s="10" t="s">
        <v>25</v>
      </c>
      <c r="E15" s="10" t="s">
        <v>26</v>
      </c>
      <c r="F15" s="8" t="s">
        <v>3</v>
      </c>
      <c r="G15" s="5">
        <v>42568</v>
      </c>
      <c r="H15" s="5">
        <v>42630</v>
      </c>
      <c r="I15" s="3">
        <v>1</v>
      </c>
    </row>
    <row r="16" spans="1:9">
      <c r="A16" s="34">
        <v>14</v>
      </c>
      <c r="B16" s="13">
        <v>100536751</v>
      </c>
      <c r="C16" s="10" t="s">
        <v>24</v>
      </c>
      <c r="D16" s="10" t="s">
        <v>25</v>
      </c>
      <c r="E16" s="10" t="s">
        <v>26</v>
      </c>
      <c r="F16" s="8" t="s">
        <v>3</v>
      </c>
      <c r="G16" s="5">
        <v>42568</v>
      </c>
      <c r="H16" s="5">
        <v>42630</v>
      </c>
      <c r="I16" s="3">
        <v>1</v>
      </c>
    </row>
    <row r="17" spans="1:9">
      <c r="A17" s="27">
        <v>15</v>
      </c>
      <c r="B17" s="13">
        <v>100536751</v>
      </c>
      <c r="C17" s="10" t="s">
        <v>24</v>
      </c>
      <c r="D17" s="10" t="s">
        <v>25</v>
      </c>
      <c r="E17" s="10" t="s">
        <v>26</v>
      </c>
      <c r="F17" s="8" t="s">
        <v>3</v>
      </c>
      <c r="G17" s="5">
        <v>42568</v>
      </c>
      <c r="H17" s="5">
        <v>42630</v>
      </c>
      <c r="I17" s="3">
        <v>1</v>
      </c>
    </row>
    <row r="18" spans="1:9">
      <c r="A18" s="34">
        <v>16</v>
      </c>
      <c r="B18" s="13">
        <v>700100142259</v>
      </c>
      <c r="C18" s="10" t="s">
        <v>15</v>
      </c>
      <c r="D18" s="10" t="s">
        <v>16</v>
      </c>
      <c r="E18" s="10" t="s">
        <v>17</v>
      </c>
      <c r="F18" s="8" t="s">
        <v>3</v>
      </c>
      <c r="G18" s="5">
        <v>42575</v>
      </c>
      <c r="H18" s="5">
        <v>42637</v>
      </c>
      <c r="I18" s="3">
        <v>1</v>
      </c>
    </row>
    <row r="19" spans="1:9">
      <c r="A19" s="27">
        <v>17</v>
      </c>
      <c r="B19" s="13">
        <v>700100144438</v>
      </c>
      <c r="C19" s="10" t="s">
        <v>18</v>
      </c>
      <c r="D19" s="10" t="s">
        <v>19</v>
      </c>
      <c r="E19" s="10" t="s">
        <v>20</v>
      </c>
      <c r="F19" s="8" t="s">
        <v>3</v>
      </c>
      <c r="G19" s="5">
        <v>42575</v>
      </c>
      <c r="H19" s="5">
        <v>42637</v>
      </c>
      <c r="I19" s="3">
        <v>1</v>
      </c>
    </row>
    <row r="20" spans="1:9">
      <c r="A20" s="34">
        <v>18</v>
      </c>
      <c r="B20" s="13">
        <v>104004964</v>
      </c>
      <c r="C20" s="10" t="s">
        <v>21</v>
      </c>
      <c r="D20" s="10" t="s">
        <v>22</v>
      </c>
      <c r="E20" s="10" t="s">
        <v>23</v>
      </c>
      <c r="F20" s="8" t="s">
        <v>3</v>
      </c>
      <c r="G20" s="5">
        <v>42575</v>
      </c>
      <c r="H20" s="5">
        <v>42637</v>
      </c>
      <c r="I20" s="3">
        <v>1</v>
      </c>
    </row>
    <row r="21" spans="1:9">
      <c r="A21" s="27">
        <v>19</v>
      </c>
      <c r="B21" s="14">
        <v>800152535</v>
      </c>
      <c r="C21" s="12" t="s">
        <v>21</v>
      </c>
      <c r="D21" s="12" t="s">
        <v>22</v>
      </c>
      <c r="E21" s="12" t="s">
        <v>23</v>
      </c>
      <c r="F21" s="9" t="s">
        <v>3</v>
      </c>
      <c r="G21" s="6">
        <v>42575</v>
      </c>
      <c r="H21" s="6">
        <v>42637</v>
      </c>
      <c r="I21" s="4">
        <v>1</v>
      </c>
    </row>
    <row r="22" spans="1:9">
      <c r="C22" s="1" t="s">
        <v>73</v>
      </c>
      <c r="G22" s="21" t="s">
        <v>74</v>
      </c>
      <c r="H22" s="7">
        <f>MIN(H$2:H21)</f>
        <v>42609</v>
      </c>
      <c r="I22" s="1" t="s">
        <v>77</v>
      </c>
    </row>
    <row r="23" spans="1:9">
      <c r="C23" s="1" t="s">
        <v>75</v>
      </c>
      <c r="I23" s="21" t="s">
        <v>76</v>
      </c>
    </row>
  </sheetData>
  <sortState ref="A2:I18">
    <sortCondition ref="H2:H18"/>
    <sortCondition ref="C2:C18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I17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6" sqref="C6"/>
    </sheetView>
  </sheetViews>
  <sheetFormatPr defaultRowHeight="14.4"/>
  <cols>
    <col min="1" max="1" width="3.5546875" style="2" bestFit="1" customWidth="1"/>
    <col min="2" max="2" width="15" style="15" bestFit="1" customWidth="1"/>
    <col min="3" max="3" width="30.77734375" style="1" customWidth="1"/>
    <col min="4" max="4" width="23.77734375" style="1" customWidth="1"/>
    <col min="5" max="5" width="9.5546875" style="1" bestFit="1" customWidth="1"/>
    <col min="6" max="6" width="9.5546875" style="2" bestFit="1" customWidth="1"/>
    <col min="7" max="7" width="12.77734375" style="1" customWidth="1"/>
    <col min="8" max="8" width="11.6640625" style="1" bestFit="1" customWidth="1"/>
    <col min="9" max="9" width="8.77734375" style="2" customWidth="1"/>
    <col min="10" max="16384" width="8.88671875" style="1"/>
  </cols>
  <sheetData>
    <row r="1" spans="1:9">
      <c r="A1" s="22" t="s">
        <v>66</v>
      </c>
      <c r="B1" s="47" t="s">
        <v>7</v>
      </c>
      <c r="C1" s="24" t="s">
        <v>8</v>
      </c>
      <c r="D1" s="24" t="s">
        <v>9</v>
      </c>
      <c r="E1" s="24" t="s">
        <v>10</v>
      </c>
      <c r="F1" s="25" t="s">
        <v>11</v>
      </c>
      <c r="G1" s="24" t="s">
        <v>12</v>
      </c>
      <c r="H1" s="24" t="s">
        <v>13</v>
      </c>
      <c r="I1" s="26" t="s">
        <v>14</v>
      </c>
    </row>
    <row r="2" spans="1:9">
      <c r="A2" s="16">
        <v>1</v>
      </c>
      <c r="B2" s="13">
        <v>103749518</v>
      </c>
      <c r="C2" s="10" t="s">
        <v>78</v>
      </c>
      <c r="D2" s="10" t="s">
        <v>79</v>
      </c>
      <c r="E2" s="10" t="s">
        <v>80</v>
      </c>
      <c r="F2" s="8" t="s">
        <v>3</v>
      </c>
      <c r="G2" s="5">
        <v>42596</v>
      </c>
      <c r="H2" s="5">
        <v>42658</v>
      </c>
      <c r="I2" s="3">
        <v>1</v>
      </c>
    </row>
    <row r="3" spans="1:9">
      <c r="A3" s="16">
        <v>2</v>
      </c>
      <c r="B3" s="13">
        <v>700100141068</v>
      </c>
      <c r="C3" s="10" t="s">
        <v>81</v>
      </c>
      <c r="D3" s="10" t="s">
        <v>82</v>
      </c>
      <c r="E3" s="10" t="s">
        <v>83</v>
      </c>
      <c r="F3" s="8" t="s">
        <v>3</v>
      </c>
      <c r="G3" s="5">
        <v>42596</v>
      </c>
      <c r="H3" s="5">
        <v>42658</v>
      </c>
      <c r="I3" s="3">
        <v>1</v>
      </c>
    </row>
    <row r="4" spans="1:9">
      <c r="A4" s="16">
        <v>3</v>
      </c>
      <c r="B4" s="13">
        <v>700100130991</v>
      </c>
      <c r="C4" s="10" t="s">
        <v>84</v>
      </c>
      <c r="D4" s="10" t="s">
        <v>85</v>
      </c>
      <c r="E4" s="10" t="s">
        <v>86</v>
      </c>
      <c r="F4" s="8" t="s">
        <v>3</v>
      </c>
      <c r="G4" s="5">
        <v>42596</v>
      </c>
      <c r="H4" s="5">
        <v>42658</v>
      </c>
      <c r="I4" s="3">
        <v>1</v>
      </c>
    </row>
    <row r="5" spans="1:9">
      <c r="A5" s="16">
        <v>4</v>
      </c>
      <c r="B5" s="13">
        <v>700100140132</v>
      </c>
      <c r="C5" s="10" t="s">
        <v>51</v>
      </c>
      <c r="D5" s="10" t="s">
        <v>52</v>
      </c>
      <c r="E5" s="10" t="s">
        <v>53</v>
      </c>
      <c r="F5" s="8" t="s">
        <v>3</v>
      </c>
      <c r="G5" s="5">
        <v>42589</v>
      </c>
      <c r="H5" s="5">
        <v>42651</v>
      </c>
      <c r="I5" s="3">
        <v>1</v>
      </c>
    </row>
    <row r="6" spans="1:9">
      <c r="A6" s="16">
        <v>5</v>
      </c>
      <c r="B6" s="13">
        <v>103130303</v>
      </c>
      <c r="C6" s="10" t="s">
        <v>54</v>
      </c>
      <c r="D6" s="10" t="s">
        <v>55</v>
      </c>
      <c r="E6" s="10" t="s">
        <v>56</v>
      </c>
      <c r="F6" s="8" t="s">
        <v>3</v>
      </c>
      <c r="G6" s="5">
        <v>42589</v>
      </c>
      <c r="H6" s="5">
        <v>42651</v>
      </c>
      <c r="I6" s="3">
        <v>1</v>
      </c>
    </row>
    <row r="7" spans="1:9">
      <c r="A7" s="16">
        <v>6</v>
      </c>
      <c r="B7" s="13">
        <v>700100023174</v>
      </c>
      <c r="C7" s="10" t="s">
        <v>57</v>
      </c>
      <c r="D7" s="10" t="s">
        <v>58</v>
      </c>
      <c r="E7" s="10" t="s">
        <v>59</v>
      </c>
      <c r="F7" s="8" t="s">
        <v>3</v>
      </c>
      <c r="G7" s="5">
        <v>42589</v>
      </c>
      <c r="H7" s="5">
        <v>42651</v>
      </c>
      <c r="I7" s="3">
        <v>1</v>
      </c>
    </row>
    <row r="8" spans="1:9">
      <c r="A8" s="16">
        <v>7</v>
      </c>
      <c r="B8" s="13">
        <v>103148679</v>
      </c>
      <c r="C8" s="10" t="s">
        <v>60</v>
      </c>
      <c r="D8" s="10" t="s">
        <v>61</v>
      </c>
      <c r="E8" s="10" t="s">
        <v>62</v>
      </c>
      <c r="F8" s="8" t="s">
        <v>3</v>
      </c>
      <c r="G8" s="5">
        <v>42589</v>
      </c>
      <c r="H8" s="5">
        <v>42651</v>
      </c>
      <c r="I8" s="3">
        <v>1</v>
      </c>
    </row>
    <row r="9" spans="1:9">
      <c r="A9" s="16">
        <v>8</v>
      </c>
      <c r="B9" s="13">
        <v>800121744</v>
      </c>
      <c r="C9" s="10" t="s">
        <v>60</v>
      </c>
      <c r="D9" s="10" t="s">
        <v>61</v>
      </c>
      <c r="E9" s="10" t="s">
        <v>62</v>
      </c>
      <c r="F9" s="8" t="s">
        <v>3</v>
      </c>
      <c r="G9" s="5">
        <v>42589</v>
      </c>
      <c r="H9" s="5">
        <v>42651</v>
      </c>
      <c r="I9" s="3">
        <v>1</v>
      </c>
    </row>
    <row r="10" spans="1:9">
      <c r="A10" s="16">
        <v>9</v>
      </c>
      <c r="B10" s="13">
        <v>100468419</v>
      </c>
      <c r="C10" s="10" t="s">
        <v>63</v>
      </c>
      <c r="D10" s="10" t="s">
        <v>64</v>
      </c>
      <c r="E10" s="10" t="s">
        <v>65</v>
      </c>
      <c r="F10" s="8" t="s">
        <v>3</v>
      </c>
      <c r="G10" s="5">
        <v>42589</v>
      </c>
      <c r="H10" s="5">
        <v>42651</v>
      </c>
      <c r="I10" s="3">
        <v>1</v>
      </c>
    </row>
    <row r="11" spans="1:9">
      <c r="A11" s="16">
        <v>10</v>
      </c>
      <c r="B11" s="13">
        <v>104004964</v>
      </c>
      <c r="C11" s="10" t="s">
        <v>21</v>
      </c>
      <c r="D11" s="10" t="s">
        <v>22</v>
      </c>
      <c r="E11" s="10" t="s">
        <v>23</v>
      </c>
      <c r="F11" s="8" t="s">
        <v>3</v>
      </c>
      <c r="G11" s="5">
        <v>42575</v>
      </c>
      <c r="H11" s="5">
        <v>42637</v>
      </c>
      <c r="I11" s="3">
        <v>1</v>
      </c>
    </row>
    <row r="12" spans="1:9">
      <c r="A12" s="16">
        <v>11</v>
      </c>
      <c r="B12" s="13">
        <v>800152535</v>
      </c>
      <c r="C12" s="10" t="s">
        <v>21</v>
      </c>
      <c r="D12" s="10" t="s">
        <v>22</v>
      </c>
      <c r="E12" s="10" t="s">
        <v>23</v>
      </c>
      <c r="F12" s="8" t="s">
        <v>3</v>
      </c>
      <c r="G12" s="5">
        <v>42575</v>
      </c>
      <c r="H12" s="5">
        <v>42637</v>
      </c>
      <c r="I12" s="3">
        <v>1</v>
      </c>
    </row>
    <row r="13" spans="1:9">
      <c r="A13" s="16">
        <v>12</v>
      </c>
      <c r="B13" s="13">
        <v>800018528</v>
      </c>
      <c r="C13" s="10" t="s">
        <v>24</v>
      </c>
      <c r="D13" s="10" t="s">
        <v>25</v>
      </c>
      <c r="E13" s="10" t="s">
        <v>26</v>
      </c>
      <c r="F13" s="8" t="s">
        <v>3</v>
      </c>
      <c r="G13" s="5">
        <v>42568</v>
      </c>
      <c r="H13" s="5">
        <v>42630</v>
      </c>
      <c r="I13" s="3">
        <v>1</v>
      </c>
    </row>
    <row r="14" spans="1:9">
      <c r="A14" s="16">
        <v>13</v>
      </c>
      <c r="B14" s="13">
        <v>100536751</v>
      </c>
      <c r="C14" s="10" t="s">
        <v>24</v>
      </c>
      <c r="D14" s="10" t="s">
        <v>25</v>
      </c>
      <c r="E14" s="10" t="s">
        <v>26</v>
      </c>
      <c r="F14" s="8" t="s">
        <v>3</v>
      </c>
      <c r="G14" s="5">
        <v>42568</v>
      </c>
      <c r="H14" s="5">
        <v>42630</v>
      </c>
      <c r="I14" s="3">
        <v>1</v>
      </c>
    </row>
    <row r="15" spans="1:9">
      <c r="A15" s="16">
        <v>14</v>
      </c>
      <c r="B15" s="14">
        <v>104081665</v>
      </c>
      <c r="C15" s="12" t="s">
        <v>36</v>
      </c>
      <c r="D15" s="12" t="s">
        <v>37</v>
      </c>
      <c r="E15" s="12" t="s">
        <v>38</v>
      </c>
      <c r="F15" s="9" t="s">
        <v>3</v>
      </c>
      <c r="G15" s="6">
        <v>42561</v>
      </c>
      <c r="H15" s="6">
        <v>42623</v>
      </c>
      <c r="I15" s="4">
        <v>1</v>
      </c>
    </row>
    <row r="16" spans="1:9">
      <c r="C16" s="1" t="s">
        <v>67</v>
      </c>
      <c r="G16" s="21" t="s">
        <v>68</v>
      </c>
      <c r="H16" s="7">
        <f>MIN(H$2:H15)</f>
        <v>42623</v>
      </c>
      <c r="I16" s="1" t="s">
        <v>87</v>
      </c>
    </row>
    <row r="17" spans="3:9">
      <c r="C17" s="1" t="s">
        <v>69</v>
      </c>
      <c r="I17" s="21" t="s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I13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19" sqref="F19"/>
    </sheetView>
  </sheetViews>
  <sheetFormatPr defaultRowHeight="14.4"/>
  <cols>
    <col min="1" max="1" width="3.77734375" style="2" bestFit="1" customWidth="1"/>
    <col min="2" max="2" width="16.21875" style="15" bestFit="1" customWidth="1"/>
    <col min="3" max="3" width="30.77734375" style="1" customWidth="1"/>
    <col min="4" max="4" width="23.77734375" style="1" customWidth="1"/>
    <col min="5" max="5" width="8.88671875" style="1"/>
    <col min="6" max="6" width="9.5546875" style="2" bestFit="1" customWidth="1"/>
    <col min="7" max="7" width="12.77734375" style="1" customWidth="1"/>
    <col min="8" max="8" width="12.21875" style="1" bestFit="1" customWidth="1"/>
    <col min="9" max="9" width="8.77734375" style="2" customWidth="1"/>
    <col min="10" max="16384" width="8.88671875" style="1"/>
  </cols>
  <sheetData>
    <row r="1" spans="1:9">
      <c r="A1" s="48" t="s">
        <v>66</v>
      </c>
      <c r="B1" s="49" t="s">
        <v>7</v>
      </c>
      <c r="C1" s="50" t="s">
        <v>8</v>
      </c>
      <c r="D1" s="50" t="s">
        <v>9</v>
      </c>
      <c r="E1" s="50" t="s">
        <v>10</v>
      </c>
      <c r="F1" s="51" t="s">
        <v>11</v>
      </c>
      <c r="G1" s="50" t="s">
        <v>12</v>
      </c>
      <c r="H1" s="50" t="s">
        <v>13</v>
      </c>
      <c r="I1" s="52" t="s">
        <v>14</v>
      </c>
    </row>
    <row r="2" spans="1:9">
      <c r="A2" s="53">
        <v>1</v>
      </c>
      <c r="B2" s="54">
        <v>101638508</v>
      </c>
      <c r="C2" s="10" t="s">
        <v>88</v>
      </c>
      <c r="D2" s="55" t="s">
        <v>89</v>
      </c>
      <c r="E2" s="55" t="s">
        <v>90</v>
      </c>
      <c r="F2" s="56" t="s">
        <v>3</v>
      </c>
      <c r="G2" s="57">
        <v>42608</v>
      </c>
      <c r="H2" s="57">
        <v>42639</v>
      </c>
      <c r="I2" s="58">
        <v>0</v>
      </c>
    </row>
    <row r="3" spans="1:9">
      <c r="A3" s="53">
        <v>2</v>
      </c>
      <c r="B3" s="54">
        <v>103676207</v>
      </c>
      <c r="C3" s="10" t="s">
        <v>91</v>
      </c>
      <c r="D3" s="55" t="s">
        <v>92</v>
      </c>
      <c r="E3" s="55" t="s">
        <v>93</v>
      </c>
      <c r="F3" s="56" t="s">
        <v>3</v>
      </c>
      <c r="G3" s="57">
        <v>42608</v>
      </c>
      <c r="H3" s="57">
        <v>42639</v>
      </c>
      <c r="I3" s="58">
        <v>0</v>
      </c>
    </row>
    <row r="4" spans="1:9">
      <c r="A4" s="53">
        <v>3</v>
      </c>
      <c r="B4" s="54">
        <v>103729688</v>
      </c>
      <c r="C4" s="10" t="s">
        <v>94</v>
      </c>
      <c r="D4" s="55" t="s">
        <v>95</v>
      </c>
      <c r="E4" s="55" t="s">
        <v>96</v>
      </c>
      <c r="F4" s="56" t="s">
        <v>3</v>
      </c>
      <c r="G4" s="57">
        <v>42608</v>
      </c>
      <c r="H4" s="57">
        <v>42639</v>
      </c>
      <c r="I4" s="58">
        <v>0</v>
      </c>
    </row>
    <row r="5" spans="1:9">
      <c r="A5" s="53">
        <v>4</v>
      </c>
      <c r="B5" s="54">
        <v>102819768</v>
      </c>
      <c r="C5" s="10" t="s">
        <v>97</v>
      </c>
      <c r="D5" s="55" t="s">
        <v>98</v>
      </c>
      <c r="E5" s="55" t="s">
        <v>99</v>
      </c>
      <c r="F5" s="56" t="s">
        <v>3</v>
      </c>
      <c r="G5" s="57">
        <v>42608</v>
      </c>
      <c r="H5" s="57">
        <v>42639</v>
      </c>
      <c r="I5" s="58">
        <v>0</v>
      </c>
    </row>
    <row r="6" spans="1:9">
      <c r="A6" s="53">
        <v>5</v>
      </c>
      <c r="B6" s="54">
        <v>103995190</v>
      </c>
      <c r="C6" s="10" t="s">
        <v>100</v>
      </c>
      <c r="D6" s="55" t="s">
        <v>101</v>
      </c>
      <c r="E6" s="55" t="s">
        <v>102</v>
      </c>
      <c r="F6" s="56" t="s">
        <v>3</v>
      </c>
      <c r="G6" s="57">
        <v>42608</v>
      </c>
      <c r="H6" s="57">
        <v>42639</v>
      </c>
      <c r="I6" s="58">
        <v>0</v>
      </c>
    </row>
    <row r="7" spans="1:9">
      <c r="A7" s="53">
        <v>6</v>
      </c>
      <c r="B7" s="54">
        <v>103749518</v>
      </c>
      <c r="C7" s="10" t="s">
        <v>78</v>
      </c>
      <c r="D7" s="55" t="s">
        <v>79</v>
      </c>
      <c r="E7" s="55" t="s">
        <v>80</v>
      </c>
      <c r="F7" s="56" t="s">
        <v>3</v>
      </c>
      <c r="G7" s="57">
        <v>42596</v>
      </c>
      <c r="H7" s="57">
        <v>42658</v>
      </c>
      <c r="I7" s="58">
        <v>1</v>
      </c>
    </row>
    <row r="8" spans="1:9">
      <c r="A8" s="53">
        <v>7</v>
      </c>
      <c r="B8" s="54">
        <v>700100141068</v>
      </c>
      <c r="C8" s="10" t="s">
        <v>81</v>
      </c>
      <c r="D8" s="55" t="s">
        <v>82</v>
      </c>
      <c r="E8" s="55" t="s">
        <v>83</v>
      </c>
      <c r="F8" s="56" t="s">
        <v>3</v>
      </c>
      <c r="G8" s="57">
        <v>42596</v>
      </c>
      <c r="H8" s="57">
        <v>42658</v>
      </c>
      <c r="I8" s="58">
        <v>1</v>
      </c>
    </row>
    <row r="9" spans="1:9">
      <c r="A9" s="53">
        <v>8</v>
      </c>
      <c r="B9" s="54">
        <v>700100130991</v>
      </c>
      <c r="C9" s="10" t="s">
        <v>84</v>
      </c>
      <c r="D9" s="55" t="s">
        <v>85</v>
      </c>
      <c r="E9" s="55" t="s">
        <v>86</v>
      </c>
      <c r="F9" s="56" t="s">
        <v>3</v>
      </c>
      <c r="G9" s="57">
        <v>42596</v>
      </c>
      <c r="H9" s="57">
        <v>42658</v>
      </c>
      <c r="I9" s="58">
        <v>1</v>
      </c>
    </row>
    <row r="10" spans="1:9">
      <c r="A10" s="53">
        <v>9</v>
      </c>
      <c r="B10" s="54">
        <v>700100140132</v>
      </c>
      <c r="C10" s="10" t="s">
        <v>51</v>
      </c>
      <c r="D10" s="55" t="s">
        <v>52</v>
      </c>
      <c r="E10" s="55" t="s">
        <v>53</v>
      </c>
      <c r="F10" s="56" t="s">
        <v>3</v>
      </c>
      <c r="G10" s="57">
        <v>42589</v>
      </c>
      <c r="H10" s="57">
        <v>42651</v>
      </c>
      <c r="I10" s="58">
        <v>1</v>
      </c>
    </row>
    <row r="11" spans="1:9">
      <c r="A11" s="53">
        <v>10</v>
      </c>
      <c r="B11" s="59">
        <v>700100023174</v>
      </c>
      <c r="C11" s="12" t="s">
        <v>57</v>
      </c>
      <c r="D11" s="60" t="s">
        <v>58</v>
      </c>
      <c r="E11" s="60" t="s">
        <v>59</v>
      </c>
      <c r="F11" s="61" t="s">
        <v>3</v>
      </c>
      <c r="G11" s="62">
        <v>42589</v>
      </c>
      <c r="H11" s="62">
        <v>42651</v>
      </c>
      <c r="I11" s="63">
        <v>1</v>
      </c>
    </row>
    <row r="12" spans="1:9">
      <c r="C12" s="1" t="s">
        <v>103</v>
      </c>
      <c r="G12" s="21" t="s">
        <v>68</v>
      </c>
      <c r="H12" s="7">
        <f>MIN(H$2:H11)</f>
        <v>42639</v>
      </c>
      <c r="I12" s="1" t="s">
        <v>104</v>
      </c>
    </row>
    <row r="13" spans="1:9">
      <c r="I13" s="21" t="s">
        <v>70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I13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6" sqref="D16"/>
    </sheetView>
  </sheetViews>
  <sheetFormatPr defaultRowHeight="14.4"/>
  <cols>
    <col min="1" max="1" width="3.77734375" style="2" bestFit="1" customWidth="1"/>
    <col min="2" max="2" width="16.21875" style="15" bestFit="1" customWidth="1"/>
    <col min="3" max="3" width="30.77734375" style="1" customWidth="1"/>
    <col min="4" max="4" width="23.77734375" style="1" customWidth="1"/>
    <col min="5" max="5" width="8.88671875" style="1"/>
    <col min="6" max="6" width="9.5546875" style="2" bestFit="1" customWidth="1"/>
    <col min="7" max="7" width="12.77734375" style="1" customWidth="1"/>
    <col min="8" max="8" width="12.21875" style="1" bestFit="1" customWidth="1"/>
    <col min="9" max="9" width="8.77734375" style="2" customWidth="1"/>
    <col min="10" max="16384" width="8.88671875" style="1"/>
  </cols>
  <sheetData>
    <row r="1" spans="1:9">
      <c r="A1" s="48" t="s">
        <v>66</v>
      </c>
      <c r="B1" s="49" t="s">
        <v>7</v>
      </c>
      <c r="C1" s="50" t="s">
        <v>8</v>
      </c>
      <c r="D1" s="50" t="s">
        <v>9</v>
      </c>
      <c r="E1" s="50" t="s">
        <v>10</v>
      </c>
      <c r="F1" s="51" t="s">
        <v>11</v>
      </c>
      <c r="G1" s="50" t="s">
        <v>12</v>
      </c>
      <c r="H1" s="50" t="s">
        <v>13</v>
      </c>
      <c r="I1" s="52" t="s">
        <v>14</v>
      </c>
    </row>
    <row r="2" spans="1:9">
      <c r="A2" s="53">
        <v>1</v>
      </c>
      <c r="B2" s="54">
        <v>101638508</v>
      </c>
      <c r="C2" s="10" t="s">
        <v>88</v>
      </c>
      <c r="D2" s="55" t="s">
        <v>89</v>
      </c>
      <c r="E2" s="55" t="s">
        <v>90</v>
      </c>
      <c r="F2" s="56" t="s">
        <v>3</v>
      </c>
      <c r="G2" s="57">
        <v>42608</v>
      </c>
      <c r="H2" s="57">
        <v>42670</v>
      </c>
      <c r="I2" s="58">
        <v>1</v>
      </c>
    </row>
    <row r="3" spans="1:9">
      <c r="A3" s="53">
        <v>2</v>
      </c>
      <c r="B3" s="54">
        <v>103676207</v>
      </c>
      <c r="C3" s="10" t="s">
        <v>91</v>
      </c>
      <c r="D3" s="55" t="s">
        <v>92</v>
      </c>
      <c r="E3" s="55" t="s">
        <v>93</v>
      </c>
      <c r="F3" s="56" t="s">
        <v>3</v>
      </c>
      <c r="G3" s="57">
        <v>42608</v>
      </c>
      <c r="H3" s="57">
        <v>42670</v>
      </c>
      <c r="I3" s="58">
        <v>1</v>
      </c>
    </row>
    <row r="4" spans="1:9">
      <c r="A4" s="53">
        <v>3</v>
      </c>
      <c r="B4" s="54">
        <v>103729688</v>
      </c>
      <c r="C4" s="10" t="s">
        <v>94</v>
      </c>
      <c r="D4" s="55" t="s">
        <v>95</v>
      </c>
      <c r="E4" s="55" t="s">
        <v>96</v>
      </c>
      <c r="F4" s="56" t="s">
        <v>3</v>
      </c>
      <c r="G4" s="57">
        <v>42608</v>
      </c>
      <c r="H4" s="57">
        <v>42670</v>
      </c>
      <c r="I4" s="58">
        <v>1</v>
      </c>
    </row>
    <row r="5" spans="1:9">
      <c r="A5" s="53">
        <v>4</v>
      </c>
      <c r="B5" s="54">
        <v>102819768</v>
      </c>
      <c r="C5" s="10" t="s">
        <v>97</v>
      </c>
      <c r="D5" s="55" t="s">
        <v>98</v>
      </c>
      <c r="E5" s="55" t="s">
        <v>99</v>
      </c>
      <c r="F5" s="56" t="s">
        <v>3</v>
      </c>
      <c r="G5" s="57">
        <v>42608</v>
      </c>
      <c r="H5" s="57">
        <v>42670</v>
      </c>
      <c r="I5" s="58">
        <v>1</v>
      </c>
    </row>
    <row r="6" spans="1:9">
      <c r="A6" s="53">
        <v>5</v>
      </c>
      <c r="B6" s="54">
        <v>103995190</v>
      </c>
      <c r="C6" s="10" t="s">
        <v>100</v>
      </c>
      <c r="D6" s="55" t="s">
        <v>101</v>
      </c>
      <c r="E6" s="55" t="s">
        <v>102</v>
      </c>
      <c r="F6" s="56" t="s">
        <v>3</v>
      </c>
      <c r="G6" s="57">
        <v>42608</v>
      </c>
      <c r="H6" s="57">
        <v>42670</v>
      </c>
      <c r="I6" s="58">
        <v>1</v>
      </c>
    </row>
    <row r="7" spans="1:9">
      <c r="A7" s="53">
        <v>6</v>
      </c>
      <c r="B7" s="54">
        <v>103749518</v>
      </c>
      <c r="C7" s="10" t="s">
        <v>78</v>
      </c>
      <c r="D7" s="55" t="s">
        <v>79</v>
      </c>
      <c r="E7" s="55" t="s">
        <v>80</v>
      </c>
      <c r="F7" s="56" t="s">
        <v>3</v>
      </c>
      <c r="G7" s="57">
        <v>42596</v>
      </c>
      <c r="H7" s="57">
        <v>42658</v>
      </c>
      <c r="I7" s="58">
        <v>1</v>
      </c>
    </row>
    <row r="8" spans="1:9">
      <c r="A8" s="53">
        <v>7</v>
      </c>
      <c r="B8" s="54">
        <v>700100141068</v>
      </c>
      <c r="C8" s="10" t="s">
        <v>81</v>
      </c>
      <c r="D8" s="55" t="s">
        <v>82</v>
      </c>
      <c r="E8" s="55" t="s">
        <v>83</v>
      </c>
      <c r="F8" s="56" t="s">
        <v>3</v>
      </c>
      <c r="G8" s="57">
        <v>42596</v>
      </c>
      <c r="H8" s="57">
        <v>42658</v>
      </c>
      <c r="I8" s="58">
        <v>1</v>
      </c>
    </row>
    <row r="9" spans="1:9">
      <c r="A9" s="53">
        <v>8</v>
      </c>
      <c r="B9" s="54">
        <v>700100130991</v>
      </c>
      <c r="C9" s="10" t="s">
        <v>84</v>
      </c>
      <c r="D9" s="55" t="s">
        <v>85</v>
      </c>
      <c r="E9" s="55" t="s">
        <v>86</v>
      </c>
      <c r="F9" s="56" t="s">
        <v>3</v>
      </c>
      <c r="G9" s="57">
        <v>42596</v>
      </c>
      <c r="H9" s="57">
        <v>42658</v>
      </c>
      <c r="I9" s="58">
        <v>1</v>
      </c>
    </row>
    <row r="10" spans="1:9">
      <c r="A10" s="53">
        <v>9</v>
      </c>
      <c r="B10" s="54">
        <v>700100140132</v>
      </c>
      <c r="C10" s="10" t="s">
        <v>51</v>
      </c>
      <c r="D10" s="55" t="s">
        <v>52</v>
      </c>
      <c r="E10" s="55" t="s">
        <v>53</v>
      </c>
      <c r="F10" s="56" t="s">
        <v>3</v>
      </c>
      <c r="G10" s="57">
        <v>42589</v>
      </c>
      <c r="H10" s="57">
        <v>42651</v>
      </c>
      <c r="I10" s="58">
        <v>1</v>
      </c>
    </row>
    <row r="11" spans="1:9">
      <c r="A11" s="53">
        <v>10</v>
      </c>
      <c r="B11" s="59">
        <v>700100023174</v>
      </c>
      <c r="C11" s="12" t="s">
        <v>57</v>
      </c>
      <c r="D11" s="60" t="s">
        <v>58</v>
      </c>
      <c r="E11" s="60" t="s">
        <v>59</v>
      </c>
      <c r="F11" s="61" t="s">
        <v>3</v>
      </c>
      <c r="G11" s="62">
        <v>42589</v>
      </c>
      <c r="H11" s="62">
        <v>42651</v>
      </c>
      <c r="I11" s="63">
        <v>1</v>
      </c>
    </row>
    <row r="12" spans="1:9">
      <c r="C12" s="1" t="s">
        <v>103</v>
      </c>
      <c r="G12" s="21" t="s">
        <v>68</v>
      </c>
      <c r="H12" s="7">
        <f>MIN(H$2:H11)</f>
        <v>42651</v>
      </c>
      <c r="I12" s="1" t="s">
        <v>105</v>
      </c>
    </row>
    <row r="13" spans="1:9">
      <c r="I13" s="21" t="s">
        <v>70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I14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E18" sqref="E18"/>
    </sheetView>
  </sheetViews>
  <sheetFormatPr defaultRowHeight="14.4"/>
  <cols>
    <col min="1" max="1" width="3.5546875" style="2" bestFit="1" customWidth="1"/>
    <col min="2" max="2" width="15" style="15" bestFit="1" customWidth="1"/>
    <col min="3" max="3" width="30.77734375" style="1" customWidth="1"/>
    <col min="4" max="4" width="23.77734375" style="1" customWidth="1"/>
    <col min="5" max="5" width="15" style="1" bestFit="1" customWidth="1"/>
    <col min="6" max="6" width="9.5546875" style="2" bestFit="1" customWidth="1"/>
    <col min="7" max="7" width="12.77734375" style="1" customWidth="1"/>
    <col min="8" max="8" width="11.6640625" style="1" bestFit="1" customWidth="1"/>
    <col min="9" max="9" width="8.77734375" style="2" customWidth="1"/>
    <col min="10" max="16384" width="8.88671875" style="1"/>
  </cols>
  <sheetData>
    <row r="1" spans="1:9">
      <c r="A1" s="22" t="s">
        <v>112</v>
      </c>
      <c r="B1" s="67" t="s">
        <v>7</v>
      </c>
      <c r="C1" s="64" t="s">
        <v>8</v>
      </c>
      <c r="D1" s="64" t="s">
        <v>9</v>
      </c>
      <c r="E1" s="64" t="s">
        <v>10</v>
      </c>
      <c r="F1" s="65" t="s">
        <v>11</v>
      </c>
      <c r="G1" s="64" t="s">
        <v>12</v>
      </c>
      <c r="H1" s="64" t="s">
        <v>13</v>
      </c>
      <c r="I1" s="66" t="s">
        <v>14</v>
      </c>
    </row>
    <row r="2" spans="1:9">
      <c r="A2" s="16">
        <v>1</v>
      </c>
      <c r="B2" s="13">
        <v>700100118837</v>
      </c>
      <c r="C2" s="10" t="s">
        <v>106</v>
      </c>
      <c r="D2" s="10" t="s">
        <v>107</v>
      </c>
      <c r="E2" s="10" t="s">
        <v>108</v>
      </c>
      <c r="F2" s="8" t="s">
        <v>3</v>
      </c>
      <c r="G2" s="5">
        <v>42617</v>
      </c>
      <c r="H2" s="5">
        <v>42679</v>
      </c>
      <c r="I2" s="3">
        <v>1</v>
      </c>
    </row>
    <row r="3" spans="1:9">
      <c r="A3" s="16">
        <v>2</v>
      </c>
      <c r="B3" s="13">
        <v>700100146510</v>
      </c>
      <c r="C3" s="10" t="s">
        <v>109</v>
      </c>
      <c r="D3" s="10" t="s">
        <v>110</v>
      </c>
      <c r="E3" s="10" t="s">
        <v>111</v>
      </c>
      <c r="F3" s="8" t="s">
        <v>3</v>
      </c>
      <c r="G3" s="5">
        <v>42617</v>
      </c>
      <c r="H3" s="5">
        <v>42679</v>
      </c>
      <c r="I3" s="3">
        <v>1</v>
      </c>
    </row>
    <row r="4" spans="1:9">
      <c r="A4" s="16">
        <v>3</v>
      </c>
      <c r="B4" s="13">
        <v>101638508</v>
      </c>
      <c r="C4" s="10" t="s">
        <v>88</v>
      </c>
      <c r="D4" s="10" t="s">
        <v>89</v>
      </c>
      <c r="E4" s="10" t="s">
        <v>90</v>
      </c>
      <c r="F4" s="8" t="s">
        <v>3</v>
      </c>
      <c r="G4" s="5">
        <v>42608</v>
      </c>
      <c r="H4" s="5">
        <v>42670</v>
      </c>
      <c r="I4" s="3">
        <v>1</v>
      </c>
    </row>
    <row r="5" spans="1:9">
      <c r="A5" s="16">
        <v>4</v>
      </c>
      <c r="B5" s="13">
        <v>103676207</v>
      </c>
      <c r="C5" s="10" t="s">
        <v>91</v>
      </c>
      <c r="D5" s="10" t="s">
        <v>92</v>
      </c>
      <c r="E5" s="10" t="s">
        <v>93</v>
      </c>
      <c r="F5" s="8" t="s">
        <v>3</v>
      </c>
      <c r="G5" s="5">
        <v>42608</v>
      </c>
      <c r="H5" s="5">
        <v>42670</v>
      </c>
      <c r="I5" s="3">
        <v>1</v>
      </c>
    </row>
    <row r="6" spans="1:9">
      <c r="A6" s="16">
        <v>5</v>
      </c>
      <c r="B6" s="13">
        <v>103729688</v>
      </c>
      <c r="C6" s="10" t="s">
        <v>94</v>
      </c>
      <c r="D6" s="10" t="s">
        <v>95</v>
      </c>
      <c r="E6" s="10" t="s">
        <v>96</v>
      </c>
      <c r="F6" s="8" t="s">
        <v>3</v>
      </c>
      <c r="G6" s="5">
        <v>42608</v>
      </c>
      <c r="H6" s="5">
        <v>42670</v>
      </c>
      <c r="I6" s="3">
        <v>1</v>
      </c>
    </row>
    <row r="7" spans="1:9">
      <c r="A7" s="16">
        <v>6</v>
      </c>
      <c r="B7" s="13">
        <v>102819768</v>
      </c>
      <c r="C7" s="10" t="s">
        <v>97</v>
      </c>
      <c r="D7" s="10" t="s">
        <v>98</v>
      </c>
      <c r="E7" s="10" t="s">
        <v>99</v>
      </c>
      <c r="F7" s="8" t="s">
        <v>3</v>
      </c>
      <c r="G7" s="5">
        <v>42608</v>
      </c>
      <c r="H7" s="5">
        <v>42670</v>
      </c>
      <c r="I7" s="3">
        <v>1</v>
      </c>
    </row>
    <row r="8" spans="1:9">
      <c r="A8" s="16">
        <v>7</v>
      </c>
      <c r="B8" s="13">
        <v>103995190</v>
      </c>
      <c r="C8" s="10" t="s">
        <v>100</v>
      </c>
      <c r="D8" s="10" t="s">
        <v>101</v>
      </c>
      <c r="E8" s="10" t="s">
        <v>102</v>
      </c>
      <c r="F8" s="8" t="s">
        <v>3</v>
      </c>
      <c r="G8" s="5">
        <v>42608</v>
      </c>
      <c r="H8" s="5">
        <v>42670</v>
      </c>
      <c r="I8" s="3">
        <v>1</v>
      </c>
    </row>
    <row r="9" spans="1:9">
      <c r="A9" s="16">
        <v>8</v>
      </c>
      <c r="B9" s="13">
        <v>103749518</v>
      </c>
      <c r="C9" s="10" t="s">
        <v>78</v>
      </c>
      <c r="D9" s="10" t="s">
        <v>79</v>
      </c>
      <c r="E9" s="10" t="s">
        <v>80</v>
      </c>
      <c r="F9" s="8" t="s">
        <v>3</v>
      </c>
      <c r="G9" s="5">
        <v>42596</v>
      </c>
      <c r="H9" s="5">
        <v>42658</v>
      </c>
      <c r="I9" s="3">
        <v>1</v>
      </c>
    </row>
    <row r="10" spans="1:9">
      <c r="A10" s="16">
        <v>9</v>
      </c>
      <c r="B10" s="13">
        <v>700100141068</v>
      </c>
      <c r="C10" s="10" t="s">
        <v>81</v>
      </c>
      <c r="D10" s="10" t="s">
        <v>82</v>
      </c>
      <c r="E10" s="10" t="s">
        <v>83</v>
      </c>
      <c r="F10" s="8" t="s">
        <v>3</v>
      </c>
      <c r="G10" s="5">
        <v>42596</v>
      </c>
      <c r="H10" s="5">
        <v>42658</v>
      </c>
      <c r="I10" s="3">
        <v>1</v>
      </c>
    </row>
    <row r="11" spans="1:9">
      <c r="A11" s="16">
        <v>10</v>
      </c>
      <c r="B11" s="13">
        <v>700100140132</v>
      </c>
      <c r="C11" s="10" t="s">
        <v>51</v>
      </c>
      <c r="D11" s="10" t="s">
        <v>52</v>
      </c>
      <c r="E11" s="10" t="s">
        <v>53</v>
      </c>
      <c r="F11" s="8" t="s">
        <v>3</v>
      </c>
      <c r="G11" s="5">
        <v>42589</v>
      </c>
      <c r="H11" s="5">
        <v>42651</v>
      </c>
      <c r="I11" s="3">
        <v>1</v>
      </c>
    </row>
    <row r="12" spans="1:9">
      <c r="A12" s="16">
        <v>11</v>
      </c>
      <c r="B12" s="14">
        <v>700100023174</v>
      </c>
      <c r="C12" s="12" t="s">
        <v>57</v>
      </c>
      <c r="D12" s="12" t="s">
        <v>58</v>
      </c>
      <c r="E12" s="12" t="s">
        <v>59</v>
      </c>
      <c r="F12" s="9" t="s">
        <v>3</v>
      </c>
      <c r="G12" s="6">
        <v>42589</v>
      </c>
      <c r="H12" s="6">
        <v>42651</v>
      </c>
      <c r="I12" s="4">
        <v>1</v>
      </c>
    </row>
    <row r="13" spans="1:9">
      <c r="C13" s="1" t="s">
        <v>113</v>
      </c>
      <c r="G13" s="21" t="s">
        <v>114</v>
      </c>
      <c r="H13" s="7">
        <f>MIN(H$2:H12)</f>
        <v>42651</v>
      </c>
      <c r="I13" s="1" t="s">
        <v>117</v>
      </c>
    </row>
    <row r="14" spans="1:9">
      <c r="C14" s="1" t="s">
        <v>115</v>
      </c>
      <c r="I14" s="21" t="s">
        <v>116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10" sqref="C10"/>
    </sheetView>
  </sheetViews>
  <sheetFormatPr defaultRowHeight="14.4"/>
  <cols>
    <col min="1" max="1" width="3.5546875" style="2" bestFit="1" customWidth="1"/>
    <col min="2" max="2" width="15" style="15" bestFit="1" customWidth="1"/>
    <col min="3" max="3" width="30.77734375" style="1" customWidth="1"/>
    <col min="4" max="4" width="23.77734375" style="1" customWidth="1"/>
    <col min="5" max="5" width="15" style="1" bestFit="1" customWidth="1"/>
    <col min="6" max="6" width="9.5546875" style="2" bestFit="1" customWidth="1"/>
    <col min="7" max="7" width="12.77734375" style="1" customWidth="1"/>
    <col min="8" max="8" width="11.6640625" style="1" bestFit="1" customWidth="1"/>
    <col min="9" max="9" width="8.77734375" style="2" customWidth="1"/>
    <col min="10" max="16384" width="8.88671875" style="1"/>
  </cols>
  <sheetData>
    <row r="1" spans="1:9">
      <c r="A1" s="22" t="s">
        <v>124</v>
      </c>
      <c r="B1" s="67" t="s">
        <v>7</v>
      </c>
      <c r="C1" s="64" t="s">
        <v>8</v>
      </c>
      <c r="D1" s="64" t="s">
        <v>9</v>
      </c>
      <c r="E1" s="64" t="s">
        <v>10</v>
      </c>
      <c r="F1" s="65" t="s">
        <v>11</v>
      </c>
      <c r="G1" s="64" t="s">
        <v>12</v>
      </c>
      <c r="H1" s="64" t="s">
        <v>13</v>
      </c>
      <c r="I1" s="66" t="s">
        <v>14</v>
      </c>
    </row>
    <row r="2" spans="1:9">
      <c r="A2" s="16">
        <v>1</v>
      </c>
      <c r="B2" s="13">
        <v>100979359</v>
      </c>
      <c r="C2" s="10" t="s">
        <v>118</v>
      </c>
      <c r="D2" s="10" t="s">
        <v>119</v>
      </c>
      <c r="E2" s="10" t="s">
        <v>120</v>
      </c>
      <c r="F2" s="8" t="s">
        <v>3</v>
      </c>
      <c r="G2" s="5">
        <v>42624</v>
      </c>
      <c r="H2" s="5">
        <v>42686</v>
      </c>
      <c r="I2" s="3">
        <v>1</v>
      </c>
    </row>
    <row r="3" spans="1:9">
      <c r="A3" s="16">
        <v>2</v>
      </c>
      <c r="B3" s="13">
        <v>101713110</v>
      </c>
      <c r="C3" s="10" t="s">
        <v>121</v>
      </c>
      <c r="D3" s="10" t="s">
        <v>122</v>
      </c>
      <c r="E3" s="10" t="s">
        <v>123</v>
      </c>
      <c r="F3" s="8" t="s">
        <v>3</v>
      </c>
      <c r="G3" s="5">
        <v>42624</v>
      </c>
      <c r="H3" s="5">
        <v>42686</v>
      </c>
      <c r="I3" s="3">
        <v>1</v>
      </c>
    </row>
    <row r="4" spans="1:9">
      <c r="A4" s="16">
        <v>3</v>
      </c>
      <c r="B4" s="13">
        <v>700100118837</v>
      </c>
      <c r="C4" s="10" t="s">
        <v>106</v>
      </c>
      <c r="D4" s="10" t="s">
        <v>107</v>
      </c>
      <c r="E4" s="10" t="s">
        <v>108</v>
      </c>
      <c r="F4" s="8" t="s">
        <v>3</v>
      </c>
      <c r="G4" s="5">
        <v>42617</v>
      </c>
      <c r="H4" s="5">
        <v>42679</v>
      </c>
      <c r="I4" s="3">
        <v>1</v>
      </c>
    </row>
    <row r="5" spans="1:9">
      <c r="A5" s="16">
        <v>4</v>
      </c>
      <c r="B5" s="13">
        <v>700100146510</v>
      </c>
      <c r="C5" s="10" t="s">
        <v>109</v>
      </c>
      <c r="D5" s="10" t="s">
        <v>110</v>
      </c>
      <c r="E5" s="10" t="s">
        <v>111</v>
      </c>
      <c r="F5" s="8" t="s">
        <v>3</v>
      </c>
      <c r="G5" s="5">
        <v>42617</v>
      </c>
      <c r="H5" s="5">
        <v>42679</v>
      </c>
      <c r="I5" s="3">
        <v>1</v>
      </c>
    </row>
    <row r="6" spans="1:9">
      <c r="A6" s="16">
        <v>5</v>
      </c>
      <c r="B6" s="13">
        <v>101638508</v>
      </c>
      <c r="C6" s="10" t="s">
        <v>88</v>
      </c>
      <c r="D6" s="10" t="s">
        <v>89</v>
      </c>
      <c r="E6" s="10" t="s">
        <v>90</v>
      </c>
      <c r="F6" s="8" t="s">
        <v>3</v>
      </c>
      <c r="G6" s="5">
        <v>42608</v>
      </c>
      <c r="H6" s="5">
        <v>42670</v>
      </c>
      <c r="I6" s="3">
        <v>1</v>
      </c>
    </row>
    <row r="7" spans="1:9">
      <c r="A7" s="16">
        <v>6</v>
      </c>
      <c r="B7" s="13">
        <v>103676207</v>
      </c>
      <c r="C7" s="10" t="s">
        <v>91</v>
      </c>
      <c r="D7" s="10" t="s">
        <v>92</v>
      </c>
      <c r="E7" s="10" t="s">
        <v>93</v>
      </c>
      <c r="F7" s="8" t="s">
        <v>3</v>
      </c>
      <c r="G7" s="5">
        <v>42608</v>
      </c>
      <c r="H7" s="5">
        <v>42670</v>
      </c>
      <c r="I7" s="3">
        <v>1</v>
      </c>
    </row>
    <row r="8" spans="1:9">
      <c r="A8" s="16">
        <v>7</v>
      </c>
      <c r="B8" s="13">
        <v>103729688</v>
      </c>
      <c r="C8" s="10" t="s">
        <v>94</v>
      </c>
      <c r="D8" s="10" t="s">
        <v>95</v>
      </c>
      <c r="E8" s="10" t="s">
        <v>96</v>
      </c>
      <c r="F8" s="8" t="s">
        <v>3</v>
      </c>
      <c r="G8" s="5">
        <v>42608</v>
      </c>
      <c r="H8" s="5">
        <v>42670</v>
      </c>
      <c r="I8" s="3">
        <v>1</v>
      </c>
    </row>
    <row r="9" spans="1:9">
      <c r="A9" s="16">
        <v>8</v>
      </c>
      <c r="B9" s="13">
        <v>102819768</v>
      </c>
      <c r="C9" s="10" t="s">
        <v>97</v>
      </c>
      <c r="D9" s="10" t="s">
        <v>98</v>
      </c>
      <c r="E9" s="10" t="s">
        <v>99</v>
      </c>
      <c r="F9" s="8" t="s">
        <v>3</v>
      </c>
      <c r="G9" s="5">
        <v>42608</v>
      </c>
      <c r="H9" s="5">
        <v>42670</v>
      </c>
      <c r="I9" s="3">
        <v>1</v>
      </c>
    </row>
    <row r="10" spans="1:9">
      <c r="A10" s="16">
        <v>9</v>
      </c>
      <c r="B10" s="13">
        <v>103995190</v>
      </c>
      <c r="C10" s="10" t="s">
        <v>100</v>
      </c>
      <c r="D10" s="10" t="s">
        <v>101</v>
      </c>
      <c r="E10" s="10" t="s">
        <v>102</v>
      </c>
      <c r="F10" s="8" t="s">
        <v>3</v>
      </c>
      <c r="G10" s="5">
        <v>42608</v>
      </c>
      <c r="H10" s="5">
        <v>42670</v>
      </c>
      <c r="I10" s="3">
        <v>1</v>
      </c>
    </row>
    <row r="11" spans="1:9">
      <c r="A11" s="16">
        <v>10</v>
      </c>
      <c r="B11" s="13">
        <v>103749518</v>
      </c>
      <c r="C11" s="10" t="s">
        <v>78</v>
      </c>
      <c r="D11" s="10" t="s">
        <v>79</v>
      </c>
      <c r="E11" s="10" t="s">
        <v>80</v>
      </c>
      <c r="F11" s="8" t="s">
        <v>3</v>
      </c>
      <c r="G11" s="5">
        <v>42596</v>
      </c>
      <c r="H11" s="5">
        <v>42658</v>
      </c>
      <c r="I11" s="3">
        <v>1</v>
      </c>
    </row>
    <row r="12" spans="1:9">
      <c r="A12" s="16">
        <v>11</v>
      </c>
      <c r="B12" s="13">
        <v>700100140132</v>
      </c>
      <c r="C12" s="10" t="s">
        <v>51</v>
      </c>
      <c r="D12" s="10" t="s">
        <v>52</v>
      </c>
      <c r="E12" s="10" t="s">
        <v>53</v>
      </c>
      <c r="F12" s="8" t="s">
        <v>3</v>
      </c>
      <c r="G12" s="5">
        <v>42589</v>
      </c>
      <c r="H12" s="5">
        <v>42651</v>
      </c>
      <c r="I12" s="3">
        <v>1</v>
      </c>
    </row>
    <row r="13" spans="1:9">
      <c r="A13" s="16">
        <v>12</v>
      </c>
      <c r="B13" s="14">
        <v>700100023174</v>
      </c>
      <c r="C13" s="12" t="s">
        <v>57</v>
      </c>
      <c r="D13" s="12" t="s">
        <v>58</v>
      </c>
      <c r="E13" s="12" t="s">
        <v>59</v>
      </c>
      <c r="F13" s="9" t="s">
        <v>3</v>
      </c>
      <c r="G13" s="6">
        <v>42589</v>
      </c>
      <c r="H13" s="6">
        <v>42651</v>
      </c>
      <c r="I13" s="4">
        <v>1</v>
      </c>
    </row>
    <row r="14" spans="1:9">
      <c r="C14" s="1" t="s">
        <v>125</v>
      </c>
      <c r="G14" s="21" t="s">
        <v>126</v>
      </c>
      <c r="H14" s="7">
        <f>MIN(H$2:H13)</f>
        <v>42651</v>
      </c>
      <c r="I14" s="1" t="s">
        <v>129</v>
      </c>
    </row>
    <row r="15" spans="1:9">
      <c r="C15" s="1" t="s">
        <v>127</v>
      </c>
      <c r="I15" s="21" t="s">
        <v>128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:I15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6" sqref="A16:XFD17"/>
    </sheetView>
  </sheetViews>
  <sheetFormatPr defaultRowHeight="14.4"/>
  <cols>
    <col min="1" max="1" width="3.5546875" style="2" bestFit="1" customWidth="1"/>
    <col min="2" max="2" width="15" style="15" bestFit="1" customWidth="1"/>
    <col min="3" max="3" width="30.77734375" style="1" customWidth="1"/>
    <col min="4" max="4" width="23.77734375" style="1" customWidth="1"/>
    <col min="5" max="5" width="9.5546875" style="1" bestFit="1" customWidth="1"/>
    <col min="6" max="6" width="9.5546875" style="2" bestFit="1" customWidth="1"/>
    <col min="7" max="7" width="12.77734375" style="1" customWidth="1"/>
    <col min="8" max="8" width="11.6640625" style="1" bestFit="1" customWidth="1"/>
    <col min="9" max="9" width="8.77734375" style="2" customWidth="1"/>
    <col min="10" max="16384" width="8.88671875" style="1"/>
  </cols>
  <sheetData>
    <row r="1" spans="1:9">
      <c r="A1" s="22" t="s">
        <v>66</v>
      </c>
      <c r="B1" s="47" t="s">
        <v>7</v>
      </c>
      <c r="C1" s="64" t="s">
        <v>8</v>
      </c>
      <c r="D1" s="64" t="s">
        <v>9</v>
      </c>
      <c r="E1" s="64" t="s">
        <v>10</v>
      </c>
      <c r="F1" s="65" t="s">
        <v>11</v>
      </c>
      <c r="G1" s="64" t="s">
        <v>12</v>
      </c>
      <c r="H1" s="64" t="s">
        <v>13</v>
      </c>
      <c r="I1" s="66" t="s">
        <v>14</v>
      </c>
    </row>
    <row r="2" spans="1:9">
      <c r="A2" s="16">
        <v>1</v>
      </c>
      <c r="B2" s="13">
        <v>700100152264</v>
      </c>
      <c r="C2" s="10" t="s">
        <v>130</v>
      </c>
      <c r="D2" s="10" t="s">
        <v>131</v>
      </c>
      <c r="E2" s="10" t="s">
        <v>132</v>
      </c>
      <c r="F2" s="8" t="s">
        <v>3</v>
      </c>
      <c r="G2" s="5">
        <v>42638</v>
      </c>
      <c r="H2" s="5">
        <v>42669</v>
      </c>
      <c r="I2" s="3">
        <v>0</v>
      </c>
    </row>
    <row r="3" spans="1:9">
      <c r="A3" s="16">
        <v>2</v>
      </c>
      <c r="B3" s="13">
        <v>700100147028</v>
      </c>
      <c r="C3" s="10" t="s">
        <v>133</v>
      </c>
      <c r="D3" s="10" t="s">
        <v>134</v>
      </c>
      <c r="E3" s="10" t="s">
        <v>135</v>
      </c>
      <c r="F3" s="8" t="s">
        <v>3</v>
      </c>
      <c r="G3" s="5">
        <v>42638</v>
      </c>
      <c r="H3" s="5">
        <v>42669</v>
      </c>
      <c r="I3" s="3">
        <v>0</v>
      </c>
    </row>
    <row r="4" spans="1:9">
      <c r="A4" s="16">
        <v>3</v>
      </c>
      <c r="B4" s="13">
        <v>100979359</v>
      </c>
      <c r="C4" s="10" t="s">
        <v>118</v>
      </c>
      <c r="D4" s="10" t="s">
        <v>119</v>
      </c>
      <c r="E4" s="10" t="s">
        <v>120</v>
      </c>
      <c r="F4" s="8" t="s">
        <v>3</v>
      </c>
      <c r="G4" s="5">
        <v>42624</v>
      </c>
      <c r="H4" s="5">
        <v>42686</v>
      </c>
      <c r="I4" s="3">
        <v>1</v>
      </c>
    </row>
    <row r="5" spans="1:9">
      <c r="A5" s="16">
        <v>4</v>
      </c>
      <c r="B5" s="13">
        <v>101713110</v>
      </c>
      <c r="C5" s="10" t="s">
        <v>121</v>
      </c>
      <c r="D5" s="10" t="s">
        <v>122</v>
      </c>
      <c r="E5" s="10" t="s">
        <v>123</v>
      </c>
      <c r="F5" s="8" t="s">
        <v>3</v>
      </c>
      <c r="G5" s="5">
        <v>42624</v>
      </c>
      <c r="H5" s="5">
        <v>42686</v>
      </c>
      <c r="I5" s="3">
        <v>1</v>
      </c>
    </row>
    <row r="6" spans="1:9">
      <c r="A6" s="16">
        <v>5</v>
      </c>
      <c r="B6" s="13">
        <v>700100118837</v>
      </c>
      <c r="C6" s="10" t="s">
        <v>106</v>
      </c>
      <c r="D6" s="10" t="s">
        <v>107</v>
      </c>
      <c r="E6" s="10" t="s">
        <v>108</v>
      </c>
      <c r="F6" s="8" t="s">
        <v>3</v>
      </c>
      <c r="G6" s="5">
        <v>42617</v>
      </c>
      <c r="H6" s="5">
        <v>42679</v>
      </c>
      <c r="I6" s="3">
        <v>1</v>
      </c>
    </row>
    <row r="7" spans="1:9">
      <c r="A7" s="16">
        <v>6</v>
      </c>
      <c r="B7" s="13">
        <v>700100146510</v>
      </c>
      <c r="C7" s="10" t="s">
        <v>109</v>
      </c>
      <c r="D7" s="10" t="s">
        <v>110</v>
      </c>
      <c r="E7" s="10" t="s">
        <v>111</v>
      </c>
      <c r="F7" s="8" t="s">
        <v>3</v>
      </c>
      <c r="G7" s="5">
        <v>42617</v>
      </c>
      <c r="H7" s="5">
        <v>42679</v>
      </c>
      <c r="I7" s="3">
        <v>1</v>
      </c>
    </row>
    <row r="8" spans="1:9">
      <c r="A8" s="16">
        <v>7</v>
      </c>
      <c r="B8" s="13">
        <v>101638508</v>
      </c>
      <c r="C8" s="10" t="s">
        <v>88</v>
      </c>
      <c r="D8" s="10" t="s">
        <v>89</v>
      </c>
      <c r="E8" s="10" t="s">
        <v>90</v>
      </c>
      <c r="F8" s="8" t="s">
        <v>3</v>
      </c>
      <c r="G8" s="5">
        <v>42608</v>
      </c>
      <c r="H8" s="5">
        <v>42670</v>
      </c>
      <c r="I8" s="3">
        <v>1</v>
      </c>
    </row>
    <row r="9" spans="1:9">
      <c r="A9" s="16">
        <v>8</v>
      </c>
      <c r="B9" s="13">
        <v>103676207</v>
      </c>
      <c r="C9" s="10" t="s">
        <v>91</v>
      </c>
      <c r="D9" s="10" t="s">
        <v>92</v>
      </c>
      <c r="E9" s="10" t="s">
        <v>93</v>
      </c>
      <c r="F9" s="8" t="s">
        <v>3</v>
      </c>
      <c r="G9" s="5">
        <v>42608</v>
      </c>
      <c r="H9" s="5">
        <v>42670</v>
      </c>
      <c r="I9" s="3">
        <v>1</v>
      </c>
    </row>
    <row r="10" spans="1:9">
      <c r="A10" s="16">
        <v>9</v>
      </c>
      <c r="B10" s="13">
        <v>103729688</v>
      </c>
      <c r="C10" s="10" t="s">
        <v>94</v>
      </c>
      <c r="D10" s="10" t="s">
        <v>95</v>
      </c>
      <c r="E10" s="10" t="s">
        <v>96</v>
      </c>
      <c r="F10" s="8" t="s">
        <v>3</v>
      </c>
      <c r="G10" s="5">
        <v>42608</v>
      </c>
      <c r="H10" s="5">
        <v>42670</v>
      </c>
      <c r="I10" s="3">
        <v>1</v>
      </c>
    </row>
    <row r="11" spans="1:9">
      <c r="A11" s="16">
        <v>10</v>
      </c>
      <c r="B11" s="13">
        <v>102819768</v>
      </c>
      <c r="C11" s="10" t="s">
        <v>97</v>
      </c>
      <c r="D11" s="10" t="s">
        <v>98</v>
      </c>
      <c r="E11" s="10" t="s">
        <v>99</v>
      </c>
      <c r="F11" s="8" t="s">
        <v>3</v>
      </c>
      <c r="G11" s="5">
        <v>42608</v>
      </c>
      <c r="H11" s="5">
        <v>42670</v>
      </c>
      <c r="I11" s="3">
        <v>1</v>
      </c>
    </row>
    <row r="12" spans="1:9">
      <c r="A12" s="16">
        <v>11</v>
      </c>
      <c r="B12" s="13">
        <v>103995190</v>
      </c>
      <c r="C12" s="10" t="s">
        <v>100</v>
      </c>
      <c r="D12" s="10" t="s">
        <v>101</v>
      </c>
      <c r="E12" s="10" t="s">
        <v>102</v>
      </c>
      <c r="F12" s="8" t="s">
        <v>3</v>
      </c>
      <c r="G12" s="5">
        <v>42608</v>
      </c>
      <c r="H12" s="5">
        <v>42670</v>
      </c>
      <c r="I12" s="3">
        <v>1</v>
      </c>
    </row>
    <row r="13" spans="1:9">
      <c r="A13" s="16">
        <v>12</v>
      </c>
      <c r="B13" s="14">
        <v>103749518</v>
      </c>
      <c r="C13" s="12" t="s">
        <v>78</v>
      </c>
      <c r="D13" s="12" t="s">
        <v>79</v>
      </c>
      <c r="E13" s="12" t="s">
        <v>80</v>
      </c>
      <c r="F13" s="9" t="s">
        <v>3</v>
      </c>
      <c r="G13" s="6">
        <v>42596</v>
      </c>
      <c r="H13" s="6">
        <v>42658</v>
      </c>
      <c r="I13" s="4">
        <v>1</v>
      </c>
    </row>
    <row r="14" spans="1:9">
      <c r="C14" s="1" t="s">
        <v>136</v>
      </c>
      <c r="G14" s="21" t="s">
        <v>68</v>
      </c>
      <c r="H14" s="7">
        <f>MIN(H$2:H13)</f>
        <v>42658</v>
      </c>
      <c r="I14" s="1" t="s">
        <v>138</v>
      </c>
    </row>
    <row r="15" spans="1:9">
      <c r="C15" s="1" t="s">
        <v>137</v>
      </c>
      <c r="I15" s="21" t="s">
        <v>70</v>
      </c>
    </row>
  </sheetData>
  <phoneticPr fontId="1" type="noConversion"/>
  <pageMargins left="0.7" right="0.7" top="0.75" bottom="0.75" header="0.3" footer="0.3"/>
  <legacyDrawing r:id="rId1"/>
  <controls>
    <control shapeId="2050" r:id="rId2" name="Control 2"/>
    <control shapeId="2049" r:id="rId3" name="Control 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I12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7" sqref="C7"/>
    </sheetView>
  </sheetViews>
  <sheetFormatPr defaultRowHeight="14.4"/>
  <cols>
    <col min="1" max="1" width="3.5546875" style="2" bestFit="1" customWidth="1"/>
    <col min="2" max="2" width="15" style="15" bestFit="1" customWidth="1"/>
    <col min="3" max="3" width="30.77734375" style="1" customWidth="1"/>
    <col min="4" max="4" width="23.77734375" style="1" customWidth="1"/>
    <col min="5" max="5" width="11.6640625" style="1" bestFit="1" customWidth="1"/>
    <col min="6" max="6" width="9.5546875" style="2" bestFit="1" customWidth="1"/>
    <col min="7" max="7" width="12.77734375" style="1" customWidth="1"/>
    <col min="8" max="8" width="11.6640625" style="1" bestFit="1" customWidth="1"/>
    <col min="9" max="9" width="8.77734375" style="2" customWidth="1"/>
    <col min="10" max="16384" width="8.88671875" style="1"/>
  </cols>
  <sheetData>
    <row r="1" spans="1:9">
      <c r="A1" s="22" t="s">
        <v>154</v>
      </c>
      <c r="B1" s="23" t="s">
        <v>7</v>
      </c>
      <c r="C1" s="24" t="s">
        <v>8</v>
      </c>
      <c r="D1" s="24" t="s">
        <v>9</v>
      </c>
      <c r="E1" s="24" t="s">
        <v>10</v>
      </c>
      <c r="F1" s="25" t="s">
        <v>11</v>
      </c>
      <c r="G1" s="24" t="s">
        <v>12</v>
      </c>
      <c r="H1" s="24" t="s">
        <v>13</v>
      </c>
      <c r="I1" s="26" t="s">
        <v>14</v>
      </c>
    </row>
    <row r="2" spans="1:9">
      <c r="A2" s="16">
        <v>1</v>
      </c>
      <c r="B2" s="13">
        <v>103665059</v>
      </c>
      <c r="C2" s="10" t="s">
        <v>139</v>
      </c>
      <c r="D2" s="10" t="s">
        <v>140</v>
      </c>
      <c r="E2" s="10" t="s">
        <v>141</v>
      </c>
      <c r="F2" s="8" t="s">
        <v>3</v>
      </c>
      <c r="G2" s="5">
        <v>42657</v>
      </c>
      <c r="H2" s="5">
        <v>42688</v>
      </c>
      <c r="I2" s="3">
        <v>0</v>
      </c>
    </row>
    <row r="3" spans="1:9">
      <c r="A3" s="16">
        <v>2</v>
      </c>
      <c r="B3" s="13">
        <v>800119347</v>
      </c>
      <c r="C3" s="10" t="s">
        <v>142</v>
      </c>
      <c r="D3" s="10" t="s">
        <v>143</v>
      </c>
      <c r="E3" s="10" t="s">
        <v>144</v>
      </c>
      <c r="F3" s="8" t="s">
        <v>3</v>
      </c>
      <c r="G3" s="5">
        <v>42657</v>
      </c>
      <c r="H3" s="5">
        <v>42688</v>
      </c>
      <c r="I3" s="3">
        <v>0</v>
      </c>
    </row>
    <row r="4" spans="1:9">
      <c r="A4" s="16">
        <v>3</v>
      </c>
      <c r="B4" s="13">
        <v>102329216</v>
      </c>
      <c r="C4" s="10" t="s">
        <v>142</v>
      </c>
      <c r="D4" s="10" t="s">
        <v>143</v>
      </c>
      <c r="E4" s="10" t="s">
        <v>144</v>
      </c>
      <c r="F4" s="8" t="s">
        <v>3</v>
      </c>
      <c r="G4" s="5">
        <v>42657</v>
      </c>
      <c r="H4" s="5">
        <v>42688</v>
      </c>
      <c r="I4" s="3">
        <v>0</v>
      </c>
    </row>
    <row r="5" spans="1:9">
      <c r="A5" s="16">
        <v>4</v>
      </c>
      <c r="B5" s="13">
        <v>102806575</v>
      </c>
      <c r="C5" s="10" t="s">
        <v>145</v>
      </c>
      <c r="D5" s="10" t="s">
        <v>146</v>
      </c>
      <c r="E5" s="10" t="s">
        <v>147</v>
      </c>
      <c r="F5" s="8" t="s">
        <v>3</v>
      </c>
      <c r="G5" s="5">
        <v>42657</v>
      </c>
      <c r="H5" s="5">
        <v>42688</v>
      </c>
      <c r="I5" s="3">
        <v>0</v>
      </c>
    </row>
    <row r="6" spans="1:9">
      <c r="A6" s="16">
        <v>5</v>
      </c>
      <c r="B6" s="13">
        <v>800118682</v>
      </c>
      <c r="C6" s="10" t="s">
        <v>145</v>
      </c>
      <c r="D6" s="10" t="s">
        <v>146</v>
      </c>
      <c r="E6" s="10" t="s">
        <v>147</v>
      </c>
      <c r="F6" s="8" t="s">
        <v>3</v>
      </c>
      <c r="G6" s="5">
        <v>42657</v>
      </c>
      <c r="H6" s="5">
        <v>42688</v>
      </c>
      <c r="I6" s="3">
        <v>0</v>
      </c>
    </row>
    <row r="7" spans="1:9">
      <c r="A7" s="16">
        <v>6</v>
      </c>
      <c r="B7" s="13">
        <v>700100152264</v>
      </c>
      <c r="C7" s="10" t="s">
        <v>130</v>
      </c>
      <c r="D7" s="10" t="s">
        <v>131</v>
      </c>
      <c r="E7" s="10" t="s">
        <v>132</v>
      </c>
      <c r="F7" s="8" t="s">
        <v>3</v>
      </c>
      <c r="G7" s="5">
        <v>42638</v>
      </c>
      <c r="H7" s="5">
        <v>42669</v>
      </c>
      <c r="I7" s="3">
        <v>0</v>
      </c>
    </row>
    <row r="8" spans="1:9">
      <c r="A8" s="16">
        <v>7</v>
      </c>
      <c r="B8" s="13">
        <v>700100147028</v>
      </c>
      <c r="C8" s="10" t="s">
        <v>133</v>
      </c>
      <c r="D8" s="10" t="s">
        <v>134</v>
      </c>
      <c r="E8" s="10" t="s">
        <v>135</v>
      </c>
      <c r="F8" s="8" t="s">
        <v>3</v>
      </c>
      <c r="G8" s="5">
        <v>42638</v>
      </c>
      <c r="H8" s="5">
        <v>42669</v>
      </c>
      <c r="I8" s="3">
        <v>0</v>
      </c>
    </row>
    <row r="9" spans="1:9">
      <c r="A9" s="16">
        <v>8</v>
      </c>
      <c r="B9" s="13">
        <v>100979359</v>
      </c>
      <c r="C9" s="10" t="s">
        <v>118</v>
      </c>
      <c r="D9" s="10" t="s">
        <v>119</v>
      </c>
      <c r="E9" s="10" t="s">
        <v>120</v>
      </c>
      <c r="F9" s="8" t="s">
        <v>3</v>
      </c>
      <c r="G9" s="5">
        <v>42624</v>
      </c>
      <c r="H9" s="5">
        <v>42686</v>
      </c>
      <c r="I9" s="3">
        <v>1</v>
      </c>
    </row>
    <row r="10" spans="1:9">
      <c r="A10" s="16">
        <v>9</v>
      </c>
      <c r="B10" s="14">
        <v>101713110</v>
      </c>
      <c r="C10" s="12" t="s">
        <v>121</v>
      </c>
      <c r="D10" s="12" t="s">
        <v>122</v>
      </c>
      <c r="E10" s="12" t="s">
        <v>123</v>
      </c>
      <c r="F10" s="9" t="s">
        <v>3</v>
      </c>
      <c r="G10" s="6">
        <v>42624</v>
      </c>
      <c r="H10" s="6">
        <v>42686</v>
      </c>
      <c r="I10" s="4">
        <v>1</v>
      </c>
    </row>
    <row r="11" spans="1:9">
      <c r="C11" s="1" t="s">
        <v>155</v>
      </c>
      <c r="G11" s="21" t="s">
        <v>150</v>
      </c>
      <c r="H11" s="7">
        <f>MIN(H$2:H10)</f>
        <v>42669</v>
      </c>
      <c r="I11" s="1" t="s">
        <v>156</v>
      </c>
    </row>
    <row r="12" spans="1:9">
      <c r="C12" s="1" t="s">
        <v>151</v>
      </c>
      <c r="I12" s="21" t="s">
        <v>152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8"/>
  <dimension ref="A1:I20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0" sqref="A10:I10"/>
    </sheetView>
  </sheetViews>
  <sheetFormatPr defaultRowHeight="14.4"/>
  <cols>
    <col min="1" max="1" width="3.5546875" style="2" bestFit="1" customWidth="1"/>
    <col min="2" max="2" width="15" style="15" bestFit="1" customWidth="1"/>
    <col min="3" max="3" width="30.77734375" style="1" customWidth="1"/>
    <col min="4" max="4" width="23.77734375" style="1" customWidth="1"/>
    <col min="5" max="5" width="13.88671875" style="1" bestFit="1" customWidth="1"/>
    <col min="6" max="6" width="9.5546875" style="2" bestFit="1" customWidth="1"/>
    <col min="7" max="7" width="12.77734375" style="1" customWidth="1"/>
    <col min="8" max="8" width="11.6640625" style="1" bestFit="1" customWidth="1"/>
    <col min="9" max="9" width="8.77734375" style="2" customWidth="1"/>
    <col min="10" max="16384" width="8.88671875" style="1"/>
  </cols>
  <sheetData>
    <row r="1" spans="1:9">
      <c r="A1" s="22" t="s">
        <v>148</v>
      </c>
      <c r="B1" s="67" t="s">
        <v>7</v>
      </c>
      <c r="C1" s="64" t="s">
        <v>8</v>
      </c>
      <c r="D1" s="64" t="s">
        <v>9</v>
      </c>
      <c r="E1" s="64" t="s">
        <v>10</v>
      </c>
      <c r="F1" s="65" t="s">
        <v>11</v>
      </c>
      <c r="G1" s="64" t="s">
        <v>12</v>
      </c>
      <c r="H1" s="64" t="s">
        <v>13</v>
      </c>
      <c r="I1" s="66" t="s">
        <v>14</v>
      </c>
    </row>
    <row r="2" spans="1:9">
      <c r="A2" s="16">
        <v>1</v>
      </c>
      <c r="B2" s="13">
        <v>103665059</v>
      </c>
      <c r="C2" s="10" t="s">
        <v>139</v>
      </c>
      <c r="D2" s="10" t="s">
        <v>140</v>
      </c>
      <c r="E2" s="10" t="s">
        <v>141</v>
      </c>
      <c r="F2" s="8" t="s">
        <v>3</v>
      </c>
      <c r="G2" s="5">
        <v>42657</v>
      </c>
      <c r="H2" s="5">
        <v>42688</v>
      </c>
      <c r="I2" s="3">
        <v>0</v>
      </c>
    </row>
    <row r="3" spans="1:9">
      <c r="A3" s="16">
        <v>2</v>
      </c>
      <c r="B3" s="13">
        <v>800119347</v>
      </c>
      <c r="C3" s="10" t="s">
        <v>142</v>
      </c>
      <c r="D3" s="10" t="s">
        <v>143</v>
      </c>
      <c r="E3" s="10" t="s">
        <v>144</v>
      </c>
      <c r="F3" s="8" t="s">
        <v>3</v>
      </c>
      <c r="G3" s="5">
        <v>42657</v>
      </c>
      <c r="H3" s="5">
        <v>42688</v>
      </c>
      <c r="I3" s="3">
        <v>0</v>
      </c>
    </row>
    <row r="4" spans="1:9">
      <c r="A4" s="16">
        <v>3</v>
      </c>
      <c r="B4" s="13">
        <v>102329216</v>
      </c>
      <c r="C4" s="10" t="s">
        <v>142</v>
      </c>
      <c r="D4" s="10" t="s">
        <v>143</v>
      </c>
      <c r="E4" s="10" t="s">
        <v>144</v>
      </c>
      <c r="F4" s="8" t="s">
        <v>3</v>
      </c>
      <c r="G4" s="5">
        <v>42657</v>
      </c>
      <c r="H4" s="5">
        <v>42688</v>
      </c>
      <c r="I4" s="3">
        <v>0</v>
      </c>
    </row>
    <row r="5" spans="1:9">
      <c r="A5" s="16">
        <v>4</v>
      </c>
      <c r="B5" s="13">
        <v>102806575</v>
      </c>
      <c r="C5" s="10" t="s">
        <v>145</v>
      </c>
      <c r="D5" s="10" t="s">
        <v>146</v>
      </c>
      <c r="E5" s="10" t="s">
        <v>147</v>
      </c>
      <c r="F5" s="8" t="s">
        <v>3</v>
      </c>
      <c r="G5" s="5">
        <v>42657</v>
      </c>
      <c r="H5" s="5">
        <v>42688</v>
      </c>
      <c r="I5" s="3">
        <v>0</v>
      </c>
    </row>
    <row r="6" spans="1:9">
      <c r="A6" s="16">
        <v>5</v>
      </c>
      <c r="B6" s="13">
        <v>800118682</v>
      </c>
      <c r="C6" s="10" t="s">
        <v>145</v>
      </c>
      <c r="D6" s="10" t="s">
        <v>146</v>
      </c>
      <c r="E6" s="10" t="s">
        <v>147</v>
      </c>
      <c r="F6" s="8" t="s">
        <v>3</v>
      </c>
      <c r="G6" s="5">
        <v>42657</v>
      </c>
      <c r="H6" s="5">
        <v>42688</v>
      </c>
      <c r="I6" s="3">
        <v>0</v>
      </c>
    </row>
    <row r="7" spans="1:9">
      <c r="A7" s="16">
        <v>6</v>
      </c>
      <c r="B7" s="13">
        <v>700100152264</v>
      </c>
      <c r="C7" s="10" t="s">
        <v>130</v>
      </c>
      <c r="D7" s="10" t="s">
        <v>131</v>
      </c>
      <c r="E7" s="10" t="s">
        <v>132</v>
      </c>
      <c r="F7" s="8" t="s">
        <v>3</v>
      </c>
      <c r="G7" s="5">
        <v>42638</v>
      </c>
      <c r="H7" s="5">
        <v>42669</v>
      </c>
      <c r="I7" s="3">
        <v>0</v>
      </c>
    </row>
    <row r="8" spans="1:9">
      <c r="A8" s="16">
        <v>7</v>
      </c>
      <c r="B8" s="13">
        <v>700100147028</v>
      </c>
      <c r="C8" s="10" t="s">
        <v>133</v>
      </c>
      <c r="D8" s="10" t="s">
        <v>134</v>
      </c>
      <c r="E8" s="10" t="s">
        <v>135</v>
      </c>
      <c r="F8" s="8" t="s">
        <v>3</v>
      </c>
      <c r="G8" s="5">
        <v>42638</v>
      </c>
      <c r="H8" s="5">
        <v>42669</v>
      </c>
      <c r="I8" s="3">
        <v>0</v>
      </c>
    </row>
    <row r="9" spans="1:9">
      <c r="A9" s="16">
        <v>8</v>
      </c>
      <c r="B9" s="13">
        <v>100979359</v>
      </c>
      <c r="C9" s="10" t="s">
        <v>118</v>
      </c>
      <c r="D9" s="10" t="s">
        <v>119</v>
      </c>
      <c r="E9" s="10" t="s">
        <v>120</v>
      </c>
      <c r="F9" s="8" t="s">
        <v>3</v>
      </c>
      <c r="G9" s="5">
        <v>42624</v>
      </c>
      <c r="H9" s="5">
        <v>42686</v>
      </c>
      <c r="I9" s="3">
        <v>1</v>
      </c>
    </row>
    <row r="10" spans="1:9">
      <c r="A10" s="16">
        <v>9</v>
      </c>
      <c r="B10" s="13">
        <v>101713110</v>
      </c>
      <c r="C10" s="10" t="s">
        <v>121</v>
      </c>
      <c r="D10" s="10" t="s">
        <v>122</v>
      </c>
      <c r="E10" s="10" t="s">
        <v>123</v>
      </c>
      <c r="F10" s="8" t="s">
        <v>3</v>
      </c>
      <c r="G10" s="5">
        <v>42624</v>
      </c>
      <c r="H10" s="5">
        <v>42686</v>
      </c>
      <c r="I10" s="3">
        <v>1</v>
      </c>
    </row>
    <row r="11" spans="1:9" s="74" customFormat="1">
      <c r="A11" s="27">
        <v>10</v>
      </c>
      <c r="B11" s="28">
        <v>700100118837</v>
      </c>
      <c r="C11" s="29" t="s">
        <v>106</v>
      </c>
      <c r="D11" s="30" t="s">
        <v>107</v>
      </c>
      <c r="E11" s="30" t="s">
        <v>108</v>
      </c>
      <c r="F11" s="31" t="s">
        <v>3</v>
      </c>
      <c r="G11" s="32">
        <v>42617</v>
      </c>
      <c r="H11" s="32">
        <v>42679</v>
      </c>
      <c r="I11" s="33">
        <v>1</v>
      </c>
    </row>
    <row r="12" spans="1:9" s="74" customFormat="1">
      <c r="A12" s="34">
        <v>11</v>
      </c>
      <c r="B12" s="35">
        <v>700100146510</v>
      </c>
      <c r="C12" s="30" t="s">
        <v>109</v>
      </c>
      <c r="D12" s="30" t="s">
        <v>110</v>
      </c>
      <c r="E12" s="30" t="s">
        <v>111</v>
      </c>
      <c r="F12" s="31" t="s">
        <v>3</v>
      </c>
      <c r="G12" s="32">
        <v>42617</v>
      </c>
      <c r="H12" s="32">
        <v>42679</v>
      </c>
      <c r="I12" s="33">
        <v>1</v>
      </c>
    </row>
    <row r="13" spans="1:9" s="74" customFormat="1">
      <c r="A13" s="27">
        <v>12</v>
      </c>
      <c r="B13" s="28">
        <v>101638508</v>
      </c>
      <c r="C13" s="29" t="s">
        <v>88</v>
      </c>
      <c r="D13" s="30" t="s">
        <v>89</v>
      </c>
      <c r="E13" s="30" t="s">
        <v>90</v>
      </c>
      <c r="F13" s="31" t="s">
        <v>3</v>
      </c>
      <c r="G13" s="32">
        <v>42608</v>
      </c>
      <c r="H13" s="32">
        <v>42670</v>
      </c>
      <c r="I13" s="33">
        <v>1</v>
      </c>
    </row>
    <row r="14" spans="1:9" s="74" customFormat="1">
      <c r="A14" s="34">
        <v>13</v>
      </c>
      <c r="B14" s="35">
        <v>103676207</v>
      </c>
      <c r="C14" s="30" t="s">
        <v>91</v>
      </c>
      <c r="D14" s="30" t="s">
        <v>92</v>
      </c>
      <c r="E14" s="30" t="s">
        <v>93</v>
      </c>
      <c r="F14" s="31" t="s">
        <v>3</v>
      </c>
      <c r="G14" s="32">
        <v>42608</v>
      </c>
      <c r="H14" s="32">
        <v>42670</v>
      </c>
      <c r="I14" s="33">
        <v>1</v>
      </c>
    </row>
    <row r="15" spans="1:9" s="74" customFormat="1">
      <c r="A15" s="27">
        <v>14</v>
      </c>
      <c r="B15" s="28">
        <v>103729688</v>
      </c>
      <c r="C15" s="29" t="s">
        <v>94</v>
      </c>
      <c r="D15" s="30" t="s">
        <v>95</v>
      </c>
      <c r="E15" s="30" t="s">
        <v>96</v>
      </c>
      <c r="F15" s="31" t="s">
        <v>3</v>
      </c>
      <c r="G15" s="32">
        <v>42608</v>
      </c>
      <c r="H15" s="32">
        <v>42670</v>
      </c>
      <c r="I15" s="33">
        <v>1</v>
      </c>
    </row>
    <row r="16" spans="1:9" s="74" customFormat="1">
      <c r="A16" s="34">
        <v>15</v>
      </c>
      <c r="B16" s="35">
        <v>102819768</v>
      </c>
      <c r="C16" s="30" t="s">
        <v>97</v>
      </c>
      <c r="D16" s="30" t="s">
        <v>98</v>
      </c>
      <c r="E16" s="30" t="s">
        <v>99</v>
      </c>
      <c r="F16" s="31" t="s">
        <v>3</v>
      </c>
      <c r="G16" s="32">
        <v>42608</v>
      </c>
      <c r="H16" s="32">
        <v>42670</v>
      </c>
      <c r="I16" s="33">
        <v>1</v>
      </c>
    </row>
    <row r="17" spans="1:9" s="74" customFormat="1">
      <c r="A17" s="34">
        <v>16</v>
      </c>
      <c r="B17" s="35">
        <v>103995190</v>
      </c>
      <c r="C17" s="30" t="s">
        <v>100</v>
      </c>
      <c r="D17" s="30" t="s">
        <v>101</v>
      </c>
      <c r="E17" s="30" t="s">
        <v>102</v>
      </c>
      <c r="F17" s="31" t="s">
        <v>3</v>
      </c>
      <c r="G17" s="32">
        <v>42608</v>
      </c>
      <c r="H17" s="32">
        <v>42670</v>
      </c>
      <c r="I17" s="33">
        <v>1</v>
      </c>
    </row>
    <row r="18" spans="1:9" s="74" customFormat="1">
      <c r="A18" s="27">
        <v>17</v>
      </c>
      <c r="B18" s="68">
        <v>103749518</v>
      </c>
      <c r="C18" s="69" t="s">
        <v>78</v>
      </c>
      <c r="D18" s="70" t="s">
        <v>79</v>
      </c>
      <c r="E18" s="70" t="s">
        <v>80</v>
      </c>
      <c r="F18" s="71" t="s">
        <v>3</v>
      </c>
      <c r="G18" s="72">
        <v>42596</v>
      </c>
      <c r="H18" s="72">
        <v>42658</v>
      </c>
      <c r="I18" s="73">
        <v>1</v>
      </c>
    </row>
    <row r="19" spans="1:9">
      <c r="C19" s="1" t="s">
        <v>149</v>
      </c>
      <c r="G19" s="21" t="s">
        <v>150</v>
      </c>
      <c r="H19" s="7">
        <f>MIN(H$2:H18)</f>
        <v>42658</v>
      </c>
      <c r="I19" s="1" t="s">
        <v>153</v>
      </c>
    </row>
    <row r="20" spans="1:9">
      <c r="C20" s="1" t="s">
        <v>151</v>
      </c>
      <c r="I20" s="21" t="s">
        <v>152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:I14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5" sqref="D15"/>
    </sheetView>
  </sheetViews>
  <sheetFormatPr defaultRowHeight="14.4"/>
  <cols>
    <col min="1" max="1" width="3.5546875" style="2" bestFit="1" customWidth="1"/>
    <col min="2" max="2" width="15" style="15" bestFit="1" customWidth="1"/>
    <col min="3" max="3" width="30.77734375" style="1" customWidth="1"/>
    <col min="4" max="4" width="23.77734375" style="1" customWidth="1"/>
    <col min="5" max="5" width="11.6640625" style="1" bestFit="1" customWidth="1"/>
    <col min="6" max="6" width="9.5546875" style="2" bestFit="1" customWidth="1"/>
    <col min="7" max="7" width="12.77734375" style="1" customWidth="1"/>
    <col min="8" max="8" width="11.6640625" style="1" bestFit="1" customWidth="1"/>
    <col min="9" max="9" width="8.77734375" style="2" customWidth="1"/>
    <col min="10" max="16384" width="8.88671875" style="1"/>
  </cols>
  <sheetData>
    <row r="1" spans="1:9">
      <c r="A1" s="22" t="s">
        <v>163</v>
      </c>
      <c r="B1" s="67" t="s">
        <v>7</v>
      </c>
      <c r="C1" s="64" t="s">
        <v>8</v>
      </c>
      <c r="D1" s="64" t="s">
        <v>9</v>
      </c>
      <c r="E1" s="64" t="s">
        <v>10</v>
      </c>
      <c r="F1" s="65" t="s">
        <v>11</v>
      </c>
      <c r="G1" s="64" t="s">
        <v>12</v>
      </c>
      <c r="H1" s="64" t="s">
        <v>13</v>
      </c>
      <c r="I1" s="66" t="s">
        <v>14</v>
      </c>
    </row>
    <row r="2" spans="1:9">
      <c r="A2" s="16">
        <v>1</v>
      </c>
      <c r="B2" s="13">
        <v>102741267</v>
      </c>
      <c r="C2" s="10" t="s">
        <v>157</v>
      </c>
      <c r="D2" s="10" t="s">
        <v>158</v>
      </c>
      <c r="E2" s="10" t="s">
        <v>159</v>
      </c>
      <c r="F2" s="8" t="s">
        <v>3</v>
      </c>
      <c r="G2" s="5">
        <v>42664</v>
      </c>
      <c r="H2" s="5">
        <v>42726</v>
      </c>
      <c r="I2" s="3">
        <v>1</v>
      </c>
    </row>
    <row r="3" spans="1:9">
      <c r="A3" s="16">
        <v>2</v>
      </c>
      <c r="B3" s="13">
        <v>102203074</v>
      </c>
      <c r="C3" s="10" t="s">
        <v>160</v>
      </c>
      <c r="D3" s="10" t="s">
        <v>161</v>
      </c>
      <c r="E3" s="10" t="s">
        <v>162</v>
      </c>
      <c r="F3" s="8" t="s">
        <v>3</v>
      </c>
      <c r="G3" s="5">
        <v>42664</v>
      </c>
      <c r="H3" s="5">
        <v>42726</v>
      </c>
      <c r="I3" s="3">
        <v>1</v>
      </c>
    </row>
    <row r="4" spans="1:9">
      <c r="A4" s="16">
        <v>3</v>
      </c>
      <c r="B4" s="13">
        <v>103665059</v>
      </c>
      <c r="C4" s="10" t="s">
        <v>139</v>
      </c>
      <c r="D4" s="10" t="s">
        <v>140</v>
      </c>
      <c r="E4" s="10" t="s">
        <v>141</v>
      </c>
      <c r="F4" s="8" t="s">
        <v>3</v>
      </c>
      <c r="G4" s="5">
        <v>42657</v>
      </c>
      <c r="H4" s="5">
        <v>42719</v>
      </c>
      <c r="I4" s="3">
        <v>1</v>
      </c>
    </row>
    <row r="5" spans="1:9">
      <c r="A5" s="16">
        <v>4</v>
      </c>
      <c r="B5" s="13">
        <v>800119347</v>
      </c>
      <c r="C5" s="10" t="s">
        <v>142</v>
      </c>
      <c r="D5" s="10" t="s">
        <v>143</v>
      </c>
      <c r="E5" s="10" t="s">
        <v>144</v>
      </c>
      <c r="F5" s="8" t="s">
        <v>3</v>
      </c>
      <c r="G5" s="5">
        <v>42657</v>
      </c>
      <c r="H5" s="5">
        <v>42719</v>
      </c>
      <c r="I5" s="3">
        <v>1</v>
      </c>
    </row>
    <row r="6" spans="1:9">
      <c r="A6" s="16">
        <v>5</v>
      </c>
      <c r="B6" s="13">
        <v>102329216</v>
      </c>
      <c r="C6" s="10" t="s">
        <v>142</v>
      </c>
      <c r="D6" s="10" t="s">
        <v>143</v>
      </c>
      <c r="E6" s="10" t="s">
        <v>144</v>
      </c>
      <c r="F6" s="8" t="s">
        <v>3</v>
      </c>
      <c r="G6" s="5">
        <v>42657</v>
      </c>
      <c r="H6" s="5">
        <v>42719</v>
      </c>
      <c r="I6" s="3">
        <v>1</v>
      </c>
    </row>
    <row r="7" spans="1:9">
      <c r="A7" s="16">
        <v>6</v>
      </c>
      <c r="B7" s="13">
        <v>102806575</v>
      </c>
      <c r="C7" s="10" t="s">
        <v>145</v>
      </c>
      <c r="D7" s="10" t="s">
        <v>146</v>
      </c>
      <c r="E7" s="10" t="s">
        <v>147</v>
      </c>
      <c r="F7" s="8" t="s">
        <v>3</v>
      </c>
      <c r="G7" s="5">
        <v>42657</v>
      </c>
      <c r="H7" s="5">
        <v>42719</v>
      </c>
      <c r="I7" s="3">
        <v>1</v>
      </c>
    </row>
    <row r="8" spans="1:9">
      <c r="A8" s="16">
        <v>7</v>
      </c>
      <c r="B8" s="13">
        <v>800118682</v>
      </c>
      <c r="C8" s="10" t="s">
        <v>145</v>
      </c>
      <c r="D8" s="10" t="s">
        <v>146</v>
      </c>
      <c r="E8" s="10" t="s">
        <v>147</v>
      </c>
      <c r="F8" s="8" t="s">
        <v>3</v>
      </c>
      <c r="G8" s="5">
        <v>42657</v>
      </c>
      <c r="H8" s="5">
        <v>42719</v>
      </c>
      <c r="I8" s="3">
        <v>1</v>
      </c>
    </row>
    <row r="9" spans="1:9">
      <c r="A9" s="16">
        <v>8</v>
      </c>
      <c r="B9" s="13">
        <v>700100152264</v>
      </c>
      <c r="C9" s="29" t="s">
        <v>130</v>
      </c>
      <c r="D9" s="10" t="s">
        <v>131</v>
      </c>
      <c r="E9" s="10" t="s">
        <v>132</v>
      </c>
      <c r="F9" s="8" t="s">
        <v>3</v>
      </c>
      <c r="G9" s="5">
        <v>42638</v>
      </c>
      <c r="H9" s="5">
        <v>42700</v>
      </c>
      <c r="I9" s="3">
        <v>1</v>
      </c>
    </row>
    <row r="10" spans="1:9">
      <c r="A10" s="16">
        <v>9</v>
      </c>
      <c r="B10" s="13">
        <v>700100147028</v>
      </c>
      <c r="C10" s="29" t="s">
        <v>133</v>
      </c>
      <c r="D10" s="10" t="s">
        <v>134</v>
      </c>
      <c r="E10" s="10" t="s">
        <v>135</v>
      </c>
      <c r="F10" s="8" t="s">
        <v>3</v>
      </c>
      <c r="G10" s="5">
        <v>42638</v>
      </c>
      <c r="H10" s="5">
        <v>42700</v>
      </c>
      <c r="I10" s="3">
        <v>1</v>
      </c>
    </row>
    <row r="11" spans="1:9">
      <c r="A11" s="16">
        <v>10</v>
      </c>
      <c r="B11" s="13">
        <v>100979359</v>
      </c>
      <c r="C11" s="29" t="s">
        <v>118</v>
      </c>
      <c r="D11" s="10" t="s">
        <v>119</v>
      </c>
      <c r="E11" s="10" t="s">
        <v>120</v>
      </c>
      <c r="F11" s="8" t="s">
        <v>3</v>
      </c>
      <c r="G11" s="5">
        <v>42624</v>
      </c>
      <c r="H11" s="5">
        <v>42686</v>
      </c>
      <c r="I11" s="3">
        <v>1</v>
      </c>
    </row>
    <row r="12" spans="1:9" s="74" customFormat="1">
      <c r="A12" s="27">
        <v>11</v>
      </c>
      <c r="B12" s="68">
        <v>101713110</v>
      </c>
      <c r="C12" s="69" t="s">
        <v>121</v>
      </c>
      <c r="D12" s="70" t="s">
        <v>122</v>
      </c>
      <c r="E12" s="70" t="s">
        <v>123</v>
      </c>
      <c r="F12" s="71" t="s">
        <v>3</v>
      </c>
      <c r="G12" s="72">
        <v>42624</v>
      </c>
      <c r="H12" s="72">
        <v>42686</v>
      </c>
      <c r="I12" s="73">
        <v>1</v>
      </c>
    </row>
    <row r="13" spans="1:9">
      <c r="C13" s="1" t="s">
        <v>164</v>
      </c>
      <c r="G13" s="21" t="s">
        <v>165</v>
      </c>
      <c r="H13" s="7">
        <f>MIN(H$2:H12)</f>
        <v>42686</v>
      </c>
      <c r="I13" s="1" t="s">
        <v>168</v>
      </c>
    </row>
    <row r="14" spans="1:9">
      <c r="C14" s="1" t="s">
        <v>166</v>
      </c>
      <c r="I14" s="21" t="s">
        <v>167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2"/>
  <dimension ref="A1:I18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H2" sqref="H2"/>
    </sheetView>
  </sheetViews>
  <sheetFormatPr defaultRowHeight="14.4"/>
  <cols>
    <col min="1" max="1" width="2.88671875" style="2" bestFit="1" customWidth="1"/>
    <col min="2" max="2" width="11.33203125" style="15" bestFit="1" customWidth="1"/>
    <col min="3" max="3" width="30.77734375" style="1" customWidth="1"/>
    <col min="4" max="4" width="23.77734375" style="1" customWidth="1"/>
    <col min="5" max="5" width="9" style="1" bestFit="1" customWidth="1"/>
    <col min="6" max="6" width="8" style="2" bestFit="1" customWidth="1"/>
    <col min="7" max="7" width="12.77734375" style="1" customWidth="1"/>
    <col min="8" max="8" width="9.77734375" style="1" customWidth="1"/>
    <col min="9" max="9" width="8.77734375" style="2" customWidth="1"/>
    <col min="10" max="16384" width="8.88671875" style="1"/>
  </cols>
  <sheetData>
    <row r="1" spans="1:9">
      <c r="A1" s="75" t="s">
        <v>66</v>
      </c>
      <c r="B1" s="76" t="s">
        <v>7</v>
      </c>
      <c r="C1" s="77" t="s">
        <v>8</v>
      </c>
      <c r="D1" s="77" t="s">
        <v>9</v>
      </c>
      <c r="E1" s="77" t="s">
        <v>10</v>
      </c>
      <c r="F1" s="78" t="s">
        <v>11</v>
      </c>
      <c r="G1" s="77" t="s">
        <v>12</v>
      </c>
      <c r="H1" s="77" t="s">
        <v>13</v>
      </c>
      <c r="I1" s="79" t="s">
        <v>14</v>
      </c>
    </row>
    <row r="2" spans="1:9">
      <c r="A2" s="80">
        <v>1</v>
      </c>
      <c r="B2" s="81">
        <v>700800004456</v>
      </c>
      <c r="C2" s="91" t="s">
        <v>169</v>
      </c>
      <c r="D2" s="82" t="s">
        <v>170</v>
      </c>
      <c r="E2" s="82" t="s">
        <v>171</v>
      </c>
      <c r="F2" s="83" t="s">
        <v>3</v>
      </c>
      <c r="G2" s="84">
        <v>42775</v>
      </c>
      <c r="H2" s="84">
        <v>42837</v>
      </c>
      <c r="I2" s="85">
        <v>1</v>
      </c>
    </row>
    <row r="3" spans="1:9">
      <c r="A3" s="80">
        <v>2</v>
      </c>
      <c r="B3" s="81">
        <v>700100024370</v>
      </c>
      <c r="C3" s="91" t="s">
        <v>169</v>
      </c>
      <c r="D3" s="82" t="s">
        <v>170</v>
      </c>
      <c r="E3" s="82" t="s">
        <v>171</v>
      </c>
      <c r="F3" s="83" t="s">
        <v>3</v>
      </c>
      <c r="G3" s="84">
        <v>42775</v>
      </c>
      <c r="H3" s="84">
        <v>42837</v>
      </c>
      <c r="I3" s="85">
        <v>1</v>
      </c>
    </row>
    <row r="4" spans="1:9">
      <c r="A4" s="80">
        <v>3</v>
      </c>
      <c r="B4" s="81">
        <v>700100140132</v>
      </c>
      <c r="C4" s="91" t="s">
        <v>172</v>
      </c>
      <c r="D4" s="82" t="s">
        <v>52</v>
      </c>
      <c r="E4" s="82" t="s">
        <v>53</v>
      </c>
      <c r="F4" s="83" t="s">
        <v>3</v>
      </c>
      <c r="G4" s="84">
        <v>42775</v>
      </c>
      <c r="H4" s="84">
        <v>42837</v>
      </c>
      <c r="I4" s="85">
        <v>1</v>
      </c>
    </row>
    <row r="5" spans="1:9">
      <c r="A5" s="80">
        <v>4</v>
      </c>
      <c r="B5" s="81">
        <v>700100141068</v>
      </c>
      <c r="C5" s="91" t="s">
        <v>173</v>
      </c>
      <c r="D5" s="82" t="s">
        <v>82</v>
      </c>
      <c r="E5" s="82" t="s">
        <v>83</v>
      </c>
      <c r="F5" s="83" t="s">
        <v>3</v>
      </c>
      <c r="G5" s="84">
        <v>42775</v>
      </c>
      <c r="H5" s="84">
        <v>42837</v>
      </c>
      <c r="I5" s="85">
        <v>1</v>
      </c>
    </row>
    <row r="6" spans="1:9">
      <c r="A6" s="80">
        <v>5</v>
      </c>
      <c r="B6" s="81">
        <v>104275869</v>
      </c>
      <c r="C6" s="91" t="s">
        <v>174</v>
      </c>
      <c r="D6" s="82" t="s">
        <v>175</v>
      </c>
      <c r="E6" s="82" t="s">
        <v>176</v>
      </c>
      <c r="F6" s="83" t="s">
        <v>3</v>
      </c>
      <c r="G6" s="84">
        <v>42775</v>
      </c>
      <c r="H6" s="84">
        <v>42838</v>
      </c>
      <c r="I6" s="85">
        <v>1</v>
      </c>
    </row>
    <row r="7" spans="1:9">
      <c r="A7" s="80">
        <v>6</v>
      </c>
      <c r="B7" s="81">
        <v>104254527</v>
      </c>
      <c r="C7" s="91" t="s">
        <v>177</v>
      </c>
      <c r="D7" s="82" t="s">
        <v>178</v>
      </c>
      <c r="E7" s="82" t="s">
        <v>179</v>
      </c>
      <c r="F7" s="83" t="s">
        <v>3</v>
      </c>
      <c r="G7" s="84">
        <v>42775</v>
      </c>
      <c r="H7" s="84">
        <v>42838</v>
      </c>
      <c r="I7" s="85">
        <v>1</v>
      </c>
    </row>
    <row r="8" spans="1:9">
      <c r="A8" s="80">
        <v>7</v>
      </c>
      <c r="B8" s="81">
        <v>800180992</v>
      </c>
      <c r="C8" s="91" t="s">
        <v>180</v>
      </c>
      <c r="D8" s="82" t="s">
        <v>181</v>
      </c>
      <c r="E8" s="82" t="s">
        <v>182</v>
      </c>
      <c r="F8" s="83" t="s">
        <v>3</v>
      </c>
      <c r="G8" s="84">
        <v>42740</v>
      </c>
      <c r="H8" s="84">
        <v>42803</v>
      </c>
      <c r="I8" s="85">
        <v>1</v>
      </c>
    </row>
    <row r="9" spans="1:9">
      <c r="A9" s="80">
        <v>8</v>
      </c>
      <c r="B9" s="81">
        <v>104649795</v>
      </c>
      <c r="C9" s="91" t="s">
        <v>180</v>
      </c>
      <c r="D9" s="82" t="s">
        <v>181</v>
      </c>
      <c r="E9" s="82" t="s">
        <v>182</v>
      </c>
      <c r="F9" s="83" t="s">
        <v>3</v>
      </c>
      <c r="G9" s="84">
        <v>42740</v>
      </c>
      <c r="H9" s="84">
        <v>42803</v>
      </c>
      <c r="I9" s="85">
        <v>1</v>
      </c>
    </row>
    <row r="10" spans="1:9">
      <c r="A10" s="80">
        <v>9</v>
      </c>
      <c r="B10" s="81">
        <v>103083190</v>
      </c>
      <c r="C10" s="91" t="s">
        <v>183</v>
      </c>
      <c r="D10" s="82" t="s">
        <v>184</v>
      </c>
      <c r="E10" s="82" t="s">
        <v>185</v>
      </c>
      <c r="F10" s="83" t="s">
        <v>3</v>
      </c>
      <c r="G10" s="84">
        <v>42740</v>
      </c>
      <c r="H10" s="84">
        <v>42803</v>
      </c>
      <c r="I10" s="85">
        <v>1</v>
      </c>
    </row>
    <row r="11" spans="1:9">
      <c r="A11" s="80">
        <v>10</v>
      </c>
      <c r="B11" s="81">
        <v>800113430</v>
      </c>
      <c r="C11" s="91" t="s">
        <v>183</v>
      </c>
      <c r="D11" s="82" t="s">
        <v>184</v>
      </c>
      <c r="E11" s="82" t="s">
        <v>185</v>
      </c>
      <c r="F11" s="83" t="s">
        <v>3</v>
      </c>
      <c r="G11" s="84">
        <v>42740</v>
      </c>
      <c r="H11" s="84">
        <v>42803</v>
      </c>
      <c r="I11" s="85">
        <v>1</v>
      </c>
    </row>
    <row r="12" spans="1:9">
      <c r="A12" s="80">
        <v>11</v>
      </c>
      <c r="B12" s="81">
        <v>800098073</v>
      </c>
      <c r="C12" s="91" t="s">
        <v>186</v>
      </c>
      <c r="D12" s="82" t="s">
        <v>187</v>
      </c>
      <c r="E12" s="82" t="s">
        <v>188</v>
      </c>
      <c r="F12" s="83" t="s">
        <v>3</v>
      </c>
      <c r="G12" s="84">
        <v>42740</v>
      </c>
      <c r="H12" s="84">
        <v>42803</v>
      </c>
      <c r="I12" s="85">
        <v>1</v>
      </c>
    </row>
    <row r="13" spans="1:9">
      <c r="A13" s="80">
        <v>12</v>
      </c>
      <c r="B13" s="81">
        <v>102282667</v>
      </c>
      <c r="C13" s="91" t="s">
        <v>186</v>
      </c>
      <c r="D13" s="82" t="s">
        <v>187</v>
      </c>
      <c r="E13" s="82" t="s">
        <v>188</v>
      </c>
      <c r="F13" s="83" t="s">
        <v>3</v>
      </c>
      <c r="G13" s="84">
        <v>42740</v>
      </c>
      <c r="H13" s="84">
        <v>42803</v>
      </c>
      <c r="I13" s="85">
        <v>1</v>
      </c>
    </row>
    <row r="14" spans="1:9">
      <c r="A14" s="80">
        <v>13</v>
      </c>
      <c r="B14" s="81">
        <v>102340279</v>
      </c>
      <c r="C14" s="91" t="s">
        <v>189</v>
      </c>
      <c r="D14" s="82" t="s">
        <v>190</v>
      </c>
      <c r="E14" s="82" t="s">
        <v>191</v>
      </c>
      <c r="F14" s="83" t="s">
        <v>3</v>
      </c>
      <c r="G14" s="84">
        <v>42740</v>
      </c>
      <c r="H14" s="84">
        <v>42803</v>
      </c>
      <c r="I14" s="85">
        <v>1</v>
      </c>
    </row>
    <row r="15" spans="1:9">
      <c r="A15" s="80">
        <v>14</v>
      </c>
      <c r="B15" s="81">
        <v>104461295</v>
      </c>
      <c r="C15" s="91" t="s">
        <v>192</v>
      </c>
      <c r="D15" s="82" t="s">
        <v>193</v>
      </c>
      <c r="E15" s="82" t="s">
        <v>194</v>
      </c>
      <c r="F15" s="83" t="s">
        <v>3</v>
      </c>
      <c r="G15" s="84">
        <v>42740</v>
      </c>
      <c r="H15" s="84">
        <v>42803</v>
      </c>
      <c r="I15" s="85">
        <v>1</v>
      </c>
    </row>
    <row r="16" spans="1:9">
      <c r="A16" s="80">
        <v>15</v>
      </c>
      <c r="B16" s="86">
        <v>102417854</v>
      </c>
      <c r="C16" s="92" t="s">
        <v>195</v>
      </c>
      <c r="D16" s="87" t="s">
        <v>196</v>
      </c>
      <c r="E16" s="87" t="s">
        <v>197</v>
      </c>
      <c r="F16" s="88" t="s">
        <v>3</v>
      </c>
      <c r="G16" s="89">
        <v>42740</v>
      </c>
      <c r="H16" s="89">
        <v>42803</v>
      </c>
      <c r="I16" s="90">
        <v>1</v>
      </c>
    </row>
    <row r="17" spans="3:9">
      <c r="C17" s="1" t="s">
        <v>67</v>
      </c>
      <c r="G17" s="21" t="s">
        <v>68</v>
      </c>
      <c r="H17" s="7">
        <f>MIN(H$2:H16)</f>
        <v>42803</v>
      </c>
      <c r="I17" s="1" t="s">
        <v>199</v>
      </c>
    </row>
    <row r="18" spans="3:9">
      <c r="C18" s="1" t="s">
        <v>198</v>
      </c>
      <c r="I18" s="21" t="s">
        <v>70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A1:I11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4" sqref="D14"/>
    </sheetView>
  </sheetViews>
  <sheetFormatPr defaultRowHeight="14.4"/>
  <cols>
    <col min="1" max="1" width="2.77734375" style="2" bestFit="1" customWidth="1"/>
    <col min="2" max="2" width="8.88671875" style="15" bestFit="1" customWidth="1"/>
    <col min="3" max="3" width="40.77734375" style="1" customWidth="1"/>
    <col min="4" max="4" width="23.77734375" style="1" customWidth="1"/>
    <col min="5" max="5" width="9" style="1" bestFit="1" customWidth="1"/>
    <col min="6" max="6" width="8" style="2" bestFit="1" customWidth="1"/>
    <col min="7" max="7" width="12.77734375" style="1" customWidth="1"/>
    <col min="8" max="8" width="9.88671875" style="1" customWidth="1"/>
    <col min="9" max="9" width="8.77734375" style="2" customWidth="1"/>
    <col min="10" max="16384" width="8.88671875" style="1"/>
  </cols>
  <sheetData>
    <row r="1" spans="1:9">
      <c r="A1" s="75" t="s">
        <v>66</v>
      </c>
      <c r="B1" s="76" t="s">
        <v>7</v>
      </c>
      <c r="C1" s="77" t="s">
        <v>8</v>
      </c>
      <c r="D1" s="77" t="s">
        <v>9</v>
      </c>
      <c r="E1" s="77" t="s">
        <v>10</v>
      </c>
      <c r="F1" s="78" t="s">
        <v>11</v>
      </c>
      <c r="G1" s="77" t="s">
        <v>12</v>
      </c>
      <c r="H1" s="77" t="s">
        <v>13</v>
      </c>
      <c r="I1" s="79" t="s">
        <v>14</v>
      </c>
    </row>
    <row r="2" spans="1:9">
      <c r="A2" s="80">
        <v>1</v>
      </c>
      <c r="B2" s="81">
        <v>102329219</v>
      </c>
      <c r="C2" s="10" t="s">
        <v>200</v>
      </c>
      <c r="D2" s="82" t="s">
        <v>143</v>
      </c>
      <c r="E2" s="82" t="s">
        <v>144</v>
      </c>
      <c r="F2" s="83" t="s">
        <v>3</v>
      </c>
      <c r="G2" s="84">
        <v>42799</v>
      </c>
      <c r="H2" s="84">
        <v>42862</v>
      </c>
      <c r="I2" s="85">
        <v>1</v>
      </c>
    </row>
    <row r="3" spans="1:9">
      <c r="A3" s="80">
        <v>2</v>
      </c>
      <c r="B3" s="81">
        <v>103879867</v>
      </c>
      <c r="C3" s="10" t="s">
        <v>201</v>
      </c>
      <c r="D3" s="82" t="s">
        <v>202</v>
      </c>
      <c r="E3" s="82" t="s">
        <v>203</v>
      </c>
      <c r="F3" s="83" t="s">
        <v>3</v>
      </c>
      <c r="G3" s="84">
        <v>42799</v>
      </c>
      <c r="H3" s="84">
        <v>42862</v>
      </c>
      <c r="I3" s="85">
        <v>1</v>
      </c>
    </row>
    <row r="4" spans="1:9">
      <c r="A4" s="80">
        <v>3</v>
      </c>
      <c r="B4" s="81">
        <v>102741269</v>
      </c>
      <c r="C4" s="10" t="s">
        <v>204</v>
      </c>
      <c r="D4" s="82" t="s">
        <v>158</v>
      </c>
      <c r="E4" s="82" t="s">
        <v>159</v>
      </c>
      <c r="F4" s="83" t="s">
        <v>3</v>
      </c>
      <c r="G4" s="84">
        <v>42799</v>
      </c>
      <c r="H4" s="84">
        <v>42862</v>
      </c>
      <c r="I4" s="85">
        <v>1</v>
      </c>
    </row>
    <row r="5" spans="1:9">
      <c r="A5" s="80">
        <v>4</v>
      </c>
      <c r="B5" s="81">
        <v>103589001</v>
      </c>
      <c r="C5" s="10" t="s">
        <v>205</v>
      </c>
      <c r="D5" s="82" t="s">
        <v>206</v>
      </c>
      <c r="E5" s="82" t="s">
        <v>207</v>
      </c>
      <c r="F5" s="83" t="s">
        <v>3</v>
      </c>
      <c r="G5" s="84">
        <v>42799</v>
      </c>
      <c r="H5" s="84">
        <v>42862</v>
      </c>
      <c r="I5" s="85">
        <v>1</v>
      </c>
    </row>
    <row r="6" spans="1:9">
      <c r="A6" s="80">
        <v>5</v>
      </c>
      <c r="B6" s="81">
        <v>104005476</v>
      </c>
      <c r="C6" s="10" t="s">
        <v>208</v>
      </c>
      <c r="D6" s="82" t="s">
        <v>209</v>
      </c>
      <c r="E6" s="82" t="s">
        <v>210</v>
      </c>
      <c r="F6" s="83" t="s">
        <v>3</v>
      </c>
      <c r="G6" s="84">
        <v>42799</v>
      </c>
      <c r="H6" s="84">
        <v>42862</v>
      </c>
      <c r="I6" s="85">
        <v>1</v>
      </c>
    </row>
    <row r="7" spans="1:9">
      <c r="A7" s="80">
        <v>6</v>
      </c>
      <c r="B7" s="81">
        <v>104225473</v>
      </c>
      <c r="C7" s="10" t="s">
        <v>211</v>
      </c>
      <c r="D7" s="82" t="s">
        <v>212</v>
      </c>
      <c r="E7" s="82" t="s">
        <v>213</v>
      </c>
      <c r="F7" s="83" t="s">
        <v>3</v>
      </c>
      <c r="G7" s="84">
        <v>42799</v>
      </c>
      <c r="H7" s="84">
        <v>42862</v>
      </c>
      <c r="I7" s="85">
        <v>1</v>
      </c>
    </row>
    <row r="8" spans="1:9">
      <c r="A8" s="80">
        <v>7</v>
      </c>
      <c r="B8" s="81">
        <v>104525452</v>
      </c>
      <c r="C8" s="10" t="s">
        <v>214</v>
      </c>
      <c r="D8" s="82" t="s">
        <v>215</v>
      </c>
      <c r="E8" s="82" t="s">
        <v>216</v>
      </c>
      <c r="F8" s="83" t="s">
        <v>3</v>
      </c>
      <c r="G8" s="84">
        <v>42799</v>
      </c>
      <c r="H8" s="84">
        <v>42862</v>
      </c>
      <c r="I8" s="85">
        <v>1</v>
      </c>
    </row>
    <row r="9" spans="1:9">
      <c r="A9" s="80">
        <v>8</v>
      </c>
      <c r="B9" s="86">
        <v>103305731</v>
      </c>
      <c r="C9" s="12" t="s">
        <v>173</v>
      </c>
      <c r="D9" s="87" t="s">
        <v>82</v>
      </c>
      <c r="E9" s="87" t="s">
        <v>217</v>
      </c>
      <c r="F9" s="88" t="s">
        <v>3</v>
      </c>
      <c r="G9" s="89">
        <v>42799</v>
      </c>
      <c r="H9" s="89">
        <v>42862</v>
      </c>
      <c r="I9" s="90">
        <v>1</v>
      </c>
    </row>
    <row r="10" spans="1:9">
      <c r="C10" s="1" t="s">
        <v>218</v>
      </c>
      <c r="G10" s="21" t="s">
        <v>68</v>
      </c>
      <c r="H10" s="7">
        <f>MIN(H$2:H9)</f>
        <v>42862</v>
      </c>
      <c r="I10" s="1" t="s">
        <v>219</v>
      </c>
    </row>
    <row r="11" spans="1:9">
      <c r="C11" s="1" t="s">
        <v>137</v>
      </c>
      <c r="I11" s="21" t="s">
        <v>70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4"/>
  <dimension ref="A1:I18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I17" sqref="I17"/>
    </sheetView>
  </sheetViews>
  <sheetFormatPr defaultRowHeight="14.4"/>
  <cols>
    <col min="1" max="1" width="2.88671875" style="2" bestFit="1" customWidth="1"/>
    <col min="2" max="2" width="11.33203125" style="15" bestFit="1" customWidth="1"/>
    <col min="3" max="3" width="30.77734375" style="1" customWidth="1"/>
    <col min="4" max="4" width="23.77734375" style="1" customWidth="1"/>
    <col min="5" max="5" width="9" style="1" bestFit="1" customWidth="1"/>
    <col min="6" max="6" width="8" style="2" bestFit="1" customWidth="1"/>
    <col min="7" max="7" width="12.77734375" style="1" customWidth="1"/>
    <col min="8" max="8" width="10" style="1" customWidth="1"/>
    <col min="9" max="9" width="8.77734375" style="2" customWidth="1"/>
    <col min="10" max="16384" width="8.88671875" style="1"/>
  </cols>
  <sheetData>
    <row r="1" spans="1:9">
      <c r="A1" s="75" t="s">
        <v>66</v>
      </c>
      <c r="B1" s="76" t="s">
        <v>7</v>
      </c>
      <c r="C1" s="77" t="s">
        <v>8</v>
      </c>
      <c r="D1" s="77" t="s">
        <v>9</v>
      </c>
      <c r="E1" s="77" t="s">
        <v>10</v>
      </c>
      <c r="F1" s="78" t="s">
        <v>11</v>
      </c>
      <c r="G1" s="77" t="s">
        <v>12</v>
      </c>
      <c r="H1" s="77" t="s">
        <v>13</v>
      </c>
      <c r="I1" s="79" t="s">
        <v>14</v>
      </c>
    </row>
    <row r="2" spans="1:9">
      <c r="A2" s="80">
        <v>1</v>
      </c>
      <c r="B2" s="81">
        <v>104560402</v>
      </c>
      <c r="C2" s="10" t="s">
        <v>220</v>
      </c>
      <c r="D2" s="82" t="s">
        <v>221</v>
      </c>
      <c r="E2" s="82" t="s">
        <v>222</v>
      </c>
      <c r="F2" s="83" t="s">
        <v>3</v>
      </c>
      <c r="G2" s="84">
        <v>42806</v>
      </c>
      <c r="H2" s="84">
        <v>42868</v>
      </c>
      <c r="I2" s="85">
        <v>1</v>
      </c>
    </row>
    <row r="3" spans="1:9">
      <c r="A3" s="80">
        <v>2</v>
      </c>
      <c r="B3" s="81">
        <v>103399587</v>
      </c>
      <c r="C3" s="10" t="s">
        <v>223</v>
      </c>
      <c r="D3" s="82" t="s">
        <v>202</v>
      </c>
      <c r="E3" s="82" t="s">
        <v>224</v>
      </c>
      <c r="F3" s="83" t="s">
        <v>3</v>
      </c>
      <c r="G3" s="84">
        <v>42806</v>
      </c>
      <c r="H3" s="84">
        <v>42868</v>
      </c>
      <c r="I3" s="85">
        <v>1</v>
      </c>
    </row>
    <row r="4" spans="1:9">
      <c r="A4" s="80">
        <v>3</v>
      </c>
      <c r="B4" s="81" t="s">
        <v>225</v>
      </c>
      <c r="C4" s="10" t="s">
        <v>226</v>
      </c>
      <c r="D4" s="82" t="s">
        <v>227</v>
      </c>
      <c r="E4" s="82" t="s">
        <v>228</v>
      </c>
      <c r="F4" s="83" t="s">
        <v>3</v>
      </c>
      <c r="G4" s="84">
        <v>42806</v>
      </c>
      <c r="H4" s="84">
        <v>42868</v>
      </c>
      <c r="I4" s="85">
        <v>1</v>
      </c>
    </row>
    <row r="5" spans="1:9">
      <c r="A5" s="80">
        <v>4</v>
      </c>
      <c r="B5" s="81">
        <v>700100140637</v>
      </c>
      <c r="C5" s="10" t="s">
        <v>229</v>
      </c>
      <c r="D5" s="82" t="s">
        <v>230</v>
      </c>
      <c r="E5" s="82" t="s">
        <v>231</v>
      </c>
      <c r="F5" s="83" t="s">
        <v>3</v>
      </c>
      <c r="G5" s="84">
        <v>42806</v>
      </c>
      <c r="H5" s="84">
        <v>42868</v>
      </c>
      <c r="I5" s="85">
        <v>1</v>
      </c>
    </row>
    <row r="6" spans="1:9">
      <c r="A6" s="80">
        <v>5</v>
      </c>
      <c r="B6" s="81" t="s">
        <v>232</v>
      </c>
      <c r="C6" s="10" t="s">
        <v>233</v>
      </c>
      <c r="D6" s="82" t="s">
        <v>234</v>
      </c>
      <c r="E6" s="82" t="s">
        <v>235</v>
      </c>
      <c r="F6" s="83" t="s">
        <v>3</v>
      </c>
      <c r="G6" s="84">
        <v>42806</v>
      </c>
      <c r="H6" s="84">
        <v>42868</v>
      </c>
      <c r="I6" s="85">
        <v>1</v>
      </c>
    </row>
    <row r="7" spans="1:9">
      <c r="A7" s="80">
        <v>6</v>
      </c>
      <c r="B7" s="81">
        <v>103291965</v>
      </c>
      <c r="C7" s="10" t="s">
        <v>236</v>
      </c>
      <c r="D7" s="82" t="s">
        <v>237</v>
      </c>
      <c r="E7" s="82" t="s">
        <v>238</v>
      </c>
      <c r="F7" s="83" t="s">
        <v>3</v>
      </c>
      <c r="G7" s="84">
        <v>42806</v>
      </c>
      <c r="H7" s="84">
        <v>42868</v>
      </c>
      <c r="I7" s="85">
        <v>1</v>
      </c>
    </row>
    <row r="8" spans="1:9">
      <c r="A8" s="80">
        <v>7</v>
      </c>
      <c r="B8" s="81">
        <v>800150884</v>
      </c>
      <c r="C8" s="10" t="s">
        <v>223</v>
      </c>
      <c r="D8" s="82" t="s">
        <v>202</v>
      </c>
      <c r="E8" s="82" t="s">
        <v>224</v>
      </c>
      <c r="F8" s="83" t="s">
        <v>3</v>
      </c>
      <c r="G8" s="84">
        <v>42806</v>
      </c>
      <c r="H8" s="84">
        <v>42868</v>
      </c>
      <c r="I8" s="85">
        <v>1</v>
      </c>
    </row>
    <row r="9" spans="1:9">
      <c r="A9" s="80">
        <v>8</v>
      </c>
      <c r="B9" s="81">
        <v>102329219</v>
      </c>
      <c r="C9" s="10" t="s">
        <v>200</v>
      </c>
      <c r="D9" s="82" t="s">
        <v>143</v>
      </c>
      <c r="E9" s="82" t="s">
        <v>144</v>
      </c>
      <c r="F9" s="83" t="s">
        <v>3</v>
      </c>
      <c r="G9" s="84">
        <v>42799</v>
      </c>
      <c r="H9" s="84">
        <v>42862</v>
      </c>
      <c r="I9" s="85">
        <v>1</v>
      </c>
    </row>
    <row r="10" spans="1:9">
      <c r="A10" s="80">
        <v>9</v>
      </c>
      <c r="B10" s="81">
        <v>103879867</v>
      </c>
      <c r="C10" s="10" t="s">
        <v>201</v>
      </c>
      <c r="D10" s="82" t="s">
        <v>202</v>
      </c>
      <c r="E10" s="82" t="s">
        <v>203</v>
      </c>
      <c r="F10" s="83" t="s">
        <v>3</v>
      </c>
      <c r="G10" s="84">
        <v>42799</v>
      </c>
      <c r="H10" s="84">
        <v>42862</v>
      </c>
      <c r="I10" s="85">
        <v>1</v>
      </c>
    </row>
    <row r="11" spans="1:9">
      <c r="A11" s="80">
        <v>10</v>
      </c>
      <c r="B11" s="81">
        <v>102741269</v>
      </c>
      <c r="C11" s="10" t="s">
        <v>204</v>
      </c>
      <c r="D11" s="82" t="s">
        <v>158</v>
      </c>
      <c r="E11" s="82" t="s">
        <v>159</v>
      </c>
      <c r="F11" s="83" t="s">
        <v>3</v>
      </c>
      <c r="G11" s="84">
        <v>42799</v>
      </c>
      <c r="H11" s="84">
        <v>42862</v>
      </c>
      <c r="I11" s="85">
        <v>1</v>
      </c>
    </row>
    <row r="12" spans="1:9">
      <c r="A12" s="80">
        <v>11</v>
      </c>
      <c r="B12" s="81">
        <v>103589001</v>
      </c>
      <c r="C12" s="10" t="s">
        <v>205</v>
      </c>
      <c r="D12" s="82" t="s">
        <v>206</v>
      </c>
      <c r="E12" s="82" t="s">
        <v>207</v>
      </c>
      <c r="F12" s="83" t="s">
        <v>3</v>
      </c>
      <c r="G12" s="84">
        <v>42799</v>
      </c>
      <c r="H12" s="84">
        <v>42862</v>
      </c>
      <c r="I12" s="85">
        <v>1</v>
      </c>
    </row>
    <row r="13" spans="1:9">
      <c r="A13" s="80">
        <v>12</v>
      </c>
      <c r="B13" s="81">
        <v>104005476</v>
      </c>
      <c r="C13" s="10" t="s">
        <v>208</v>
      </c>
      <c r="D13" s="82" t="s">
        <v>209</v>
      </c>
      <c r="E13" s="82" t="s">
        <v>210</v>
      </c>
      <c r="F13" s="83" t="s">
        <v>3</v>
      </c>
      <c r="G13" s="84">
        <v>42799</v>
      </c>
      <c r="H13" s="84">
        <v>42862</v>
      </c>
      <c r="I13" s="85">
        <v>1</v>
      </c>
    </row>
    <row r="14" spans="1:9">
      <c r="A14" s="80">
        <v>13</v>
      </c>
      <c r="B14" s="81">
        <v>104225473</v>
      </c>
      <c r="C14" s="10" t="s">
        <v>211</v>
      </c>
      <c r="D14" s="82" t="s">
        <v>212</v>
      </c>
      <c r="E14" s="82" t="s">
        <v>213</v>
      </c>
      <c r="F14" s="83" t="s">
        <v>3</v>
      </c>
      <c r="G14" s="84">
        <v>42799</v>
      </c>
      <c r="H14" s="84">
        <v>42862</v>
      </c>
      <c r="I14" s="85">
        <v>1</v>
      </c>
    </row>
    <row r="15" spans="1:9">
      <c r="A15" s="80">
        <v>14</v>
      </c>
      <c r="B15" s="81">
        <v>104525452</v>
      </c>
      <c r="C15" s="10" t="s">
        <v>214</v>
      </c>
      <c r="D15" s="82" t="s">
        <v>215</v>
      </c>
      <c r="E15" s="82" t="s">
        <v>216</v>
      </c>
      <c r="F15" s="83" t="s">
        <v>3</v>
      </c>
      <c r="G15" s="84">
        <v>42799</v>
      </c>
      <c r="H15" s="84">
        <v>42862</v>
      </c>
      <c r="I15" s="85">
        <v>1</v>
      </c>
    </row>
    <row r="16" spans="1:9">
      <c r="A16" s="80">
        <v>15</v>
      </c>
      <c r="B16" s="86">
        <v>103305731</v>
      </c>
      <c r="C16" s="12" t="s">
        <v>173</v>
      </c>
      <c r="D16" s="87" t="s">
        <v>82</v>
      </c>
      <c r="E16" s="87" t="s">
        <v>217</v>
      </c>
      <c r="F16" s="88" t="s">
        <v>3</v>
      </c>
      <c r="G16" s="89">
        <v>42799</v>
      </c>
      <c r="H16" s="89">
        <v>42862</v>
      </c>
      <c r="I16" s="90">
        <v>1</v>
      </c>
    </row>
    <row r="17" spans="3:9">
      <c r="C17" s="1" t="s">
        <v>239</v>
      </c>
      <c r="G17" s="21" t="s">
        <v>68</v>
      </c>
      <c r="H17" s="7">
        <f>MIN(H$2:H16)</f>
        <v>42862</v>
      </c>
      <c r="I17" s="1" t="s">
        <v>241</v>
      </c>
    </row>
    <row r="18" spans="3:9">
      <c r="C18" s="1" t="s">
        <v>240</v>
      </c>
      <c r="I18" s="21" t="s">
        <v>70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I9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sqref="A1:XFD3"/>
    </sheetView>
  </sheetViews>
  <sheetFormatPr defaultRowHeight="14.4"/>
  <cols>
    <col min="1" max="1" width="2.77734375" style="2" bestFit="1" customWidth="1"/>
    <col min="2" max="2" width="8.88671875" style="15" bestFit="1" customWidth="1"/>
    <col min="3" max="3" width="30.77734375" style="1" customWidth="1"/>
    <col min="4" max="4" width="23.77734375" style="1" customWidth="1"/>
    <col min="5" max="5" width="9" style="1" bestFit="1" customWidth="1"/>
    <col min="6" max="6" width="8" style="2" bestFit="1" customWidth="1"/>
    <col min="7" max="7" width="12.77734375" style="1" customWidth="1"/>
    <col min="8" max="8" width="9.6640625" style="1" customWidth="1"/>
    <col min="9" max="9" width="8.77734375" style="2" customWidth="1"/>
    <col min="10" max="16384" width="8.88671875" style="1"/>
  </cols>
  <sheetData>
    <row r="1" spans="1:9">
      <c r="A1" s="75" t="s">
        <v>66</v>
      </c>
      <c r="B1" s="76" t="s">
        <v>7</v>
      </c>
      <c r="C1" s="77" t="s">
        <v>8</v>
      </c>
      <c r="D1" s="77" t="s">
        <v>9</v>
      </c>
      <c r="E1" s="77" t="s">
        <v>10</v>
      </c>
      <c r="F1" s="78" t="s">
        <v>11</v>
      </c>
      <c r="G1" s="77" t="s">
        <v>12</v>
      </c>
      <c r="H1" s="77" t="s">
        <v>13</v>
      </c>
      <c r="I1" s="79" t="s">
        <v>14</v>
      </c>
    </row>
    <row r="2" spans="1:9">
      <c r="A2" s="80">
        <v>1</v>
      </c>
      <c r="B2" s="81">
        <v>104768868</v>
      </c>
      <c r="C2" s="10" t="s">
        <v>242</v>
      </c>
      <c r="D2" s="82" t="s">
        <v>243</v>
      </c>
      <c r="E2" s="82" t="s">
        <v>244</v>
      </c>
      <c r="F2" s="83" t="s">
        <v>3</v>
      </c>
      <c r="G2" s="84">
        <v>42824</v>
      </c>
      <c r="H2" s="84">
        <v>42887</v>
      </c>
      <c r="I2" s="85">
        <v>1</v>
      </c>
    </row>
    <row r="3" spans="1:9">
      <c r="A3" s="80">
        <v>2</v>
      </c>
      <c r="B3" s="81">
        <v>104620585</v>
      </c>
      <c r="C3" s="10" t="s">
        <v>245</v>
      </c>
      <c r="D3" s="82" t="s">
        <v>246</v>
      </c>
      <c r="E3" s="82" t="s">
        <v>247</v>
      </c>
      <c r="F3" s="83" t="s">
        <v>3</v>
      </c>
      <c r="G3" s="84">
        <v>42824</v>
      </c>
      <c r="H3" s="84">
        <v>42887</v>
      </c>
      <c r="I3" s="85">
        <v>1</v>
      </c>
    </row>
    <row r="4" spans="1:9">
      <c r="A4" s="80">
        <v>3</v>
      </c>
      <c r="B4" s="81">
        <v>104266807</v>
      </c>
      <c r="C4" s="10" t="s">
        <v>248</v>
      </c>
      <c r="D4" s="82" t="s">
        <v>249</v>
      </c>
      <c r="E4" s="82" t="s">
        <v>250</v>
      </c>
      <c r="F4" s="83" t="s">
        <v>3</v>
      </c>
      <c r="G4" s="84">
        <v>42824</v>
      </c>
      <c r="H4" s="84">
        <v>42887</v>
      </c>
      <c r="I4" s="85">
        <v>1</v>
      </c>
    </row>
    <row r="5" spans="1:9">
      <c r="A5" s="80">
        <v>4</v>
      </c>
      <c r="B5" s="81">
        <v>104451096</v>
      </c>
      <c r="C5" s="10" t="s">
        <v>251</v>
      </c>
      <c r="D5" s="82" t="s">
        <v>252</v>
      </c>
      <c r="E5" s="82" t="s">
        <v>253</v>
      </c>
      <c r="F5" s="83" t="s">
        <v>3</v>
      </c>
      <c r="G5" s="84">
        <v>42824</v>
      </c>
      <c r="H5" s="84">
        <v>42887</v>
      </c>
      <c r="I5" s="85">
        <v>1</v>
      </c>
    </row>
    <row r="6" spans="1:9">
      <c r="A6" s="80">
        <v>5</v>
      </c>
      <c r="B6" s="81">
        <v>103045511</v>
      </c>
      <c r="C6" s="10" t="s">
        <v>254</v>
      </c>
      <c r="D6" s="82" t="s">
        <v>255</v>
      </c>
      <c r="E6" s="82" t="s">
        <v>256</v>
      </c>
      <c r="F6" s="83" t="s">
        <v>3</v>
      </c>
      <c r="G6" s="84">
        <v>42824</v>
      </c>
      <c r="H6" s="84">
        <v>42887</v>
      </c>
      <c r="I6" s="85">
        <v>1</v>
      </c>
    </row>
    <row r="7" spans="1:9">
      <c r="A7" s="80">
        <v>6</v>
      </c>
      <c r="B7" s="86">
        <v>103879537</v>
      </c>
      <c r="C7" s="12" t="s">
        <v>257</v>
      </c>
      <c r="D7" s="87" t="s">
        <v>258</v>
      </c>
      <c r="E7" s="87" t="s">
        <v>259</v>
      </c>
      <c r="F7" s="88" t="s">
        <v>3</v>
      </c>
      <c r="G7" s="89">
        <v>42824</v>
      </c>
      <c r="H7" s="89">
        <v>42887</v>
      </c>
      <c r="I7" s="90">
        <v>1</v>
      </c>
    </row>
    <row r="8" spans="1:9">
      <c r="C8" s="1" t="s">
        <v>260</v>
      </c>
      <c r="G8" s="21" t="s">
        <v>68</v>
      </c>
      <c r="H8" s="7">
        <f>MIN(H$2:H7)</f>
        <v>42887</v>
      </c>
      <c r="I8" s="1" t="s">
        <v>261</v>
      </c>
    </row>
    <row r="9" spans="1:9">
      <c r="C9" s="1" t="s">
        <v>137</v>
      </c>
      <c r="I9" s="21" t="s">
        <v>70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I13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0" sqref="A10:XFD10"/>
    </sheetView>
  </sheetViews>
  <sheetFormatPr defaultRowHeight="14.4"/>
  <cols>
    <col min="1" max="1" width="2.88671875" style="2" bestFit="1" customWidth="1"/>
    <col min="2" max="2" width="8.88671875" style="15" bestFit="1" customWidth="1"/>
    <col min="3" max="3" width="30.77734375" style="1" customWidth="1"/>
    <col min="4" max="4" width="23.77734375" style="1" customWidth="1"/>
    <col min="5" max="5" width="9" style="1" bestFit="1" customWidth="1"/>
    <col min="6" max="6" width="8" style="2" bestFit="1" customWidth="1"/>
    <col min="7" max="7" width="12.77734375" style="1" customWidth="1"/>
    <col min="8" max="8" width="9.5546875" style="1" bestFit="1" customWidth="1"/>
    <col min="9" max="9" width="8.77734375" style="2" customWidth="1"/>
    <col min="10" max="16384" width="8.88671875" style="1"/>
  </cols>
  <sheetData>
    <row r="1" spans="1:9">
      <c r="A1" s="75" t="s">
        <v>66</v>
      </c>
      <c r="B1" s="76" t="s">
        <v>7</v>
      </c>
      <c r="C1" s="77" t="s">
        <v>8</v>
      </c>
      <c r="D1" s="77" t="e">
        <f>B1*C1</f>
        <v>#VALUE!</v>
      </c>
      <c r="E1" s="77" t="s">
        <v>10</v>
      </c>
      <c r="F1" s="78" t="s">
        <v>11</v>
      </c>
      <c r="G1" s="77" t="s">
        <v>12</v>
      </c>
      <c r="H1" s="77" t="s">
        <v>13</v>
      </c>
      <c r="I1" s="79" t="s">
        <v>14</v>
      </c>
    </row>
    <row r="2" spans="1:9">
      <c r="A2" s="80">
        <v>1</v>
      </c>
      <c r="B2" s="81">
        <v>103539275</v>
      </c>
      <c r="C2" s="10" t="s">
        <v>262</v>
      </c>
      <c r="D2" s="82" t="e">
        <f>B2*C2</f>
        <v>#VALUE!</v>
      </c>
      <c r="E2" s="82" t="s">
        <v>263</v>
      </c>
      <c r="F2" s="83" t="s">
        <v>3</v>
      </c>
      <c r="G2" s="84">
        <v>42855</v>
      </c>
      <c r="H2" s="84">
        <v>42918</v>
      </c>
      <c r="I2" s="85">
        <v>1</v>
      </c>
    </row>
    <row r="3" spans="1:9">
      <c r="A3" s="80">
        <v>2</v>
      </c>
      <c r="B3" s="81">
        <v>103539284</v>
      </c>
      <c r="C3" s="10" t="s">
        <v>264</v>
      </c>
      <c r="D3" s="82" t="e">
        <f>B3*C3</f>
        <v>#VALUE!</v>
      </c>
      <c r="E3" s="82" t="s">
        <v>265</v>
      </c>
      <c r="F3" s="83" t="s">
        <v>3</v>
      </c>
      <c r="G3" s="84">
        <v>42855</v>
      </c>
      <c r="H3" s="84">
        <v>42918</v>
      </c>
      <c r="I3" s="85">
        <v>1</v>
      </c>
    </row>
    <row r="4" spans="1:9">
      <c r="A4" s="80">
        <v>3</v>
      </c>
      <c r="B4" s="81">
        <v>104666059</v>
      </c>
      <c r="C4" s="10" t="s">
        <v>266</v>
      </c>
      <c r="D4" s="82" t="e">
        <f>B4*C4</f>
        <v>#VALUE!</v>
      </c>
      <c r="E4" s="82" t="s">
        <v>267</v>
      </c>
      <c r="F4" s="83" t="s">
        <v>3</v>
      </c>
      <c r="G4" s="84">
        <v>42855</v>
      </c>
      <c r="H4" s="84">
        <v>42918</v>
      </c>
      <c r="I4" s="85">
        <v>1</v>
      </c>
    </row>
    <row r="5" spans="1:9">
      <c r="A5" s="80">
        <v>4</v>
      </c>
      <c r="B5" s="81">
        <v>103332306</v>
      </c>
      <c r="C5" s="10" t="s">
        <v>268</v>
      </c>
      <c r="D5" s="82" t="s">
        <v>269</v>
      </c>
      <c r="E5" s="82" t="s">
        <v>270</v>
      </c>
      <c r="F5" s="83" t="s">
        <v>3</v>
      </c>
      <c r="G5" s="84">
        <v>42855</v>
      </c>
      <c r="H5" s="84">
        <v>42918</v>
      </c>
      <c r="I5" s="85">
        <v>1</v>
      </c>
    </row>
    <row r="6" spans="1:9">
      <c r="A6" s="80">
        <v>5</v>
      </c>
      <c r="B6" s="81">
        <v>104054971</v>
      </c>
      <c r="C6" s="10" t="s">
        <v>271</v>
      </c>
      <c r="D6" s="82" t="s">
        <v>272</v>
      </c>
      <c r="E6" s="82" t="s">
        <v>273</v>
      </c>
      <c r="F6" s="83" t="s">
        <v>3</v>
      </c>
      <c r="G6" s="84">
        <v>42855</v>
      </c>
      <c r="H6" s="84">
        <v>42918</v>
      </c>
      <c r="I6" s="85">
        <v>1</v>
      </c>
    </row>
    <row r="7" spans="1:9">
      <c r="A7" s="80">
        <v>6</v>
      </c>
      <c r="B7" s="81">
        <v>104099609</v>
      </c>
      <c r="C7" s="10" t="s">
        <v>274</v>
      </c>
      <c r="D7" s="82" t="s">
        <v>275</v>
      </c>
      <c r="E7" s="82" t="s">
        <v>276</v>
      </c>
      <c r="F7" s="83" t="s">
        <v>3</v>
      </c>
      <c r="G7" s="84">
        <v>42855</v>
      </c>
      <c r="H7" s="84">
        <v>42918</v>
      </c>
      <c r="I7" s="85">
        <v>1</v>
      </c>
    </row>
    <row r="8" spans="1:9">
      <c r="A8" s="80">
        <v>7</v>
      </c>
      <c r="B8" s="81">
        <v>800134142</v>
      </c>
      <c r="C8" s="10" t="s">
        <v>277</v>
      </c>
      <c r="D8" s="82" t="s">
        <v>278</v>
      </c>
      <c r="E8" s="82" t="s">
        <v>279</v>
      </c>
      <c r="F8" s="83" t="s">
        <v>3</v>
      </c>
      <c r="G8" s="84">
        <v>42855</v>
      </c>
      <c r="H8" s="84">
        <v>42918</v>
      </c>
      <c r="I8" s="85">
        <v>1</v>
      </c>
    </row>
    <row r="9" spans="1:9">
      <c r="A9" s="80">
        <v>8</v>
      </c>
      <c r="B9" s="81">
        <v>104768793</v>
      </c>
      <c r="C9" s="10" t="s">
        <v>280</v>
      </c>
      <c r="D9" s="82" t="s">
        <v>281</v>
      </c>
      <c r="E9" s="82" t="s">
        <v>282</v>
      </c>
      <c r="F9" s="83" t="s">
        <v>3</v>
      </c>
      <c r="G9" s="84">
        <v>42855</v>
      </c>
      <c r="H9" s="84">
        <v>42918</v>
      </c>
      <c r="I9" s="85">
        <v>1</v>
      </c>
    </row>
    <row r="10" spans="1:9">
      <c r="A10" s="80">
        <v>9</v>
      </c>
      <c r="B10" s="81">
        <v>104658891</v>
      </c>
      <c r="C10" s="10" t="s">
        <v>283</v>
      </c>
      <c r="D10" s="82" t="s">
        <v>284</v>
      </c>
      <c r="E10" s="82" t="s">
        <v>285</v>
      </c>
      <c r="F10" s="83" t="s">
        <v>3</v>
      </c>
      <c r="G10" s="84">
        <v>42855</v>
      </c>
      <c r="H10" s="84">
        <v>42918</v>
      </c>
      <c r="I10" s="85">
        <v>1</v>
      </c>
    </row>
    <row r="11" spans="1:9">
      <c r="A11" s="80">
        <v>10</v>
      </c>
      <c r="B11" s="86">
        <v>103994112</v>
      </c>
      <c r="C11" s="12" t="s">
        <v>277</v>
      </c>
      <c r="D11" s="87" t="s">
        <v>278</v>
      </c>
      <c r="E11" s="87" t="s">
        <v>279</v>
      </c>
      <c r="F11" s="88" t="s">
        <v>3</v>
      </c>
      <c r="G11" s="89">
        <v>42855</v>
      </c>
      <c r="H11" s="89">
        <v>42918</v>
      </c>
      <c r="I11" s="90">
        <v>1</v>
      </c>
    </row>
    <row r="12" spans="1:9">
      <c r="C12" s="1" t="s">
        <v>286</v>
      </c>
      <c r="G12" s="21" t="s">
        <v>68</v>
      </c>
      <c r="H12" s="7">
        <f>MIN(H$2:H11)</f>
        <v>42918</v>
      </c>
      <c r="I12" s="1" t="s">
        <v>287</v>
      </c>
    </row>
    <row r="13" spans="1:9">
      <c r="C13" s="1" t="s">
        <v>240</v>
      </c>
      <c r="I13" s="21" t="s">
        <v>70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I18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H20" sqref="H20"/>
    </sheetView>
  </sheetViews>
  <sheetFormatPr defaultRowHeight="14.4"/>
  <cols>
    <col min="1" max="1" width="2.88671875" style="2" bestFit="1" customWidth="1"/>
    <col min="2" max="2" width="8.88671875" style="15" bestFit="1" customWidth="1"/>
    <col min="3" max="3" width="30.77734375" style="1" customWidth="1"/>
    <col min="4" max="4" width="23.77734375" style="1" customWidth="1"/>
    <col min="5" max="5" width="9" style="1" bestFit="1" customWidth="1"/>
    <col min="6" max="6" width="8" style="2" bestFit="1" customWidth="1"/>
    <col min="7" max="7" width="12.77734375" style="1" customWidth="1"/>
    <col min="8" max="8" width="9.5546875" style="1" bestFit="1" customWidth="1"/>
    <col min="9" max="9" width="8.77734375" style="2" customWidth="1"/>
    <col min="10" max="16384" width="8.88671875" style="1"/>
  </cols>
  <sheetData>
    <row r="1" spans="1:9">
      <c r="A1" s="75" t="s">
        <v>66</v>
      </c>
      <c r="B1" s="76" t="s">
        <v>7</v>
      </c>
      <c r="C1" s="77" t="s">
        <v>8</v>
      </c>
      <c r="D1" s="77" t="s">
        <v>9</v>
      </c>
      <c r="E1" s="77" t="s">
        <v>10</v>
      </c>
      <c r="F1" s="78" t="s">
        <v>11</v>
      </c>
      <c r="G1" s="77" t="s">
        <v>12</v>
      </c>
      <c r="H1" s="77" t="s">
        <v>13</v>
      </c>
      <c r="I1" s="79" t="s">
        <v>14</v>
      </c>
    </row>
    <row r="2" spans="1:9">
      <c r="A2" s="80">
        <v>1</v>
      </c>
      <c r="B2" s="81">
        <v>800088764</v>
      </c>
      <c r="C2" s="10" t="s">
        <v>288</v>
      </c>
      <c r="D2" s="82" t="s">
        <v>289</v>
      </c>
      <c r="E2" s="82" t="s">
        <v>290</v>
      </c>
      <c r="F2" s="83" t="s">
        <v>3</v>
      </c>
      <c r="G2" s="84">
        <v>42869</v>
      </c>
      <c r="H2" s="84">
        <v>42931</v>
      </c>
      <c r="I2" s="85">
        <v>1</v>
      </c>
    </row>
    <row r="3" spans="1:9">
      <c r="A3" s="80">
        <v>2</v>
      </c>
      <c r="B3" s="81">
        <v>102173967</v>
      </c>
      <c r="C3" s="10" t="s">
        <v>288</v>
      </c>
      <c r="D3" s="82" t="s">
        <v>289</v>
      </c>
      <c r="E3" s="82" t="s">
        <v>290</v>
      </c>
      <c r="F3" s="83" t="s">
        <v>3</v>
      </c>
      <c r="G3" s="84">
        <v>42869</v>
      </c>
      <c r="H3" s="84">
        <v>42931</v>
      </c>
      <c r="I3" s="85">
        <v>1</v>
      </c>
    </row>
    <row r="4" spans="1:9">
      <c r="A4" s="80">
        <v>3</v>
      </c>
      <c r="B4" s="81">
        <v>104786820</v>
      </c>
      <c r="C4" s="10" t="s">
        <v>291</v>
      </c>
      <c r="D4" s="82" t="s">
        <v>292</v>
      </c>
      <c r="E4" s="82" t="s">
        <v>293</v>
      </c>
      <c r="F4" s="83" t="s">
        <v>3</v>
      </c>
      <c r="G4" s="84">
        <v>42865</v>
      </c>
      <c r="H4" s="84">
        <v>42927</v>
      </c>
      <c r="I4" s="85">
        <v>1</v>
      </c>
    </row>
    <row r="5" spans="1:9">
      <c r="A5" s="80">
        <v>4</v>
      </c>
      <c r="B5" s="81">
        <v>104495578</v>
      </c>
      <c r="C5" s="10" t="s">
        <v>294</v>
      </c>
      <c r="D5" s="82" t="s">
        <v>295</v>
      </c>
      <c r="E5" s="82" t="s">
        <v>296</v>
      </c>
      <c r="F5" s="83" t="s">
        <v>3</v>
      </c>
      <c r="G5" s="84">
        <v>42865</v>
      </c>
      <c r="H5" s="84">
        <v>42927</v>
      </c>
      <c r="I5" s="85">
        <v>1</v>
      </c>
    </row>
    <row r="6" spans="1:9">
      <c r="A6" s="80">
        <v>5</v>
      </c>
      <c r="B6" s="81">
        <v>104760167</v>
      </c>
      <c r="C6" s="10" t="s">
        <v>297</v>
      </c>
      <c r="D6" s="82" t="s">
        <v>298</v>
      </c>
      <c r="E6" s="82" t="s">
        <v>299</v>
      </c>
      <c r="F6" s="83" t="s">
        <v>3</v>
      </c>
      <c r="G6" s="84">
        <v>42865</v>
      </c>
      <c r="H6" s="84">
        <v>42927</v>
      </c>
      <c r="I6" s="85">
        <v>1</v>
      </c>
    </row>
    <row r="7" spans="1:9">
      <c r="A7" s="80">
        <v>6</v>
      </c>
      <c r="B7" s="81">
        <v>104144803</v>
      </c>
      <c r="C7" s="10" t="s">
        <v>300</v>
      </c>
      <c r="D7" s="82" t="s">
        <v>301</v>
      </c>
      <c r="E7" s="82" t="s">
        <v>302</v>
      </c>
      <c r="F7" s="83" t="s">
        <v>3</v>
      </c>
      <c r="G7" s="84">
        <v>42865</v>
      </c>
      <c r="H7" s="84">
        <v>42927</v>
      </c>
      <c r="I7" s="85">
        <v>1</v>
      </c>
    </row>
    <row r="8" spans="1:9">
      <c r="A8" s="80">
        <v>7</v>
      </c>
      <c r="B8" s="81">
        <v>104108806</v>
      </c>
      <c r="C8" s="10" t="s">
        <v>303</v>
      </c>
      <c r="D8" s="82" t="s">
        <v>304</v>
      </c>
      <c r="E8" s="82" t="s">
        <v>305</v>
      </c>
      <c r="F8" s="83" t="s">
        <v>3</v>
      </c>
      <c r="G8" s="84">
        <v>42865</v>
      </c>
      <c r="H8" s="84">
        <v>42927</v>
      </c>
      <c r="I8" s="85">
        <v>1</v>
      </c>
    </row>
    <row r="9" spans="1:9">
      <c r="A9" s="80">
        <v>8</v>
      </c>
      <c r="B9" s="81">
        <v>103539275</v>
      </c>
      <c r="C9" s="10" t="s">
        <v>262</v>
      </c>
      <c r="D9" s="82" t="s">
        <v>306</v>
      </c>
      <c r="E9" s="82" t="s">
        <v>263</v>
      </c>
      <c r="F9" s="83" t="s">
        <v>3</v>
      </c>
      <c r="G9" s="84">
        <v>42855</v>
      </c>
      <c r="H9" s="84">
        <v>42918</v>
      </c>
      <c r="I9" s="85">
        <v>1</v>
      </c>
    </row>
    <row r="10" spans="1:9">
      <c r="A10" s="80">
        <v>9</v>
      </c>
      <c r="B10" s="81">
        <v>103539284</v>
      </c>
      <c r="C10" s="10" t="s">
        <v>264</v>
      </c>
      <c r="D10" s="82" t="s">
        <v>306</v>
      </c>
      <c r="E10" s="82" t="s">
        <v>265</v>
      </c>
      <c r="F10" s="83" t="s">
        <v>3</v>
      </c>
      <c r="G10" s="84">
        <v>42855</v>
      </c>
      <c r="H10" s="84">
        <v>42918</v>
      </c>
      <c r="I10" s="85">
        <v>1</v>
      </c>
    </row>
    <row r="11" spans="1:9">
      <c r="A11" s="80">
        <v>10</v>
      </c>
      <c r="B11" s="81">
        <v>104666059</v>
      </c>
      <c r="C11" s="10" t="s">
        <v>266</v>
      </c>
      <c r="D11" s="82" t="s">
        <v>307</v>
      </c>
      <c r="E11" s="82" t="s">
        <v>267</v>
      </c>
      <c r="F11" s="83" t="s">
        <v>3</v>
      </c>
      <c r="G11" s="84">
        <v>42855</v>
      </c>
      <c r="H11" s="84">
        <v>42918</v>
      </c>
      <c r="I11" s="85">
        <v>1</v>
      </c>
    </row>
    <row r="12" spans="1:9">
      <c r="A12" s="80">
        <v>11</v>
      </c>
      <c r="B12" s="81">
        <v>103332306</v>
      </c>
      <c r="C12" s="10" t="s">
        <v>268</v>
      </c>
      <c r="D12" s="82" t="s">
        <v>269</v>
      </c>
      <c r="E12" s="82" t="s">
        <v>270</v>
      </c>
      <c r="F12" s="83" t="s">
        <v>3</v>
      </c>
      <c r="G12" s="84">
        <v>42855</v>
      </c>
      <c r="H12" s="84">
        <v>42918</v>
      </c>
      <c r="I12" s="85">
        <v>1</v>
      </c>
    </row>
    <row r="13" spans="1:9">
      <c r="A13" s="80">
        <v>12</v>
      </c>
      <c r="B13" s="81">
        <v>104054971</v>
      </c>
      <c r="C13" s="10" t="s">
        <v>271</v>
      </c>
      <c r="D13" s="82" t="s">
        <v>272</v>
      </c>
      <c r="E13" s="82" t="s">
        <v>273</v>
      </c>
      <c r="F13" s="83" t="s">
        <v>3</v>
      </c>
      <c r="G13" s="84">
        <v>42855</v>
      </c>
      <c r="H13" s="84">
        <v>42918</v>
      </c>
      <c r="I13" s="85">
        <v>1</v>
      </c>
    </row>
    <row r="14" spans="1:9">
      <c r="A14" s="80">
        <v>13</v>
      </c>
      <c r="B14" s="81">
        <v>104099609</v>
      </c>
      <c r="C14" s="10" t="s">
        <v>274</v>
      </c>
      <c r="D14" s="82" t="s">
        <v>275</v>
      </c>
      <c r="E14" s="82" t="s">
        <v>276</v>
      </c>
      <c r="F14" s="83" t="s">
        <v>3</v>
      </c>
      <c r="G14" s="84">
        <v>42855</v>
      </c>
      <c r="H14" s="84">
        <v>42918</v>
      </c>
      <c r="I14" s="85">
        <v>1</v>
      </c>
    </row>
    <row r="15" spans="1:9">
      <c r="A15" s="80">
        <v>14</v>
      </c>
      <c r="B15" s="81">
        <v>800134142</v>
      </c>
      <c r="C15" s="10" t="s">
        <v>277</v>
      </c>
      <c r="D15" s="82" t="s">
        <v>278</v>
      </c>
      <c r="E15" s="82" t="s">
        <v>279</v>
      </c>
      <c r="F15" s="83" t="s">
        <v>3</v>
      </c>
      <c r="G15" s="84">
        <v>42855</v>
      </c>
      <c r="H15" s="84">
        <v>42918</v>
      </c>
      <c r="I15" s="85">
        <v>1</v>
      </c>
    </row>
    <row r="16" spans="1:9">
      <c r="A16" s="80">
        <v>15</v>
      </c>
      <c r="B16" s="86">
        <v>104768793</v>
      </c>
      <c r="C16" s="12" t="s">
        <v>280</v>
      </c>
      <c r="D16" s="87" t="s">
        <v>281</v>
      </c>
      <c r="E16" s="87" t="s">
        <v>282</v>
      </c>
      <c r="F16" s="88" t="s">
        <v>3</v>
      </c>
      <c r="G16" s="89">
        <v>42855</v>
      </c>
      <c r="H16" s="89">
        <v>42918</v>
      </c>
      <c r="I16" s="90">
        <v>1</v>
      </c>
    </row>
    <row r="17" spans="3:9">
      <c r="C17" s="1" t="s">
        <v>308</v>
      </c>
      <c r="G17" s="21" t="s">
        <v>311</v>
      </c>
      <c r="H17" s="7">
        <f>MIN(H$2:H16)</f>
        <v>42918</v>
      </c>
      <c r="I17" s="1" t="s">
        <v>310</v>
      </c>
    </row>
    <row r="18" spans="3:9">
      <c r="C18" s="1" t="s">
        <v>309</v>
      </c>
      <c r="I18" s="21" t="s">
        <v>312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6"/>
  <dimension ref="A1:I18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K5" sqref="K5"/>
    </sheetView>
  </sheetViews>
  <sheetFormatPr defaultRowHeight="14.4"/>
  <cols>
    <col min="1" max="1" width="2.88671875" style="2" bestFit="1" customWidth="1"/>
    <col min="2" max="2" width="8.88671875" style="15" bestFit="1" customWidth="1"/>
    <col min="3" max="3" width="30.77734375" style="1" customWidth="1"/>
    <col min="4" max="4" width="23.77734375" style="1" customWidth="1"/>
    <col min="5" max="5" width="9" style="1" bestFit="1" customWidth="1"/>
    <col min="6" max="6" width="8" style="2" bestFit="1" customWidth="1"/>
    <col min="7" max="7" width="12.77734375" style="1" customWidth="1"/>
    <col min="8" max="8" width="10.44140625" style="1" customWidth="1"/>
    <col min="9" max="9" width="8.77734375" style="2" customWidth="1"/>
    <col min="10" max="16384" width="8.88671875" style="1"/>
  </cols>
  <sheetData>
    <row r="1" spans="1:9">
      <c r="A1" s="75" t="s">
        <v>66</v>
      </c>
      <c r="B1" s="76" t="s">
        <v>7</v>
      </c>
      <c r="C1" s="77" t="s">
        <v>8</v>
      </c>
      <c r="D1" s="77" t="s">
        <v>9</v>
      </c>
      <c r="E1" s="77" t="s">
        <v>10</v>
      </c>
      <c r="F1" s="78" t="s">
        <v>11</v>
      </c>
      <c r="G1" s="77" t="s">
        <v>12</v>
      </c>
      <c r="H1" s="77" t="s">
        <v>13</v>
      </c>
      <c r="I1" s="79" t="s">
        <v>14</v>
      </c>
    </row>
    <row r="2" spans="1:9">
      <c r="A2" s="80">
        <v>1</v>
      </c>
      <c r="B2" s="81">
        <v>100211976</v>
      </c>
      <c r="C2" s="10" t="s">
        <v>313</v>
      </c>
      <c r="D2" s="82" t="s">
        <v>314</v>
      </c>
      <c r="E2" s="82" t="s">
        <v>315</v>
      </c>
      <c r="F2" s="83" t="s">
        <v>3</v>
      </c>
      <c r="G2" s="84">
        <v>42876</v>
      </c>
      <c r="H2" s="84">
        <v>42938</v>
      </c>
      <c r="I2" s="85">
        <v>1</v>
      </c>
    </row>
    <row r="3" spans="1:9">
      <c r="A3" s="80">
        <v>2</v>
      </c>
      <c r="B3" s="81">
        <v>102685858</v>
      </c>
      <c r="C3" s="10" t="s">
        <v>316</v>
      </c>
      <c r="D3" s="82" t="s">
        <v>317</v>
      </c>
      <c r="E3" s="82" t="s">
        <v>318</v>
      </c>
      <c r="F3" s="83" t="s">
        <v>3</v>
      </c>
      <c r="G3" s="84">
        <v>42876</v>
      </c>
      <c r="H3" s="84">
        <v>42938</v>
      </c>
      <c r="I3" s="85">
        <v>1</v>
      </c>
    </row>
    <row r="4" spans="1:9">
      <c r="A4" s="80">
        <v>3</v>
      </c>
      <c r="B4" s="81">
        <v>103072365</v>
      </c>
      <c r="C4" s="10" t="s">
        <v>319</v>
      </c>
      <c r="D4" s="82" t="s">
        <v>320</v>
      </c>
      <c r="E4" s="82" t="s">
        <v>321</v>
      </c>
      <c r="F4" s="83" t="s">
        <v>3</v>
      </c>
      <c r="G4" s="84">
        <v>42876</v>
      </c>
      <c r="H4" s="84">
        <v>42938</v>
      </c>
      <c r="I4" s="85">
        <v>1</v>
      </c>
    </row>
    <row r="5" spans="1:9">
      <c r="A5" s="80">
        <v>4</v>
      </c>
      <c r="B5" s="81">
        <v>800088764</v>
      </c>
      <c r="C5" s="10" t="s">
        <v>288</v>
      </c>
      <c r="D5" s="82" t="s">
        <v>289</v>
      </c>
      <c r="E5" s="82" t="s">
        <v>290</v>
      </c>
      <c r="F5" s="83" t="s">
        <v>3</v>
      </c>
      <c r="G5" s="84">
        <v>42869</v>
      </c>
      <c r="H5" s="84">
        <v>42931</v>
      </c>
      <c r="I5" s="85">
        <v>1</v>
      </c>
    </row>
    <row r="6" spans="1:9">
      <c r="A6" s="80">
        <v>5</v>
      </c>
      <c r="B6" s="81">
        <v>102173967</v>
      </c>
      <c r="C6" s="10" t="s">
        <v>288</v>
      </c>
      <c r="D6" s="82" t="s">
        <v>289</v>
      </c>
      <c r="E6" s="82" t="s">
        <v>290</v>
      </c>
      <c r="F6" s="83" t="s">
        <v>3</v>
      </c>
      <c r="G6" s="84">
        <v>42869</v>
      </c>
      <c r="H6" s="84">
        <v>42931</v>
      </c>
      <c r="I6" s="85">
        <v>1</v>
      </c>
    </row>
    <row r="7" spans="1:9">
      <c r="A7" s="80">
        <v>6</v>
      </c>
      <c r="B7" s="81">
        <v>104495578</v>
      </c>
      <c r="C7" s="10" t="s">
        <v>294</v>
      </c>
      <c r="D7" s="82" t="s">
        <v>295</v>
      </c>
      <c r="E7" s="82" t="s">
        <v>296</v>
      </c>
      <c r="F7" s="83" t="s">
        <v>3</v>
      </c>
      <c r="G7" s="84">
        <v>42865</v>
      </c>
      <c r="H7" s="84">
        <v>42927</v>
      </c>
      <c r="I7" s="85">
        <v>1</v>
      </c>
    </row>
    <row r="8" spans="1:9">
      <c r="A8" s="80">
        <v>7</v>
      </c>
      <c r="B8" s="81">
        <v>104786820</v>
      </c>
      <c r="C8" s="10" t="s">
        <v>291</v>
      </c>
      <c r="D8" s="82" t="s">
        <v>292</v>
      </c>
      <c r="E8" s="82" t="s">
        <v>293</v>
      </c>
      <c r="F8" s="83" t="s">
        <v>3</v>
      </c>
      <c r="G8" s="84">
        <v>42865</v>
      </c>
      <c r="H8" s="84">
        <v>42927</v>
      </c>
      <c r="I8" s="85">
        <v>1</v>
      </c>
    </row>
    <row r="9" spans="1:9">
      <c r="A9" s="80">
        <v>8</v>
      </c>
      <c r="B9" s="81">
        <v>104144803</v>
      </c>
      <c r="C9" s="10" t="s">
        <v>300</v>
      </c>
      <c r="D9" s="82" t="s">
        <v>301</v>
      </c>
      <c r="E9" s="82" t="s">
        <v>302</v>
      </c>
      <c r="F9" s="83" t="s">
        <v>3</v>
      </c>
      <c r="G9" s="84">
        <v>42865</v>
      </c>
      <c r="H9" s="84">
        <v>42927</v>
      </c>
      <c r="I9" s="85">
        <v>1</v>
      </c>
    </row>
    <row r="10" spans="1:9">
      <c r="A10" s="80">
        <v>9</v>
      </c>
      <c r="B10" s="81">
        <v>104108806</v>
      </c>
      <c r="C10" s="10" t="s">
        <v>303</v>
      </c>
      <c r="D10" s="82" t="s">
        <v>304</v>
      </c>
      <c r="E10" s="82" t="s">
        <v>305</v>
      </c>
      <c r="F10" s="83" t="s">
        <v>3</v>
      </c>
      <c r="G10" s="84">
        <v>42865</v>
      </c>
      <c r="H10" s="84">
        <v>42927</v>
      </c>
      <c r="I10" s="85">
        <v>1</v>
      </c>
    </row>
    <row r="11" spans="1:9">
      <c r="A11" s="80">
        <v>10</v>
      </c>
      <c r="B11" s="81">
        <v>104666059</v>
      </c>
      <c r="C11" s="10" t="s">
        <v>266</v>
      </c>
      <c r="D11" s="82" t="s">
        <v>307</v>
      </c>
      <c r="E11" s="82" t="s">
        <v>267</v>
      </c>
      <c r="F11" s="83" t="s">
        <v>3</v>
      </c>
      <c r="G11" s="84">
        <v>42855</v>
      </c>
      <c r="H11" s="84">
        <v>42918</v>
      </c>
      <c r="I11" s="85">
        <v>1</v>
      </c>
    </row>
    <row r="12" spans="1:9">
      <c r="A12" s="80">
        <v>11</v>
      </c>
      <c r="B12" s="81">
        <v>103332306</v>
      </c>
      <c r="C12" s="10" t="s">
        <v>268</v>
      </c>
      <c r="D12" s="82" t="s">
        <v>269</v>
      </c>
      <c r="E12" s="82" t="s">
        <v>270</v>
      </c>
      <c r="F12" s="83" t="s">
        <v>3</v>
      </c>
      <c r="G12" s="84">
        <v>42855</v>
      </c>
      <c r="H12" s="84">
        <v>42918</v>
      </c>
      <c r="I12" s="85">
        <v>1</v>
      </c>
    </row>
    <row r="13" spans="1:9">
      <c r="A13" s="80">
        <v>12</v>
      </c>
      <c r="B13" s="81">
        <v>104054971</v>
      </c>
      <c r="C13" s="10" t="s">
        <v>271</v>
      </c>
      <c r="D13" s="82" t="s">
        <v>272</v>
      </c>
      <c r="E13" s="82" t="s">
        <v>273</v>
      </c>
      <c r="F13" s="83" t="s">
        <v>3</v>
      </c>
      <c r="G13" s="84">
        <v>42855</v>
      </c>
      <c r="H13" s="84">
        <v>42918</v>
      </c>
      <c r="I13" s="85">
        <v>1</v>
      </c>
    </row>
    <row r="14" spans="1:9">
      <c r="A14" s="80">
        <v>13</v>
      </c>
      <c r="B14" s="81">
        <v>104099609</v>
      </c>
      <c r="C14" s="10" t="s">
        <v>274</v>
      </c>
      <c r="D14" s="82" t="s">
        <v>275</v>
      </c>
      <c r="E14" s="82" t="s">
        <v>276</v>
      </c>
      <c r="F14" s="83" t="s">
        <v>3</v>
      </c>
      <c r="G14" s="84">
        <v>42855</v>
      </c>
      <c r="H14" s="84">
        <v>42918</v>
      </c>
      <c r="I14" s="85">
        <v>1</v>
      </c>
    </row>
    <row r="15" spans="1:9">
      <c r="A15" s="80">
        <v>14</v>
      </c>
      <c r="B15" s="81">
        <v>800134142</v>
      </c>
      <c r="C15" s="10" t="s">
        <v>277</v>
      </c>
      <c r="D15" s="82" t="s">
        <v>278</v>
      </c>
      <c r="E15" s="82" t="s">
        <v>279</v>
      </c>
      <c r="F15" s="83" t="s">
        <v>3</v>
      </c>
      <c r="G15" s="84">
        <v>42855</v>
      </c>
      <c r="H15" s="84">
        <v>42918</v>
      </c>
      <c r="I15" s="85">
        <v>1</v>
      </c>
    </row>
    <row r="16" spans="1:9">
      <c r="A16" s="80">
        <v>15</v>
      </c>
      <c r="B16" s="86">
        <v>104768793</v>
      </c>
      <c r="C16" s="12" t="s">
        <v>280</v>
      </c>
      <c r="D16" s="87" t="s">
        <v>281</v>
      </c>
      <c r="E16" s="87" t="s">
        <v>282</v>
      </c>
      <c r="F16" s="88" t="s">
        <v>3</v>
      </c>
      <c r="G16" s="89">
        <v>42855</v>
      </c>
      <c r="H16" s="89">
        <v>42918</v>
      </c>
      <c r="I16" s="90">
        <v>1</v>
      </c>
    </row>
    <row r="17" spans="3:9">
      <c r="C17" s="1" t="s">
        <v>239</v>
      </c>
      <c r="G17" s="21" t="s">
        <v>68</v>
      </c>
      <c r="H17" s="7">
        <f>MIN(H$2:H16)</f>
        <v>42918</v>
      </c>
      <c r="I17" s="1" t="s">
        <v>105</v>
      </c>
    </row>
    <row r="18" spans="3:9">
      <c r="C18" s="1" t="s">
        <v>240</v>
      </c>
      <c r="I18" s="21" t="s">
        <v>70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4"/>
  <dimension ref="A1:I18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6" sqref="C6"/>
    </sheetView>
  </sheetViews>
  <sheetFormatPr defaultRowHeight="14.4"/>
  <cols>
    <col min="1" max="1" width="2.88671875" style="2" bestFit="1" customWidth="1"/>
    <col min="2" max="2" width="8.88671875" style="15" bestFit="1" customWidth="1"/>
    <col min="3" max="3" width="30.77734375" style="1" customWidth="1"/>
    <col min="4" max="4" width="23.77734375" style="1" customWidth="1"/>
    <col min="5" max="5" width="9" style="1" bestFit="1" customWidth="1"/>
    <col min="6" max="6" width="8" style="2" bestFit="1" customWidth="1"/>
    <col min="7" max="7" width="12.77734375" style="1" customWidth="1"/>
    <col min="8" max="8" width="9.5546875" style="1" bestFit="1" customWidth="1"/>
    <col min="9" max="9" width="8.77734375" style="2" customWidth="1"/>
    <col min="10" max="16384" width="8.88671875" style="1"/>
  </cols>
  <sheetData>
    <row r="1" spans="1:9">
      <c r="A1" s="75" t="s">
        <v>66</v>
      </c>
      <c r="B1" s="76" t="s">
        <v>7</v>
      </c>
      <c r="C1" s="77" t="s">
        <v>8</v>
      </c>
      <c r="D1" s="77" t="s">
        <v>9</v>
      </c>
      <c r="E1" s="77" t="s">
        <v>10</v>
      </c>
      <c r="F1" s="78" t="s">
        <v>11</v>
      </c>
      <c r="G1" s="77" t="s">
        <v>12</v>
      </c>
      <c r="H1" s="77" t="s">
        <v>13</v>
      </c>
      <c r="I1" s="79" t="s">
        <v>14</v>
      </c>
    </row>
    <row r="2" spans="1:9">
      <c r="A2" s="80">
        <v>1</v>
      </c>
      <c r="B2" s="81">
        <v>100211976</v>
      </c>
      <c r="C2" s="10" t="s">
        <v>313</v>
      </c>
      <c r="D2" s="82" t="s">
        <v>314</v>
      </c>
      <c r="E2" s="82" t="s">
        <v>315</v>
      </c>
      <c r="F2" s="83" t="s">
        <v>3</v>
      </c>
      <c r="G2" s="84">
        <v>42876</v>
      </c>
      <c r="H2" s="84">
        <v>42938</v>
      </c>
      <c r="I2" s="85">
        <v>1</v>
      </c>
    </row>
    <row r="3" spans="1:9">
      <c r="A3" s="80">
        <v>2</v>
      </c>
      <c r="B3" s="81">
        <v>102685858</v>
      </c>
      <c r="C3" s="10" t="s">
        <v>316</v>
      </c>
      <c r="D3" s="82" t="s">
        <v>317</v>
      </c>
      <c r="E3" s="82" t="s">
        <v>318</v>
      </c>
      <c r="F3" s="83" t="s">
        <v>3</v>
      </c>
      <c r="G3" s="84">
        <v>42876</v>
      </c>
      <c r="H3" s="84">
        <v>42938</v>
      </c>
      <c r="I3" s="85">
        <v>1</v>
      </c>
    </row>
    <row r="4" spans="1:9">
      <c r="A4" s="80">
        <v>3</v>
      </c>
      <c r="B4" s="81">
        <v>103072365</v>
      </c>
      <c r="C4" s="10" t="s">
        <v>319</v>
      </c>
      <c r="D4" s="82" t="s">
        <v>320</v>
      </c>
      <c r="E4" s="82" t="s">
        <v>321</v>
      </c>
      <c r="F4" s="83" t="s">
        <v>3</v>
      </c>
      <c r="G4" s="84">
        <v>42876</v>
      </c>
      <c r="H4" s="84">
        <v>42938</v>
      </c>
      <c r="I4" s="85">
        <v>1</v>
      </c>
    </row>
    <row r="5" spans="1:9">
      <c r="A5" s="80">
        <v>4</v>
      </c>
      <c r="B5" s="81">
        <v>800088764</v>
      </c>
      <c r="C5" s="10" t="s">
        <v>288</v>
      </c>
      <c r="D5" s="82" t="s">
        <v>289</v>
      </c>
      <c r="E5" s="82" t="s">
        <v>290</v>
      </c>
      <c r="F5" s="83" t="s">
        <v>3</v>
      </c>
      <c r="G5" s="84">
        <v>42869</v>
      </c>
      <c r="H5" s="84">
        <v>42931</v>
      </c>
      <c r="I5" s="85">
        <v>1</v>
      </c>
    </row>
    <row r="6" spans="1:9">
      <c r="A6" s="80">
        <v>5</v>
      </c>
      <c r="B6" s="81">
        <v>102173967</v>
      </c>
      <c r="C6" s="10" t="s">
        <v>288</v>
      </c>
      <c r="D6" s="82" t="s">
        <v>289</v>
      </c>
      <c r="E6" s="82" t="s">
        <v>290</v>
      </c>
      <c r="F6" s="83" t="s">
        <v>3</v>
      </c>
      <c r="G6" s="84">
        <v>42869</v>
      </c>
      <c r="H6" s="84">
        <v>42931</v>
      </c>
      <c r="I6" s="85">
        <v>1</v>
      </c>
    </row>
    <row r="7" spans="1:9">
      <c r="A7" s="80">
        <v>6</v>
      </c>
      <c r="B7" s="81">
        <v>104495578</v>
      </c>
      <c r="C7" s="10" t="s">
        <v>294</v>
      </c>
      <c r="D7" s="82" t="s">
        <v>295</v>
      </c>
      <c r="E7" s="82" t="s">
        <v>296</v>
      </c>
      <c r="F7" s="83" t="s">
        <v>3</v>
      </c>
      <c r="G7" s="84">
        <v>42865</v>
      </c>
      <c r="H7" s="84">
        <v>42927</v>
      </c>
      <c r="I7" s="85">
        <v>1</v>
      </c>
    </row>
    <row r="8" spans="1:9">
      <c r="A8" s="80">
        <v>7</v>
      </c>
      <c r="B8" s="81">
        <v>104786820</v>
      </c>
      <c r="C8" s="10" t="s">
        <v>291</v>
      </c>
      <c r="D8" s="82" t="s">
        <v>292</v>
      </c>
      <c r="E8" s="82" t="s">
        <v>293</v>
      </c>
      <c r="F8" s="83" t="s">
        <v>3</v>
      </c>
      <c r="G8" s="84">
        <v>42865</v>
      </c>
      <c r="H8" s="84">
        <v>42927</v>
      </c>
      <c r="I8" s="85">
        <v>1</v>
      </c>
    </row>
    <row r="9" spans="1:9">
      <c r="A9" s="80">
        <v>8</v>
      </c>
      <c r="B9" s="81">
        <v>104144803</v>
      </c>
      <c r="C9" s="10" t="s">
        <v>300</v>
      </c>
      <c r="D9" s="82" t="s">
        <v>301</v>
      </c>
      <c r="E9" s="82" t="s">
        <v>302</v>
      </c>
      <c r="F9" s="83" t="s">
        <v>3</v>
      </c>
      <c r="G9" s="84">
        <v>42865</v>
      </c>
      <c r="H9" s="84">
        <v>42927</v>
      </c>
      <c r="I9" s="85">
        <v>1</v>
      </c>
    </row>
    <row r="10" spans="1:9">
      <c r="A10" s="80">
        <v>9</v>
      </c>
      <c r="B10" s="81">
        <v>104108806</v>
      </c>
      <c r="C10" s="10" t="s">
        <v>303</v>
      </c>
      <c r="D10" s="82" t="s">
        <v>304</v>
      </c>
      <c r="E10" s="82" t="s">
        <v>305</v>
      </c>
      <c r="F10" s="83" t="s">
        <v>3</v>
      </c>
      <c r="G10" s="84">
        <v>42865</v>
      </c>
      <c r="H10" s="84">
        <v>42927</v>
      </c>
      <c r="I10" s="85">
        <v>1</v>
      </c>
    </row>
    <row r="11" spans="1:9">
      <c r="A11" s="80">
        <v>10</v>
      </c>
      <c r="B11" s="81">
        <v>104666059</v>
      </c>
      <c r="C11" s="10" t="s">
        <v>266</v>
      </c>
      <c r="D11" s="82" t="s">
        <v>307</v>
      </c>
      <c r="E11" s="82" t="s">
        <v>267</v>
      </c>
      <c r="F11" s="83" t="s">
        <v>3</v>
      </c>
      <c r="G11" s="84">
        <v>42855</v>
      </c>
      <c r="H11" s="84">
        <v>42918</v>
      </c>
      <c r="I11" s="85">
        <v>1</v>
      </c>
    </row>
    <row r="12" spans="1:9">
      <c r="A12" s="80">
        <v>11</v>
      </c>
      <c r="B12" s="81">
        <v>103332306</v>
      </c>
      <c r="C12" s="10" t="s">
        <v>268</v>
      </c>
      <c r="D12" s="82" t="s">
        <v>269</v>
      </c>
      <c r="E12" s="82" t="s">
        <v>270</v>
      </c>
      <c r="F12" s="83" t="s">
        <v>3</v>
      </c>
      <c r="G12" s="84">
        <v>42855</v>
      </c>
      <c r="H12" s="84">
        <v>42918</v>
      </c>
      <c r="I12" s="85">
        <v>1</v>
      </c>
    </row>
    <row r="13" spans="1:9">
      <c r="A13" s="80">
        <v>12</v>
      </c>
      <c r="B13" s="81">
        <v>104054971</v>
      </c>
      <c r="C13" s="10" t="s">
        <v>271</v>
      </c>
      <c r="D13" s="82" t="s">
        <v>272</v>
      </c>
      <c r="E13" s="82" t="s">
        <v>273</v>
      </c>
      <c r="F13" s="83" t="s">
        <v>3</v>
      </c>
      <c r="G13" s="84">
        <v>42855</v>
      </c>
      <c r="H13" s="84">
        <v>42918</v>
      </c>
      <c r="I13" s="85">
        <v>1</v>
      </c>
    </row>
    <row r="14" spans="1:9">
      <c r="A14" s="80">
        <v>13</v>
      </c>
      <c r="B14" s="81">
        <v>104099609</v>
      </c>
      <c r="C14" s="10" t="s">
        <v>274</v>
      </c>
      <c r="D14" s="82" t="s">
        <v>275</v>
      </c>
      <c r="E14" s="82" t="s">
        <v>276</v>
      </c>
      <c r="F14" s="83" t="s">
        <v>3</v>
      </c>
      <c r="G14" s="84">
        <v>42855</v>
      </c>
      <c r="H14" s="84">
        <v>42918</v>
      </c>
      <c r="I14" s="85">
        <v>1</v>
      </c>
    </row>
    <row r="15" spans="1:9">
      <c r="A15" s="80">
        <v>14</v>
      </c>
      <c r="B15" s="81">
        <v>800134142</v>
      </c>
      <c r="C15" s="10" t="s">
        <v>277</v>
      </c>
      <c r="D15" s="82" t="s">
        <v>278</v>
      </c>
      <c r="E15" s="82" t="s">
        <v>279</v>
      </c>
      <c r="F15" s="83" t="s">
        <v>3</v>
      </c>
      <c r="G15" s="84">
        <v>42855</v>
      </c>
      <c r="H15" s="84">
        <v>42918</v>
      </c>
      <c r="I15" s="85">
        <v>1</v>
      </c>
    </row>
    <row r="16" spans="1:9">
      <c r="A16" s="80">
        <v>15</v>
      </c>
      <c r="B16" s="86">
        <v>104768793</v>
      </c>
      <c r="C16" s="12" t="s">
        <v>280</v>
      </c>
      <c r="D16" s="87" t="s">
        <v>281</v>
      </c>
      <c r="E16" s="87" t="s">
        <v>282</v>
      </c>
      <c r="F16" s="88" t="s">
        <v>3</v>
      </c>
      <c r="G16" s="89">
        <v>42855</v>
      </c>
      <c r="H16" s="89">
        <v>42918</v>
      </c>
      <c r="I16" s="90">
        <v>1</v>
      </c>
    </row>
    <row r="17" spans="3:9">
      <c r="C17" s="1" t="s">
        <v>239</v>
      </c>
      <c r="G17" s="21" t="s">
        <v>68</v>
      </c>
      <c r="H17" s="7">
        <f>MIN(H$2:H16)</f>
        <v>42918</v>
      </c>
      <c r="I17" s="1" t="s">
        <v>322</v>
      </c>
    </row>
    <row r="18" spans="3:9">
      <c r="C18" s="1" t="s">
        <v>240</v>
      </c>
      <c r="I18" s="21" t="s">
        <v>70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7"/>
  <dimension ref="A1:I9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5" sqref="D15"/>
    </sheetView>
  </sheetViews>
  <sheetFormatPr defaultRowHeight="14.4"/>
  <cols>
    <col min="1" max="1" width="2.77734375" style="2" bestFit="1" customWidth="1"/>
    <col min="2" max="2" width="8.88671875" style="15" bestFit="1" customWidth="1"/>
    <col min="3" max="3" width="30.77734375" style="1" customWidth="1"/>
    <col min="4" max="4" width="23.77734375" style="1" customWidth="1"/>
    <col min="5" max="5" width="8.5546875" style="1" bestFit="1" customWidth="1"/>
    <col min="6" max="6" width="8" style="2" bestFit="1" customWidth="1"/>
    <col min="7" max="7" width="12.77734375" style="1" customWidth="1"/>
    <col min="8" max="8" width="9.5546875" style="1" bestFit="1" customWidth="1"/>
    <col min="9" max="9" width="8.77734375" style="2" customWidth="1"/>
    <col min="10" max="16384" width="8.88671875" style="1"/>
  </cols>
  <sheetData>
    <row r="1" spans="1:9">
      <c r="A1" s="75" t="s">
        <v>66</v>
      </c>
      <c r="B1" s="76" t="s">
        <v>7</v>
      </c>
      <c r="C1" s="77" t="s">
        <v>8</v>
      </c>
      <c r="D1" s="77" t="s">
        <v>9</v>
      </c>
      <c r="E1" s="77" t="s">
        <v>10</v>
      </c>
      <c r="F1" s="78" t="s">
        <v>11</v>
      </c>
      <c r="G1" s="77" t="s">
        <v>12</v>
      </c>
      <c r="H1" s="77" t="s">
        <v>13</v>
      </c>
      <c r="I1" s="79" t="s">
        <v>14</v>
      </c>
    </row>
    <row r="2" spans="1:9">
      <c r="A2" s="80">
        <v>1</v>
      </c>
      <c r="B2" s="81">
        <v>104099609</v>
      </c>
      <c r="C2" s="10" t="s">
        <v>274</v>
      </c>
      <c r="D2" s="82" t="s">
        <v>275</v>
      </c>
      <c r="E2" s="82" t="s">
        <v>276</v>
      </c>
      <c r="F2" s="83" t="s">
        <v>3</v>
      </c>
      <c r="G2" s="84">
        <v>42888</v>
      </c>
      <c r="H2" s="84">
        <v>42950</v>
      </c>
      <c r="I2" s="85">
        <v>1</v>
      </c>
    </row>
    <row r="3" spans="1:9">
      <c r="A3" s="80">
        <v>2</v>
      </c>
      <c r="B3" s="81">
        <v>103332879</v>
      </c>
      <c r="C3" s="10" t="s">
        <v>323</v>
      </c>
      <c r="D3" s="82" t="s">
        <v>269</v>
      </c>
      <c r="E3" s="82" t="s">
        <v>324</v>
      </c>
      <c r="F3" s="83" t="s">
        <v>3</v>
      </c>
      <c r="G3" s="84">
        <v>42888</v>
      </c>
      <c r="H3" s="84">
        <v>42950</v>
      </c>
      <c r="I3" s="85">
        <v>1</v>
      </c>
    </row>
    <row r="4" spans="1:9">
      <c r="A4" s="80">
        <v>3</v>
      </c>
      <c r="B4" s="81">
        <v>103665055</v>
      </c>
      <c r="C4" s="10" t="s">
        <v>325</v>
      </c>
      <c r="D4" s="82" t="s">
        <v>140</v>
      </c>
      <c r="E4" s="82" t="s">
        <v>141</v>
      </c>
      <c r="F4" s="83" t="s">
        <v>3</v>
      </c>
      <c r="G4" s="84">
        <v>42888</v>
      </c>
      <c r="H4" s="84">
        <v>42950</v>
      </c>
      <c r="I4" s="85">
        <v>1</v>
      </c>
    </row>
    <row r="5" spans="1:9">
      <c r="A5" s="80">
        <v>4</v>
      </c>
      <c r="B5" s="81">
        <v>800099280</v>
      </c>
      <c r="C5" s="10" t="s">
        <v>183</v>
      </c>
      <c r="D5" s="82" t="s">
        <v>184</v>
      </c>
      <c r="E5" s="82" t="s">
        <v>185</v>
      </c>
      <c r="F5" s="83" t="s">
        <v>3</v>
      </c>
      <c r="G5" s="84">
        <v>42888</v>
      </c>
      <c r="H5" s="84">
        <v>42950</v>
      </c>
      <c r="I5" s="85">
        <v>1</v>
      </c>
    </row>
    <row r="6" spans="1:9">
      <c r="A6" s="80">
        <v>5</v>
      </c>
      <c r="B6" s="81">
        <v>104560154</v>
      </c>
      <c r="C6" s="10" t="s">
        <v>326</v>
      </c>
      <c r="D6" s="82" t="s">
        <v>327</v>
      </c>
      <c r="E6" s="82" t="s">
        <v>328</v>
      </c>
      <c r="F6" s="83" t="s">
        <v>3</v>
      </c>
      <c r="G6" s="84">
        <v>42888</v>
      </c>
      <c r="H6" s="84">
        <v>42950</v>
      </c>
      <c r="I6" s="85">
        <v>1</v>
      </c>
    </row>
    <row r="7" spans="1:9">
      <c r="A7" s="80">
        <v>6</v>
      </c>
      <c r="B7" s="86">
        <v>102357128</v>
      </c>
      <c r="C7" s="12" t="s">
        <v>183</v>
      </c>
      <c r="D7" s="87" t="s">
        <v>184</v>
      </c>
      <c r="E7" s="87" t="s">
        <v>185</v>
      </c>
      <c r="F7" s="88" t="s">
        <v>3</v>
      </c>
      <c r="G7" s="89">
        <v>42888</v>
      </c>
      <c r="H7" s="89">
        <v>42950</v>
      </c>
      <c r="I7" s="90">
        <v>1</v>
      </c>
    </row>
    <row r="8" spans="1:9">
      <c r="C8" s="1" t="s">
        <v>329</v>
      </c>
      <c r="G8" s="21" t="s">
        <v>68</v>
      </c>
      <c r="H8" s="7">
        <f>MIN(H$2:H7)</f>
        <v>42950</v>
      </c>
      <c r="I8" s="1" t="s">
        <v>261</v>
      </c>
    </row>
    <row r="9" spans="1:9">
      <c r="C9" s="1" t="s">
        <v>240</v>
      </c>
      <c r="I9" s="21" t="s">
        <v>70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0"/>
  <dimension ref="A1:I19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H18" sqref="H18"/>
    </sheetView>
  </sheetViews>
  <sheetFormatPr defaultRowHeight="14.4"/>
  <cols>
    <col min="1" max="1" width="2.88671875" style="2" bestFit="1" customWidth="1"/>
    <col min="2" max="2" width="11.33203125" style="15" bestFit="1" customWidth="1"/>
    <col min="3" max="3" width="30.77734375" style="1" customWidth="1"/>
    <col min="4" max="4" width="23.77734375" style="1" customWidth="1"/>
    <col min="5" max="5" width="9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75" t="s">
        <v>66</v>
      </c>
      <c r="B1" s="76" t="s">
        <v>7</v>
      </c>
      <c r="C1" s="77" t="s">
        <v>8</v>
      </c>
      <c r="D1" s="77" t="s">
        <v>9</v>
      </c>
      <c r="E1" s="77" t="s">
        <v>10</v>
      </c>
      <c r="F1" s="78" t="s">
        <v>11</v>
      </c>
      <c r="G1" s="77" t="s">
        <v>12</v>
      </c>
      <c r="H1" s="77" t="s">
        <v>13</v>
      </c>
      <c r="I1" s="79" t="s">
        <v>14</v>
      </c>
    </row>
    <row r="2" spans="1:9">
      <c r="A2" s="80">
        <v>1</v>
      </c>
      <c r="B2" s="81">
        <v>103578656</v>
      </c>
      <c r="C2" s="10" t="s">
        <v>330</v>
      </c>
      <c r="D2" s="82" t="s">
        <v>331</v>
      </c>
      <c r="E2" s="82" t="s">
        <v>332</v>
      </c>
      <c r="F2" s="83" t="s">
        <v>3</v>
      </c>
      <c r="G2" s="84">
        <v>42949</v>
      </c>
      <c r="H2" s="84">
        <v>43011</v>
      </c>
      <c r="I2" s="85">
        <v>1</v>
      </c>
    </row>
    <row r="3" spans="1:9">
      <c r="A3" s="80">
        <v>2</v>
      </c>
      <c r="B3" s="81">
        <v>700100146975</v>
      </c>
      <c r="C3" s="10" t="s">
        <v>333</v>
      </c>
      <c r="D3" s="82" t="s">
        <v>334</v>
      </c>
      <c r="E3" s="82" t="s">
        <v>335</v>
      </c>
      <c r="F3" s="83" t="s">
        <v>3</v>
      </c>
      <c r="G3" s="84">
        <v>42949</v>
      </c>
      <c r="H3" s="84">
        <v>43011</v>
      </c>
      <c r="I3" s="85">
        <v>1</v>
      </c>
    </row>
    <row r="4" spans="1:9">
      <c r="A4" s="80">
        <v>3</v>
      </c>
      <c r="B4" s="81">
        <v>102706019</v>
      </c>
      <c r="C4" s="10" t="s">
        <v>336</v>
      </c>
      <c r="D4" s="82" t="s">
        <v>37</v>
      </c>
      <c r="E4" s="82" t="s">
        <v>337</v>
      </c>
      <c r="F4" s="83" t="s">
        <v>3</v>
      </c>
      <c r="G4" s="84">
        <v>42949</v>
      </c>
      <c r="H4" s="84">
        <v>43011</v>
      </c>
      <c r="I4" s="85">
        <v>1</v>
      </c>
    </row>
    <row r="5" spans="1:9">
      <c r="A5" s="80">
        <v>4</v>
      </c>
      <c r="B5" s="81">
        <v>800105959</v>
      </c>
      <c r="C5" s="10" t="s">
        <v>336</v>
      </c>
      <c r="D5" s="82" t="s">
        <v>37</v>
      </c>
      <c r="E5" s="82" t="s">
        <v>337</v>
      </c>
      <c r="F5" s="83" t="s">
        <v>3</v>
      </c>
      <c r="G5" s="84">
        <v>42949</v>
      </c>
      <c r="H5" s="84">
        <v>43011</v>
      </c>
      <c r="I5" s="85">
        <v>1</v>
      </c>
    </row>
    <row r="6" spans="1:9">
      <c r="A6" s="80">
        <v>5</v>
      </c>
      <c r="B6" s="81">
        <v>800166165</v>
      </c>
      <c r="C6" s="10" t="s">
        <v>257</v>
      </c>
      <c r="D6" s="82" t="s">
        <v>258</v>
      </c>
      <c r="E6" s="82" t="s">
        <v>259</v>
      </c>
      <c r="F6" s="83" t="s">
        <v>3</v>
      </c>
      <c r="G6" s="84">
        <v>42939</v>
      </c>
      <c r="H6" s="84">
        <v>43002</v>
      </c>
      <c r="I6" s="85">
        <v>1</v>
      </c>
    </row>
    <row r="7" spans="1:9">
      <c r="A7" s="80">
        <v>6</v>
      </c>
      <c r="B7" s="81">
        <v>103879539</v>
      </c>
      <c r="C7" s="10" t="s">
        <v>257</v>
      </c>
      <c r="D7" s="82" t="s">
        <v>258</v>
      </c>
      <c r="E7" s="82" t="s">
        <v>259</v>
      </c>
      <c r="F7" s="83" t="s">
        <v>3</v>
      </c>
      <c r="G7" s="84">
        <v>42939</v>
      </c>
      <c r="H7" s="84">
        <v>43002</v>
      </c>
      <c r="I7" s="85">
        <v>1</v>
      </c>
    </row>
    <row r="8" spans="1:9">
      <c r="A8" s="80">
        <v>7</v>
      </c>
      <c r="B8" s="81">
        <v>104560403</v>
      </c>
      <c r="C8" s="10" t="s">
        <v>220</v>
      </c>
      <c r="D8" s="82" t="s">
        <v>221</v>
      </c>
      <c r="E8" s="82" t="s">
        <v>222</v>
      </c>
      <c r="F8" s="83" t="s">
        <v>3</v>
      </c>
      <c r="G8" s="84">
        <v>42939</v>
      </c>
      <c r="H8" s="84">
        <v>43002</v>
      </c>
      <c r="I8" s="85">
        <v>1</v>
      </c>
    </row>
    <row r="9" spans="1:9">
      <c r="A9" s="80">
        <v>8</v>
      </c>
      <c r="B9" s="81">
        <v>104860772</v>
      </c>
      <c r="C9" s="10" t="s">
        <v>338</v>
      </c>
      <c r="D9" s="82" t="s">
        <v>339</v>
      </c>
      <c r="E9" s="82" t="s">
        <v>340</v>
      </c>
      <c r="F9" s="83" t="s">
        <v>3</v>
      </c>
      <c r="G9" s="84">
        <v>42939</v>
      </c>
      <c r="H9" s="84">
        <v>43002</v>
      </c>
      <c r="I9" s="85">
        <v>1</v>
      </c>
    </row>
    <row r="10" spans="1:9">
      <c r="A10" s="80">
        <v>9</v>
      </c>
      <c r="B10" s="81">
        <v>104043341</v>
      </c>
      <c r="C10" s="10" t="s">
        <v>341</v>
      </c>
      <c r="D10" s="82" t="s">
        <v>342</v>
      </c>
      <c r="E10" s="82" t="s">
        <v>343</v>
      </c>
      <c r="F10" s="83" t="s">
        <v>3</v>
      </c>
      <c r="G10" s="84">
        <v>42939</v>
      </c>
      <c r="H10" s="84">
        <v>43002</v>
      </c>
      <c r="I10" s="85">
        <v>1</v>
      </c>
    </row>
    <row r="11" spans="1:9">
      <c r="A11" s="80">
        <v>10</v>
      </c>
      <c r="B11" s="81">
        <v>102958638</v>
      </c>
      <c r="C11" s="10" t="s">
        <v>344</v>
      </c>
      <c r="D11" s="82" t="s">
        <v>345</v>
      </c>
      <c r="E11" s="82" t="s">
        <v>346</v>
      </c>
      <c r="F11" s="83" t="s">
        <v>3</v>
      </c>
      <c r="G11" s="84">
        <v>42939</v>
      </c>
      <c r="H11" s="84">
        <v>43002</v>
      </c>
      <c r="I11" s="85">
        <v>1</v>
      </c>
    </row>
    <row r="12" spans="1:9">
      <c r="A12" s="80">
        <v>11</v>
      </c>
      <c r="B12" s="81">
        <v>104496580</v>
      </c>
      <c r="C12" s="10" t="s">
        <v>347</v>
      </c>
      <c r="D12" s="82" t="s">
        <v>101</v>
      </c>
      <c r="E12" s="82" t="s">
        <v>348</v>
      </c>
      <c r="F12" s="83" t="s">
        <v>3</v>
      </c>
      <c r="G12" s="84">
        <v>42939</v>
      </c>
      <c r="H12" s="84">
        <v>43002</v>
      </c>
      <c r="I12" s="85">
        <v>1</v>
      </c>
    </row>
    <row r="13" spans="1:9">
      <c r="A13" s="80">
        <v>12</v>
      </c>
      <c r="B13" s="81">
        <v>104623339</v>
      </c>
      <c r="C13" s="10" t="s">
        <v>349</v>
      </c>
      <c r="D13" s="82" t="s">
        <v>350</v>
      </c>
      <c r="E13" s="82" t="s">
        <v>351</v>
      </c>
      <c r="F13" s="83" t="s">
        <v>3</v>
      </c>
      <c r="G13" s="84">
        <v>42939</v>
      </c>
      <c r="H13" s="84">
        <v>43002</v>
      </c>
      <c r="I13" s="85">
        <v>1</v>
      </c>
    </row>
    <row r="14" spans="1:9">
      <c r="A14" s="80">
        <v>13</v>
      </c>
      <c r="B14" s="81">
        <v>104901214</v>
      </c>
      <c r="C14" s="10" t="s">
        <v>352</v>
      </c>
      <c r="D14" s="82" t="s">
        <v>353</v>
      </c>
      <c r="E14" s="82" t="s">
        <v>354</v>
      </c>
      <c r="F14" s="83" t="s">
        <v>3</v>
      </c>
      <c r="G14" s="84">
        <v>42939</v>
      </c>
      <c r="H14" s="84">
        <v>43002</v>
      </c>
      <c r="I14" s="85">
        <v>1</v>
      </c>
    </row>
    <row r="15" spans="1:9">
      <c r="A15" s="80">
        <v>14</v>
      </c>
      <c r="B15" s="81">
        <v>104496367</v>
      </c>
      <c r="C15" s="10" t="s">
        <v>355</v>
      </c>
      <c r="D15" s="82" t="s">
        <v>356</v>
      </c>
      <c r="E15" s="82" t="s">
        <v>357</v>
      </c>
      <c r="F15" s="83" t="s">
        <v>3</v>
      </c>
      <c r="G15" s="84">
        <v>42939</v>
      </c>
      <c r="H15" s="84">
        <v>43002</v>
      </c>
      <c r="I15" s="85">
        <v>1</v>
      </c>
    </row>
    <row r="16" spans="1:9">
      <c r="A16" s="80">
        <v>15</v>
      </c>
      <c r="B16" s="81">
        <v>101556632</v>
      </c>
      <c r="C16" s="10" t="s">
        <v>358</v>
      </c>
      <c r="D16" s="82" t="s">
        <v>359</v>
      </c>
      <c r="E16" s="82" t="s">
        <v>360</v>
      </c>
      <c r="F16" s="83" t="s">
        <v>3</v>
      </c>
      <c r="G16" s="84">
        <v>42939</v>
      </c>
      <c r="H16" s="84">
        <v>43002</v>
      </c>
      <c r="I16" s="85">
        <v>1</v>
      </c>
    </row>
    <row r="17" spans="1:9">
      <c r="A17" s="80">
        <v>16</v>
      </c>
      <c r="B17" s="86">
        <v>800176049</v>
      </c>
      <c r="C17" s="12" t="s">
        <v>338</v>
      </c>
      <c r="D17" s="87" t="s">
        <v>339</v>
      </c>
      <c r="E17" s="87" t="s">
        <v>340</v>
      </c>
      <c r="F17" s="88" t="s">
        <v>3</v>
      </c>
      <c r="G17" s="89">
        <v>42939</v>
      </c>
      <c r="H17" s="89">
        <v>43002</v>
      </c>
      <c r="I17" s="90">
        <v>1</v>
      </c>
    </row>
    <row r="18" spans="1:9">
      <c r="C18" s="1" t="s">
        <v>361</v>
      </c>
      <c r="G18" s="21" t="s">
        <v>68</v>
      </c>
      <c r="H18" s="7">
        <f>MIN(H$2:H17)</f>
        <v>43002</v>
      </c>
      <c r="I18" s="1" t="s">
        <v>362</v>
      </c>
    </row>
    <row r="19" spans="1:9">
      <c r="C19" s="1" t="s">
        <v>69</v>
      </c>
      <c r="I19" s="21" t="s">
        <v>70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1"/>
  <dimension ref="A1:I15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20" sqref="C20"/>
    </sheetView>
  </sheetViews>
  <sheetFormatPr defaultRowHeight="14.4"/>
  <cols>
    <col min="1" max="1" width="3.5546875" style="2" bestFit="1" customWidth="1"/>
    <col min="2" max="2" width="11.6640625" style="15" bestFit="1" customWidth="1"/>
    <col min="3" max="3" width="42.44140625" style="1" customWidth="1"/>
    <col min="4" max="4" width="23.77734375" style="1" customWidth="1"/>
    <col min="5" max="5" width="9.5546875" style="1" bestFit="1" customWidth="1"/>
    <col min="6" max="6" width="9.5546875" style="2" bestFit="1" customWidth="1"/>
    <col min="7" max="7" width="12.77734375" style="1" customWidth="1"/>
    <col min="8" max="8" width="11.6640625" style="1" bestFit="1" customWidth="1"/>
    <col min="9" max="9" width="8.77734375" style="2" customWidth="1"/>
    <col min="10" max="16384" width="8.88671875" style="1"/>
  </cols>
  <sheetData>
    <row r="1" spans="1:9">
      <c r="A1" s="22" t="s">
        <v>392</v>
      </c>
      <c r="B1" s="23" t="s">
        <v>8</v>
      </c>
      <c r="C1" s="24" t="s">
        <v>9</v>
      </c>
      <c r="D1" s="24" t="s">
        <v>10</v>
      </c>
      <c r="E1" s="24" t="s">
        <v>11</v>
      </c>
      <c r="F1" s="25" t="s">
        <v>12</v>
      </c>
      <c r="G1" s="24" t="s">
        <v>13</v>
      </c>
      <c r="H1" s="24" t="s">
        <v>14</v>
      </c>
      <c r="I1" s="26"/>
    </row>
    <row r="2" spans="1:9">
      <c r="A2" s="16">
        <v>1</v>
      </c>
      <c r="B2" s="13">
        <v>104391516</v>
      </c>
      <c r="C2" s="10" t="s">
        <v>363</v>
      </c>
      <c r="D2" s="10" t="s">
        <v>364</v>
      </c>
      <c r="E2" s="10" t="s">
        <v>365</v>
      </c>
      <c r="F2" s="8" t="s">
        <v>3</v>
      </c>
      <c r="G2" s="5">
        <v>42988</v>
      </c>
      <c r="H2" s="5">
        <v>43051</v>
      </c>
      <c r="I2" s="3">
        <v>1</v>
      </c>
    </row>
    <row r="3" spans="1:9">
      <c r="A3" s="16">
        <v>2</v>
      </c>
      <c r="B3" s="13">
        <v>103348374</v>
      </c>
      <c r="C3" s="10" t="s">
        <v>366</v>
      </c>
      <c r="D3" s="10" t="s">
        <v>367</v>
      </c>
      <c r="E3" s="10" t="s">
        <v>368</v>
      </c>
      <c r="F3" s="8" t="s">
        <v>3</v>
      </c>
      <c r="G3" s="5">
        <v>42988</v>
      </c>
      <c r="H3" s="5">
        <v>43051</v>
      </c>
      <c r="I3" s="3">
        <v>1</v>
      </c>
    </row>
    <row r="4" spans="1:9">
      <c r="A4" s="16">
        <v>3</v>
      </c>
      <c r="B4" s="13">
        <v>800161908</v>
      </c>
      <c r="C4" s="10" t="s">
        <v>369</v>
      </c>
      <c r="D4" s="10" t="s">
        <v>370</v>
      </c>
      <c r="E4" s="10" t="s">
        <v>371</v>
      </c>
      <c r="F4" s="8" t="s">
        <v>3</v>
      </c>
      <c r="G4" s="5">
        <v>42988</v>
      </c>
      <c r="H4" s="5">
        <v>43051</v>
      </c>
      <c r="I4" s="3">
        <v>1</v>
      </c>
    </row>
    <row r="5" spans="1:9">
      <c r="A5" s="16">
        <v>4</v>
      </c>
      <c r="B5" s="13">
        <v>103749477</v>
      </c>
      <c r="C5" s="10" t="s">
        <v>372</v>
      </c>
      <c r="D5" s="10" t="s">
        <v>373</v>
      </c>
      <c r="E5" s="10" t="s">
        <v>374</v>
      </c>
      <c r="F5" s="8" t="s">
        <v>3</v>
      </c>
      <c r="G5" s="5">
        <v>42988</v>
      </c>
      <c r="H5" s="5">
        <v>43051</v>
      </c>
      <c r="I5" s="3">
        <v>1</v>
      </c>
    </row>
    <row r="6" spans="1:9">
      <c r="A6" s="16">
        <v>5</v>
      </c>
      <c r="B6" s="13">
        <v>104000517</v>
      </c>
      <c r="C6" s="10" t="s">
        <v>369</v>
      </c>
      <c r="D6" s="10" t="s">
        <v>370</v>
      </c>
      <c r="E6" s="10" t="s">
        <v>371</v>
      </c>
      <c r="F6" s="8" t="s">
        <v>3</v>
      </c>
      <c r="G6" s="5">
        <v>42988</v>
      </c>
      <c r="H6" s="5">
        <v>43051</v>
      </c>
      <c r="I6" s="3">
        <v>1</v>
      </c>
    </row>
    <row r="7" spans="1:9">
      <c r="A7" s="16">
        <v>6</v>
      </c>
      <c r="B7" s="13">
        <v>104648971</v>
      </c>
      <c r="C7" s="10" t="s">
        <v>375</v>
      </c>
      <c r="D7" s="10" t="s">
        <v>376</v>
      </c>
      <c r="E7" s="10" t="s">
        <v>377</v>
      </c>
      <c r="F7" s="8" t="s">
        <v>3</v>
      </c>
      <c r="G7" s="5">
        <v>42988</v>
      </c>
      <c r="H7" s="5">
        <v>43051</v>
      </c>
      <c r="I7" s="3">
        <v>1</v>
      </c>
    </row>
    <row r="8" spans="1:9">
      <c r="A8" s="16">
        <v>7</v>
      </c>
      <c r="B8" s="13">
        <v>800024392</v>
      </c>
      <c r="C8" s="10" t="s">
        <v>378</v>
      </c>
      <c r="D8" s="10" t="s">
        <v>379</v>
      </c>
      <c r="E8" s="10" t="s">
        <v>380</v>
      </c>
      <c r="F8" s="8" t="s">
        <v>3</v>
      </c>
      <c r="G8" s="5">
        <v>42988</v>
      </c>
      <c r="H8" s="5">
        <v>43051</v>
      </c>
      <c r="I8" s="3">
        <v>1</v>
      </c>
    </row>
    <row r="9" spans="1:9">
      <c r="A9" s="16">
        <v>8</v>
      </c>
      <c r="B9" s="13">
        <v>102726533</v>
      </c>
      <c r="C9" s="10" t="s">
        <v>381</v>
      </c>
      <c r="D9" s="10" t="s">
        <v>382</v>
      </c>
      <c r="E9" s="10" t="s">
        <v>383</v>
      </c>
      <c r="F9" s="8" t="s">
        <v>3</v>
      </c>
      <c r="G9" s="5">
        <v>42988</v>
      </c>
      <c r="H9" s="5">
        <v>43051</v>
      </c>
      <c r="I9" s="3">
        <v>1</v>
      </c>
    </row>
    <row r="10" spans="1:9">
      <c r="A10" s="16">
        <v>9</v>
      </c>
      <c r="B10" s="13">
        <v>100629079</v>
      </c>
      <c r="C10" s="10" t="s">
        <v>378</v>
      </c>
      <c r="D10" s="10" t="s">
        <v>379</v>
      </c>
      <c r="E10" s="10" t="s">
        <v>380</v>
      </c>
      <c r="F10" s="8" t="s">
        <v>3</v>
      </c>
      <c r="G10" s="5">
        <v>42988</v>
      </c>
      <c r="H10" s="5">
        <v>43051</v>
      </c>
      <c r="I10" s="3">
        <v>1</v>
      </c>
    </row>
    <row r="11" spans="1:9">
      <c r="A11" s="16">
        <v>10</v>
      </c>
      <c r="B11" s="13">
        <v>104481436</v>
      </c>
      <c r="C11" s="10" t="s">
        <v>384</v>
      </c>
      <c r="D11" s="10" t="s">
        <v>181</v>
      </c>
      <c r="E11" s="10" t="s">
        <v>385</v>
      </c>
      <c r="F11" s="8" t="s">
        <v>3</v>
      </c>
      <c r="G11" s="5">
        <v>42988</v>
      </c>
      <c r="H11" s="5">
        <v>43051</v>
      </c>
      <c r="I11" s="3">
        <v>1</v>
      </c>
    </row>
    <row r="12" spans="1:9">
      <c r="A12" s="16">
        <v>11</v>
      </c>
      <c r="B12" s="13">
        <v>102697757</v>
      </c>
      <c r="C12" s="10" t="s">
        <v>386</v>
      </c>
      <c r="D12" s="10" t="s">
        <v>387</v>
      </c>
      <c r="E12" s="10" t="s">
        <v>388</v>
      </c>
      <c r="F12" s="8" t="s">
        <v>3</v>
      </c>
      <c r="G12" s="5">
        <v>42988</v>
      </c>
      <c r="H12" s="5">
        <v>43051</v>
      </c>
      <c r="I12" s="3">
        <v>1</v>
      </c>
    </row>
    <row r="13" spans="1:9">
      <c r="A13" s="16">
        <v>12</v>
      </c>
      <c r="B13" s="14">
        <v>104239960</v>
      </c>
      <c r="C13" s="12" t="s">
        <v>389</v>
      </c>
      <c r="D13" s="12" t="s">
        <v>390</v>
      </c>
      <c r="E13" s="12" t="s">
        <v>391</v>
      </c>
      <c r="F13" s="9" t="s">
        <v>3</v>
      </c>
      <c r="G13" s="6">
        <v>42988</v>
      </c>
      <c r="H13" s="6">
        <v>43051</v>
      </c>
      <c r="I13" s="4">
        <v>1</v>
      </c>
    </row>
    <row r="14" spans="1:9">
      <c r="C14" s="1" t="s">
        <v>103</v>
      </c>
      <c r="G14" s="21" t="s">
        <v>68</v>
      </c>
      <c r="H14" s="7">
        <f>MIN(H$2:H13)</f>
        <v>43051</v>
      </c>
      <c r="I14" s="1" t="s">
        <v>394</v>
      </c>
    </row>
    <row r="15" spans="1:9">
      <c r="C15" s="1" t="s">
        <v>393</v>
      </c>
      <c r="I15" s="21" t="s">
        <v>70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2"/>
  <dimension ref="A1:I18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9" sqref="D19"/>
    </sheetView>
  </sheetViews>
  <sheetFormatPr defaultRowHeight="14.4"/>
  <cols>
    <col min="1" max="1" width="3.5546875" style="2" bestFit="1" customWidth="1"/>
    <col min="2" max="2" width="15" style="15" bestFit="1" customWidth="1"/>
    <col min="3" max="3" width="30.77734375" style="1" customWidth="1"/>
    <col min="4" max="4" width="23.77734375" style="1" customWidth="1"/>
    <col min="5" max="5" width="9.5546875" style="1" bestFit="1" customWidth="1"/>
    <col min="6" max="6" width="9.5546875" style="2" bestFit="1" customWidth="1"/>
    <col min="7" max="7" width="12.77734375" style="1" customWidth="1"/>
    <col min="8" max="8" width="11.6640625" style="1" bestFit="1" customWidth="1"/>
    <col min="9" max="9" width="8.77734375" style="2" customWidth="1"/>
    <col min="10" max="16384" width="8.88671875" style="1"/>
  </cols>
  <sheetData>
    <row r="1" spans="1:9">
      <c r="A1" s="22" t="s">
        <v>423</v>
      </c>
      <c r="B1" s="23" t="s">
        <v>8</v>
      </c>
      <c r="C1" s="24" t="s">
        <v>9</v>
      </c>
      <c r="D1" s="24" t="s">
        <v>10</v>
      </c>
      <c r="E1" s="24" t="s">
        <v>11</v>
      </c>
      <c r="F1" s="25" t="s">
        <v>12</v>
      </c>
      <c r="G1" s="24" t="s">
        <v>13</v>
      </c>
      <c r="H1" s="24" t="s">
        <v>14</v>
      </c>
      <c r="I1" s="26"/>
    </row>
    <row r="2" spans="1:9">
      <c r="A2" s="16">
        <v>1</v>
      </c>
      <c r="B2" s="13">
        <v>102585148</v>
      </c>
      <c r="C2" s="10" t="s">
        <v>395</v>
      </c>
      <c r="D2" s="10" t="s">
        <v>396</v>
      </c>
      <c r="E2" s="10" t="s">
        <v>397</v>
      </c>
      <c r="F2" s="8" t="s">
        <v>3</v>
      </c>
      <c r="G2" s="5">
        <v>43029</v>
      </c>
      <c r="H2" s="5">
        <v>43091</v>
      </c>
      <c r="I2" s="3">
        <v>1</v>
      </c>
    </row>
    <row r="3" spans="1:9">
      <c r="A3" s="16">
        <v>2</v>
      </c>
      <c r="B3" s="13">
        <v>104924396</v>
      </c>
      <c r="C3" s="10" t="s">
        <v>398</v>
      </c>
      <c r="D3" s="10" t="s">
        <v>399</v>
      </c>
      <c r="E3" s="10" t="s">
        <v>400</v>
      </c>
      <c r="F3" s="8" t="s">
        <v>3</v>
      </c>
      <c r="G3" s="5">
        <v>43029</v>
      </c>
      <c r="H3" s="5">
        <v>43091</v>
      </c>
      <c r="I3" s="3">
        <v>1</v>
      </c>
    </row>
    <row r="4" spans="1:9">
      <c r="A4" s="16">
        <v>3</v>
      </c>
      <c r="B4" s="13">
        <v>104203248</v>
      </c>
      <c r="C4" s="10" t="s">
        <v>401</v>
      </c>
      <c r="D4" s="10" t="s">
        <v>402</v>
      </c>
      <c r="E4" s="10" t="s">
        <v>403</v>
      </c>
      <c r="F4" s="8" t="s">
        <v>3</v>
      </c>
      <c r="G4" s="5">
        <v>43029</v>
      </c>
      <c r="H4" s="5">
        <v>43091</v>
      </c>
      <c r="I4" s="3">
        <v>1</v>
      </c>
    </row>
    <row r="5" spans="1:9">
      <c r="A5" s="16">
        <v>4</v>
      </c>
      <c r="B5" s="13">
        <v>800103377</v>
      </c>
      <c r="C5" s="10" t="s">
        <v>404</v>
      </c>
      <c r="D5" s="10" t="s">
        <v>405</v>
      </c>
      <c r="E5" s="10" t="s">
        <v>406</v>
      </c>
      <c r="F5" s="8" t="s">
        <v>3</v>
      </c>
      <c r="G5" s="5">
        <v>43029</v>
      </c>
      <c r="H5" s="5">
        <v>43091</v>
      </c>
      <c r="I5" s="3">
        <v>1</v>
      </c>
    </row>
    <row r="6" spans="1:9">
      <c r="A6" s="16">
        <v>5</v>
      </c>
      <c r="B6" s="13">
        <v>800143378</v>
      </c>
      <c r="C6" s="10" t="s">
        <v>407</v>
      </c>
      <c r="D6" s="10" t="s">
        <v>408</v>
      </c>
      <c r="E6" s="10" t="s">
        <v>409</v>
      </c>
      <c r="F6" s="8" t="s">
        <v>3</v>
      </c>
      <c r="G6" s="5">
        <v>43029</v>
      </c>
      <c r="H6" s="5">
        <v>43091</v>
      </c>
      <c r="I6" s="3">
        <v>1</v>
      </c>
    </row>
    <row r="7" spans="1:9">
      <c r="A7" s="16">
        <v>6</v>
      </c>
      <c r="B7" s="13">
        <v>102506747</v>
      </c>
      <c r="C7" s="10" t="s">
        <v>404</v>
      </c>
      <c r="D7" s="10" t="s">
        <v>405</v>
      </c>
      <c r="E7" s="10" t="s">
        <v>406</v>
      </c>
      <c r="F7" s="8" t="s">
        <v>3</v>
      </c>
      <c r="G7" s="5">
        <v>43029</v>
      </c>
      <c r="H7" s="5">
        <v>43091</v>
      </c>
      <c r="I7" s="3">
        <v>1</v>
      </c>
    </row>
    <row r="8" spans="1:9">
      <c r="A8" s="16">
        <v>7</v>
      </c>
      <c r="B8" s="13">
        <v>104483624</v>
      </c>
      <c r="C8" s="10" t="s">
        <v>375</v>
      </c>
      <c r="D8" s="10" t="s">
        <v>376</v>
      </c>
      <c r="E8" s="10" t="s">
        <v>377</v>
      </c>
      <c r="F8" s="8" t="s">
        <v>3</v>
      </c>
      <c r="G8" s="5">
        <v>43029</v>
      </c>
      <c r="H8" s="5">
        <v>43091</v>
      </c>
      <c r="I8" s="3">
        <v>1</v>
      </c>
    </row>
    <row r="9" spans="1:9">
      <c r="A9" s="16">
        <v>8</v>
      </c>
      <c r="B9" s="13">
        <v>800173227</v>
      </c>
      <c r="C9" s="10" t="s">
        <v>375</v>
      </c>
      <c r="D9" s="10" t="s">
        <v>376</v>
      </c>
      <c r="E9" s="10" t="s">
        <v>377</v>
      </c>
      <c r="F9" s="8" t="s">
        <v>3</v>
      </c>
      <c r="G9" s="5">
        <v>43029</v>
      </c>
      <c r="H9" s="5">
        <v>43091</v>
      </c>
      <c r="I9" s="3">
        <v>1</v>
      </c>
    </row>
    <row r="10" spans="1:9">
      <c r="A10" s="16">
        <v>9</v>
      </c>
      <c r="B10" s="13">
        <v>103920501</v>
      </c>
      <c r="C10" s="10" t="s">
        <v>410</v>
      </c>
      <c r="D10" s="10" t="s">
        <v>411</v>
      </c>
      <c r="E10" s="10" t="s">
        <v>412</v>
      </c>
      <c r="F10" s="8" t="s">
        <v>3</v>
      </c>
      <c r="G10" s="5">
        <v>43029</v>
      </c>
      <c r="H10" s="5">
        <v>43091</v>
      </c>
      <c r="I10" s="3">
        <v>1</v>
      </c>
    </row>
    <row r="11" spans="1:9">
      <c r="A11" s="16">
        <v>10</v>
      </c>
      <c r="B11" s="13">
        <v>103547558</v>
      </c>
      <c r="C11" s="10" t="s">
        <v>407</v>
      </c>
      <c r="D11" s="10" t="s">
        <v>408</v>
      </c>
      <c r="E11" s="10" t="s">
        <v>409</v>
      </c>
      <c r="F11" s="8" t="s">
        <v>3</v>
      </c>
      <c r="G11" s="5">
        <v>43029</v>
      </c>
      <c r="H11" s="5">
        <v>43091</v>
      </c>
      <c r="I11" s="3">
        <v>1</v>
      </c>
    </row>
    <row r="12" spans="1:9">
      <c r="A12" s="16">
        <v>11</v>
      </c>
      <c r="B12" s="13">
        <v>102727340</v>
      </c>
      <c r="C12" s="10" t="s">
        <v>413</v>
      </c>
      <c r="D12" s="10" t="s">
        <v>414</v>
      </c>
      <c r="E12" s="10" t="s">
        <v>415</v>
      </c>
      <c r="F12" s="8" t="s">
        <v>3</v>
      </c>
      <c r="G12" s="5">
        <v>43029</v>
      </c>
      <c r="H12" s="5">
        <v>43091</v>
      </c>
      <c r="I12" s="3">
        <v>1</v>
      </c>
    </row>
    <row r="13" spans="1:9">
      <c r="A13" s="16">
        <v>12</v>
      </c>
      <c r="B13" s="13">
        <v>104412631</v>
      </c>
      <c r="C13" s="10" t="s">
        <v>425</v>
      </c>
      <c r="D13" s="10" t="s">
        <v>416</v>
      </c>
      <c r="E13" s="10" t="s">
        <v>426</v>
      </c>
      <c r="F13" s="8" t="s">
        <v>3</v>
      </c>
      <c r="G13" s="5">
        <v>43026</v>
      </c>
      <c r="H13" s="5">
        <v>43088</v>
      </c>
      <c r="I13" s="3">
        <v>1</v>
      </c>
    </row>
    <row r="14" spans="1:9">
      <c r="A14" s="16">
        <v>13</v>
      </c>
      <c r="B14" s="13">
        <v>100134776</v>
      </c>
      <c r="C14" s="10" t="s">
        <v>427</v>
      </c>
      <c r="D14" s="10" t="s">
        <v>428</v>
      </c>
      <c r="E14" s="10" t="s">
        <v>429</v>
      </c>
      <c r="F14" s="8" t="s">
        <v>3</v>
      </c>
      <c r="G14" s="5">
        <v>43026</v>
      </c>
      <c r="H14" s="5">
        <v>43088</v>
      </c>
      <c r="I14" s="3">
        <v>1</v>
      </c>
    </row>
    <row r="15" spans="1:9">
      <c r="A15" s="16">
        <v>14</v>
      </c>
      <c r="B15" s="13">
        <v>700100144140</v>
      </c>
      <c r="C15" s="10" t="s">
        <v>417</v>
      </c>
      <c r="D15" s="10" t="s">
        <v>418</v>
      </c>
      <c r="E15" s="10" t="s">
        <v>419</v>
      </c>
      <c r="F15" s="8" t="s">
        <v>3</v>
      </c>
      <c r="G15" s="5">
        <v>43026</v>
      </c>
      <c r="H15" s="5">
        <v>43088</v>
      </c>
      <c r="I15" s="3">
        <v>1</v>
      </c>
    </row>
    <row r="16" spans="1:9">
      <c r="A16" s="16">
        <v>15</v>
      </c>
      <c r="B16" s="14">
        <v>700100155276</v>
      </c>
      <c r="C16" s="12" t="s">
        <v>420</v>
      </c>
      <c r="D16" s="12" t="s">
        <v>421</v>
      </c>
      <c r="E16" s="12" t="s">
        <v>422</v>
      </c>
      <c r="F16" s="9" t="s">
        <v>3</v>
      </c>
      <c r="G16" s="6">
        <v>43026</v>
      </c>
      <c r="H16" s="6">
        <v>43088</v>
      </c>
      <c r="I16" s="4">
        <v>1</v>
      </c>
    </row>
    <row r="17" spans="3:9">
      <c r="C17" s="1" t="s">
        <v>136</v>
      </c>
      <c r="G17" s="21" t="s">
        <v>68</v>
      </c>
      <c r="H17" s="7">
        <f>MIN(H$2:H16)</f>
        <v>43088</v>
      </c>
      <c r="I17" s="1" t="s">
        <v>424</v>
      </c>
    </row>
    <row r="18" spans="3:9">
      <c r="C18" s="1" t="s">
        <v>69</v>
      </c>
      <c r="I18" s="21" t="s">
        <v>70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3"/>
  <dimension ref="A1:I1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H1" sqref="H1:H1048576"/>
    </sheetView>
  </sheetViews>
  <sheetFormatPr defaultRowHeight="14.4"/>
  <cols>
    <col min="1" max="1" width="3.5546875" style="2" bestFit="1" customWidth="1"/>
    <col min="2" max="2" width="15" style="15" bestFit="1" customWidth="1"/>
    <col min="3" max="3" width="30.77734375" style="1" customWidth="1"/>
    <col min="4" max="4" width="23.77734375" style="1" customWidth="1"/>
    <col min="5" max="5" width="13.88671875" style="1" bestFit="1" customWidth="1"/>
    <col min="6" max="6" width="9.5546875" style="2" bestFit="1" customWidth="1"/>
    <col min="7" max="7" width="12.77734375" style="1" customWidth="1"/>
    <col min="8" max="8" width="11.6640625" style="1" bestFit="1" customWidth="1"/>
    <col min="9" max="9" width="8.77734375" style="2" customWidth="1"/>
    <col min="10" max="16384" width="8.88671875" style="1"/>
  </cols>
  <sheetData>
    <row r="1" spans="1:9">
      <c r="A1" s="22" t="s">
        <v>511</v>
      </c>
      <c r="B1" s="23" t="s">
        <v>8</v>
      </c>
      <c r="C1" s="24" t="s">
        <v>9</v>
      </c>
      <c r="D1" s="24" t="s">
        <v>10</v>
      </c>
      <c r="E1" s="24" t="s">
        <v>11</v>
      </c>
      <c r="F1" s="25" t="s">
        <v>518</v>
      </c>
      <c r="G1" s="24" t="s">
        <v>13</v>
      </c>
      <c r="H1" s="24" t="s">
        <v>14</v>
      </c>
      <c r="I1" s="26"/>
    </row>
    <row r="2" spans="1:9">
      <c r="A2" s="16">
        <v>1</v>
      </c>
      <c r="B2" s="13">
        <v>800123989</v>
      </c>
      <c r="C2" s="10" t="s">
        <v>430</v>
      </c>
      <c r="D2" s="10" t="s">
        <v>431</v>
      </c>
      <c r="E2" s="10" t="s">
        <v>432</v>
      </c>
      <c r="F2" s="135">
        <f t="shared" ref="F2:F11" ca="1" si="0">ROUND(H2-NOW(),0)-1</f>
        <v>-190</v>
      </c>
      <c r="G2" s="5">
        <v>43048</v>
      </c>
      <c r="H2" s="5">
        <v>43110</v>
      </c>
      <c r="I2" s="3">
        <v>1</v>
      </c>
    </row>
    <row r="3" spans="1:9">
      <c r="A3" s="16">
        <v>2</v>
      </c>
      <c r="B3" s="13">
        <v>104526231</v>
      </c>
      <c r="C3" s="10" t="s">
        <v>430</v>
      </c>
      <c r="D3" s="10" t="s">
        <v>431</v>
      </c>
      <c r="E3" s="10" t="s">
        <v>432</v>
      </c>
      <c r="F3" s="135">
        <f t="shared" ca="1" si="0"/>
        <v>-190</v>
      </c>
      <c r="G3" s="5">
        <v>43048</v>
      </c>
      <c r="H3" s="5">
        <v>43110</v>
      </c>
      <c r="I3" s="3">
        <v>1</v>
      </c>
    </row>
    <row r="4" spans="1:9">
      <c r="A4" s="16">
        <v>3</v>
      </c>
      <c r="B4" s="13">
        <v>103905753</v>
      </c>
      <c r="C4" s="10" t="s">
        <v>433</v>
      </c>
      <c r="D4" s="10" t="s">
        <v>434</v>
      </c>
      <c r="E4" s="10" t="s">
        <v>435</v>
      </c>
      <c r="F4" s="135">
        <f t="shared" ca="1" si="0"/>
        <v>-190</v>
      </c>
      <c r="G4" s="5">
        <v>43048</v>
      </c>
      <c r="H4" s="5">
        <v>43110</v>
      </c>
      <c r="I4" s="3">
        <v>1</v>
      </c>
    </row>
    <row r="5" spans="1:9">
      <c r="A5" s="16">
        <v>4</v>
      </c>
      <c r="B5" s="13">
        <v>104497235</v>
      </c>
      <c r="C5" s="10" t="s">
        <v>436</v>
      </c>
      <c r="D5" s="10" t="s">
        <v>437</v>
      </c>
      <c r="E5" s="10" t="s">
        <v>438</v>
      </c>
      <c r="F5" s="135">
        <f t="shared" ca="1" si="0"/>
        <v>-190</v>
      </c>
      <c r="G5" s="5">
        <v>43048</v>
      </c>
      <c r="H5" s="5">
        <v>43110</v>
      </c>
      <c r="I5" s="3">
        <v>1</v>
      </c>
    </row>
    <row r="6" spans="1:9">
      <c r="A6" s="16">
        <v>5</v>
      </c>
      <c r="B6" s="13">
        <v>700100129020</v>
      </c>
      <c r="C6" s="10" t="s">
        <v>439</v>
      </c>
      <c r="D6" s="10" t="s">
        <v>440</v>
      </c>
      <c r="E6" s="10" t="s">
        <v>441</v>
      </c>
      <c r="F6" s="135">
        <f t="shared" ca="1" si="0"/>
        <v>-192</v>
      </c>
      <c r="G6" s="5">
        <v>43046</v>
      </c>
      <c r="H6" s="5">
        <v>43108</v>
      </c>
      <c r="I6" s="3">
        <v>1</v>
      </c>
    </row>
    <row r="7" spans="1:9">
      <c r="A7" s="16">
        <v>6</v>
      </c>
      <c r="B7" s="13">
        <v>700100164576</v>
      </c>
      <c r="C7" s="10" t="s">
        <v>442</v>
      </c>
      <c r="D7" s="10" t="s">
        <v>443</v>
      </c>
      <c r="E7" s="10" t="s">
        <v>444</v>
      </c>
      <c r="F7" s="135">
        <f t="shared" ca="1" si="0"/>
        <v>-192</v>
      </c>
      <c r="G7" s="5">
        <v>43046</v>
      </c>
      <c r="H7" s="5">
        <v>43108</v>
      </c>
      <c r="I7" s="3">
        <v>1</v>
      </c>
    </row>
    <row r="8" spans="1:9">
      <c r="A8" s="16">
        <v>7</v>
      </c>
      <c r="B8" s="13">
        <v>700100164603</v>
      </c>
      <c r="C8" s="10" t="s">
        <v>445</v>
      </c>
      <c r="D8" s="10" t="s">
        <v>443</v>
      </c>
      <c r="E8" s="10" t="s">
        <v>444</v>
      </c>
      <c r="F8" s="135">
        <f t="shared" ca="1" si="0"/>
        <v>-192</v>
      </c>
      <c r="G8" s="5">
        <v>43046</v>
      </c>
      <c r="H8" s="5">
        <v>43108</v>
      </c>
      <c r="I8" s="3">
        <v>1</v>
      </c>
    </row>
    <row r="9" spans="1:9">
      <c r="A9" s="16">
        <v>8</v>
      </c>
      <c r="B9" s="13">
        <v>800143378</v>
      </c>
      <c r="C9" s="10" t="s">
        <v>407</v>
      </c>
      <c r="D9" s="10" t="s">
        <v>408</v>
      </c>
      <c r="E9" s="10" t="s">
        <v>409</v>
      </c>
      <c r="F9" s="135">
        <f t="shared" ca="1" si="0"/>
        <v>-209</v>
      </c>
      <c r="G9" s="5">
        <v>43029</v>
      </c>
      <c r="H9" s="5">
        <v>43091</v>
      </c>
      <c r="I9" s="3">
        <v>1</v>
      </c>
    </row>
    <row r="10" spans="1:9">
      <c r="A10" s="16">
        <v>9</v>
      </c>
      <c r="B10" s="13">
        <v>103547558</v>
      </c>
      <c r="C10" s="10" t="s">
        <v>407</v>
      </c>
      <c r="D10" s="10" t="s">
        <v>408</v>
      </c>
      <c r="E10" s="10" t="s">
        <v>409</v>
      </c>
      <c r="F10" s="135">
        <f t="shared" ca="1" si="0"/>
        <v>-209</v>
      </c>
      <c r="G10" s="5">
        <v>43029</v>
      </c>
      <c r="H10" s="5">
        <v>43091</v>
      </c>
      <c r="I10" s="3">
        <v>1</v>
      </c>
    </row>
    <row r="11" spans="1:9">
      <c r="A11" s="16">
        <v>10</v>
      </c>
      <c r="B11" s="14">
        <v>700100155276</v>
      </c>
      <c r="C11" s="12" t="s">
        <v>420</v>
      </c>
      <c r="D11" s="12" t="s">
        <v>421</v>
      </c>
      <c r="E11" s="12" t="s">
        <v>422</v>
      </c>
      <c r="F11" s="136">
        <f t="shared" ca="1" si="0"/>
        <v>-212</v>
      </c>
      <c r="G11" s="6">
        <v>43026</v>
      </c>
      <c r="H11" s="6">
        <v>43088</v>
      </c>
      <c r="I11" s="4">
        <v>1</v>
      </c>
    </row>
    <row r="12" spans="1:9">
      <c r="C12" s="1" t="s">
        <v>519</v>
      </c>
      <c r="G12" s="21" t="s">
        <v>520</v>
      </c>
      <c r="H12" s="7">
        <f>MIN(H$2:H11)</f>
        <v>43088</v>
      </c>
      <c r="I12" s="1" t="s">
        <v>523</v>
      </c>
    </row>
    <row r="13" spans="1:9">
      <c r="C13" s="1" t="s">
        <v>521</v>
      </c>
      <c r="I13" s="21" t="s">
        <v>522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6"/>
  <dimension ref="A1:K16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H17" sqref="H17"/>
    </sheetView>
  </sheetViews>
  <sheetFormatPr defaultRowHeight="14.4"/>
  <cols>
    <col min="1" max="1" width="3.5546875" style="2" bestFit="1" customWidth="1"/>
    <col min="2" max="2" width="15" style="15" bestFit="1" customWidth="1"/>
    <col min="3" max="3" width="30.77734375" style="1" customWidth="1"/>
    <col min="4" max="4" width="13.88671875" style="1" bestFit="1" customWidth="1"/>
    <col min="5" max="5" width="9.5546875" style="1" bestFit="1" customWidth="1"/>
    <col min="6" max="6" width="9.5546875" style="2" bestFit="1" customWidth="1"/>
    <col min="7" max="7" width="8.88671875" style="1" customWidth="1"/>
    <col min="8" max="8" width="11.6640625" style="1" bestFit="1" customWidth="1"/>
    <col min="9" max="9" width="12.6640625" style="2" customWidth="1"/>
    <col min="10" max="10" width="9.5546875" style="1" bestFit="1" customWidth="1"/>
    <col min="11" max="11" width="5.5546875" style="1" bestFit="1" customWidth="1"/>
    <col min="12" max="16384" width="8.88671875" style="1"/>
  </cols>
  <sheetData>
    <row r="1" spans="1:11" ht="15" thickBot="1">
      <c r="A1" s="22" t="s">
        <v>465</v>
      </c>
      <c r="B1" s="23"/>
      <c r="C1" s="24"/>
      <c r="D1" s="24"/>
      <c r="E1" s="24"/>
      <c r="F1" s="105"/>
      <c r="G1" s="24"/>
      <c r="H1" s="24"/>
      <c r="I1" s="106"/>
    </row>
    <row r="2" spans="1:11" ht="15" thickBot="1">
      <c r="A2" s="107">
        <v>1</v>
      </c>
      <c r="B2" s="108" t="s">
        <v>7</v>
      </c>
      <c r="C2" s="109" t="s">
        <v>446</v>
      </c>
      <c r="D2" s="109" t="s">
        <v>10</v>
      </c>
      <c r="E2" s="109" t="s">
        <v>447</v>
      </c>
      <c r="F2" s="110" t="s">
        <v>448</v>
      </c>
      <c r="G2" s="109" t="s">
        <v>449</v>
      </c>
      <c r="H2" s="109" t="s">
        <v>12</v>
      </c>
      <c r="I2" s="111" t="s">
        <v>13</v>
      </c>
      <c r="J2" s="104" t="s">
        <v>14</v>
      </c>
      <c r="K2" s="93" t="s">
        <v>450</v>
      </c>
    </row>
    <row r="3" spans="1:11" ht="15" thickBot="1">
      <c r="A3" s="112">
        <v>2</v>
      </c>
      <c r="B3" s="113">
        <v>104651945</v>
      </c>
      <c r="C3" s="10" t="s">
        <v>451</v>
      </c>
      <c r="D3" s="114" t="s">
        <v>452</v>
      </c>
      <c r="E3" s="114" t="s">
        <v>453</v>
      </c>
      <c r="F3" s="115" t="s">
        <v>454</v>
      </c>
      <c r="G3" s="114">
        <v>1</v>
      </c>
      <c r="H3" s="116">
        <v>43063</v>
      </c>
      <c r="I3" s="117">
        <v>43125</v>
      </c>
      <c r="J3" s="94">
        <v>1</v>
      </c>
      <c r="K3" s="95"/>
    </row>
    <row r="4" spans="1:11" ht="15" thickBot="1">
      <c r="A4" s="107">
        <v>3</v>
      </c>
      <c r="B4" s="108">
        <v>800119348</v>
      </c>
      <c r="C4" s="10" t="s">
        <v>200</v>
      </c>
      <c r="D4" s="109" t="s">
        <v>144</v>
      </c>
      <c r="E4" s="109" t="s">
        <v>455</v>
      </c>
      <c r="F4" s="110" t="s">
        <v>456</v>
      </c>
      <c r="G4" s="109">
        <v>1</v>
      </c>
      <c r="H4" s="118">
        <v>43063</v>
      </c>
      <c r="I4" s="119">
        <v>43125</v>
      </c>
      <c r="J4" s="96">
        <v>1</v>
      </c>
      <c r="K4" s="97"/>
    </row>
    <row r="5" spans="1:11" ht="15" thickBot="1">
      <c r="A5" s="112">
        <v>4</v>
      </c>
      <c r="B5" s="113">
        <v>102329217</v>
      </c>
      <c r="C5" s="10" t="s">
        <v>200</v>
      </c>
      <c r="D5" s="114" t="s">
        <v>144</v>
      </c>
      <c r="E5" s="114" t="s">
        <v>455</v>
      </c>
      <c r="F5" s="115" t="s">
        <v>454</v>
      </c>
      <c r="G5" s="114">
        <v>1</v>
      </c>
      <c r="H5" s="116">
        <v>43063</v>
      </c>
      <c r="I5" s="117">
        <v>43125</v>
      </c>
      <c r="J5" s="94">
        <v>1</v>
      </c>
      <c r="K5" s="95"/>
    </row>
    <row r="6" spans="1:11" ht="15" thickBot="1">
      <c r="A6" s="107">
        <v>5</v>
      </c>
      <c r="B6" s="108">
        <v>800035510</v>
      </c>
      <c r="C6" s="10" t="s">
        <v>457</v>
      </c>
      <c r="D6" s="109" t="s">
        <v>458</v>
      </c>
      <c r="E6" s="109" t="s">
        <v>455</v>
      </c>
      <c r="F6" s="110" t="s">
        <v>456</v>
      </c>
      <c r="G6" s="109">
        <v>1</v>
      </c>
      <c r="H6" s="118">
        <v>43063</v>
      </c>
      <c r="I6" s="119">
        <v>43125</v>
      </c>
      <c r="J6" s="96">
        <v>1</v>
      </c>
      <c r="K6" s="97"/>
    </row>
    <row r="7" spans="1:11" ht="15" thickBot="1">
      <c r="A7" s="112">
        <v>6</v>
      </c>
      <c r="B7" s="113">
        <v>100741895</v>
      </c>
      <c r="C7" s="10" t="s">
        <v>457</v>
      </c>
      <c r="D7" s="114" t="s">
        <v>458</v>
      </c>
      <c r="E7" s="114" t="s">
        <v>455</v>
      </c>
      <c r="F7" s="115" t="s">
        <v>454</v>
      </c>
      <c r="G7" s="114">
        <v>1</v>
      </c>
      <c r="H7" s="116">
        <v>43063</v>
      </c>
      <c r="I7" s="117">
        <v>43125</v>
      </c>
      <c r="J7" s="94">
        <v>1</v>
      </c>
      <c r="K7" s="95"/>
    </row>
    <row r="8" spans="1:11" ht="15" thickBot="1">
      <c r="A8" s="107">
        <v>7</v>
      </c>
      <c r="B8" s="108">
        <v>104525455</v>
      </c>
      <c r="C8" s="10" t="s">
        <v>214</v>
      </c>
      <c r="D8" s="109" t="s">
        <v>216</v>
      </c>
      <c r="E8" s="109" t="s">
        <v>453</v>
      </c>
      <c r="F8" s="110" t="s">
        <v>454</v>
      </c>
      <c r="G8" s="109">
        <v>1</v>
      </c>
      <c r="H8" s="118">
        <v>43063</v>
      </c>
      <c r="I8" s="119">
        <v>43125</v>
      </c>
      <c r="J8" s="96">
        <v>1</v>
      </c>
      <c r="K8" s="97"/>
    </row>
    <row r="9" spans="1:11" ht="15" thickBot="1">
      <c r="A9" s="112">
        <v>8</v>
      </c>
      <c r="B9" s="113">
        <v>700100129020</v>
      </c>
      <c r="C9" s="29" t="s">
        <v>459</v>
      </c>
      <c r="D9" s="114" t="s">
        <v>441</v>
      </c>
      <c r="E9" s="114" t="s">
        <v>460</v>
      </c>
      <c r="F9" s="115" t="s">
        <v>454</v>
      </c>
      <c r="G9" s="114">
        <v>1</v>
      </c>
      <c r="H9" s="116">
        <v>43046</v>
      </c>
      <c r="I9" s="117">
        <v>43108</v>
      </c>
      <c r="J9" s="94">
        <v>1</v>
      </c>
      <c r="K9" s="95"/>
    </row>
    <row r="10" spans="1:11" ht="15" thickBot="1">
      <c r="A10" s="107">
        <v>9</v>
      </c>
      <c r="B10" s="108">
        <v>700100164576</v>
      </c>
      <c r="C10" s="30" t="s">
        <v>461</v>
      </c>
      <c r="D10" s="109" t="s">
        <v>444</v>
      </c>
      <c r="E10" s="109" t="s">
        <v>460</v>
      </c>
      <c r="F10" s="110" t="s">
        <v>454</v>
      </c>
      <c r="G10" s="109">
        <v>1</v>
      </c>
      <c r="H10" s="118">
        <v>43046</v>
      </c>
      <c r="I10" s="119">
        <v>43108</v>
      </c>
      <c r="J10" s="96">
        <v>1</v>
      </c>
      <c r="K10" s="97"/>
    </row>
    <row r="11" spans="1:11" ht="15" thickBot="1">
      <c r="A11" s="112">
        <v>10</v>
      </c>
      <c r="B11" s="113">
        <v>700100164603</v>
      </c>
      <c r="C11" s="30" t="s">
        <v>462</v>
      </c>
      <c r="D11" s="114" t="s">
        <v>444</v>
      </c>
      <c r="E11" s="114" t="s">
        <v>460</v>
      </c>
      <c r="F11" s="115" t="s">
        <v>454</v>
      </c>
      <c r="G11" s="114">
        <v>1</v>
      </c>
      <c r="H11" s="116">
        <v>43046</v>
      </c>
      <c r="I11" s="117">
        <v>43108</v>
      </c>
      <c r="J11" s="94">
        <v>1</v>
      </c>
      <c r="K11" s="95"/>
    </row>
    <row r="12" spans="1:11" ht="15" thickBot="1">
      <c r="A12" s="107">
        <v>11</v>
      </c>
      <c r="B12" s="108">
        <v>800143378</v>
      </c>
      <c r="C12" s="29" t="s">
        <v>463</v>
      </c>
      <c r="D12" s="109" t="s">
        <v>409</v>
      </c>
      <c r="E12" s="109" t="s">
        <v>455</v>
      </c>
      <c r="F12" s="110" t="s">
        <v>456</v>
      </c>
      <c r="G12" s="109">
        <v>1</v>
      </c>
      <c r="H12" s="118">
        <v>43029</v>
      </c>
      <c r="I12" s="119">
        <v>43091</v>
      </c>
      <c r="J12" s="98">
        <v>1</v>
      </c>
      <c r="K12" s="99"/>
    </row>
    <row r="13" spans="1:11" ht="15" thickBot="1">
      <c r="A13" s="112">
        <v>12</v>
      </c>
      <c r="B13" s="120">
        <v>103547558</v>
      </c>
      <c r="C13" s="30" t="s">
        <v>463</v>
      </c>
      <c r="D13" s="121" t="s">
        <v>409</v>
      </c>
      <c r="E13" s="121" t="s">
        <v>455</v>
      </c>
      <c r="F13" s="122" t="s">
        <v>454</v>
      </c>
      <c r="G13" s="121">
        <v>1</v>
      </c>
      <c r="H13" s="123">
        <v>43029</v>
      </c>
      <c r="I13" s="124">
        <v>43091</v>
      </c>
      <c r="J13" s="100">
        <v>1</v>
      </c>
      <c r="K13" s="101"/>
    </row>
    <row r="14" spans="1:11">
      <c r="A14" s="107">
        <v>13</v>
      </c>
      <c r="B14" s="125">
        <v>700100155276</v>
      </c>
      <c r="C14" s="70" t="s">
        <v>464</v>
      </c>
      <c r="D14" s="126" t="s">
        <v>422</v>
      </c>
      <c r="E14" s="126" t="s">
        <v>460</v>
      </c>
      <c r="F14" s="127" t="s">
        <v>454</v>
      </c>
      <c r="G14" s="126">
        <v>1</v>
      </c>
      <c r="H14" s="128">
        <v>43026</v>
      </c>
      <c r="I14" s="129">
        <v>43088</v>
      </c>
      <c r="J14" s="102">
        <v>1</v>
      </c>
      <c r="K14" s="103"/>
    </row>
    <row r="15" spans="1:11">
      <c r="C15" s="1" t="s">
        <v>103</v>
      </c>
      <c r="G15" s="21" t="s">
        <v>68</v>
      </c>
      <c r="H15" s="128">
        <f>MIN(H$2:H14)</f>
        <v>43026</v>
      </c>
      <c r="I15" s="1" t="s">
        <v>466</v>
      </c>
    </row>
    <row r="16" spans="1:11">
      <c r="C16" s="1" t="s">
        <v>69</v>
      </c>
      <c r="I16" s="21" t="s">
        <v>70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7"/>
  <dimension ref="A1:I20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1" sqref="F1"/>
    </sheetView>
  </sheetViews>
  <sheetFormatPr defaultRowHeight="14.4"/>
  <cols>
    <col min="1" max="1" width="2.88671875" style="2" bestFit="1" customWidth="1"/>
    <col min="2" max="2" width="8.88671875" style="15" bestFit="1" customWidth="1"/>
    <col min="3" max="3" width="30.77734375" style="1" customWidth="1"/>
    <col min="4" max="4" width="23.77734375" style="1" customWidth="1"/>
    <col min="5" max="5" width="11.21875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75" t="s">
        <v>511</v>
      </c>
      <c r="B1" s="76" t="s">
        <v>7</v>
      </c>
      <c r="C1" s="77" t="s">
        <v>8</v>
      </c>
      <c r="D1" s="77" t="s">
        <v>9</v>
      </c>
      <c r="E1" s="77" t="s">
        <v>10</v>
      </c>
      <c r="F1" s="78" t="s">
        <v>11</v>
      </c>
      <c r="G1" s="77" t="s">
        <v>12</v>
      </c>
      <c r="H1" s="77" t="s">
        <v>13</v>
      </c>
      <c r="I1" s="79" t="s">
        <v>14</v>
      </c>
    </row>
    <row r="2" spans="1:9">
      <c r="A2" s="131">
        <v>1</v>
      </c>
      <c r="B2" s="81">
        <v>103844366</v>
      </c>
      <c r="C2" s="10" t="s">
        <v>467</v>
      </c>
      <c r="D2" s="82" t="s">
        <v>468</v>
      </c>
      <c r="E2" s="82" t="s">
        <v>469</v>
      </c>
      <c r="F2" s="83">
        <f t="shared" ref="F2:F18" ca="1" si="0">ROUND(H2-NOW(),0)-1</f>
        <v>-146</v>
      </c>
      <c r="G2" s="84">
        <v>43092</v>
      </c>
      <c r="H2" s="84">
        <v>43154</v>
      </c>
      <c r="I2" s="85">
        <v>1</v>
      </c>
    </row>
    <row r="3" spans="1:9">
      <c r="A3" s="131">
        <v>2</v>
      </c>
      <c r="B3" s="81">
        <v>105031587</v>
      </c>
      <c r="C3" s="10" t="s">
        <v>470</v>
      </c>
      <c r="D3" s="82" t="s">
        <v>471</v>
      </c>
      <c r="E3" s="82" t="s">
        <v>496</v>
      </c>
      <c r="F3" s="130">
        <f t="shared" ca="1" si="0"/>
        <v>-146</v>
      </c>
      <c r="G3" s="84">
        <v>43092</v>
      </c>
      <c r="H3" s="84">
        <v>43154</v>
      </c>
      <c r="I3" s="85">
        <v>1</v>
      </c>
    </row>
    <row r="4" spans="1:9">
      <c r="A4" s="80">
        <v>3</v>
      </c>
      <c r="B4" s="81">
        <v>101454712</v>
      </c>
      <c r="C4" s="10" t="s">
        <v>472</v>
      </c>
      <c r="D4" s="82" t="s">
        <v>473</v>
      </c>
      <c r="E4" s="82" t="s">
        <v>474</v>
      </c>
      <c r="F4" s="83">
        <f t="shared" ca="1" si="0"/>
        <v>-146</v>
      </c>
      <c r="G4" s="84">
        <v>43092</v>
      </c>
      <c r="H4" s="84">
        <v>43154</v>
      </c>
      <c r="I4" s="85">
        <v>1</v>
      </c>
    </row>
    <row r="5" spans="1:9">
      <c r="A5" s="80">
        <v>4</v>
      </c>
      <c r="B5" s="81">
        <v>105265034</v>
      </c>
      <c r="C5" s="10" t="s">
        <v>475</v>
      </c>
      <c r="D5" s="82" t="s">
        <v>476</v>
      </c>
      <c r="E5" s="82" t="s">
        <v>477</v>
      </c>
      <c r="F5" s="83">
        <f t="shared" ca="1" si="0"/>
        <v>-146</v>
      </c>
      <c r="G5" s="84">
        <v>43092</v>
      </c>
      <c r="H5" s="84">
        <v>43154</v>
      </c>
      <c r="I5" s="85">
        <v>1</v>
      </c>
    </row>
    <row r="6" spans="1:9">
      <c r="A6" s="80">
        <v>5</v>
      </c>
      <c r="B6" s="81">
        <v>104788138</v>
      </c>
      <c r="C6" s="10" t="s">
        <v>478</v>
      </c>
      <c r="D6" s="82" t="s">
        <v>479</v>
      </c>
      <c r="E6" s="82" t="s">
        <v>480</v>
      </c>
      <c r="F6" s="83">
        <f t="shared" ca="1" si="0"/>
        <v>-146</v>
      </c>
      <c r="G6" s="84">
        <v>43092</v>
      </c>
      <c r="H6" s="84">
        <v>43154</v>
      </c>
      <c r="I6" s="85">
        <v>1</v>
      </c>
    </row>
    <row r="7" spans="1:9">
      <c r="A7" s="80">
        <v>6</v>
      </c>
      <c r="B7" s="81">
        <v>102164921</v>
      </c>
      <c r="C7" s="10" t="s">
        <v>481</v>
      </c>
      <c r="D7" s="82" t="s">
        <v>471</v>
      </c>
      <c r="E7" s="82" t="s">
        <v>497</v>
      </c>
      <c r="F7" s="83">
        <f t="shared" ca="1" si="0"/>
        <v>-146</v>
      </c>
      <c r="G7" s="84">
        <v>43092</v>
      </c>
      <c r="H7" s="84">
        <v>43154</v>
      </c>
      <c r="I7" s="85">
        <v>1</v>
      </c>
    </row>
    <row r="8" spans="1:9">
      <c r="A8" s="80">
        <v>7</v>
      </c>
      <c r="B8" s="81">
        <v>102927924</v>
      </c>
      <c r="C8" s="10" t="s">
        <v>482</v>
      </c>
      <c r="D8" s="82" t="s">
        <v>483</v>
      </c>
      <c r="E8" s="82" t="s">
        <v>484</v>
      </c>
      <c r="F8" s="83">
        <f t="shared" ca="1" si="0"/>
        <v>-146</v>
      </c>
      <c r="G8" s="84">
        <v>43092</v>
      </c>
      <c r="H8" s="84">
        <v>43154</v>
      </c>
      <c r="I8" s="85">
        <v>1</v>
      </c>
    </row>
    <row r="9" spans="1:9">
      <c r="A9" s="80">
        <v>8</v>
      </c>
      <c r="B9" s="81">
        <v>104986281</v>
      </c>
      <c r="C9" s="10" t="s">
        <v>485</v>
      </c>
      <c r="D9" s="82" t="s">
        <v>486</v>
      </c>
      <c r="E9" s="82" t="s">
        <v>487</v>
      </c>
      <c r="F9" s="83">
        <f t="shared" ca="1" si="0"/>
        <v>-146</v>
      </c>
      <c r="G9" s="84">
        <v>43092</v>
      </c>
      <c r="H9" s="84">
        <v>43154</v>
      </c>
      <c r="I9" s="85">
        <v>1</v>
      </c>
    </row>
    <row r="10" spans="1:9">
      <c r="A10" s="80">
        <v>9</v>
      </c>
      <c r="B10" s="81">
        <v>104043241</v>
      </c>
      <c r="C10" s="10" t="s">
        <v>488</v>
      </c>
      <c r="D10" s="82" t="s">
        <v>489</v>
      </c>
      <c r="E10" s="82" t="s">
        <v>494</v>
      </c>
      <c r="F10" s="83">
        <f t="shared" ca="1" si="0"/>
        <v>-146</v>
      </c>
      <c r="G10" s="84">
        <v>43092</v>
      </c>
      <c r="H10" s="84">
        <v>43154</v>
      </c>
      <c r="I10" s="85">
        <v>1</v>
      </c>
    </row>
    <row r="11" spans="1:9">
      <c r="A11" s="80">
        <v>10</v>
      </c>
      <c r="B11" s="81">
        <v>105245124</v>
      </c>
      <c r="C11" s="10" t="s">
        <v>490</v>
      </c>
      <c r="D11" s="82" t="s">
        <v>489</v>
      </c>
      <c r="E11" s="82" t="s">
        <v>491</v>
      </c>
      <c r="F11" s="83">
        <f t="shared" ca="1" si="0"/>
        <v>-146</v>
      </c>
      <c r="G11" s="84">
        <v>43092</v>
      </c>
      <c r="H11" s="84">
        <v>43154</v>
      </c>
      <c r="I11" s="85">
        <v>1</v>
      </c>
    </row>
    <row r="12" spans="1:9">
      <c r="A12" s="80">
        <v>11</v>
      </c>
      <c r="B12" s="81">
        <v>103413171</v>
      </c>
      <c r="C12" s="10" t="s">
        <v>492</v>
      </c>
      <c r="D12" s="82" t="s">
        <v>489</v>
      </c>
      <c r="E12" s="82" t="s">
        <v>495</v>
      </c>
      <c r="F12" s="83">
        <f t="shared" ca="1" si="0"/>
        <v>-146</v>
      </c>
      <c r="G12" s="84">
        <v>43092</v>
      </c>
      <c r="H12" s="84">
        <v>43154</v>
      </c>
      <c r="I12" s="85">
        <v>1</v>
      </c>
    </row>
    <row r="13" spans="1:9">
      <c r="A13" s="80">
        <v>12</v>
      </c>
      <c r="B13" s="81">
        <v>104651945</v>
      </c>
      <c r="C13" s="10" t="s">
        <v>451</v>
      </c>
      <c r="D13" s="82" t="s">
        <v>493</v>
      </c>
      <c r="E13" s="82" t="s">
        <v>452</v>
      </c>
      <c r="F13" s="83">
        <f t="shared" ca="1" si="0"/>
        <v>-175</v>
      </c>
      <c r="G13" s="84">
        <v>43063</v>
      </c>
      <c r="H13" s="84">
        <v>43125</v>
      </c>
      <c r="I13" s="85">
        <v>1</v>
      </c>
    </row>
    <row r="14" spans="1:9">
      <c r="A14" s="80">
        <v>13</v>
      </c>
      <c r="B14" s="81">
        <v>800119348</v>
      </c>
      <c r="C14" s="10" t="s">
        <v>200</v>
      </c>
      <c r="D14" s="82" t="s">
        <v>143</v>
      </c>
      <c r="E14" s="82" t="s">
        <v>144</v>
      </c>
      <c r="F14" s="83">
        <f t="shared" ca="1" si="0"/>
        <v>-175</v>
      </c>
      <c r="G14" s="84">
        <v>43063</v>
      </c>
      <c r="H14" s="84">
        <v>43125</v>
      </c>
      <c r="I14" s="85">
        <v>1</v>
      </c>
    </row>
    <row r="15" spans="1:9">
      <c r="A15" s="80">
        <v>14</v>
      </c>
      <c r="B15" s="81">
        <v>102329217</v>
      </c>
      <c r="C15" s="10" t="s">
        <v>200</v>
      </c>
      <c r="D15" s="82" t="s">
        <v>143</v>
      </c>
      <c r="E15" s="82" t="s">
        <v>144</v>
      </c>
      <c r="F15" s="83">
        <f t="shared" ca="1" si="0"/>
        <v>-175</v>
      </c>
      <c r="G15" s="84">
        <v>43063</v>
      </c>
      <c r="H15" s="84">
        <v>43125</v>
      </c>
      <c r="I15" s="85">
        <v>1</v>
      </c>
    </row>
    <row r="16" spans="1:9">
      <c r="A16" s="80">
        <v>15</v>
      </c>
      <c r="B16" s="81">
        <v>800035510</v>
      </c>
      <c r="C16" s="10" t="s">
        <v>457</v>
      </c>
      <c r="D16" s="82" t="s">
        <v>390</v>
      </c>
      <c r="E16" s="82" t="s">
        <v>458</v>
      </c>
      <c r="F16" s="83">
        <f t="shared" ca="1" si="0"/>
        <v>-175</v>
      </c>
      <c r="G16" s="84">
        <v>43063</v>
      </c>
      <c r="H16" s="84">
        <v>43125</v>
      </c>
      <c r="I16" s="85">
        <v>1</v>
      </c>
    </row>
    <row r="17" spans="1:9">
      <c r="A17" s="80">
        <v>16</v>
      </c>
      <c r="B17" s="81">
        <v>100741895</v>
      </c>
      <c r="C17" s="10" t="s">
        <v>457</v>
      </c>
      <c r="D17" s="82" t="s">
        <v>390</v>
      </c>
      <c r="E17" s="82" t="s">
        <v>458</v>
      </c>
      <c r="F17" s="83">
        <f t="shared" ca="1" si="0"/>
        <v>-175</v>
      </c>
      <c r="G17" s="84">
        <v>43063</v>
      </c>
      <c r="H17" s="84">
        <v>43125</v>
      </c>
      <c r="I17" s="85">
        <v>1</v>
      </c>
    </row>
    <row r="18" spans="1:9">
      <c r="A18" s="80">
        <v>17</v>
      </c>
      <c r="B18" s="86">
        <v>104525455</v>
      </c>
      <c r="C18" s="12" t="s">
        <v>214</v>
      </c>
      <c r="D18" s="87" t="s">
        <v>215</v>
      </c>
      <c r="E18" s="87" t="s">
        <v>216</v>
      </c>
      <c r="F18" s="88">
        <f t="shared" ca="1" si="0"/>
        <v>-175</v>
      </c>
      <c r="G18" s="89">
        <v>43063</v>
      </c>
      <c r="H18" s="89">
        <v>43125</v>
      </c>
      <c r="I18" s="90">
        <v>1</v>
      </c>
    </row>
    <row r="19" spans="1:9">
      <c r="C19" s="1" t="s">
        <v>512</v>
      </c>
      <c r="G19" s="21" t="s">
        <v>513</v>
      </c>
      <c r="H19" s="7">
        <f>MIN(H$2:H18)</f>
        <v>43125</v>
      </c>
      <c r="I19" s="1" t="s">
        <v>516</v>
      </c>
    </row>
    <row r="20" spans="1:9">
      <c r="C20" s="1" t="s">
        <v>514</v>
      </c>
      <c r="I20" s="21" t="s">
        <v>515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8"/>
  <dimension ref="A1:I21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14" sqref="C14"/>
    </sheetView>
  </sheetViews>
  <sheetFormatPr defaultRowHeight="14.4"/>
  <cols>
    <col min="1" max="1" width="3.44140625" style="2" bestFit="1" customWidth="1"/>
    <col min="2" max="2" width="8.88671875" style="15" bestFit="1" customWidth="1"/>
    <col min="3" max="3" width="30.77734375" style="1" customWidth="1"/>
    <col min="4" max="4" width="23.77734375" style="1" customWidth="1"/>
    <col min="5" max="5" width="11.5546875" style="1" bestFit="1" customWidth="1"/>
    <col min="6" max="6" width="8" style="134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75" t="s">
        <v>524</v>
      </c>
      <c r="B1" s="76" t="s">
        <v>7</v>
      </c>
      <c r="C1" s="77" t="s">
        <v>525</v>
      </c>
      <c r="D1" s="77" t="s">
        <v>526</v>
      </c>
      <c r="E1" s="77" t="s">
        <v>10</v>
      </c>
      <c r="F1" s="132" t="s">
        <v>527</v>
      </c>
      <c r="G1" s="77" t="s">
        <v>12</v>
      </c>
      <c r="H1" s="77" t="s">
        <v>13</v>
      </c>
      <c r="I1" s="79" t="s">
        <v>14</v>
      </c>
    </row>
    <row r="2" spans="1:9">
      <c r="A2" s="131">
        <v>1</v>
      </c>
      <c r="B2" s="81">
        <v>104043241</v>
      </c>
      <c r="C2" s="10" t="s">
        <v>488</v>
      </c>
      <c r="D2" s="82" t="s">
        <v>489</v>
      </c>
      <c r="E2" s="82" t="s">
        <v>498</v>
      </c>
      <c r="F2" s="130">
        <f t="shared" ref="F2:F19" ca="1" si="0">ROUND(H2-NOW(),0)-1</f>
        <v>-132</v>
      </c>
      <c r="G2" s="84">
        <v>43106</v>
      </c>
      <c r="H2" s="84">
        <v>43168</v>
      </c>
      <c r="I2" s="85">
        <v>1</v>
      </c>
    </row>
    <row r="3" spans="1:9">
      <c r="A3" s="131">
        <v>2</v>
      </c>
      <c r="B3" s="81">
        <v>101130895</v>
      </c>
      <c r="C3" s="10" t="s">
        <v>499</v>
      </c>
      <c r="D3" s="82" t="s">
        <v>500</v>
      </c>
      <c r="E3" s="82" t="s">
        <v>501</v>
      </c>
      <c r="F3" s="130">
        <f t="shared" ca="1" si="0"/>
        <v>-132</v>
      </c>
      <c r="G3" s="84">
        <v>43106</v>
      </c>
      <c r="H3" s="84">
        <v>43168</v>
      </c>
      <c r="I3" s="85">
        <v>1</v>
      </c>
    </row>
    <row r="4" spans="1:9">
      <c r="A4" s="131">
        <v>3</v>
      </c>
      <c r="B4" s="81">
        <v>105141743</v>
      </c>
      <c r="C4" s="10" t="s">
        <v>502</v>
      </c>
      <c r="D4" s="82" t="s">
        <v>503</v>
      </c>
      <c r="E4" s="82" t="s">
        <v>504</v>
      </c>
      <c r="F4" s="130">
        <f t="shared" ca="1" si="0"/>
        <v>-132</v>
      </c>
      <c r="G4" s="84">
        <v>43106</v>
      </c>
      <c r="H4" s="84">
        <v>43168</v>
      </c>
      <c r="I4" s="85">
        <v>1</v>
      </c>
    </row>
    <row r="5" spans="1:9">
      <c r="A5" s="131">
        <v>4</v>
      </c>
      <c r="B5" s="81">
        <v>800196629</v>
      </c>
      <c r="C5" s="10" t="s">
        <v>502</v>
      </c>
      <c r="D5" s="82" t="s">
        <v>503</v>
      </c>
      <c r="E5" s="82" t="s">
        <v>504</v>
      </c>
      <c r="F5" s="130">
        <f t="shared" ca="1" si="0"/>
        <v>-132</v>
      </c>
      <c r="G5" s="84">
        <v>43106</v>
      </c>
      <c r="H5" s="84">
        <v>43168</v>
      </c>
      <c r="I5" s="85">
        <v>1</v>
      </c>
    </row>
    <row r="6" spans="1:9">
      <c r="A6" s="131">
        <v>5</v>
      </c>
      <c r="B6" s="81">
        <v>104084417</v>
      </c>
      <c r="C6" s="10" t="s">
        <v>505</v>
      </c>
      <c r="D6" s="82" t="s">
        <v>506</v>
      </c>
      <c r="E6" s="82" t="s">
        <v>507</v>
      </c>
      <c r="F6" s="130">
        <f t="shared" ca="1" si="0"/>
        <v>-132</v>
      </c>
      <c r="G6" s="84">
        <v>43106</v>
      </c>
      <c r="H6" s="84">
        <v>43168</v>
      </c>
      <c r="I6" s="85">
        <v>1</v>
      </c>
    </row>
    <row r="7" spans="1:9">
      <c r="A7" s="131">
        <v>6</v>
      </c>
      <c r="B7" s="81">
        <v>105031587</v>
      </c>
      <c r="C7" s="29" t="s">
        <v>470</v>
      </c>
      <c r="D7" s="82" t="s">
        <v>471</v>
      </c>
      <c r="E7" s="82" t="s">
        <v>508</v>
      </c>
      <c r="F7" s="130">
        <f t="shared" ca="1" si="0"/>
        <v>-146</v>
      </c>
      <c r="G7" s="84">
        <v>43092</v>
      </c>
      <c r="H7" s="84">
        <v>43154</v>
      </c>
      <c r="I7" s="85">
        <v>1</v>
      </c>
    </row>
    <row r="8" spans="1:9">
      <c r="A8" s="131">
        <v>7</v>
      </c>
      <c r="B8" s="81">
        <v>101454712</v>
      </c>
      <c r="C8" s="30" t="s">
        <v>472</v>
      </c>
      <c r="D8" s="82" t="s">
        <v>473</v>
      </c>
      <c r="E8" s="82" t="s">
        <v>474</v>
      </c>
      <c r="F8" s="130">
        <f t="shared" ca="1" si="0"/>
        <v>-146</v>
      </c>
      <c r="G8" s="84">
        <v>43092</v>
      </c>
      <c r="H8" s="84">
        <v>43154</v>
      </c>
      <c r="I8" s="85">
        <v>1</v>
      </c>
    </row>
    <row r="9" spans="1:9">
      <c r="A9" s="131">
        <v>8</v>
      </c>
      <c r="B9" s="81">
        <v>105265034</v>
      </c>
      <c r="C9" s="30" t="s">
        <v>475</v>
      </c>
      <c r="D9" s="82" t="s">
        <v>476</v>
      </c>
      <c r="E9" s="82" t="s">
        <v>477</v>
      </c>
      <c r="F9" s="130">
        <f t="shared" ca="1" si="0"/>
        <v>-146</v>
      </c>
      <c r="G9" s="84">
        <v>43092</v>
      </c>
      <c r="H9" s="84">
        <v>43154</v>
      </c>
      <c r="I9" s="85">
        <v>1</v>
      </c>
    </row>
    <row r="10" spans="1:9">
      <c r="A10" s="131">
        <v>9</v>
      </c>
      <c r="B10" s="81">
        <v>104788138</v>
      </c>
      <c r="C10" s="30" t="s">
        <v>478</v>
      </c>
      <c r="D10" s="82" t="s">
        <v>479</v>
      </c>
      <c r="E10" s="82" t="s">
        <v>480</v>
      </c>
      <c r="F10" s="130">
        <f t="shared" ca="1" si="0"/>
        <v>-146</v>
      </c>
      <c r="G10" s="84">
        <v>43092</v>
      </c>
      <c r="H10" s="84">
        <v>43154</v>
      </c>
      <c r="I10" s="85">
        <v>1</v>
      </c>
    </row>
    <row r="11" spans="1:9">
      <c r="A11" s="131">
        <v>10</v>
      </c>
      <c r="B11" s="81">
        <v>102164921</v>
      </c>
      <c r="C11" s="30" t="s">
        <v>481</v>
      </c>
      <c r="D11" s="82" t="s">
        <v>471</v>
      </c>
      <c r="E11" s="82" t="s">
        <v>509</v>
      </c>
      <c r="F11" s="130">
        <f t="shared" ca="1" si="0"/>
        <v>-146</v>
      </c>
      <c r="G11" s="84">
        <v>43092</v>
      </c>
      <c r="H11" s="84">
        <v>43154</v>
      </c>
      <c r="I11" s="85">
        <v>1</v>
      </c>
    </row>
    <row r="12" spans="1:9">
      <c r="A12" s="131">
        <v>11</v>
      </c>
      <c r="B12" s="81">
        <v>105245124</v>
      </c>
      <c r="C12" s="30" t="s">
        <v>490</v>
      </c>
      <c r="D12" s="82" t="s">
        <v>489</v>
      </c>
      <c r="E12" s="82" t="s">
        <v>491</v>
      </c>
      <c r="F12" s="130">
        <f t="shared" ca="1" si="0"/>
        <v>-146</v>
      </c>
      <c r="G12" s="84">
        <v>43092</v>
      </c>
      <c r="H12" s="84">
        <v>43154</v>
      </c>
      <c r="I12" s="85">
        <v>1</v>
      </c>
    </row>
    <row r="13" spans="1:9">
      <c r="A13" s="131">
        <v>12</v>
      </c>
      <c r="B13" s="81">
        <v>103413171</v>
      </c>
      <c r="C13" s="30" t="s">
        <v>492</v>
      </c>
      <c r="D13" s="82" t="s">
        <v>489</v>
      </c>
      <c r="E13" s="82" t="s">
        <v>510</v>
      </c>
      <c r="F13" s="130">
        <f t="shared" ca="1" si="0"/>
        <v>-146</v>
      </c>
      <c r="G13" s="84">
        <v>43092</v>
      </c>
      <c r="H13" s="84">
        <v>43154</v>
      </c>
      <c r="I13" s="85">
        <v>1</v>
      </c>
    </row>
    <row r="14" spans="1:9">
      <c r="A14" s="131">
        <v>13</v>
      </c>
      <c r="B14" s="81">
        <v>104651945</v>
      </c>
      <c r="C14" s="10" t="s">
        <v>451</v>
      </c>
      <c r="D14" s="82" t="s">
        <v>493</v>
      </c>
      <c r="E14" s="82" t="s">
        <v>452</v>
      </c>
      <c r="F14" s="130">
        <f t="shared" ca="1" si="0"/>
        <v>-175</v>
      </c>
      <c r="G14" s="84">
        <v>43063</v>
      </c>
      <c r="H14" s="84">
        <v>43125</v>
      </c>
      <c r="I14" s="85">
        <v>1</v>
      </c>
    </row>
    <row r="15" spans="1:9">
      <c r="A15" s="131">
        <v>14</v>
      </c>
      <c r="B15" s="81">
        <v>800119348</v>
      </c>
      <c r="C15" s="10" t="s">
        <v>200</v>
      </c>
      <c r="D15" s="82" t="s">
        <v>143</v>
      </c>
      <c r="E15" s="82" t="s">
        <v>144</v>
      </c>
      <c r="F15" s="130">
        <f t="shared" ca="1" si="0"/>
        <v>-175</v>
      </c>
      <c r="G15" s="84">
        <v>43063</v>
      </c>
      <c r="H15" s="84">
        <v>43125</v>
      </c>
      <c r="I15" s="85">
        <v>1</v>
      </c>
    </row>
    <row r="16" spans="1:9">
      <c r="A16" s="131">
        <v>15</v>
      </c>
      <c r="B16" s="81">
        <v>102329217</v>
      </c>
      <c r="C16" s="10" t="s">
        <v>200</v>
      </c>
      <c r="D16" s="82" t="s">
        <v>143</v>
      </c>
      <c r="E16" s="82" t="s">
        <v>144</v>
      </c>
      <c r="F16" s="130">
        <f t="shared" ca="1" si="0"/>
        <v>-175</v>
      </c>
      <c r="G16" s="84">
        <v>43063</v>
      </c>
      <c r="H16" s="84">
        <v>43125</v>
      </c>
      <c r="I16" s="85">
        <v>1</v>
      </c>
    </row>
    <row r="17" spans="1:9">
      <c r="A17" s="131">
        <v>16</v>
      </c>
      <c r="B17" s="81">
        <v>800035510</v>
      </c>
      <c r="C17" s="10" t="s">
        <v>457</v>
      </c>
      <c r="D17" s="82" t="s">
        <v>390</v>
      </c>
      <c r="E17" s="82" t="s">
        <v>458</v>
      </c>
      <c r="F17" s="130">
        <f t="shared" ca="1" si="0"/>
        <v>-175</v>
      </c>
      <c r="G17" s="84">
        <v>43063</v>
      </c>
      <c r="H17" s="84">
        <v>43125</v>
      </c>
      <c r="I17" s="85">
        <v>1</v>
      </c>
    </row>
    <row r="18" spans="1:9">
      <c r="A18" s="131">
        <v>17</v>
      </c>
      <c r="B18" s="81">
        <v>100741895</v>
      </c>
      <c r="C18" s="10" t="s">
        <v>457</v>
      </c>
      <c r="D18" s="82" t="s">
        <v>390</v>
      </c>
      <c r="E18" s="82" t="s">
        <v>458</v>
      </c>
      <c r="F18" s="130">
        <f t="shared" ca="1" si="0"/>
        <v>-175</v>
      </c>
      <c r="G18" s="84">
        <v>43063</v>
      </c>
      <c r="H18" s="84">
        <v>43125</v>
      </c>
      <c r="I18" s="85">
        <v>1</v>
      </c>
    </row>
    <row r="19" spans="1:9">
      <c r="A19" s="131">
        <v>18</v>
      </c>
      <c r="B19" s="86">
        <v>104525455</v>
      </c>
      <c r="C19" s="12" t="s">
        <v>214</v>
      </c>
      <c r="D19" s="87" t="s">
        <v>215</v>
      </c>
      <c r="E19" s="87" t="s">
        <v>216</v>
      </c>
      <c r="F19" s="133">
        <f t="shared" ca="1" si="0"/>
        <v>-175</v>
      </c>
      <c r="G19" s="89">
        <v>43063</v>
      </c>
      <c r="H19" s="89">
        <v>43125</v>
      </c>
      <c r="I19" s="90">
        <v>1</v>
      </c>
    </row>
    <row r="20" spans="1:9">
      <c r="C20" s="1" t="s">
        <v>512</v>
      </c>
      <c r="G20" s="21" t="s">
        <v>528</v>
      </c>
      <c r="H20" s="7">
        <f>MIN(H$2:H19)</f>
        <v>43125</v>
      </c>
      <c r="I20" s="1" t="s">
        <v>516</v>
      </c>
    </row>
    <row r="21" spans="1:9">
      <c r="C21" s="1" t="s">
        <v>517</v>
      </c>
      <c r="I21" s="21" t="s">
        <v>529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29"/>
  <dimension ref="A1:I19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E5" sqref="E5"/>
    </sheetView>
  </sheetViews>
  <sheetFormatPr defaultRowHeight="14.4"/>
  <cols>
    <col min="1" max="1" width="3.5546875" style="2" bestFit="1" customWidth="1"/>
    <col min="2" max="2" width="11.6640625" style="15" bestFit="1" customWidth="1"/>
    <col min="3" max="3" width="30.77734375" style="1" customWidth="1"/>
    <col min="4" max="4" width="23.77734375" style="1" customWidth="1"/>
    <col min="5" max="5" width="9.5546875" style="1" bestFit="1" customWidth="1"/>
    <col min="6" max="6" width="9.5546875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22" t="s">
        <v>66</v>
      </c>
      <c r="B1" s="47" t="s">
        <v>7</v>
      </c>
      <c r="C1" s="24" t="s">
        <v>555</v>
      </c>
      <c r="D1" s="24" t="s">
        <v>556</v>
      </c>
      <c r="E1" s="24" t="s">
        <v>10</v>
      </c>
      <c r="F1" s="25" t="s">
        <v>557</v>
      </c>
      <c r="G1" s="24" t="s">
        <v>12</v>
      </c>
      <c r="H1" s="24" t="s">
        <v>13</v>
      </c>
      <c r="I1" s="26" t="s">
        <v>14</v>
      </c>
    </row>
    <row r="2" spans="1:9">
      <c r="A2" s="16">
        <v>1</v>
      </c>
      <c r="B2" s="13">
        <v>105142143</v>
      </c>
      <c r="C2" s="10" t="s">
        <v>534</v>
      </c>
      <c r="D2" s="10" t="s">
        <v>535</v>
      </c>
      <c r="E2" s="10" t="s">
        <v>536</v>
      </c>
      <c r="F2" s="135">
        <f t="shared" ref="F2:F17" ca="1" si="0">ROUND(H2-NOW(),0)-1</f>
        <v>-115</v>
      </c>
      <c r="G2" s="5">
        <v>43123</v>
      </c>
      <c r="H2" s="5">
        <v>43185</v>
      </c>
      <c r="I2" s="3">
        <v>1</v>
      </c>
    </row>
    <row r="3" spans="1:9">
      <c r="A3" s="16">
        <v>2</v>
      </c>
      <c r="B3" s="13">
        <v>105331338</v>
      </c>
      <c r="C3" s="10" t="s">
        <v>537</v>
      </c>
      <c r="D3" s="10" t="s">
        <v>538</v>
      </c>
      <c r="E3" s="10" t="s">
        <v>539</v>
      </c>
      <c r="F3" s="135">
        <f t="shared" ca="1" si="0"/>
        <v>-115</v>
      </c>
      <c r="G3" s="5">
        <v>43123</v>
      </c>
      <c r="H3" s="5">
        <v>43185</v>
      </c>
      <c r="I3" s="3">
        <v>1</v>
      </c>
    </row>
    <row r="4" spans="1:9">
      <c r="A4" s="16">
        <v>3</v>
      </c>
      <c r="B4" s="13">
        <v>104721071</v>
      </c>
      <c r="C4" s="10" t="s">
        <v>540</v>
      </c>
      <c r="D4" s="10" t="s">
        <v>541</v>
      </c>
      <c r="E4" s="10" t="s">
        <v>542</v>
      </c>
      <c r="F4" s="135">
        <f t="shared" ca="1" si="0"/>
        <v>-115</v>
      </c>
      <c r="G4" s="5">
        <v>43123</v>
      </c>
      <c r="H4" s="5">
        <v>43185</v>
      </c>
      <c r="I4" s="3">
        <v>1</v>
      </c>
    </row>
    <row r="5" spans="1:9">
      <c r="A5" s="16">
        <v>4</v>
      </c>
      <c r="B5" s="13">
        <v>105187643</v>
      </c>
      <c r="C5" s="10" t="s">
        <v>562</v>
      </c>
      <c r="D5" s="10" t="s">
        <v>563</v>
      </c>
      <c r="E5" s="10" t="s">
        <v>564</v>
      </c>
      <c r="F5" s="135">
        <f t="shared" ca="1" si="0"/>
        <v>-115</v>
      </c>
      <c r="G5" s="5">
        <v>43123</v>
      </c>
      <c r="H5" s="5">
        <v>43185</v>
      </c>
      <c r="I5" s="3">
        <v>1</v>
      </c>
    </row>
    <row r="6" spans="1:9">
      <c r="A6" s="16">
        <v>5</v>
      </c>
      <c r="B6" s="13">
        <v>105091811</v>
      </c>
      <c r="C6" s="10" t="s">
        <v>543</v>
      </c>
      <c r="D6" s="10" t="s">
        <v>544</v>
      </c>
      <c r="E6" s="10" t="s">
        <v>545</v>
      </c>
      <c r="F6" s="135">
        <f t="shared" ca="1" si="0"/>
        <v>-115</v>
      </c>
      <c r="G6" s="5">
        <v>43123</v>
      </c>
      <c r="H6" s="5">
        <v>43185</v>
      </c>
      <c r="I6" s="3">
        <v>1</v>
      </c>
    </row>
    <row r="7" spans="1:9">
      <c r="A7" s="16">
        <v>6</v>
      </c>
      <c r="B7" s="13">
        <v>104043241</v>
      </c>
      <c r="C7" s="10" t="s">
        <v>546</v>
      </c>
      <c r="D7" s="10" t="s">
        <v>489</v>
      </c>
      <c r="E7" s="10" t="s">
        <v>498</v>
      </c>
      <c r="F7" s="135">
        <f t="shared" ca="1" si="0"/>
        <v>-132</v>
      </c>
      <c r="G7" s="5">
        <v>43106</v>
      </c>
      <c r="H7" s="5">
        <v>43168</v>
      </c>
      <c r="I7" s="3">
        <v>1</v>
      </c>
    </row>
    <row r="8" spans="1:9">
      <c r="A8" s="16">
        <v>7</v>
      </c>
      <c r="B8" s="13">
        <v>101130895</v>
      </c>
      <c r="C8" s="10" t="s">
        <v>547</v>
      </c>
      <c r="D8" s="10" t="s">
        <v>500</v>
      </c>
      <c r="E8" s="10" t="s">
        <v>501</v>
      </c>
      <c r="F8" s="135">
        <f t="shared" ca="1" si="0"/>
        <v>-132</v>
      </c>
      <c r="G8" s="5">
        <v>43106</v>
      </c>
      <c r="H8" s="5">
        <v>43168</v>
      </c>
      <c r="I8" s="3">
        <v>1</v>
      </c>
    </row>
    <row r="9" spans="1:9">
      <c r="A9" s="16">
        <v>8</v>
      </c>
      <c r="B9" s="13">
        <v>105141743</v>
      </c>
      <c r="C9" s="10" t="s">
        <v>548</v>
      </c>
      <c r="D9" s="10" t="s">
        <v>503</v>
      </c>
      <c r="E9" s="10" t="s">
        <v>504</v>
      </c>
      <c r="F9" s="135">
        <f t="shared" ca="1" si="0"/>
        <v>-132</v>
      </c>
      <c r="G9" s="5">
        <v>43106</v>
      </c>
      <c r="H9" s="5">
        <v>43168</v>
      </c>
      <c r="I9" s="3">
        <v>1</v>
      </c>
    </row>
    <row r="10" spans="1:9">
      <c r="A10" s="16">
        <v>9</v>
      </c>
      <c r="B10" s="13">
        <v>800196629</v>
      </c>
      <c r="C10" s="10" t="s">
        <v>548</v>
      </c>
      <c r="D10" s="10" t="s">
        <v>503</v>
      </c>
      <c r="E10" s="10" t="s">
        <v>504</v>
      </c>
      <c r="F10" s="135">
        <f t="shared" ca="1" si="0"/>
        <v>-132</v>
      </c>
      <c r="G10" s="5">
        <v>43106</v>
      </c>
      <c r="H10" s="5">
        <v>43168</v>
      </c>
      <c r="I10" s="3">
        <v>1</v>
      </c>
    </row>
    <row r="11" spans="1:9">
      <c r="A11" s="16">
        <v>10</v>
      </c>
      <c r="B11" s="13">
        <v>104084417</v>
      </c>
      <c r="C11" s="10" t="s">
        <v>549</v>
      </c>
      <c r="D11" s="10" t="s">
        <v>506</v>
      </c>
      <c r="E11" s="10" t="s">
        <v>507</v>
      </c>
      <c r="F11" s="135">
        <f t="shared" ca="1" si="0"/>
        <v>-132</v>
      </c>
      <c r="G11" s="5">
        <v>43106</v>
      </c>
      <c r="H11" s="5">
        <v>43168</v>
      </c>
      <c r="I11" s="3">
        <v>1</v>
      </c>
    </row>
    <row r="12" spans="1:9">
      <c r="A12" s="16">
        <v>11</v>
      </c>
      <c r="B12" s="13">
        <v>105031587</v>
      </c>
      <c r="C12" s="10" t="s">
        <v>550</v>
      </c>
      <c r="D12" s="10" t="s">
        <v>471</v>
      </c>
      <c r="E12" s="10" t="s">
        <v>508</v>
      </c>
      <c r="F12" s="135">
        <f t="shared" ca="1" si="0"/>
        <v>-146</v>
      </c>
      <c r="G12" s="5">
        <v>43092</v>
      </c>
      <c r="H12" s="5">
        <v>43154</v>
      </c>
      <c r="I12" s="3">
        <v>1</v>
      </c>
    </row>
    <row r="13" spans="1:9">
      <c r="A13" s="16">
        <v>12</v>
      </c>
      <c r="B13" s="13">
        <v>101454712</v>
      </c>
      <c r="C13" s="10" t="s">
        <v>551</v>
      </c>
      <c r="D13" s="10" t="s">
        <v>473</v>
      </c>
      <c r="E13" s="10" t="s">
        <v>474</v>
      </c>
      <c r="F13" s="135">
        <f t="shared" ca="1" si="0"/>
        <v>-146</v>
      </c>
      <c r="G13" s="5">
        <v>43092</v>
      </c>
      <c r="H13" s="5">
        <v>43154</v>
      </c>
      <c r="I13" s="3">
        <v>1</v>
      </c>
    </row>
    <row r="14" spans="1:9">
      <c r="A14" s="16">
        <v>13</v>
      </c>
      <c r="B14" s="13">
        <v>105265034</v>
      </c>
      <c r="C14" s="10" t="s">
        <v>559</v>
      </c>
      <c r="D14" s="10" t="s">
        <v>560</v>
      </c>
      <c r="E14" s="10" t="s">
        <v>561</v>
      </c>
      <c r="F14" s="135">
        <f t="shared" ca="1" si="0"/>
        <v>-146</v>
      </c>
      <c r="G14" s="5">
        <v>43092</v>
      </c>
      <c r="H14" s="5">
        <v>43154</v>
      </c>
      <c r="I14" s="3">
        <v>1</v>
      </c>
    </row>
    <row r="15" spans="1:9">
      <c r="A15" s="16">
        <v>14</v>
      </c>
      <c r="B15" s="13">
        <v>104788138</v>
      </c>
      <c r="C15" s="10" t="s">
        <v>552</v>
      </c>
      <c r="D15" s="10" t="s">
        <v>479</v>
      </c>
      <c r="E15" s="10" t="s">
        <v>480</v>
      </c>
      <c r="F15" s="135">
        <f t="shared" ca="1" si="0"/>
        <v>-146</v>
      </c>
      <c r="G15" s="5">
        <v>43092</v>
      </c>
      <c r="H15" s="5">
        <v>43154</v>
      </c>
      <c r="I15" s="3">
        <v>1</v>
      </c>
    </row>
    <row r="16" spans="1:9">
      <c r="A16" s="16">
        <v>15</v>
      </c>
      <c r="B16" s="13">
        <v>105245124</v>
      </c>
      <c r="C16" s="10" t="s">
        <v>553</v>
      </c>
      <c r="D16" s="10" t="s">
        <v>489</v>
      </c>
      <c r="E16" s="10" t="s">
        <v>491</v>
      </c>
      <c r="F16" s="135">
        <f t="shared" ca="1" si="0"/>
        <v>-146</v>
      </c>
      <c r="G16" s="5">
        <v>43092</v>
      </c>
      <c r="H16" s="5">
        <v>43154</v>
      </c>
      <c r="I16" s="3">
        <v>1</v>
      </c>
    </row>
    <row r="17" spans="1:9">
      <c r="A17" s="16">
        <v>16</v>
      </c>
      <c r="B17" s="14">
        <v>103413171</v>
      </c>
      <c r="C17" s="12" t="s">
        <v>554</v>
      </c>
      <c r="D17" s="12" t="s">
        <v>489</v>
      </c>
      <c r="E17" s="12" t="s">
        <v>510</v>
      </c>
      <c r="F17" s="136">
        <f t="shared" ca="1" si="0"/>
        <v>-146</v>
      </c>
      <c r="G17" s="6">
        <v>43092</v>
      </c>
      <c r="H17" s="6">
        <v>43154</v>
      </c>
      <c r="I17" s="4">
        <v>1</v>
      </c>
    </row>
    <row r="18" spans="1:9">
      <c r="C18" s="1" t="s">
        <v>558</v>
      </c>
      <c r="G18" s="21" t="s">
        <v>68</v>
      </c>
      <c r="H18" s="7">
        <f>MIN(H$2:H17)</f>
        <v>43154</v>
      </c>
      <c r="I18" s="1" t="s">
        <v>104</v>
      </c>
    </row>
    <row r="19" spans="1:9">
      <c r="C19" s="1" t="s">
        <v>240</v>
      </c>
      <c r="I19" s="21" t="s">
        <v>70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0"/>
  <dimension ref="A1:I15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6" sqref="D16"/>
    </sheetView>
  </sheetViews>
  <sheetFormatPr defaultRowHeight="14.4"/>
  <cols>
    <col min="1" max="1" width="2.88671875" style="2" bestFit="1" customWidth="1"/>
    <col min="2" max="2" width="8.88671875" style="15" bestFit="1" customWidth="1"/>
    <col min="3" max="3" width="30.77734375" style="1" customWidth="1"/>
    <col min="4" max="4" width="23.77734375" style="1" customWidth="1"/>
    <col min="5" max="5" width="9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75" t="s">
        <v>66</v>
      </c>
      <c r="B1" s="76" t="s">
        <v>7</v>
      </c>
      <c r="C1" s="77" t="s">
        <v>596</v>
      </c>
      <c r="D1" s="77" t="s">
        <v>597</v>
      </c>
      <c r="E1" s="77" t="s">
        <v>10</v>
      </c>
      <c r="F1" s="78" t="s">
        <v>598</v>
      </c>
      <c r="G1" s="77" t="s">
        <v>12</v>
      </c>
      <c r="H1" s="77" t="s">
        <v>13</v>
      </c>
      <c r="I1" s="79" t="s">
        <v>14</v>
      </c>
    </row>
    <row r="2" spans="1:9">
      <c r="A2" s="80">
        <v>1</v>
      </c>
      <c r="B2" s="81">
        <v>105093835</v>
      </c>
      <c r="C2" s="10" t="s">
        <v>565</v>
      </c>
      <c r="D2" s="82" t="s">
        <v>566</v>
      </c>
      <c r="E2" s="82" t="s">
        <v>567</v>
      </c>
      <c r="F2" s="130">
        <f t="shared" ref="F2:F13" ca="1" si="0">ROUND(H2-NOW(),0)-1</f>
        <v>-84</v>
      </c>
      <c r="G2" s="84">
        <v>43153</v>
      </c>
      <c r="H2" s="84">
        <v>43216</v>
      </c>
      <c r="I2" s="85">
        <v>1</v>
      </c>
    </row>
    <row r="3" spans="1:9">
      <c r="A3" s="80">
        <v>2</v>
      </c>
      <c r="B3" s="81">
        <v>105116895</v>
      </c>
      <c r="C3" s="10" t="s">
        <v>568</v>
      </c>
      <c r="D3" s="82" t="s">
        <v>569</v>
      </c>
      <c r="E3" s="82" t="s">
        <v>570</v>
      </c>
      <c r="F3" s="130">
        <f t="shared" ca="1" si="0"/>
        <v>-84</v>
      </c>
      <c r="G3" s="84">
        <v>43153</v>
      </c>
      <c r="H3" s="84">
        <v>43216</v>
      </c>
      <c r="I3" s="85">
        <v>1</v>
      </c>
    </row>
    <row r="4" spans="1:9">
      <c r="A4" s="80">
        <v>3</v>
      </c>
      <c r="B4" s="81">
        <v>105187643</v>
      </c>
      <c r="C4" s="10" t="s">
        <v>571</v>
      </c>
      <c r="D4" s="82" t="s">
        <v>572</v>
      </c>
      <c r="E4" s="82" t="s">
        <v>573</v>
      </c>
      <c r="F4" s="130">
        <f t="shared" ca="1" si="0"/>
        <v>-84</v>
      </c>
      <c r="G4" s="84">
        <v>43153</v>
      </c>
      <c r="H4" s="84">
        <v>43216</v>
      </c>
      <c r="I4" s="85">
        <v>1</v>
      </c>
    </row>
    <row r="5" spans="1:9">
      <c r="A5" s="80">
        <v>4</v>
      </c>
      <c r="B5" s="81">
        <v>105378062</v>
      </c>
      <c r="C5" s="10" t="s">
        <v>574</v>
      </c>
      <c r="D5" s="82" t="s">
        <v>575</v>
      </c>
      <c r="E5" s="82" t="s">
        <v>576</v>
      </c>
      <c r="F5" s="130">
        <f t="shared" ca="1" si="0"/>
        <v>-84</v>
      </c>
      <c r="G5" s="84">
        <v>43153</v>
      </c>
      <c r="H5" s="84">
        <v>43216</v>
      </c>
      <c r="I5" s="85">
        <v>1</v>
      </c>
    </row>
    <row r="6" spans="1:9">
      <c r="A6" s="80">
        <v>5</v>
      </c>
      <c r="B6" s="81">
        <v>105414991</v>
      </c>
      <c r="C6" s="10" t="s">
        <v>577</v>
      </c>
      <c r="D6" s="82" t="s">
        <v>578</v>
      </c>
      <c r="E6" s="82" t="s">
        <v>579</v>
      </c>
      <c r="F6" s="130">
        <f t="shared" ca="1" si="0"/>
        <v>-84</v>
      </c>
      <c r="G6" s="84">
        <v>43153</v>
      </c>
      <c r="H6" s="84">
        <v>43216</v>
      </c>
      <c r="I6" s="85">
        <v>1</v>
      </c>
    </row>
    <row r="7" spans="1:9">
      <c r="A7" s="80">
        <v>6</v>
      </c>
      <c r="B7" s="81">
        <v>104115560</v>
      </c>
      <c r="C7" s="10" t="s">
        <v>580</v>
      </c>
      <c r="D7" s="82" t="s">
        <v>581</v>
      </c>
      <c r="E7" s="82" t="s">
        <v>582</v>
      </c>
      <c r="F7" s="130">
        <f t="shared" ca="1" si="0"/>
        <v>-84</v>
      </c>
      <c r="G7" s="84">
        <v>43153</v>
      </c>
      <c r="H7" s="84">
        <v>43216</v>
      </c>
      <c r="I7" s="85">
        <v>1</v>
      </c>
    </row>
    <row r="8" spans="1:9">
      <c r="A8" s="80">
        <v>7</v>
      </c>
      <c r="B8" s="81">
        <v>105351503</v>
      </c>
      <c r="C8" s="10" t="s">
        <v>599</v>
      </c>
      <c r="D8" s="82" t="s">
        <v>583</v>
      </c>
      <c r="E8" s="82" t="s">
        <v>600</v>
      </c>
      <c r="F8" s="130">
        <f t="shared" ca="1" si="0"/>
        <v>-84</v>
      </c>
      <c r="G8" s="84">
        <v>43153</v>
      </c>
      <c r="H8" s="84">
        <v>43216</v>
      </c>
      <c r="I8" s="85">
        <v>1</v>
      </c>
    </row>
    <row r="9" spans="1:9">
      <c r="A9" s="80">
        <v>8</v>
      </c>
      <c r="B9" s="81">
        <v>104390416</v>
      </c>
      <c r="C9" s="10" t="s">
        <v>584</v>
      </c>
      <c r="D9" s="82" t="s">
        <v>585</v>
      </c>
      <c r="E9" s="82" t="s">
        <v>586</v>
      </c>
      <c r="F9" s="130">
        <f t="shared" ca="1" si="0"/>
        <v>-84</v>
      </c>
      <c r="G9" s="84">
        <v>43153</v>
      </c>
      <c r="H9" s="84">
        <v>43216</v>
      </c>
      <c r="I9" s="85">
        <v>1</v>
      </c>
    </row>
    <row r="10" spans="1:9">
      <c r="A10" s="80">
        <v>9</v>
      </c>
      <c r="B10" s="81">
        <v>104658889</v>
      </c>
      <c r="C10" s="10" t="s">
        <v>283</v>
      </c>
      <c r="D10" s="82" t="s">
        <v>284</v>
      </c>
      <c r="E10" s="82" t="s">
        <v>285</v>
      </c>
      <c r="F10" s="130">
        <f t="shared" ca="1" si="0"/>
        <v>-84</v>
      </c>
      <c r="G10" s="84">
        <v>43153</v>
      </c>
      <c r="H10" s="84">
        <v>43216</v>
      </c>
      <c r="I10" s="85">
        <v>1</v>
      </c>
    </row>
    <row r="11" spans="1:9">
      <c r="A11" s="80">
        <v>10</v>
      </c>
      <c r="B11" s="81">
        <v>105378848</v>
      </c>
      <c r="C11" s="10" t="s">
        <v>587</v>
      </c>
      <c r="D11" s="82" t="s">
        <v>588</v>
      </c>
      <c r="E11" s="82" t="s">
        <v>589</v>
      </c>
      <c r="F11" s="130">
        <f t="shared" ca="1" si="0"/>
        <v>-84</v>
      </c>
      <c r="G11" s="84">
        <v>43153</v>
      </c>
      <c r="H11" s="84">
        <v>43216</v>
      </c>
      <c r="I11" s="85">
        <v>1</v>
      </c>
    </row>
    <row r="12" spans="1:9">
      <c r="A12" s="80">
        <v>11</v>
      </c>
      <c r="B12" s="81">
        <v>105378649</v>
      </c>
      <c r="C12" s="10" t="s">
        <v>590</v>
      </c>
      <c r="D12" s="82" t="s">
        <v>591</v>
      </c>
      <c r="E12" s="82" t="s">
        <v>592</v>
      </c>
      <c r="F12" s="130">
        <f t="shared" ca="1" si="0"/>
        <v>-84</v>
      </c>
      <c r="G12" s="84">
        <v>43153</v>
      </c>
      <c r="H12" s="84">
        <v>43216</v>
      </c>
      <c r="I12" s="85">
        <v>1</v>
      </c>
    </row>
    <row r="13" spans="1:9">
      <c r="A13" s="80">
        <v>12</v>
      </c>
      <c r="B13" s="86">
        <v>104744859</v>
      </c>
      <c r="C13" s="12" t="s">
        <v>593</v>
      </c>
      <c r="D13" s="87" t="s">
        <v>594</v>
      </c>
      <c r="E13" s="87" t="s">
        <v>595</v>
      </c>
      <c r="F13" s="133">
        <f t="shared" ca="1" si="0"/>
        <v>-84</v>
      </c>
      <c r="G13" s="89">
        <v>43153</v>
      </c>
      <c r="H13" s="89">
        <v>43216</v>
      </c>
      <c r="I13" s="90">
        <v>1</v>
      </c>
    </row>
    <row r="14" spans="1:9">
      <c r="C14" s="1" t="s">
        <v>136</v>
      </c>
      <c r="G14" s="21" t="s">
        <v>68</v>
      </c>
      <c r="H14" s="7">
        <f>MIN(H$2:H13)</f>
        <v>43216</v>
      </c>
      <c r="I14" s="1" t="s">
        <v>287</v>
      </c>
    </row>
    <row r="15" spans="1:9">
      <c r="C15" s="1" t="s">
        <v>137</v>
      </c>
      <c r="I15" s="21" t="s">
        <v>70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1"/>
  <dimension ref="A1:I10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3" sqref="C3"/>
    </sheetView>
  </sheetViews>
  <sheetFormatPr defaultRowHeight="14.4"/>
  <cols>
    <col min="1" max="1" width="2.77734375" style="2" bestFit="1" customWidth="1"/>
    <col min="2" max="2" width="8.88671875" style="15" bestFit="1" customWidth="1"/>
    <col min="3" max="3" width="30.77734375" style="1" customWidth="1"/>
    <col min="4" max="4" width="23.77734375" style="1" customWidth="1"/>
    <col min="5" max="5" width="9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75" t="s">
        <v>66</v>
      </c>
      <c r="B1" s="76" t="s">
        <v>7</v>
      </c>
      <c r="C1" s="77" t="s">
        <v>613</v>
      </c>
      <c r="D1" s="77" t="s">
        <v>614</v>
      </c>
      <c r="E1" s="77" t="s">
        <v>10</v>
      </c>
      <c r="F1" s="78" t="s">
        <v>615</v>
      </c>
      <c r="G1" s="77" t="s">
        <v>12</v>
      </c>
      <c r="H1" s="77" t="s">
        <v>13</v>
      </c>
      <c r="I1" s="79" t="s">
        <v>14</v>
      </c>
    </row>
    <row r="2" spans="1:9">
      <c r="A2" s="80">
        <v>1</v>
      </c>
      <c r="B2" s="81">
        <v>105461113</v>
      </c>
      <c r="C2" s="10" t="s">
        <v>601</v>
      </c>
      <c r="D2" s="82" t="s">
        <v>602</v>
      </c>
      <c r="E2" s="82" t="s">
        <v>603</v>
      </c>
      <c r="F2" s="130">
        <f t="shared" ref="F2:F8" ca="1" si="0">ROUND(H2-NOW(),0)-1</f>
        <v>-52</v>
      </c>
      <c r="G2" s="84">
        <v>43186</v>
      </c>
      <c r="H2" s="84">
        <v>43248</v>
      </c>
      <c r="I2" s="85">
        <v>1</v>
      </c>
    </row>
    <row r="3" spans="1:9">
      <c r="A3" s="80">
        <v>2</v>
      </c>
      <c r="B3" s="81">
        <v>105429023</v>
      </c>
      <c r="C3" s="10" t="s">
        <v>618</v>
      </c>
      <c r="D3" s="82" t="s">
        <v>619</v>
      </c>
      <c r="E3" s="82" t="s">
        <v>620</v>
      </c>
      <c r="F3" s="130">
        <f t="shared" ca="1" si="0"/>
        <v>-52</v>
      </c>
      <c r="G3" s="84">
        <v>43186</v>
      </c>
      <c r="H3" s="84">
        <v>43248</v>
      </c>
      <c r="I3" s="85">
        <v>1</v>
      </c>
    </row>
    <row r="4" spans="1:9">
      <c r="A4" s="80">
        <v>3</v>
      </c>
      <c r="B4" s="81">
        <v>105374108</v>
      </c>
      <c r="C4" s="10" t="s">
        <v>604</v>
      </c>
      <c r="D4" s="82" t="s">
        <v>605</v>
      </c>
      <c r="E4" s="82" t="s">
        <v>606</v>
      </c>
      <c r="F4" s="130">
        <f t="shared" ca="1" si="0"/>
        <v>-52</v>
      </c>
      <c r="G4" s="84">
        <v>43186</v>
      </c>
      <c r="H4" s="84">
        <v>43248</v>
      </c>
      <c r="I4" s="85">
        <v>1</v>
      </c>
    </row>
    <row r="5" spans="1:9">
      <c r="A5" s="80">
        <v>4</v>
      </c>
      <c r="B5" s="81">
        <v>104272316</v>
      </c>
      <c r="C5" s="10" t="s">
        <v>607</v>
      </c>
      <c r="D5" s="82" t="s">
        <v>608</v>
      </c>
      <c r="E5" s="82" t="s">
        <v>609</v>
      </c>
      <c r="F5" s="130">
        <f t="shared" ca="1" si="0"/>
        <v>-52</v>
      </c>
      <c r="G5" s="84">
        <v>43186</v>
      </c>
      <c r="H5" s="84">
        <v>43248</v>
      </c>
      <c r="I5" s="85">
        <v>1</v>
      </c>
    </row>
    <row r="6" spans="1:9">
      <c r="A6" s="80">
        <v>5</v>
      </c>
      <c r="B6" s="81">
        <v>105327722</v>
      </c>
      <c r="C6" s="10" t="s">
        <v>610</v>
      </c>
      <c r="D6" s="82" t="s">
        <v>611</v>
      </c>
      <c r="E6" s="82" t="s">
        <v>612</v>
      </c>
      <c r="F6" s="130">
        <f t="shared" ca="1" si="0"/>
        <v>-52</v>
      </c>
      <c r="G6" s="84">
        <v>43186</v>
      </c>
      <c r="H6" s="84">
        <v>43248</v>
      </c>
      <c r="I6" s="85">
        <v>1</v>
      </c>
    </row>
    <row r="7" spans="1:9">
      <c r="A7" s="80">
        <v>6</v>
      </c>
      <c r="B7" s="81">
        <v>104786824</v>
      </c>
      <c r="C7" s="10" t="s">
        <v>291</v>
      </c>
      <c r="D7" s="82" t="s">
        <v>292</v>
      </c>
      <c r="E7" s="82" t="s">
        <v>293</v>
      </c>
      <c r="F7" s="130">
        <f t="shared" ca="1" si="0"/>
        <v>-52</v>
      </c>
      <c r="G7" s="84">
        <v>43186</v>
      </c>
      <c r="H7" s="84">
        <v>43248</v>
      </c>
      <c r="I7" s="85">
        <v>1</v>
      </c>
    </row>
    <row r="8" spans="1:9">
      <c r="A8" s="80">
        <v>7</v>
      </c>
      <c r="B8" s="86">
        <v>103571513</v>
      </c>
      <c r="C8" s="12" t="s">
        <v>621</v>
      </c>
      <c r="D8" s="139" t="s">
        <v>622</v>
      </c>
      <c r="E8" s="87" t="s">
        <v>623</v>
      </c>
      <c r="F8" s="133">
        <f t="shared" ca="1" si="0"/>
        <v>-52</v>
      </c>
      <c r="G8" s="89">
        <v>43186</v>
      </c>
      <c r="H8" s="89">
        <v>43248</v>
      </c>
      <c r="I8" s="90">
        <v>1</v>
      </c>
    </row>
    <row r="9" spans="1:9">
      <c r="C9" s="1" t="s">
        <v>616</v>
      </c>
      <c r="G9" s="21" t="s">
        <v>68</v>
      </c>
      <c r="H9" s="7">
        <f>MIN(H$2:H8)</f>
        <v>43248</v>
      </c>
      <c r="I9" s="1" t="s">
        <v>617</v>
      </c>
    </row>
    <row r="10" spans="1:9">
      <c r="C10" s="1" t="s">
        <v>137</v>
      </c>
      <c r="I10" s="21" t="s">
        <v>70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2"/>
  <dimension ref="A1:I14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15" sqref="C15"/>
    </sheetView>
  </sheetViews>
  <sheetFormatPr defaultRowHeight="14.4"/>
  <cols>
    <col min="1" max="1" width="2.88671875" style="2" bestFit="1" customWidth="1"/>
    <col min="2" max="2" width="8.88671875" style="15" bestFit="1" customWidth="1"/>
    <col min="3" max="3" width="30.77734375" style="1" customWidth="1"/>
    <col min="4" max="4" width="23.77734375" style="1" customWidth="1"/>
    <col min="5" max="5" width="9.44140625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75" t="s">
        <v>66</v>
      </c>
      <c r="B1" s="76" t="s">
        <v>7</v>
      </c>
      <c r="C1" s="77" t="s">
        <v>645</v>
      </c>
      <c r="D1" s="77" t="s">
        <v>646</v>
      </c>
      <c r="E1" s="77" t="s">
        <v>10</v>
      </c>
      <c r="F1" s="78" t="s">
        <v>647</v>
      </c>
      <c r="G1" s="77" t="s">
        <v>12</v>
      </c>
      <c r="H1" s="77" t="s">
        <v>13</v>
      </c>
      <c r="I1" s="79" t="s">
        <v>14</v>
      </c>
    </row>
    <row r="2" spans="1:9">
      <c r="A2" s="80">
        <v>1</v>
      </c>
      <c r="B2" s="81">
        <v>103877530</v>
      </c>
      <c r="C2" s="10" t="s">
        <v>624</v>
      </c>
      <c r="D2" s="82" t="s">
        <v>625</v>
      </c>
      <c r="E2" s="82" t="s">
        <v>626</v>
      </c>
      <c r="F2" s="130">
        <f t="shared" ref="F2:F12" ca="1" si="0">ROUND(H2-NOW(),0)-1</f>
        <v>-28</v>
      </c>
      <c r="G2" s="84">
        <v>43210</v>
      </c>
      <c r="H2" s="84">
        <v>43272</v>
      </c>
      <c r="I2" s="85">
        <v>1</v>
      </c>
    </row>
    <row r="3" spans="1:9">
      <c r="A3" s="80">
        <v>2</v>
      </c>
      <c r="B3" s="81">
        <v>105033248</v>
      </c>
      <c r="C3" s="10" t="s">
        <v>627</v>
      </c>
      <c r="D3" s="82" t="s">
        <v>628</v>
      </c>
      <c r="E3" s="82" t="s">
        <v>629</v>
      </c>
      <c r="F3" s="130">
        <f t="shared" ca="1" si="0"/>
        <v>-28</v>
      </c>
      <c r="G3" s="84">
        <v>43210</v>
      </c>
      <c r="H3" s="84">
        <v>43272</v>
      </c>
      <c r="I3" s="85">
        <v>1</v>
      </c>
    </row>
    <row r="4" spans="1:9">
      <c r="A4" s="80">
        <v>3</v>
      </c>
      <c r="B4" s="81">
        <v>103944078</v>
      </c>
      <c r="C4" s="10" t="s">
        <v>630</v>
      </c>
      <c r="D4" s="82" t="s">
        <v>631</v>
      </c>
      <c r="E4" s="82" t="s">
        <v>632</v>
      </c>
      <c r="F4" s="130">
        <f t="shared" ca="1" si="0"/>
        <v>-28</v>
      </c>
      <c r="G4" s="84">
        <v>43210</v>
      </c>
      <c r="H4" s="84">
        <v>43272</v>
      </c>
      <c r="I4" s="85">
        <v>1</v>
      </c>
    </row>
    <row r="5" spans="1:9">
      <c r="A5" s="80">
        <v>4</v>
      </c>
      <c r="B5" s="81">
        <v>105093936</v>
      </c>
      <c r="C5" s="10" t="s">
        <v>652</v>
      </c>
      <c r="D5" s="82" t="s">
        <v>653</v>
      </c>
      <c r="E5" s="82" t="s">
        <v>654</v>
      </c>
      <c r="F5" s="130">
        <f t="shared" ca="1" si="0"/>
        <v>-28</v>
      </c>
      <c r="G5" s="84">
        <v>43210</v>
      </c>
      <c r="H5" s="84">
        <v>43272</v>
      </c>
      <c r="I5" s="85">
        <v>1</v>
      </c>
    </row>
    <row r="6" spans="1:9">
      <c r="A6" s="80">
        <v>5</v>
      </c>
      <c r="B6" s="81">
        <v>105296989</v>
      </c>
      <c r="C6" s="10" t="s">
        <v>649</v>
      </c>
      <c r="D6" s="140" t="s">
        <v>650</v>
      </c>
      <c r="E6" s="82" t="s">
        <v>651</v>
      </c>
      <c r="F6" s="130">
        <f t="shared" ca="1" si="0"/>
        <v>-28</v>
      </c>
      <c r="G6" s="84">
        <v>43210</v>
      </c>
      <c r="H6" s="84">
        <v>43272</v>
      </c>
      <c r="I6" s="85">
        <v>1</v>
      </c>
    </row>
    <row r="7" spans="1:9">
      <c r="A7" s="80">
        <v>6</v>
      </c>
      <c r="B7" s="81">
        <v>103336647</v>
      </c>
      <c r="C7" s="10" t="s">
        <v>633</v>
      </c>
      <c r="D7" s="82" t="s">
        <v>634</v>
      </c>
      <c r="E7" s="82" t="s">
        <v>635</v>
      </c>
      <c r="F7" s="130">
        <f t="shared" ca="1" si="0"/>
        <v>-28</v>
      </c>
      <c r="G7" s="84">
        <v>43210</v>
      </c>
      <c r="H7" s="84">
        <v>43272</v>
      </c>
      <c r="I7" s="85">
        <v>1</v>
      </c>
    </row>
    <row r="8" spans="1:9">
      <c r="A8" s="80">
        <v>7</v>
      </c>
      <c r="B8" s="81">
        <v>105170718</v>
      </c>
      <c r="C8" s="10" t="s">
        <v>636</v>
      </c>
      <c r="D8" s="82" t="s">
        <v>637</v>
      </c>
      <c r="E8" s="82" t="s">
        <v>638</v>
      </c>
      <c r="F8" s="130">
        <f t="shared" ca="1" si="0"/>
        <v>-28</v>
      </c>
      <c r="G8" s="84">
        <v>43210</v>
      </c>
      <c r="H8" s="84">
        <v>43272</v>
      </c>
      <c r="I8" s="85">
        <v>1</v>
      </c>
    </row>
    <row r="9" spans="1:9">
      <c r="A9" s="80">
        <v>8</v>
      </c>
      <c r="B9" s="81">
        <v>105482153</v>
      </c>
      <c r="C9" s="10" t="s">
        <v>639</v>
      </c>
      <c r="D9" s="82" t="s">
        <v>640</v>
      </c>
      <c r="E9" s="82" t="s">
        <v>641</v>
      </c>
      <c r="F9" s="130">
        <f t="shared" ca="1" si="0"/>
        <v>-28</v>
      </c>
      <c r="G9" s="84">
        <v>43210</v>
      </c>
      <c r="H9" s="84">
        <v>43272</v>
      </c>
      <c r="I9" s="85">
        <v>1</v>
      </c>
    </row>
    <row r="10" spans="1:9">
      <c r="A10" s="80">
        <v>9</v>
      </c>
      <c r="B10" s="81">
        <v>104786824</v>
      </c>
      <c r="C10" s="10" t="s">
        <v>291</v>
      </c>
      <c r="D10" s="82" t="s">
        <v>292</v>
      </c>
      <c r="E10" s="82" t="s">
        <v>293</v>
      </c>
      <c r="F10" s="130">
        <f t="shared" ca="1" si="0"/>
        <v>-28</v>
      </c>
      <c r="G10" s="84">
        <v>43210</v>
      </c>
      <c r="H10" s="84">
        <v>43272</v>
      </c>
      <c r="I10" s="85">
        <v>1</v>
      </c>
    </row>
    <row r="11" spans="1:9">
      <c r="A11" s="80">
        <v>10</v>
      </c>
      <c r="B11" s="81">
        <v>105374108</v>
      </c>
      <c r="C11" s="10" t="s">
        <v>604</v>
      </c>
      <c r="D11" s="82" t="s">
        <v>605</v>
      </c>
      <c r="E11" s="82" t="s">
        <v>606</v>
      </c>
      <c r="F11" s="130">
        <f t="shared" ca="1" si="0"/>
        <v>-28</v>
      </c>
      <c r="G11" s="84">
        <v>43210</v>
      </c>
      <c r="H11" s="84">
        <v>43272</v>
      </c>
      <c r="I11" s="85">
        <v>1</v>
      </c>
    </row>
    <row r="12" spans="1:9">
      <c r="A12" s="80">
        <v>11</v>
      </c>
      <c r="B12" s="86">
        <v>104655366</v>
      </c>
      <c r="C12" s="12" t="s">
        <v>642</v>
      </c>
      <c r="D12" s="87" t="s">
        <v>643</v>
      </c>
      <c r="E12" s="87" t="s">
        <v>644</v>
      </c>
      <c r="F12" s="133">
        <f t="shared" ca="1" si="0"/>
        <v>-28</v>
      </c>
      <c r="G12" s="89">
        <v>43210</v>
      </c>
      <c r="H12" s="89">
        <v>43272</v>
      </c>
      <c r="I12" s="90">
        <v>1</v>
      </c>
    </row>
    <row r="13" spans="1:9">
      <c r="C13" s="1" t="s">
        <v>67</v>
      </c>
      <c r="G13" s="21" t="s">
        <v>68</v>
      </c>
      <c r="H13" s="7">
        <f>MIN(H$2:H12)</f>
        <v>43272</v>
      </c>
      <c r="I13" s="1" t="s">
        <v>648</v>
      </c>
    </row>
    <row r="14" spans="1:9">
      <c r="C14" s="1" t="s">
        <v>137</v>
      </c>
      <c r="I14" s="21" t="s">
        <v>70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3"/>
  <dimension ref="A1:I18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J11" sqref="J11"/>
    </sheetView>
  </sheetViews>
  <sheetFormatPr defaultRowHeight="14.4"/>
  <cols>
    <col min="1" max="1" width="2.88671875" style="2" bestFit="1" customWidth="1"/>
    <col min="2" max="2" width="8.88671875" style="15" bestFit="1" customWidth="1"/>
    <col min="3" max="3" width="30.77734375" style="1" customWidth="1"/>
    <col min="4" max="4" width="23.77734375" style="1" customWidth="1"/>
    <col min="5" max="5" width="9.44140625" style="1" bestFit="1" customWidth="1"/>
    <col min="6" max="6" width="8" style="2" bestFit="1" customWidth="1"/>
    <col min="7" max="7" width="12.77734375" style="1" customWidth="1"/>
    <col min="8" max="8" width="10.5546875" style="1" bestFit="1" customWidth="1"/>
    <col min="9" max="9" width="8.77734375" style="2" customWidth="1"/>
    <col min="10" max="16384" width="8.88671875" style="1"/>
  </cols>
  <sheetData>
    <row r="1" spans="1:9">
      <c r="A1" s="75" t="s">
        <v>66</v>
      </c>
      <c r="B1" s="76" t="s">
        <v>7</v>
      </c>
      <c r="C1" s="77" t="s">
        <v>673</v>
      </c>
      <c r="D1" s="77" t="s">
        <v>674</v>
      </c>
      <c r="E1" s="77" t="s">
        <v>10</v>
      </c>
      <c r="F1" s="78" t="s">
        <v>675</v>
      </c>
      <c r="G1" s="77" t="s">
        <v>12</v>
      </c>
      <c r="H1" s="77" t="s">
        <v>13</v>
      </c>
      <c r="I1" s="79" t="s">
        <v>14</v>
      </c>
    </row>
    <row r="2" spans="1:9">
      <c r="A2" s="80">
        <v>1</v>
      </c>
      <c r="B2" s="81">
        <v>105240394</v>
      </c>
      <c r="C2" s="10" t="s">
        <v>655</v>
      </c>
      <c r="D2" s="82" t="s">
        <v>656</v>
      </c>
      <c r="E2" s="82" t="s">
        <v>657</v>
      </c>
      <c r="F2" s="130">
        <f t="shared" ref="F2:F16" ca="1" si="0">ROUND(H2-NOW(),0)-1</f>
        <v>-3</v>
      </c>
      <c r="G2" s="84">
        <v>43235</v>
      </c>
      <c r="H2" s="84">
        <v>43297</v>
      </c>
      <c r="I2" s="85">
        <v>1</v>
      </c>
    </row>
    <row r="3" spans="1:9">
      <c r="A3" s="80">
        <v>2</v>
      </c>
      <c r="B3" s="81">
        <v>104530287</v>
      </c>
      <c r="C3" s="10" t="s">
        <v>658</v>
      </c>
      <c r="D3" s="82" t="s">
        <v>659</v>
      </c>
      <c r="E3" s="82" t="s">
        <v>660</v>
      </c>
      <c r="F3" s="130">
        <f t="shared" ca="1" si="0"/>
        <v>-3</v>
      </c>
      <c r="G3" s="84">
        <v>43235</v>
      </c>
      <c r="H3" s="84">
        <v>43297</v>
      </c>
      <c r="I3" s="85">
        <v>1</v>
      </c>
    </row>
    <row r="4" spans="1:9">
      <c r="A4" s="80">
        <v>3</v>
      </c>
      <c r="B4" s="81">
        <v>104517779</v>
      </c>
      <c r="C4" s="10" t="s">
        <v>661</v>
      </c>
      <c r="D4" s="82" t="s">
        <v>662</v>
      </c>
      <c r="E4" s="82" t="s">
        <v>663</v>
      </c>
      <c r="F4" s="130">
        <f t="shared" ca="1" si="0"/>
        <v>-3</v>
      </c>
      <c r="G4" s="84">
        <v>43235</v>
      </c>
      <c r="H4" s="84">
        <v>43297</v>
      </c>
      <c r="I4" s="85">
        <v>1</v>
      </c>
    </row>
    <row r="5" spans="1:9">
      <c r="A5" s="80">
        <v>4</v>
      </c>
      <c r="B5" s="81">
        <v>104646383</v>
      </c>
      <c r="C5" s="10" t="s">
        <v>664</v>
      </c>
      <c r="D5" s="82" t="s">
        <v>665</v>
      </c>
      <c r="E5" s="82" t="s">
        <v>666</v>
      </c>
      <c r="F5" s="130">
        <f t="shared" ca="1" si="0"/>
        <v>-3</v>
      </c>
      <c r="G5" s="84">
        <v>43235</v>
      </c>
      <c r="H5" s="84">
        <v>43297</v>
      </c>
      <c r="I5" s="85">
        <v>1</v>
      </c>
    </row>
    <row r="6" spans="1:9">
      <c r="A6" s="80">
        <v>5</v>
      </c>
      <c r="B6" s="81">
        <v>103877530</v>
      </c>
      <c r="C6" s="10" t="s">
        <v>624</v>
      </c>
      <c r="D6" s="82" t="s">
        <v>625</v>
      </c>
      <c r="E6" s="82" t="s">
        <v>626</v>
      </c>
      <c r="F6" s="130">
        <f t="shared" ca="1" si="0"/>
        <v>-28</v>
      </c>
      <c r="G6" s="84">
        <v>43210</v>
      </c>
      <c r="H6" s="84">
        <v>43272</v>
      </c>
      <c r="I6" s="85">
        <v>1</v>
      </c>
    </row>
    <row r="7" spans="1:9">
      <c r="A7" s="80">
        <v>6</v>
      </c>
      <c r="B7" s="81">
        <v>105033248</v>
      </c>
      <c r="C7" s="10" t="s">
        <v>627</v>
      </c>
      <c r="D7" s="82" t="s">
        <v>628</v>
      </c>
      <c r="E7" s="82" t="s">
        <v>629</v>
      </c>
      <c r="F7" s="130">
        <f t="shared" ca="1" si="0"/>
        <v>-28</v>
      </c>
      <c r="G7" s="84">
        <v>43210</v>
      </c>
      <c r="H7" s="84">
        <v>43272</v>
      </c>
      <c r="I7" s="85">
        <v>1</v>
      </c>
    </row>
    <row r="8" spans="1:9">
      <c r="A8" s="80">
        <v>7</v>
      </c>
      <c r="B8" s="81">
        <v>103944078</v>
      </c>
      <c r="C8" s="10" t="s">
        <v>630</v>
      </c>
      <c r="D8" s="82" t="s">
        <v>631</v>
      </c>
      <c r="E8" s="82" t="s">
        <v>632</v>
      </c>
      <c r="F8" s="130">
        <f t="shared" ca="1" si="0"/>
        <v>-28</v>
      </c>
      <c r="G8" s="84">
        <v>43210</v>
      </c>
      <c r="H8" s="84">
        <v>43272</v>
      </c>
      <c r="I8" s="85">
        <v>1</v>
      </c>
    </row>
    <row r="9" spans="1:9">
      <c r="A9" s="80">
        <v>8</v>
      </c>
      <c r="B9" s="81">
        <v>105093936</v>
      </c>
      <c r="C9" s="10" t="s">
        <v>667</v>
      </c>
      <c r="D9" s="82" t="s">
        <v>668</v>
      </c>
      <c r="E9" s="82" t="s">
        <v>669</v>
      </c>
      <c r="F9" s="130">
        <f t="shared" ca="1" si="0"/>
        <v>-28</v>
      </c>
      <c r="G9" s="84">
        <v>43210</v>
      </c>
      <c r="H9" s="84">
        <v>43272</v>
      </c>
      <c r="I9" s="85">
        <v>1</v>
      </c>
    </row>
    <row r="10" spans="1:9">
      <c r="A10" s="80">
        <v>9</v>
      </c>
      <c r="B10" s="81">
        <v>105296989</v>
      </c>
      <c r="C10" s="10" t="s">
        <v>670</v>
      </c>
      <c r="D10" s="82" t="s">
        <v>671</v>
      </c>
      <c r="E10" s="82" t="s">
        <v>672</v>
      </c>
      <c r="F10" s="130">
        <f t="shared" ca="1" si="0"/>
        <v>-28</v>
      </c>
      <c r="G10" s="84">
        <v>43210</v>
      </c>
      <c r="H10" s="84">
        <v>43272</v>
      </c>
      <c r="I10" s="85">
        <v>1</v>
      </c>
    </row>
    <row r="11" spans="1:9">
      <c r="A11" s="80">
        <v>10</v>
      </c>
      <c r="B11" s="81">
        <v>103336647</v>
      </c>
      <c r="C11" s="10" t="s">
        <v>633</v>
      </c>
      <c r="D11" s="82" t="s">
        <v>634</v>
      </c>
      <c r="E11" s="82" t="s">
        <v>635</v>
      </c>
      <c r="F11" s="130">
        <f t="shared" ca="1" si="0"/>
        <v>-28</v>
      </c>
      <c r="G11" s="84">
        <v>43210</v>
      </c>
      <c r="H11" s="84">
        <v>43272</v>
      </c>
      <c r="I11" s="85">
        <v>1</v>
      </c>
    </row>
    <row r="12" spans="1:9">
      <c r="A12" s="80">
        <v>11</v>
      </c>
      <c r="B12" s="81">
        <v>105170718</v>
      </c>
      <c r="C12" s="10" t="s">
        <v>636</v>
      </c>
      <c r="D12" s="82" t="s">
        <v>637</v>
      </c>
      <c r="E12" s="82" t="s">
        <v>638</v>
      </c>
      <c r="F12" s="130">
        <f t="shared" ca="1" si="0"/>
        <v>-28</v>
      </c>
      <c r="G12" s="84">
        <v>43210</v>
      </c>
      <c r="H12" s="84">
        <v>43272</v>
      </c>
      <c r="I12" s="85">
        <v>1</v>
      </c>
    </row>
    <row r="13" spans="1:9">
      <c r="A13" s="80">
        <v>12</v>
      </c>
      <c r="B13" s="81">
        <v>105482153</v>
      </c>
      <c r="C13" s="10" t="s">
        <v>639</v>
      </c>
      <c r="D13" s="82" t="s">
        <v>640</v>
      </c>
      <c r="E13" s="82" t="s">
        <v>641</v>
      </c>
      <c r="F13" s="130">
        <f t="shared" ca="1" si="0"/>
        <v>-28</v>
      </c>
      <c r="G13" s="84">
        <v>43210</v>
      </c>
      <c r="H13" s="84">
        <v>43272</v>
      </c>
      <c r="I13" s="85">
        <v>1</v>
      </c>
    </row>
    <row r="14" spans="1:9">
      <c r="A14" s="80">
        <v>13</v>
      </c>
      <c r="B14" s="81">
        <v>104786824</v>
      </c>
      <c r="C14" s="10" t="s">
        <v>291</v>
      </c>
      <c r="D14" s="82" t="s">
        <v>292</v>
      </c>
      <c r="E14" s="82" t="s">
        <v>293</v>
      </c>
      <c r="F14" s="130">
        <f t="shared" ca="1" si="0"/>
        <v>-28</v>
      </c>
      <c r="G14" s="84">
        <v>43210</v>
      </c>
      <c r="H14" s="84">
        <v>43272</v>
      </c>
      <c r="I14" s="85">
        <v>1</v>
      </c>
    </row>
    <row r="15" spans="1:9">
      <c r="A15" s="80">
        <v>14</v>
      </c>
      <c r="B15" s="81">
        <v>105374108</v>
      </c>
      <c r="C15" s="10" t="s">
        <v>604</v>
      </c>
      <c r="D15" s="82" t="s">
        <v>605</v>
      </c>
      <c r="E15" s="82" t="s">
        <v>606</v>
      </c>
      <c r="F15" s="130">
        <f t="shared" ca="1" si="0"/>
        <v>-28</v>
      </c>
      <c r="G15" s="84">
        <v>43210</v>
      </c>
      <c r="H15" s="84">
        <v>43272</v>
      </c>
      <c r="I15" s="85">
        <v>1</v>
      </c>
    </row>
    <row r="16" spans="1:9">
      <c r="A16" s="80">
        <v>15</v>
      </c>
      <c r="B16" s="86">
        <v>104655366</v>
      </c>
      <c r="C16" s="12" t="s">
        <v>642</v>
      </c>
      <c r="D16" s="87" t="s">
        <v>643</v>
      </c>
      <c r="E16" s="87" t="s">
        <v>644</v>
      </c>
      <c r="F16" s="133">
        <f t="shared" ca="1" si="0"/>
        <v>-28</v>
      </c>
      <c r="G16" s="89">
        <v>43210</v>
      </c>
      <c r="H16" s="89">
        <v>43272</v>
      </c>
      <c r="I16" s="90">
        <v>1</v>
      </c>
    </row>
    <row r="17" spans="3:9">
      <c r="C17" s="1" t="s">
        <v>558</v>
      </c>
      <c r="G17" s="21" t="s">
        <v>68</v>
      </c>
      <c r="H17" s="7">
        <f>MIN(H$2:H16)</f>
        <v>43272</v>
      </c>
      <c r="I17" s="1" t="s">
        <v>676</v>
      </c>
    </row>
    <row r="18" spans="3:9">
      <c r="C18" s="1" t="s">
        <v>137</v>
      </c>
      <c r="I18" s="21" t="s">
        <v>70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4"/>
  <dimension ref="A1:I17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9" sqref="D19"/>
    </sheetView>
  </sheetViews>
  <sheetFormatPr defaultRowHeight="14.4"/>
  <cols>
    <col min="1" max="1" width="2.88671875" style="2" bestFit="1" customWidth="1"/>
    <col min="2" max="2" width="8.88671875" style="15" bestFit="1" customWidth="1"/>
    <col min="3" max="3" width="30.77734375" style="1" customWidth="1"/>
    <col min="4" max="4" width="23.77734375" style="1" customWidth="1"/>
    <col min="5" max="5" width="8.77734375" style="1" bestFit="1" customWidth="1"/>
    <col min="6" max="6" width="8" style="2" bestFit="1" customWidth="1"/>
    <col min="7" max="7" width="12.77734375" style="1" customWidth="1"/>
    <col min="8" max="8" width="9.5546875" style="1" bestFit="1" customWidth="1"/>
    <col min="9" max="9" width="8.77734375" style="2" customWidth="1"/>
    <col min="10" max="16384" width="8.88671875" style="1"/>
  </cols>
  <sheetData>
    <row r="1" spans="1:9">
      <c r="A1" s="75" t="s">
        <v>66</v>
      </c>
      <c r="B1" s="76" t="s">
        <v>7</v>
      </c>
      <c r="C1" s="77" t="s">
        <v>712</v>
      </c>
      <c r="D1" s="77" t="s">
        <v>713</v>
      </c>
      <c r="E1" s="77" t="s">
        <v>10</v>
      </c>
      <c r="F1" s="78" t="s">
        <v>714</v>
      </c>
      <c r="G1" s="77" t="s">
        <v>12</v>
      </c>
      <c r="H1" s="77" t="s">
        <v>13</v>
      </c>
      <c r="I1" s="79" t="s">
        <v>14</v>
      </c>
    </row>
    <row r="2" spans="1:9">
      <c r="A2" s="80">
        <v>1</v>
      </c>
      <c r="B2" s="81">
        <v>104545798</v>
      </c>
      <c r="C2" s="10" t="s">
        <v>677</v>
      </c>
      <c r="D2" s="82" t="s">
        <v>678</v>
      </c>
      <c r="E2" s="82" t="s">
        <v>679</v>
      </c>
      <c r="F2" s="130">
        <f t="shared" ref="F2:F15" ca="1" si="0">ROUND(H2-NOW(),0)-1</f>
        <v>17</v>
      </c>
      <c r="G2" s="84">
        <v>43255</v>
      </c>
      <c r="H2" s="84">
        <v>43317</v>
      </c>
      <c r="I2" s="85">
        <v>1</v>
      </c>
    </row>
    <row r="3" spans="1:9">
      <c r="A3" s="80">
        <v>2</v>
      </c>
      <c r="B3" s="81">
        <v>103859554</v>
      </c>
      <c r="C3" s="10" t="s">
        <v>680</v>
      </c>
      <c r="D3" s="82" t="s">
        <v>334</v>
      </c>
      <c r="E3" s="82" t="s">
        <v>681</v>
      </c>
      <c r="F3" s="130">
        <f t="shared" ca="1" si="0"/>
        <v>17</v>
      </c>
      <c r="G3" s="84">
        <v>43255</v>
      </c>
      <c r="H3" s="84">
        <v>43317</v>
      </c>
      <c r="I3" s="85">
        <v>1</v>
      </c>
    </row>
    <row r="4" spans="1:9">
      <c r="A4" s="80">
        <v>3</v>
      </c>
      <c r="B4" s="81">
        <v>102729412</v>
      </c>
      <c r="C4" s="10" t="s">
        <v>682</v>
      </c>
      <c r="D4" s="82" t="s">
        <v>683</v>
      </c>
      <c r="E4" s="82" t="s">
        <v>684</v>
      </c>
      <c r="F4" s="130">
        <f t="shared" ca="1" si="0"/>
        <v>17</v>
      </c>
      <c r="G4" s="84">
        <v>43255</v>
      </c>
      <c r="H4" s="84">
        <v>43317</v>
      </c>
      <c r="I4" s="85">
        <v>1</v>
      </c>
    </row>
    <row r="5" spans="1:9">
      <c r="A5" s="80">
        <v>4</v>
      </c>
      <c r="B5" s="81">
        <v>103670225</v>
      </c>
      <c r="C5" s="10" t="s">
        <v>685</v>
      </c>
      <c r="D5" s="82" t="s">
        <v>686</v>
      </c>
      <c r="E5" s="82" t="s">
        <v>687</v>
      </c>
      <c r="F5" s="130">
        <f t="shared" ca="1" si="0"/>
        <v>17</v>
      </c>
      <c r="G5" s="84">
        <v>43255</v>
      </c>
      <c r="H5" s="84">
        <v>43317</v>
      </c>
      <c r="I5" s="85">
        <v>1</v>
      </c>
    </row>
    <row r="6" spans="1:9">
      <c r="A6" s="80">
        <v>5</v>
      </c>
      <c r="B6" s="81">
        <v>105457563</v>
      </c>
      <c r="C6" s="10" t="s">
        <v>688</v>
      </c>
      <c r="D6" s="82" t="s">
        <v>689</v>
      </c>
      <c r="E6" s="82" t="s">
        <v>690</v>
      </c>
      <c r="F6" s="130">
        <f t="shared" ca="1" si="0"/>
        <v>17</v>
      </c>
      <c r="G6" s="84">
        <v>43255</v>
      </c>
      <c r="H6" s="84">
        <v>43317</v>
      </c>
      <c r="I6" s="85">
        <v>1</v>
      </c>
    </row>
    <row r="7" spans="1:9">
      <c r="A7" s="80">
        <v>6</v>
      </c>
      <c r="B7" s="81">
        <v>105446971</v>
      </c>
      <c r="C7" s="10" t="s">
        <v>691</v>
      </c>
      <c r="D7" s="82" t="s">
        <v>692</v>
      </c>
      <c r="E7" s="82" t="s">
        <v>693</v>
      </c>
      <c r="F7" s="130">
        <f t="shared" ca="1" si="0"/>
        <v>17</v>
      </c>
      <c r="G7" s="84">
        <v>43255</v>
      </c>
      <c r="H7" s="84">
        <v>43317</v>
      </c>
      <c r="I7" s="85">
        <v>1</v>
      </c>
    </row>
    <row r="8" spans="1:9">
      <c r="A8" s="80">
        <v>7</v>
      </c>
      <c r="B8" s="81">
        <v>104860078</v>
      </c>
      <c r="C8" s="10" t="s">
        <v>694</v>
      </c>
      <c r="D8" s="82" t="s">
        <v>695</v>
      </c>
      <c r="E8" s="82" t="s">
        <v>696</v>
      </c>
      <c r="F8" s="130">
        <f t="shared" ca="1" si="0"/>
        <v>17</v>
      </c>
      <c r="G8" s="84">
        <v>43255</v>
      </c>
      <c r="H8" s="84">
        <v>43317</v>
      </c>
      <c r="I8" s="85">
        <v>1</v>
      </c>
    </row>
    <row r="9" spans="1:9">
      <c r="A9" s="80">
        <v>8</v>
      </c>
      <c r="B9" s="81">
        <v>103619421</v>
      </c>
      <c r="C9" s="10" t="s">
        <v>715</v>
      </c>
      <c r="D9" s="82" t="s">
        <v>716</v>
      </c>
      <c r="E9" s="82" t="s">
        <v>717</v>
      </c>
      <c r="F9" s="130">
        <f t="shared" ca="1" si="0"/>
        <v>17</v>
      </c>
      <c r="G9" s="84">
        <v>43255</v>
      </c>
      <c r="H9" s="84">
        <v>43317</v>
      </c>
      <c r="I9" s="85">
        <v>1</v>
      </c>
    </row>
    <row r="10" spans="1:9">
      <c r="A10" s="80">
        <v>9</v>
      </c>
      <c r="B10" s="81">
        <v>104761243</v>
      </c>
      <c r="C10" s="10" t="s">
        <v>697</v>
      </c>
      <c r="D10" s="82" t="s">
        <v>698</v>
      </c>
      <c r="E10" s="82" t="s">
        <v>699</v>
      </c>
      <c r="F10" s="130">
        <f t="shared" ca="1" si="0"/>
        <v>17</v>
      </c>
      <c r="G10" s="84">
        <v>43255</v>
      </c>
      <c r="H10" s="84">
        <v>43317</v>
      </c>
      <c r="I10" s="85">
        <v>1</v>
      </c>
    </row>
    <row r="11" spans="1:9">
      <c r="A11" s="80">
        <v>10</v>
      </c>
      <c r="B11" s="81">
        <v>103844620</v>
      </c>
      <c r="C11" s="10" t="s">
        <v>700</v>
      </c>
      <c r="D11" s="82" t="s">
        <v>701</v>
      </c>
      <c r="E11" s="82" t="s">
        <v>702</v>
      </c>
      <c r="F11" s="130">
        <f t="shared" ca="1" si="0"/>
        <v>17</v>
      </c>
      <c r="G11" s="84">
        <v>43255</v>
      </c>
      <c r="H11" s="84">
        <v>43317</v>
      </c>
      <c r="I11" s="85">
        <v>1</v>
      </c>
    </row>
    <row r="12" spans="1:9">
      <c r="A12" s="80">
        <v>11</v>
      </c>
      <c r="B12" s="81">
        <v>103109967</v>
      </c>
      <c r="C12" s="10" t="s">
        <v>703</v>
      </c>
      <c r="D12" s="82" t="s">
        <v>704</v>
      </c>
      <c r="E12" s="82" t="s">
        <v>705</v>
      </c>
      <c r="F12" s="130">
        <f t="shared" ca="1" si="0"/>
        <v>17</v>
      </c>
      <c r="G12" s="84">
        <v>43255</v>
      </c>
      <c r="H12" s="84">
        <v>43317</v>
      </c>
      <c r="I12" s="85">
        <v>1</v>
      </c>
    </row>
    <row r="13" spans="1:9">
      <c r="A13" s="80">
        <v>12</v>
      </c>
      <c r="B13" s="81">
        <v>103221741</v>
      </c>
      <c r="C13" s="10" t="s">
        <v>706</v>
      </c>
      <c r="D13" s="82" t="s">
        <v>707</v>
      </c>
      <c r="E13" s="82" t="s">
        <v>708</v>
      </c>
      <c r="F13" s="130">
        <f t="shared" ca="1" si="0"/>
        <v>17</v>
      </c>
      <c r="G13" s="84">
        <v>43255</v>
      </c>
      <c r="H13" s="84">
        <v>43317</v>
      </c>
      <c r="I13" s="85">
        <v>1</v>
      </c>
    </row>
    <row r="14" spans="1:9">
      <c r="A14" s="80">
        <v>13</v>
      </c>
      <c r="B14" s="81">
        <v>105512338</v>
      </c>
      <c r="C14" s="10" t="s">
        <v>709</v>
      </c>
      <c r="D14" s="82" t="s">
        <v>710</v>
      </c>
      <c r="E14" s="82" t="s">
        <v>711</v>
      </c>
      <c r="F14" s="130">
        <f t="shared" ca="1" si="0"/>
        <v>17</v>
      </c>
      <c r="G14" s="84">
        <v>43255</v>
      </c>
      <c r="H14" s="84">
        <v>43317</v>
      </c>
      <c r="I14" s="85">
        <v>1</v>
      </c>
    </row>
    <row r="15" spans="1:9">
      <c r="A15" s="80">
        <v>14</v>
      </c>
      <c r="B15" s="86">
        <v>105240394</v>
      </c>
      <c r="C15" s="12" t="s">
        <v>655</v>
      </c>
      <c r="D15" s="87" t="s">
        <v>656</v>
      </c>
      <c r="E15" s="87" t="s">
        <v>657</v>
      </c>
      <c r="F15" s="133">
        <f t="shared" ca="1" si="0"/>
        <v>17</v>
      </c>
      <c r="G15" s="89">
        <v>43255</v>
      </c>
      <c r="H15" s="89">
        <v>43317</v>
      </c>
      <c r="I15" s="90">
        <v>1</v>
      </c>
    </row>
    <row r="16" spans="1:9">
      <c r="C16" s="1" t="s">
        <v>239</v>
      </c>
      <c r="G16" s="21" t="s">
        <v>68</v>
      </c>
      <c r="H16" s="7">
        <f>MIN(H$2:H15)</f>
        <v>43317</v>
      </c>
      <c r="I16" s="1" t="s">
        <v>261</v>
      </c>
    </row>
    <row r="17" spans="3:9">
      <c r="C17" s="1" t="s">
        <v>137</v>
      </c>
      <c r="I17" s="21" t="s">
        <v>70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5"/>
  <dimension ref="A1:I18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19" sqref="C19"/>
    </sheetView>
  </sheetViews>
  <sheetFormatPr defaultRowHeight="14.4"/>
  <cols>
    <col min="1" max="1" width="2.88671875" style="2" bestFit="1" customWidth="1"/>
    <col min="2" max="2" width="8.88671875" style="15" bestFit="1" customWidth="1"/>
    <col min="3" max="3" width="30.77734375" style="1" customWidth="1"/>
    <col min="4" max="4" width="23.77734375" style="1" customWidth="1"/>
    <col min="5" max="5" width="9.44140625" style="1" bestFit="1" customWidth="1"/>
    <col min="6" max="6" width="8" style="2" bestFit="1" customWidth="1"/>
    <col min="7" max="7" width="12.77734375" style="1" customWidth="1"/>
    <col min="8" max="8" width="9.5546875" style="1" bestFit="1" customWidth="1"/>
    <col min="9" max="9" width="8.77734375" style="2" customWidth="1"/>
    <col min="10" max="16384" width="8.88671875" style="1"/>
  </cols>
  <sheetData>
    <row r="1" spans="1:9">
      <c r="A1" s="75" t="s">
        <v>66</v>
      </c>
      <c r="B1" s="76" t="s">
        <v>7</v>
      </c>
      <c r="C1" s="77" t="s">
        <v>736</v>
      </c>
      <c r="D1" s="77" t="s">
        <v>737</v>
      </c>
      <c r="E1" s="77" t="s">
        <v>10</v>
      </c>
      <c r="F1" s="78" t="s">
        <v>738</v>
      </c>
      <c r="G1" s="77" t="s">
        <v>12</v>
      </c>
      <c r="H1" s="77" t="s">
        <v>13</v>
      </c>
      <c r="I1" s="79" t="s">
        <v>14</v>
      </c>
    </row>
    <row r="2" spans="1:9">
      <c r="A2" s="80">
        <v>1</v>
      </c>
      <c r="B2" s="81">
        <v>105751500</v>
      </c>
      <c r="C2" s="10" t="s">
        <v>718</v>
      </c>
      <c r="D2" s="82" t="s">
        <v>719</v>
      </c>
      <c r="E2" s="82" t="s">
        <v>720</v>
      </c>
      <c r="F2" s="130">
        <f t="shared" ref="F2:F16" ca="1" si="0">ROUND(H2-NOW(),0)-1</f>
        <v>43</v>
      </c>
      <c r="G2" s="84">
        <v>43281</v>
      </c>
      <c r="H2" s="84">
        <v>43343</v>
      </c>
      <c r="I2" s="85">
        <v>1</v>
      </c>
    </row>
    <row r="3" spans="1:9">
      <c r="A3" s="80">
        <v>2</v>
      </c>
      <c r="B3" s="81">
        <v>105537165</v>
      </c>
      <c r="C3" s="10" t="s">
        <v>721</v>
      </c>
      <c r="D3" s="82" t="s">
        <v>722</v>
      </c>
      <c r="E3" s="82" t="s">
        <v>723</v>
      </c>
      <c r="F3" s="130">
        <f t="shared" ca="1" si="0"/>
        <v>43</v>
      </c>
      <c r="G3" s="84">
        <v>43281</v>
      </c>
      <c r="H3" s="84">
        <v>43343</v>
      </c>
      <c r="I3" s="85">
        <v>1</v>
      </c>
    </row>
    <row r="4" spans="1:9">
      <c r="A4" s="80">
        <v>3</v>
      </c>
      <c r="B4" s="81">
        <v>102400608</v>
      </c>
      <c r="C4" s="10" t="s">
        <v>724</v>
      </c>
      <c r="D4" s="82" t="s">
        <v>725</v>
      </c>
      <c r="E4" s="82" t="s">
        <v>726</v>
      </c>
      <c r="F4" s="130">
        <f t="shared" ca="1" si="0"/>
        <v>43</v>
      </c>
      <c r="G4" s="84">
        <v>43281</v>
      </c>
      <c r="H4" s="84">
        <v>43343</v>
      </c>
      <c r="I4" s="85">
        <v>1</v>
      </c>
    </row>
    <row r="5" spans="1:9">
      <c r="A5" s="80">
        <v>4</v>
      </c>
      <c r="B5" s="81">
        <v>105879462</v>
      </c>
      <c r="C5" s="10" t="s">
        <v>727</v>
      </c>
      <c r="D5" s="82" t="s">
        <v>728</v>
      </c>
      <c r="E5" s="82" t="s">
        <v>729</v>
      </c>
      <c r="F5" s="130">
        <f t="shared" ca="1" si="0"/>
        <v>43</v>
      </c>
      <c r="G5" s="84">
        <v>43281</v>
      </c>
      <c r="H5" s="84">
        <v>43343</v>
      </c>
      <c r="I5" s="85">
        <v>1</v>
      </c>
    </row>
    <row r="6" spans="1:9">
      <c r="A6" s="80">
        <v>5</v>
      </c>
      <c r="B6" s="81">
        <v>104222834</v>
      </c>
      <c r="C6" s="10" t="s">
        <v>730</v>
      </c>
      <c r="D6" s="82" t="s">
        <v>731</v>
      </c>
      <c r="E6" s="82" t="s">
        <v>732</v>
      </c>
      <c r="F6" s="130">
        <f t="shared" ca="1" si="0"/>
        <v>43</v>
      </c>
      <c r="G6" s="84">
        <v>43281</v>
      </c>
      <c r="H6" s="84">
        <v>43343</v>
      </c>
      <c r="I6" s="85">
        <v>1</v>
      </c>
    </row>
    <row r="7" spans="1:9">
      <c r="A7" s="80">
        <v>6</v>
      </c>
      <c r="B7" s="81">
        <v>104545798</v>
      </c>
      <c r="C7" s="10" t="s">
        <v>740</v>
      </c>
      <c r="D7" s="82" t="s">
        <v>741</v>
      </c>
      <c r="E7" s="82" t="s">
        <v>742</v>
      </c>
      <c r="F7" s="130">
        <f t="shared" ca="1" si="0"/>
        <v>43</v>
      </c>
      <c r="G7" s="84">
        <v>43281</v>
      </c>
      <c r="H7" s="84">
        <v>43343</v>
      </c>
      <c r="I7" s="85">
        <v>1</v>
      </c>
    </row>
    <row r="8" spans="1:9">
      <c r="A8" s="80">
        <v>7</v>
      </c>
      <c r="B8" s="81">
        <v>103859554</v>
      </c>
      <c r="C8" s="10" t="s">
        <v>680</v>
      </c>
      <c r="D8" s="82" t="s">
        <v>334</v>
      </c>
      <c r="E8" s="82" t="s">
        <v>681</v>
      </c>
      <c r="F8" s="130">
        <f t="shared" ca="1" si="0"/>
        <v>17</v>
      </c>
      <c r="G8" s="84">
        <v>43255</v>
      </c>
      <c r="H8" s="84">
        <v>43317</v>
      </c>
      <c r="I8" s="85">
        <v>1</v>
      </c>
    </row>
    <row r="9" spans="1:9">
      <c r="A9" s="80">
        <v>8</v>
      </c>
      <c r="B9" s="81">
        <v>102729412</v>
      </c>
      <c r="C9" s="10" t="s">
        <v>682</v>
      </c>
      <c r="D9" s="82" t="s">
        <v>683</v>
      </c>
      <c r="E9" s="82" t="s">
        <v>684</v>
      </c>
      <c r="F9" s="130">
        <f t="shared" ca="1" si="0"/>
        <v>17</v>
      </c>
      <c r="G9" s="84">
        <v>43255</v>
      </c>
      <c r="H9" s="84">
        <v>43317</v>
      </c>
      <c r="I9" s="85">
        <v>1</v>
      </c>
    </row>
    <row r="10" spans="1:9">
      <c r="A10" s="80">
        <v>9</v>
      </c>
      <c r="B10" s="81">
        <v>105446971</v>
      </c>
      <c r="C10" s="10" t="s">
        <v>691</v>
      </c>
      <c r="D10" s="82" t="s">
        <v>692</v>
      </c>
      <c r="E10" s="82" t="s">
        <v>693</v>
      </c>
      <c r="F10" s="130">
        <f t="shared" ca="1" si="0"/>
        <v>17</v>
      </c>
      <c r="G10" s="84">
        <v>43255</v>
      </c>
      <c r="H10" s="84">
        <v>43317</v>
      </c>
      <c r="I10" s="85">
        <v>1</v>
      </c>
    </row>
    <row r="11" spans="1:9">
      <c r="A11" s="80">
        <v>10</v>
      </c>
      <c r="B11" s="81">
        <v>104860078</v>
      </c>
      <c r="C11" s="10" t="s">
        <v>694</v>
      </c>
      <c r="D11" s="82" t="s">
        <v>695</v>
      </c>
      <c r="E11" s="82" t="s">
        <v>696</v>
      </c>
      <c r="F11" s="130">
        <f t="shared" ca="1" si="0"/>
        <v>17</v>
      </c>
      <c r="G11" s="84">
        <v>43255</v>
      </c>
      <c r="H11" s="84">
        <v>43317</v>
      </c>
      <c r="I11" s="85">
        <v>1</v>
      </c>
    </row>
    <row r="12" spans="1:9">
      <c r="A12" s="80">
        <v>11</v>
      </c>
      <c r="B12" s="81">
        <v>103619421</v>
      </c>
      <c r="C12" s="10" t="s">
        <v>733</v>
      </c>
      <c r="D12" s="82" t="s">
        <v>734</v>
      </c>
      <c r="E12" s="82" t="s">
        <v>735</v>
      </c>
      <c r="F12" s="130">
        <f t="shared" ca="1" si="0"/>
        <v>17</v>
      </c>
      <c r="G12" s="84">
        <v>43255</v>
      </c>
      <c r="H12" s="84">
        <v>43317</v>
      </c>
      <c r="I12" s="85">
        <v>1</v>
      </c>
    </row>
    <row r="13" spans="1:9">
      <c r="A13" s="80">
        <v>12</v>
      </c>
      <c r="B13" s="81">
        <v>104761243</v>
      </c>
      <c r="C13" s="10" t="s">
        <v>697</v>
      </c>
      <c r="D13" s="82" t="s">
        <v>698</v>
      </c>
      <c r="E13" s="82" t="s">
        <v>699</v>
      </c>
      <c r="F13" s="130">
        <f t="shared" ca="1" si="0"/>
        <v>17</v>
      </c>
      <c r="G13" s="84">
        <v>43255</v>
      </c>
      <c r="H13" s="84">
        <v>43317</v>
      </c>
      <c r="I13" s="85">
        <v>1</v>
      </c>
    </row>
    <row r="14" spans="1:9">
      <c r="A14" s="80">
        <v>13</v>
      </c>
      <c r="B14" s="81">
        <v>103221741</v>
      </c>
      <c r="C14" s="10" t="s">
        <v>706</v>
      </c>
      <c r="D14" s="82" t="s">
        <v>707</v>
      </c>
      <c r="E14" s="82" t="s">
        <v>708</v>
      </c>
      <c r="F14" s="130">
        <f t="shared" ca="1" si="0"/>
        <v>17</v>
      </c>
      <c r="G14" s="84">
        <v>43255</v>
      </c>
      <c r="H14" s="84">
        <v>43317</v>
      </c>
      <c r="I14" s="85">
        <v>1</v>
      </c>
    </row>
    <row r="15" spans="1:9">
      <c r="A15" s="80">
        <v>14</v>
      </c>
      <c r="B15" s="81">
        <v>105512338</v>
      </c>
      <c r="C15" s="10" t="s">
        <v>709</v>
      </c>
      <c r="D15" s="82" t="s">
        <v>710</v>
      </c>
      <c r="E15" s="82" t="s">
        <v>711</v>
      </c>
      <c r="F15" s="130">
        <f t="shared" ca="1" si="0"/>
        <v>17</v>
      </c>
      <c r="G15" s="84">
        <v>43255</v>
      </c>
      <c r="H15" s="84">
        <v>43317</v>
      </c>
      <c r="I15" s="85">
        <v>1</v>
      </c>
    </row>
    <row r="16" spans="1:9">
      <c r="A16" s="80">
        <v>15</v>
      </c>
      <c r="B16" s="86">
        <v>105240394</v>
      </c>
      <c r="C16" s="12" t="s">
        <v>655</v>
      </c>
      <c r="D16" s="87" t="s">
        <v>656</v>
      </c>
      <c r="E16" s="87" t="s">
        <v>657</v>
      </c>
      <c r="F16" s="133">
        <f t="shared" ca="1" si="0"/>
        <v>17</v>
      </c>
      <c r="G16" s="89">
        <v>43255</v>
      </c>
      <c r="H16" s="89">
        <v>43317</v>
      </c>
      <c r="I16" s="90">
        <v>1</v>
      </c>
    </row>
    <row r="17" spans="3:9">
      <c r="C17" s="1" t="s">
        <v>558</v>
      </c>
      <c r="G17" s="21" t="s">
        <v>68</v>
      </c>
      <c r="H17" s="7">
        <f>MIN(H$2:H16)</f>
        <v>43317</v>
      </c>
      <c r="I17" s="1" t="s">
        <v>739</v>
      </c>
    </row>
    <row r="18" spans="3:9">
      <c r="C18" s="1" t="s">
        <v>137</v>
      </c>
      <c r="I18" s="21" t="s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6"/>
  <dimension ref="A1:I17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H22" sqref="H22"/>
    </sheetView>
  </sheetViews>
  <sheetFormatPr defaultRowHeight="14.4"/>
  <cols>
    <col min="1" max="1" width="2.88671875" style="2" bestFit="1" customWidth="1"/>
    <col min="2" max="2" width="8.88671875" style="15" bestFit="1" customWidth="1"/>
    <col min="3" max="3" width="30.77734375" style="1" customWidth="1"/>
    <col min="4" max="4" width="23.77734375" style="1" customWidth="1"/>
    <col min="5" max="5" width="9.44140625" style="1" bestFit="1" customWidth="1"/>
    <col min="6" max="6" width="8" style="2" bestFit="1" customWidth="1"/>
    <col min="7" max="7" width="12.77734375" style="1" customWidth="1"/>
    <col min="8" max="8" width="9.5546875" style="1" bestFit="1" customWidth="1"/>
    <col min="9" max="9" width="8.77734375" style="2" customWidth="1"/>
    <col min="10" max="16384" width="8.88671875" style="1"/>
  </cols>
  <sheetData>
    <row r="1" spans="1:9">
      <c r="A1" s="75" t="s">
        <v>66</v>
      </c>
      <c r="B1" s="76" t="s">
        <v>7</v>
      </c>
      <c r="C1" s="77" t="s">
        <v>755</v>
      </c>
      <c r="D1" s="77" t="s">
        <v>756</v>
      </c>
      <c r="E1" s="77" t="s">
        <v>10</v>
      </c>
      <c r="F1" s="78" t="s">
        <v>757</v>
      </c>
      <c r="G1" s="77" t="s">
        <v>12</v>
      </c>
      <c r="H1" s="77" t="s">
        <v>13</v>
      </c>
      <c r="I1" s="79" t="s">
        <v>14</v>
      </c>
    </row>
    <row r="2" spans="1:9">
      <c r="A2" s="80">
        <v>1</v>
      </c>
      <c r="B2" s="81">
        <v>105236584</v>
      </c>
      <c r="C2" s="10" t="s">
        <v>743</v>
      </c>
      <c r="D2" s="82" t="s">
        <v>744</v>
      </c>
      <c r="E2" s="82" t="s">
        <v>745</v>
      </c>
      <c r="F2" s="130">
        <f ca="1">ROUND(H2-NOW(),0)-1</f>
        <v>57</v>
      </c>
      <c r="G2" s="84">
        <v>43295</v>
      </c>
      <c r="H2" s="84">
        <v>43357</v>
      </c>
      <c r="I2" s="85">
        <v>1</v>
      </c>
    </row>
    <row r="3" spans="1:9">
      <c r="A3" s="80">
        <v>2</v>
      </c>
      <c r="B3" s="81">
        <v>105722230</v>
      </c>
      <c r="C3" s="10" t="s">
        <v>746</v>
      </c>
      <c r="D3" s="82" t="s">
        <v>747</v>
      </c>
      <c r="E3" s="82" t="s">
        <v>748</v>
      </c>
      <c r="F3" s="130">
        <f ca="1">ROUND(H3-NOW(),0)-1</f>
        <v>57</v>
      </c>
      <c r="G3" s="84">
        <v>43295</v>
      </c>
      <c r="H3" s="84">
        <v>43357</v>
      </c>
      <c r="I3" s="85">
        <v>1</v>
      </c>
    </row>
    <row r="4" spans="1:9">
      <c r="A4" s="80">
        <v>3</v>
      </c>
      <c r="B4" s="81">
        <v>100598992</v>
      </c>
      <c r="C4" s="10" t="s">
        <v>749</v>
      </c>
      <c r="D4" s="82" t="s">
        <v>750</v>
      </c>
      <c r="E4" s="82" t="s">
        <v>751</v>
      </c>
      <c r="F4" s="130">
        <f ca="1">ROUND(H4-NOW(),0)-1</f>
        <v>57</v>
      </c>
      <c r="G4" s="84">
        <v>43295</v>
      </c>
      <c r="H4" s="84">
        <v>43357</v>
      </c>
      <c r="I4" s="85">
        <v>1</v>
      </c>
    </row>
    <row r="5" spans="1:9">
      <c r="A5" s="80">
        <v>4</v>
      </c>
      <c r="B5" s="81">
        <v>105720541</v>
      </c>
      <c r="C5" s="10" t="s">
        <v>752</v>
      </c>
      <c r="D5" s="82" t="s">
        <v>753</v>
      </c>
      <c r="E5" s="82" t="s">
        <v>754</v>
      </c>
      <c r="F5" s="130">
        <f ca="1">ROUND(H5-NOW(),0)-1</f>
        <v>57</v>
      </c>
      <c r="G5" s="84">
        <v>43295</v>
      </c>
      <c r="H5" s="84">
        <v>43357</v>
      </c>
      <c r="I5" s="85">
        <v>1</v>
      </c>
    </row>
    <row r="6" spans="1:9">
      <c r="A6" s="80">
        <v>5</v>
      </c>
      <c r="B6" s="81">
        <v>105751500</v>
      </c>
      <c r="C6" s="10" t="s">
        <v>718</v>
      </c>
      <c r="D6" s="82" t="s">
        <v>719</v>
      </c>
      <c r="E6" s="82" t="s">
        <v>720</v>
      </c>
      <c r="F6" s="130">
        <f ca="1">ROUND(H6-NOW(),0)-1</f>
        <v>43</v>
      </c>
      <c r="G6" s="84">
        <v>43281</v>
      </c>
      <c r="H6" s="84">
        <v>43343</v>
      </c>
      <c r="I6" s="85">
        <v>1</v>
      </c>
    </row>
    <row r="7" spans="1:9">
      <c r="A7" s="80">
        <v>6</v>
      </c>
      <c r="B7" s="81">
        <v>105537165</v>
      </c>
      <c r="C7" s="10" t="s">
        <v>721</v>
      </c>
      <c r="D7" s="82" t="s">
        <v>722</v>
      </c>
      <c r="E7" s="82" t="s">
        <v>723</v>
      </c>
      <c r="F7" s="130">
        <f ca="1">ROUND(H7-NOW(),0)-1</f>
        <v>43</v>
      </c>
      <c r="G7" s="84">
        <v>43281</v>
      </c>
      <c r="H7" s="84">
        <v>43343</v>
      </c>
      <c r="I7" s="85">
        <v>1</v>
      </c>
    </row>
    <row r="8" spans="1:9">
      <c r="A8" s="80">
        <v>7</v>
      </c>
      <c r="B8" s="81">
        <v>102400608</v>
      </c>
      <c r="C8" s="10" t="s">
        <v>724</v>
      </c>
      <c r="D8" s="82" t="s">
        <v>725</v>
      </c>
      <c r="E8" s="82" t="s">
        <v>726</v>
      </c>
      <c r="F8" s="130">
        <f ca="1">ROUND(H8-NOW(),0)-1</f>
        <v>43</v>
      </c>
      <c r="G8" s="84">
        <v>43281</v>
      </c>
      <c r="H8" s="84">
        <v>43343</v>
      </c>
      <c r="I8" s="85">
        <v>1</v>
      </c>
    </row>
    <row r="9" spans="1:9">
      <c r="A9" s="80">
        <v>8</v>
      </c>
      <c r="B9" s="81">
        <v>104545798</v>
      </c>
      <c r="C9" s="10" t="s">
        <v>677</v>
      </c>
      <c r="D9" s="82" t="s">
        <v>678</v>
      </c>
      <c r="E9" s="82" t="s">
        <v>679</v>
      </c>
      <c r="F9" s="130">
        <f ca="1">ROUND(H9-NOW(),0)-1</f>
        <v>43</v>
      </c>
      <c r="G9" s="84">
        <v>43281</v>
      </c>
      <c r="H9" s="84">
        <v>43343</v>
      </c>
      <c r="I9" s="85">
        <v>1</v>
      </c>
    </row>
    <row r="10" spans="1:9">
      <c r="A10" s="80">
        <v>9</v>
      </c>
      <c r="B10" s="81">
        <v>105446971</v>
      </c>
      <c r="C10" s="10" t="s">
        <v>691</v>
      </c>
      <c r="D10" s="82" t="s">
        <v>692</v>
      </c>
      <c r="E10" s="82" t="s">
        <v>693</v>
      </c>
      <c r="F10" s="130">
        <f ca="1">ROUND(H10-NOW(),0)-1</f>
        <v>17</v>
      </c>
      <c r="G10" s="84">
        <v>43255</v>
      </c>
      <c r="H10" s="84">
        <v>43317</v>
      </c>
      <c r="I10" s="85">
        <v>1</v>
      </c>
    </row>
    <row r="11" spans="1:9">
      <c r="A11" s="80">
        <v>10</v>
      </c>
      <c r="B11" s="81">
        <v>104860078</v>
      </c>
      <c r="C11" s="10" t="s">
        <v>694</v>
      </c>
      <c r="D11" s="82" t="s">
        <v>695</v>
      </c>
      <c r="E11" s="82" t="s">
        <v>696</v>
      </c>
      <c r="F11" s="130">
        <f ca="1">ROUND(H11-NOW(),0)-1</f>
        <v>17</v>
      </c>
      <c r="G11" s="84">
        <v>43255</v>
      </c>
      <c r="H11" s="84">
        <v>43317</v>
      </c>
      <c r="I11" s="85">
        <v>1</v>
      </c>
    </row>
    <row r="12" spans="1:9">
      <c r="A12" s="80">
        <v>11</v>
      </c>
      <c r="B12" s="81">
        <v>103619421</v>
      </c>
      <c r="C12" s="10" t="s">
        <v>733</v>
      </c>
      <c r="D12" s="82" t="s">
        <v>734</v>
      </c>
      <c r="E12" s="82" t="s">
        <v>735</v>
      </c>
      <c r="F12" s="130">
        <f ca="1">ROUND(H12-NOW(),0)-1</f>
        <v>17</v>
      </c>
      <c r="G12" s="84">
        <v>43255</v>
      </c>
      <c r="H12" s="84">
        <v>43317</v>
      </c>
      <c r="I12" s="85">
        <v>1</v>
      </c>
    </row>
    <row r="13" spans="1:9">
      <c r="A13" s="80">
        <v>12</v>
      </c>
      <c r="B13" s="81">
        <v>104761243</v>
      </c>
      <c r="C13" s="10" t="s">
        <v>697</v>
      </c>
      <c r="D13" s="82" t="s">
        <v>698</v>
      </c>
      <c r="E13" s="82" t="s">
        <v>699</v>
      </c>
      <c r="F13" s="130">
        <f ca="1">ROUND(H13-NOW(),0)-1</f>
        <v>17</v>
      </c>
      <c r="G13" s="84">
        <v>43255</v>
      </c>
      <c r="H13" s="84">
        <v>43317</v>
      </c>
      <c r="I13" s="85">
        <v>1</v>
      </c>
    </row>
    <row r="14" spans="1:9">
      <c r="A14" s="80">
        <v>13</v>
      </c>
      <c r="B14" s="81">
        <v>103221741</v>
      </c>
      <c r="C14" s="10" t="s">
        <v>706</v>
      </c>
      <c r="D14" s="82" t="s">
        <v>707</v>
      </c>
      <c r="E14" s="82" t="s">
        <v>708</v>
      </c>
      <c r="F14" s="130">
        <f ca="1">ROUND(H14-NOW(),0)-1</f>
        <v>17</v>
      </c>
      <c r="G14" s="84">
        <v>43255</v>
      </c>
      <c r="H14" s="84">
        <v>43317</v>
      </c>
      <c r="I14" s="85">
        <v>1</v>
      </c>
    </row>
    <row r="15" spans="1:9">
      <c r="A15" s="80">
        <v>14</v>
      </c>
      <c r="B15" s="86">
        <v>105240394</v>
      </c>
      <c r="C15" s="12" t="s">
        <v>655</v>
      </c>
      <c r="D15" s="87" t="s">
        <v>656</v>
      </c>
      <c r="E15" s="87" t="s">
        <v>657</v>
      </c>
      <c r="F15" s="133">
        <f ca="1">ROUND(H15-NOW(),0)-1</f>
        <v>17</v>
      </c>
      <c r="G15" s="89">
        <v>43255</v>
      </c>
      <c r="H15" s="89">
        <v>43317</v>
      </c>
      <c r="I15" s="90">
        <v>1</v>
      </c>
    </row>
    <row r="16" spans="1:9">
      <c r="C16" s="1" t="s">
        <v>239</v>
      </c>
      <c r="G16" s="21" t="s">
        <v>68</v>
      </c>
      <c r="H16" s="7">
        <f>MIN(H$2:H15)</f>
        <v>43317</v>
      </c>
      <c r="I16" s="1" t="s">
        <v>138</v>
      </c>
    </row>
    <row r="17" spans="3:9">
      <c r="C17" s="1" t="s">
        <v>137</v>
      </c>
      <c r="I17" s="21" t="s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8"/>
  <dimension ref="A1"/>
  <sheetViews>
    <sheetView tabSelected="1" workbookViewId="0">
      <selection activeCell="A2" sqref="A2"/>
    </sheetView>
  </sheetViews>
  <sheetFormatPr defaultRowHeight="14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38</vt:i4>
      </vt:variant>
    </vt:vector>
  </HeadingPairs>
  <TitlesOfParts>
    <vt:vector size="38" baseType="lpstr">
      <vt:lpstr>000目录</vt:lpstr>
      <vt:lpstr>goodbook</vt:lpstr>
      <vt:lpstr>2016-8-7</vt:lpstr>
      <vt:lpstr>2016-8-12</vt:lpstr>
      <vt:lpstr>2016-8-15</vt:lpstr>
      <vt:lpstr>2016-8-26</vt:lpstr>
      <vt:lpstr>2016-8-29</vt:lpstr>
      <vt:lpstr>2016-9-4</vt:lpstr>
      <vt:lpstr>2016-9-25</vt:lpstr>
      <vt:lpstr>2016-9-26</vt:lpstr>
      <vt:lpstr>2016-10-21 (2)</vt:lpstr>
      <vt:lpstr>2016-10-21</vt:lpstr>
      <vt:lpstr>2016-11-23</vt:lpstr>
      <vt:lpstr>2017-2-14</vt:lpstr>
      <vt:lpstr>2017-3-6</vt:lpstr>
      <vt:lpstr>2017-3-14</vt:lpstr>
      <vt:lpstr>2017-4-2</vt:lpstr>
      <vt:lpstr>2017-4-30</vt:lpstr>
      <vt:lpstr>2017-5-15</vt:lpstr>
      <vt:lpstr>2017-5-23</vt:lpstr>
      <vt:lpstr>2017-5-31</vt:lpstr>
      <vt:lpstr>2017-6-4</vt:lpstr>
      <vt:lpstr>2017-8-4</vt:lpstr>
      <vt:lpstr>2017-10-16</vt:lpstr>
      <vt:lpstr>2017-11-3</vt:lpstr>
      <vt:lpstr>2017-11-11</vt:lpstr>
      <vt:lpstr>2017-12-4</vt:lpstr>
      <vt:lpstr>2017-12-25</vt:lpstr>
      <vt:lpstr>2018-1-15</vt:lpstr>
      <vt:lpstr>2018-1-23</vt:lpstr>
      <vt:lpstr>2018-2-22</vt:lpstr>
      <vt:lpstr>2018-3-30</vt:lpstr>
      <vt:lpstr>2018-4-21</vt:lpstr>
      <vt:lpstr>2018-5-31</vt:lpstr>
      <vt:lpstr>2018-6-6</vt:lpstr>
      <vt:lpstr>2018-7-1</vt:lpstr>
      <vt:lpstr>2018-7-17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wwuhnwu01</cp:lastModifiedBy>
  <cp:lastPrinted>2018-01-23T04:28:05Z</cp:lastPrinted>
  <dcterms:created xsi:type="dcterms:W3CDTF">2006-09-13T11:21:51Z</dcterms:created>
  <dcterms:modified xsi:type="dcterms:W3CDTF">2018-07-17T04:16:25Z</dcterms:modified>
</cp:coreProperties>
</file>