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 defaultThemeVersion="124226"/>
  <bookViews>
    <workbookView xWindow="96" yWindow="72" windowWidth="15288" windowHeight="6168" activeTab="6"/>
  </bookViews>
  <sheets>
    <sheet name="使用公式和函数" sheetId="87" r:id="rId1"/>
    <sheet name="VBA相关" sheetId="88" r:id="rId2"/>
    <sheet name="Sheet2" sheetId="89" r:id="rId3"/>
    <sheet name="VBA对象" sheetId="97" r:id="rId4"/>
    <sheet name="公式" sheetId="100" r:id="rId5"/>
    <sheet name="Sheet1" sheetId="101" r:id="rId6"/>
    <sheet name="提取中英文" sheetId="102" r:id="rId7"/>
  </sheets>
  <functionGroups/>
  <externalReferences>
    <externalReference r:id="rId8"/>
  </externalReferences>
  <definedNames>
    <definedName name="dd">#REF!</definedName>
    <definedName name="ddssddssd">#REF!</definedName>
    <definedName name="sssww2">#REF!</definedName>
    <definedName name="w2222w2">#REF!</definedName>
    <definedName name="XFD1052088">#REF!</definedName>
    <definedName name="XFD1062088">#REF!</definedName>
    <definedName name="XFD1092088">#REF!</definedName>
    <definedName name="XFD1111111">#REF!</definedName>
    <definedName name="XFD4448384">#REF!</definedName>
  </definedNames>
  <calcPr calcId="124519"/>
</workbook>
</file>

<file path=xl/calcChain.xml><?xml version="1.0" encoding="utf-8"?>
<calcChain xmlns="http://schemas.openxmlformats.org/spreadsheetml/2006/main">
  <c r="B1" i="102"/>
  <c r="C1"/>
  <c r="B2"/>
  <c r="C2"/>
  <c r="B15" i="100"/>
  <c r="B16"/>
  <c r="B17"/>
  <c r="B18"/>
  <c r="B19"/>
  <c r="B20"/>
  <c r="B21"/>
  <c r="B22"/>
  <c r="B23"/>
  <c r="B14"/>
  <c r="G9"/>
  <c r="G10"/>
  <c r="F10"/>
  <c r="F9"/>
  <c r="D10"/>
  <c r="D9"/>
  <c r="C10"/>
  <c r="C9"/>
  <c r="B10"/>
  <c r="B9"/>
  <c r="B8"/>
  <c r="B7"/>
  <c r="B6"/>
  <c r="B2"/>
  <c r="B3"/>
  <c r="E2" i="89" a="1"/>
  <c r="E2" s="1"/>
  <c r="E5" a="1"/>
  <c r="E5" s="1"/>
  <c r="E4" a="1"/>
  <c r="E4" s="1"/>
  <c r="E3" a="1"/>
  <c r="E3" s="1"/>
  <c r="A16" i="87"/>
  <c r="E9" s="1"/>
  <c r="G9" s="1"/>
  <c r="G2" a="1"/>
  <c r="E10"/>
  <c r="G10" s="1"/>
  <c r="E8"/>
  <c r="G8" s="1"/>
  <c r="E6"/>
  <c r="G6" s="1"/>
  <c r="E4"/>
  <c r="G4" s="1"/>
  <c r="E2"/>
  <c r="G2" s="1"/>
  <c r="C2" i="100"/>
  <c r="E3" i="87" l="1"/>
  <c r="G3" s="1"/>
  <c r="E5"/>
  <c r="G5" s="1"/>
  <c r="E7"/>
  <c r="G7" s="1"/>
  <c r="G11" l="1"/>
  <c r="E11"/>
  <c r="A10" i="97"/>
  <c r="A9"/>
  <c r="A7"/>
  <c r="A8"/>
  <c r="A2"/>
  <c r="A4"/>
  <c r="A5"/>
  <c r="A1"/>
  <c r="A3"/>
  <c r="A6"/>
  <c r="A7" i="89"/>
  <c r="A1"/>
  <c r="A8"/>
  <c r="A5"/>
  <c r="A6"/>
  <c r="A3"/>
  <c r="A4"/>
  <c r="A2"/>
  <c r="A9"/>
  <c r="A10"/>
  <c r="A11"/>
  <c r="A1" a="1"/>
  <c r="A11" i="97"/>
  <c r="A1" a="1"/>
</calcChain>
</file>

<file path=xl/sharedStrings.xml><?xml version="1.0" encoding="utf-8"?>
<sst xmlns="http://schemas.openxmlformats.org/spreadsheetml/2006/main" count="168" uniqueCount="159">
  <si>
    <t>华北区</t>
    <phoneticPr fontId="3" type="noConversion"/>
  </si>
  <si>
    <t>华南</t>
    <phoneticPr fontId="3" type="noConversion"/>
  </si>
  <si>
    <t>西南</t>
    <phoneticPr fontId="3" type="noConversion"/>
  </si>
  <si>
    <t>权重</t>
    <phoneticPr fontId="3" type="noConversion"/>
  </si>
  <si>
    <t>合计</t>
    <phoneticPr fontId="3" type="noConversion"/>
  </si>
  <si>
    <t>西北</t>
    <phoneticPr fontId="3" type="noConversion"/>
  </si>
  <si>
    <t>.Range("A13") = ActiveWorkbook.Name</t>
  </si>
  <si>
    <t>fname = Range("A13").Value</t>
  </si>
  <si>
    <t>.Range("A14") = InStr(ActiveWorkbook.Name, ".")</t>
  </si>
  <si>
    <t>.Range("A15") = InStr([A13], ".")</t>
  </si>
  <si>
    <t>.Range("A17") = InStr(fname, ".")</t>
  </si>
  <si>
    <t>.Range("A18") = Application.WorksheetFunction.Find(".", fname, 1)</t>
  </si>
  <si>
    <t>.Range("A19") = Application.WorksheetFunction.Find(".", [A13], 1)</t>
  </si>
  <si>
    <t>.Range("A16") = "=find(""."",A13,1)"</t>
    <phoneticPr fontId="3" type="noConversion"/>
  </si>
  <si>
    <t>C:\Users\wwuhnwu01\AppData\Roaming\Microsoft\Excel\XLSTART</t>
    <phoneticPr fontId="3" type="noConversion"/>
  </si>
  <si>
    <t>application.path</t>
    <phoneticPr fontId="3" type="noConversion"/>
  </si>
  <si>
    <t>Application.StartupPath</t>
  </si>
  <si>
    <t>ActiveWorkbook.Path</t>
    <phoneticPr fontId="3" type="noConversion"/>
  </si>
  <si>
    <t>C:\Program Files\Microsoft Office\Office12</t>
  </si>
  <si>
    <t>F:\website\witisopc\42vba\实例\公司应用</t>
  </si>
  <si>
    <t>加载项addins，.xlam</t>
    <phoneticPr fontId="3" type="noConversion"/>
  </si>
  <si>
    <t>C:\Users\wwuhnwu01\AppData\Roaming\Microsoft\AddIns(2007)</t>
    <phoneticPr fontId="3" type="noConversion"/>
  </si>
  <si>
    <t>个人宏工作簿Personal.xls(b)(系统默认是没有的，属于用户新建至此)</t>
    <phoneticPr fontId="3" type="noConversion"/>
  </si>
  <si>
    <t>上面文件夹中的文件随Excel文件一起打开；</t>
    <phoneticPr fontId="3" type="noConversion"/>
  </si>
  <si>
    <t xml:space="preserve">10.198.1.3_x000D_
   </t>
  </si>
  <si>
    <t>字段名称如何去除“求和项：”</t>
  </si>
  <si>
    <t>在“编辑栏”中删除“求和项”，再在文本的最后输入一个空格；</t>
  </si>
  <si>
    <t>VBA综合.xlsm</t>
  </si>
  <si>
    <t>'可以像普通工作簿一样显示和隐藏个人宏工作簿。如果该工作簿是隐藏的，用下面的方法取消其隐藏：</t>
  </si>
  <si>
    <t>' Excel 2007：在功能区中选择“视图”选项卡，在“窗口”组中单击“取消隐藏”按钮，弹出“取消隐藏”对话框，选择“PERSONAL.XLSB”，单击“确定”按钮。</t>
  </si>
  <si>
    <t>'加载项addins，.xlam</t>
  </si>
  <si>
    <t>'C:\Users\wwuhnwu01\AppData\Roaming\Microsoft\AddIns(2007)</t>
  </si>
  <si>
    <t>'C:\Program Files\Microsoft Office\Office12\XLSTART</t>
  </si>
  <si>
    <t>F:\Website\notes\doc</t>
  </si>
  <si>
    <t>←更新位置</t>
    <phoneticPr fontId="3" type="noConversion"/>
  </si>
  <si>
    <t>←以前保存位置</t>
    <phoneticPr fontId="3" type="noConversion"/>
  </si>
  <si>
    <t>期中考试</t>
    <phoneticPr fontId="3" type="noConversion"/>
  </si>
  <si>
    <t>平时表现</t>
    <phoneticPr fontId="3" type="noConversion"/>
  </si>
  <si>
    <t>期末考虑</t>
    <phoneticPr fontId="3" type="noConversion"/>
  </si>
  <si>
    <t>综合评分</t>
    <phoneticPr fontId="3" type="noConversion"/>
  </si>
  <si>
    <t>C:\Users\wwuhnwu01\AppData\Roaming\Microsoft\Excel\XLSTART</t>
    <phoneticPr fontId="3" type="noConversion"/>
  </si>
  <si>
    <t>lrow = Range("A" &amp; Rows.Count).End(xlUp).Row + 1</t>
    <phoneticPr fontId="3" type="noConversion"/>
  </si>
  <si>
    <t>H</t>
  </si>
  <si>
    <t>I</t>
  </si>
  <si>
    <t>J</t>
  </si>
  <si>
    <t>K</t>
  </si>
  <si>
    <t>L</t>
  </si>
  <si>
    <r>
      <t>水</t>
    </r>
    <r>
      <rPr>
        <b/>
        <sz val="12"/>
        <color rgb="FF000000"/>
        <rFont val="宋体"/>
        <family val="3"/>
        <charset val="134"/>
        <scheme val="minor"/>
      </rPr>
      <t>平</t>
    </r>
    <r>
      <rPr>
        <sz val="12"/>
        <color rgb="FF000000"/>
        <rFont val="宋体"/>
        <family val="3"/>
        <charset val="134"/>
        <scheme val="minor"/>
      </rPr>
      <t>并排/垂直并排显示透视字段：选项→选项→布局；</t>
    </r>
    <phoneticPr fontId="3" type="noConversion"/>
  </si>
  <si>
    <t>数据透视表</t>
  </si>
  <si>
    <t>Personal.xlsb!数据编辑</t>
    <phoneticPr fontId="3" type="noConversion"/>
  </si>
  <si>
    <t>Active</t>
    <phoneticPr fontId="3" type="noConversion"/>
  </si>
  <si>
    <t>备注</t>
    <phoneticPr fontId="3" type="noConversion"/>
  </si>
  <si>
    <t>Application</t>
    <phoneticPr fontId="3" type="noConversion"/>
  </si>
  <si>
    <t>Windows</t>
    <phoneticPr fontId="3" type="noConversion"/>
  </si>
  <si>
    <t>Workbooks</t>
    <phoneticPr fontId="3" type="noConversion"/>
  </si>
  <si>
    <t>Worksheets</t>
    <phoneticPr fontId="3" type="noConversion"/>
  </si>
  <si>
    <t>Sheets</t>
    <phoneticPr fontId="3" type="noConversion"/>
  </si>
  <si>
    <t>Charts</t>
    <phoneticPr fontId="3" type="noConversion"/>
  </si>
  <si>
    <t>Cells</t>
    <phoneticPr fontId="3" type="noConversion"/>
  </si>
  <si>
    <t>Rows</t>
    <phoneticPr fontId="3" type="noConversion"/>
  </si>
  <si>
    <t>Columns</t>
    <phoneticPr fontId="3" type="noConversion"/>
  </si>
  <si>
    <t>UsedRange</t>
    <phoneticPr fontId="3" type="noConversion"/>
  </si>
  <si>
    <t>PageSetup</t>
    <phoneticPr fontId="3" type="noConversion"/>
  </si>
  <si>
    <t>对象(集)</t>
    <phoneticPr fontId="3" type="noConversion"/>
  </si>
  <si>
    <t>AutoFilter</t>
    <phoneticPr fontId="3" type="noConversion"/>
  </si>
  <si>
    <t>也是Range对象的方法</t>
    <phoneticPr fontId="3" type="noConversion"/>
  </si>
  <si>
    <t>Range</t>
    <phoneticPr fontId="3" type="noConversion"/>
  </si>
  <si>
    <t>Borders</t>
    <phoneticPr fontId="3" type="noConversion"/>
  </si>
  <si>
    <t>Characters</t>
    <phoneticPr fontId="3" type="noConversion"/>
  </si>
  <si>
    <t>Comment</t>
    <phoneticPr fontId="3" type="noConversion"/>
  </si>
  <si>
    <t>Font</t>
    <phoneticPr fontId="3" type="noConversion"/>
  </si>
  <si>
    <t>FormatConditions</t>
    <phoneticPr fontId="3" type="noConversion"/>
  </si>
  <si>
    <t>Hyperlinks</t>
    <phoneticPr fontId="3" type="noConversion"/>
  </si>
  <si>
    <t>Interior</t>
    <phoneticPr fontId="3" type="noConversion"/>
  </si>
  <si>
    <t>Validation</t>
    <phoneticPr fontId="3" type="noConversion"/>
  </si>
  <si>
    <t>应用</t>
    <phoneticPr fontId="3" type="noConversion"/>
  </si>
  <si>
    <t>工作簿</t>
    <phoneticPr fontId="3" type="noConversion"/>
  </si>
  <si>
    <t>窗口</t>
    <phoneticPr fontId="3" type="noConversion"/>
  </si>
  <si>
    <t>表</t>
    <phoneticPr fontId="3" type="noConversion"/>
  </si>
  <si>
    <t>图表</t>
    <phoneticPr fontId="3" type="noConversion"/>
  </si>
  <si>
    <t>工作表</t>
    <phoneticPr fontId="3" type="noConversion"/>
  </si>
  <si>
    <t>单元格</t>
    <phoneticPr fontId="3" type="noConversion"/>
  </si>
  <si>
    <t>行</t>
    <phoneticPr fontId="3" type="noConversion"/>
  </si>
  <si>
    <t>列</t>
    <phoneticPr fontId="3" type="noConversion"/>
  </si>
  <si>
    <t>已使用区域</t>
    <phoneticPr fontId="3" type="noConversion"/>
  </si>
  <si>
    <t>页面设置</t>
    <phoneticPr fontId="3" type="noConversion"/>
  </si>
  <si>
    <t>自动筛选</t>
    <phoneticPr fontId="3" type="noConversion"/>
  </si>
  <si>
    <t>单元格区域</t>
    <phoneticPr fontId="3" type="noConversion"/>
  </si>
  <si>
    <t>边框</t>
    <phoneticPr fontId="3" type="noConversion"/>
  </si>
  <si>
    <t>字符</t>
    <phoneticPr fontId="3" type="noConversion"/>
  </si>
  <si>
    <t>批注</t>
    <phoneticPr fontId="3" type="noConversion"/>
  </si>
  <si>
    <t>字体</t>
    <phoneticPr fontId="3" type="noConversion"/>
  </si>
  <si>
    <t>条件格式</t>
    <phoneticPr fontId="3" type="noConversion"/>
  </si>
  <si>
    <t>超链接</t>
    <phoneticPr fontId="3" type="noConversion"/>
  </si>
  <si>
    <t>填充色</t>
    <phoneticPr fontId="3" type="noConversion"/>
  </si>
  <si>
    <t>数据有效性</t>
    <phoneticPr fontId="3" type="noConversion"/>
  </si>
  <si>
    <t>ActiveCell</t>
    <phoneticPr fontId="3" type="noConversion"/>
  </si>
  <si>
    <t>ActiveWorkbook</t>
    <phoneticPr fontId="3" type="noConversion"/>
  </si>
  <si>
    <t>ActiveWindow</t>
    <phoneticPr fontId="3" type="noConversion"/>
  </si>
  <si>
    <t>CurrentArray</t>
    <phoneticPr fontId="3" type="noConversion"/>
  </si>
  <si>
    <t>数组公式区域</t>
    <phoneticPr fontId="3" type="noConversion"/>
  </si>
  <si>
    <t>CurrentRegion</t>
    <phoneticPr fontId="3" type="noConversion"/>
  </si>
  <si>
    <t>当前区域</t>
    <phoneticPr fontId="3" type="noConversion"/>
  </si>
  <si>
    <t>End</t>
    <phoneticPr fontId="3" type="noConversion"/>
  </si>
  <si>
    <t>边界区域</t>
    <phoneticPr fontId="3" type="noConversion"/>
  </si>
  <si>
    <t>EntireColumn</t>
    <phoneticPr fontId="3" type="noConversion"/>
  </si>
  <si>
    <t>整列</t>
    <phoneticPr fontId="3" type="noConversion"/>
  </si>
  <si>
    <t>EntireRow</t>
    <phoneticPr fontId="3" type="noConversion"/>
  </si>
  <si>
    <t>整行</t>
    <phoneticPr fontId="3" type="noConversion"/>
  </si>
  <si>
    <t>Offset</t>
    <phoneticPr fontId="3" type="noConversion"/>
  </si>
  <si>
    <t>偏移</t>
    <phoneticPr fontId="3" type="noConversion"/>
  </si>
  <si>
    <t>Resize</t>
    <phoneticPr fontId="3" type="noConversion"/>
  </si>
  <si>
    <t>Selection</t>
    <phoneticPr fontId="3" type="noConversion"/>
  </si>
  <si>
    <t>所选区域</t>
    <phoneticPr fontId="3" type="noConversion"/>
  </si>
  <si>
    <t>改变区域大小</t>
    <phoneticPr fontId="3" type="noConversion"/>
  </si>
  <si>
    <t>Style</t>
    <phoneticPr fontId="3" type="noConversion"/>
  </si>
  <si>
    <t>单元格样式</t>
    <phoneticPr fontId="3" type="noConversion"/>
  </si>
  <si>
    <t>Names</t>
    <phoneticPr fontId="3" type="noConversion"/>
  </si>
  <si>
    <t>Shapes</t>
    <phoneticPr fontId="3" type="noConversion"/>
  </si>
  <si>
    <t>名称</t>
    <phoneticPr fontId="3" type="noConversion"/>
  </si>
  <si>
    <t>图形</t>
    <phoneticPr fontId="3" type="noConversion"/>
  </si>
  <si>
    <t>Dialogs</t>
    <phoneticPr fontId="3" type="noConversion"/>
  </si>
  <si>
    <t>内置对话框</t>
    <phoneticPr fontId="3" type="noConversion"/>
  </si>
  <si>
    <t>CommandBars</t>
    <phoneticPr fontId="3" type="noConversion"/>
  </si>
  <si>
    <t>工具栏</t>
    <phoneticPr fontId="3" type="noConversion"/>
  </si>
  <si>
    <t>Office2003及之前，加载项</t>
    <phoneticPr fontId="3" type="noConversion"/>
  </si>
  <si>
    <t>Addins</t>
    <phoneticPr fontId="3" type="noConversion"/>
  </si>
  <si>
    <t>COMAddins</t>
    <phoneticPr fontId="3" type="noConversion"/>
  </si>
  <si>
    <t>加载项</t>
    <phoneticPr fontId="3" type="noConversion"/>
  </si>
  <si>
    <t>COM加载项</t>
    <phoneticPr fontId="3" type="noConversion"/>
  </si>
  <si>
    <t>工作表函数</t>
    <phoneticPr fontId="3" type="noConversion"/>
  </si>
  <si>
    <t>名称</t>
    <phoneticPr fontId="3" type="noConversion"/>
  </si>
  <si>
    <t>Areas</t>
    <phoneticPr fontId="3" type="noConversion"/>
  </si>
  <si>
    <t>Errors</t>
    <phoneticPr fontId="3" type="noConversion"/>
  </si>
  <si>
    <t>PivotTables</t>
    <phoneticPr fontId="3" type="noConversion"/>
  </si>
  <si>
    <t>数据透视表</t>
    <phoneticPr fontId="3" type="noConversion"/>
  </si>
  <si>
    <t>区域命名</t>
    <phoneticPr fontId="3" type="noConversion"/>
  </si>
  <si>
    <t>ActiveSheet</t>
    <phoneticPr fontId="3" type="noConversion"/>
  </si>
  <si>
    <t>错误</t>
    <phoneticPr fontId="3" type="noConversion"/>
  </si>
  <si>
    <t>选区</t>
    <phoneticPr fontId="3" type="noConversion"/>
  </si>
  <si>
    <t>Selection.Clear</t>
    <phoneticPr fontId="3" type="noConversion"/>
  </si>
  <si>
    <t>区域块</t>
    <phoneticPr fontId="3" type="noConversion"/>
  </si>
  <si>
    <t>WorkSheetFunction</t>
    <phoneticPr fontId="3" type="noConversion"/>
  </si>
  <si>
    <t>ActiveChart</t>
    <phoneticPr fontId="3" type="noConversion"/>
  </si>
  <si>
    <t>ThisWorkbook是代码所在路径的工作簿</t>
    <phoneticPr fontId="3" type="noConversion"/>
  </si>
  <si>
    <t>地址使用Range对象，一般作右值</t>
    <phoneticPr fontId="3" type="noConversion"/>
  </si>
  <si>
    <t>abc def</t>
    <phoneticPr fontId="3" type="noConversion"/>
  </si>
  <si>
    <t xml:space="preserve"> </t>
    <phoneticPr fontId="3" type="noConversion"/>
  </si>
  <si>
    <t>1</t>
    <phoneticPr fontId="3" type="noConversion"/>
  </si>
  <si>
    <t>数字</t>
    <phoneticPr fontId="3" type="noConversion"/>
  </si>
  <si>
    <t>文本</t>
    <phoneticPr fontId="3" type="noConversion"/>
  </si>
  <si>
    <t>逻辑值</t>
    <phoneticPr fontId="3" type="noConversion"/>
  </si>
  <si>
    <t>错误值</t>
    <phoneticPr fontId="3" type="noConversion"/>
  </si>
  <si>
    <t>数组常量</t>
    <phoneticPr fontId="3" type="noConversion"/>
  </si>
  <si>
    <t>type函数返回结果</t>
    <phoneticPr fontId="3" type="noConversion"/>
  </si>
  <si>
    <t>C:\Users\wwuhnwu01\AppData\Roaming\Microsoft\Excel\XLSTART</t>
    <phoneticPr fontId="3" type="noConversion"/>
  </si>
  <si>
    <t>Cells(2, "B").Value = 12</t>
  </si>
  <si>
    <t>minus　减号；负号</t>
  </si>
  <si>
    <t>plus　加号；正号</t>
  </si>
</sst>
</file>

<file path=xl/styles.xml><?xml version="1.0" encoding="utf-8"?>
<styleSheet xmlns="http://schemas.openxmlformats.org/spreadsheetml/2006/main">
  <fonts count="17">
    <font>
      <sz val="11"/>
      <color theme="1"/>
      <name val="宋体"/>
      <family val="2"/>
      <charset val="134"/>
      <scheme val="minor"/>
    </font>
    <font>
      <sz val="18"/>
      <name val="Arial"/>
      <family val="2"/>
    </font>
    <font>
      <sz val="10"/>
      <name val="Arial"/>
      <family val="2"/>
    </font>
    <font>
      <sz val="9"/>
      <name val="宋体"/>
      <family val="2"/>
      <charset val="134"/>
      <scheme val="minor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12"/>
      <color rgb="FF0000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b/>
      <sz val="12"/>
      <color rgb="FF0000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b/>
      <sz val="12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8"/>
      <color theme="8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399914548173467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gray0625">
        <fgColor theme="9"/>
        <bgColor theme="9" tint="0.59996337778862885"/>
      </patternFill>
    </fill>
  </fills>
  <borders count="1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10"/>
      </top>
      <bottom style="hair">
        <color indexed="64"/>
      </bottom>
      <diagonal/>
    </border>
    <border>
      <left style="hair">
        <color indexed="64"/>
      </left>
      <right style="thick">
        <color indexed="10"/>
      </right>
      <top style="thick">
        <color indexed="10"/>
      </top>
      <bottom style="hair">
        <color indexed="64"/>
      </bottom>
      <diagonal/>
    </border>
    <border>
      <left style="hair">
        <color indexed="64"/>
      </left>
      <right style="thick">
        <color indexed="10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10"/>
      </bottom>
      <diagonal/>
    </border>
    <border>
      <left style="hair">
        <color indexed="64"/>
      </left>
      <right style="thick">
        <color indexed="10"/>
      </right>
      <top style="hair">
        <color indexed="64"/>
      </top>
      <bottom style="thick">
        <color indexed="10"/>
      </bottom>
      <diagonal/>
    </border>
    <border>
      <left style="thick">
        <color indexed="12"/>
      </left>
      <right style="thick">
        <color indexed="12"/>
      </right>
      <top style="thick">
        <color indexed="12"/>
      </top>
      <bottom style="thick">
        <color indexed="12"/>
      </bottom>
      <diagonal/>
    </border>
    <border>
      <left/>
      <right style="hair">
        <color indexed="64"/>
      </right>
      <top style="thick">
        <color indexed="10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10"/>
      </bottom>
      <diagonal/>
    </border>
    <border>
      <left style="thick">
        <color indexed="12"/>
      </left>
      <right style="thick">
        <color indexed="12"/>
      </right>
      <top style="thick">
        <color indexed="12"/>
      </top>
      <bottom style="hair">
        <color indexed="64"/>
      </bottom>
      <diagonal/>
    </border>
    <border>
      <left style="thick">
        <color indexed="12"/>
      </left>
      <right style="thick">
        <color indexed="12"/>
      </right>
      <top style="hair">
        <color indexed="64"/>
      </top>
      <bottom style="hair">
        <color indexed="64"/>
      </bottom>
      <diagonal/>
    </border>
  </borders>
  <cellStyleXfs count="14">
    <xf numFmtId="0" fontId="0" fillId="0" borderId="0">
      <alignment vertical="center"/>
    </xf>
    <xf numFmtId="0" fontId="1" fillId="0" borderId="0"/>
    <xf numFmtId="0" fontId="2" fillId="0" borderId="0"/>
    <xf numFmtId="0" fontId="5" fillId="0" borderId="0">
      <alignment vertical="center"/>
    </xf>
    <xf numFmtId="0" fontId="4" fillId="0" borderId="0"/>
    <xf numFmtId="0" fontId="4" fillId="0" borderId="0"/>
    <xf numFmtId="0" fontId="5" fillId="0" borderId="0">
      <alignment vertical="center"/>
    </xf>
    <xf numFmtId="0" fontId="4" fillId="0" borderId="0"/>
    <xf numFmtId="0" fontId="4" fillId="0" borderId="0"/>
    <xf numFmtId="0" fontId="5" fillId="0" borderId="0">
      <alignment vertical="center"/>
    </xf>
    <xf numFmtId="0" fontId="4" fillId="0" borderId="0"/>
    <xf numFmtId="0" fontId="4" fillId="0" borderId="0"/>
    <xf numFmtId="0" fontId="15" fillId="0" borderId="0">
      <alignment vertical="center"/>
    </xf>
    <xf numFmtId="0" fontId="16" fillId="0" borderId="0" applyNumberFormat="0" applyFill="0" applyBorder="0" applyAlignment="0" applyProtection="0">
      <alignment vertical="top"/>
      <protection locked="0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8" fillId="2" borderId="1" xfId="0" applyFont="1" applyFill="1" applyBorder="1">
      <alignment vertical="center"/>
    </xf>
    <xf numFmtId="0" fontId="0" fillId="0" borderId="1" xfId="0" applyBorder="1" applyAlignment="1">
      <alignment vertical="center"/>
    </xf>
    <xf numFmtId="0" fontId="0" fillId="0" borderId="1" xfId="0" quotePrefix="1" applyBorder="1">
      <alignment vertical="center"/>
    </xf>
    <xf numFmtId="0" fontId="0" fillId="0" borderId="0" xfId="0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2" borderId="1" xfId="0" applyFont="1" applyFill="1" applyBorder="1" applyAlignment="1">
      <alignment vertical="center"/>
    </xf>
    <xf numFmtId="0" fontId="7" fillId="0" borderId="1" xfId="0" applyFont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2" borderId="1" xfId="0" applyFont="1" applyFill="1" applyBorder="1">
      <alignment vertical="center"/>
    </xf>
    <xf numFmtId="0" fontId="12" fillId="3" borderId="1" xfId="0" applyFont="1" applyFill="1" applyBorder="1">
      <alignment vertical="center"/>
    </xf>
    <xf numFmtId="0" fontId="13" fillId="0" borderId="1" xfId="0" applyFont="1" applyBorder="1">
      <alignment vertical="center"/>
    </xf>
    <xf numFmtId="0" fontId="13" fillId="0" borderId="2" xfId="0" applyFont="1" applyFill="1" applyBorder="1">
      <alignment vertical="center"/>
    </xf>
    <xf numFmtId="0" fontId="12" fillId="0" borderId="1" xfId="0" applyFont="1" applyBorder="1">
      <alignment vertical="center"/>
    </xf>
    <xf numFmtId="0" fontId="13" fillId="3" borderId="1" xfId="0" applyFont="1" applyFill="1" applyBorder="1">
      <alignment vertical="center"/>
    </xf>
    <xf numFmtId="0" fontId="13" fillId="0" borderId="0" xfId="0" applyFont="1">
      <alignment vertical="center"/>
    </xf>
    <xf numFmtId="0" fontId="8" fillId="2" borderId="1" xfId="0" applyFont="1" applyFill="1" applyBorder="1" applyAlignment="1">
      <alignment vertical="center" shrinkToFit="1"/>
    </xf>
    <xf numFmtId="0" fontId="0" fillId="3" borderId="1" xfId="0" applyFill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3" xfId="0" quotePrefix="1" applyBorder="1">
      <alignment vertical="center"/>
    </xf>
    <xf numFmtId="0" fontId="0" fillId="4" borderId="1" xfId="0" applyFill="1" applyBorder="1">
      <alignment vertical="center"/>
    </xf>
    <xf numFmtId="0" fontId="14" fillId="0" borderId="3" xfId="0" applyFont="1" applyBorder="1">
      <alignment vertical="center"/>
    </xf>
    <xf numFmtId="0" fontId="14" fillId="0" borderId="1" xfId="0" applyFont="1" applyBorder="1">
      <alignment vertical="center"/>
    </xf>
    <xf numFmtId="0" fontId="0" fillId="0" borderId="0" xfId="0" applyAlignment="1">
      <alignment vertical="center"/>
    </xf>
  </cellXfs>
  <cellStyles count="14">
    <cellStyle name="Normal_Sheet1" xfId="1"/>
    <cellStyle name="常规" xfId="0" builtinId="0"/>
    <cellStyle name="常规 2" xfId="12"/>
    <cellStyle name="常规 2 2" xfId="4"/>
    <cellStyle name="常规 2 3" xfId="7"/>
    <cellStyle name="常规 2 4" xfId="10"/>
    <cellStyle name="常规 3" xfId="3"/>
    <cellStyle name="常规 3 2" xfId="5"/>
    <cellStyle name="常规 3 3" xfId="8"/>
    <cellStyle name="常规 3 4" xfId="11"/>
    <cellStyle name="常规 4" xfId="6"/>
    <cellStyle name="常规 5" xfId="9"/>
    <cellStyle name="超链接 2" xfId="13"/>
    <cellStyle name="样式 1" xfId="2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2</xdr:row>
      <xdr:rowOff>121920</xdr:rowOff>
    </xdr:from>
    <xdr:to>
      <xdr:col>5</xdr:col>
      <xdr:colOff>129540</xdr:colOff>
      <xdr:row>14</xdr:row>
      <xdr:rowOff>15240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60820" y="487680"/>
          <a:ext cx="2545080" cy="23164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ebsite/notes/notes2/notes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64卦"/>
      <sheetName val="插入文本"/>
      <sheetName val="东方谋杀列车"/>
      <sheetName val="两会"/>
      <sheetName val="限制突破"/>
      <sheetName val="美国总统2"/>
      <sheetName val="美国总统"/>
      <sheetName val="吉它与调式"/>
      <sheetName val="吉它书目录"/>
      <sheetName val="历届诺贝尔"/>
      <sheetName val="北方游牧民族"/>
      <sheetName val="字母来源"/>
      <sheetName val="动物与植物"/>
      <sheetName val="道德经目录"/>
      <sheetName val="归纳与演绎"/>
      <sheetName val="学科分类"/>
      <sheetName val="开创性的科学著作"/>
      <sheetName val="东西方的反思"/>
      <sheetName val="制谜"/>
      <sheetName val="zenyibook"/>
      <sheetName val="Sheet7"/>
      <sheetName val="000目录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N24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0" sqref="I10"/>
    </sheetView>
  </sheetViews>
  <sheetFormatPr defaultRowHeight="14.4"/>
  <cols>
    <col min="1" max="1" width="9" customWidth="1"/>
    <col min="2" max="4" width="7" customWidth="1"/>
    <col min="5" max="5" width="7.33203125" customWidth="1"/>
    <col min="6" max="6" width="4.44140625" customWidth="1"/>
    <col min="9" max="9" width="12.109375" customWidth="1"/>
    <col min="10" max="10" width="21" customWidth="1"/>
  </cols>
  <sheetData>
    <row r="1" spans="1:14">
      <c r="A1" s="2" t="s">
        <v>0</v>
      </c>
      <c r="B1" s="2" t="s">
        <v>1</v>
      </c>
      <c r="C1" s="2" t="s">
        <v>5</v>
      </c>
      <c r="D1" s="2" t="s">
        <v>2</v>
      </c>
      <c r="E1" s="2" t="s">
        <v>4</v>
      </c>
      <c r="F1" s="2" t="s">
        <v>3</v>
      </c>
      <c r="G1" s="1">
        <v>7</v>
      </c>
      <c r="H1" s="1" t="s">
        <v>42</v>
      </c>
      <c r="I1" s="1" t="s">
        <v>43</v>
      </c>
      <c r="J1" s="1" t="s">
        <v>44</v>
      </c>
      <c r="K1" s="1" t="s">
        <v>45</v>
      </c>
      <c r="L1" s="1" t="s">
        <v>46</v>
      </c>
      <c r="M1" s="1"/>
      <c r="N1" s="1"/>
    </row>
    <row r="2" spans="1:14">
      <c r="A2" s="1">
        <v>200</v>
      </c>
      <c r="B2" s="1">
        <v>201</v>
      </c>
      <c r="C2" s="1">
        <v>202</v>
      </c>
      <c r="D2" s="1">
        <v>203</v>
      </c>
      <c r="E2" s="1">
        <f>SUM(A2:D22)</f>
        <v>2105886</v>
      </c>
      <c r="F2" s="1">
        <v>1.2</v>
      </c>
      <c r="G2" s="1">
        <f t="array" ref="G2:G10">E2:E10*F2:F10</f>
        <v>2527063.1999999997</v>
      </c>
      <c r="H2" s="1" t="s">
        <v>15</v>
      </c>
      <c r="I2" s="1"/>
      <c r="J2" s="1" t="s">
        <v>18</v>
      </c>
      <c r="K2" s="1"/>
      <c r="L2" s="1"/>
      <c r="M2" s="1"/>
      <c r="N2" s="1"/>
    </row>
    <row r="3" spans="1:14">
      <c r="A3" s="1">
        <v>201</v>
      </c>
      <c r="B3" s="1">
        <v>202</v>
      </c>
      <c r="C3" s="1">
        <v>203</v>
      </c>
      <c r="D3" s="1">
        <v>204</v>
      </c>
      <c r="E3" s="1">
        <f>SUM(A3:D32)</f>
        <v>2105127</v>
      </c>
      <c r="F3" s="1">
        <v>1.2</v>
      </c>
      <c r="G3" s="1">
        <v>2526152.4</v>
      </c>
      <c r="H3" s="1" t="s">
        <v>17</v>
      </c>
      <c r="I3" s="1"/>
      <c r="J3" s="1" t="s">
        <v>33</v>
      </c>
      <c r="K3" s="1"/>
      <c r="L3" s="1"/>
      <c r="M3" s="1"/>
      <c r="N3" s="1" t="s">
        <v>34</v>
      </c>
    </row>
    <row r="4" spans="1:14">
      <c r="A4" s="1">
        <v>202</v>
      </c>
      <c r="B4" s="1">
        <v>203</v>
      </c>
      <c r="C4" s="1">
        <v>204</v>
      </c>
      <c r="D4" s="1">
        <v>300</v>
      </c>
      <c r="E4" s="1">
        <f>SUM(A4:D42)</f>
        <v>2104317</v>
      </c>
      <c r="F4" s="1">
        <v>1.2</v>
      </c>
      <c r="G4" s="1">
        <v>2525180.4</v>
      </c>
      <c r="H4" s="1" t="s">
        <v>16</v>
      </c>
      <c r="I4" s="1"/>
      <c r="J4" s="1" t="s">
        <v>40</v>
      </c>
      <c r="K4" s="1"/>
      <c r="L4" s="1"/>
      <c r="M4" s="1"/>
      <c r="N4" s="1"/>
    </row>
    <row r="5" spans="1:14">
      <c r="A5" s="1">
        <v>203</v>
      </c>
      <c r="B5" s="1">
        <v>204</v>
      </c>
      <c r="C5" s="1">
        <v>203</v>
      </c>
      <c r="D5" s="1">
        <v>204</v>
      </c>
      <c r="E5" s="1">
        <f>SUM(A5:D52)</f>
        <v>2103408</v>
      </c>
      <c r="F5" s="1">
        <v>1.2</v>
      </c>
      <c r="G5" s="1">
        <v>2524089.6</v>
      </c>
      <c r="H5" s="1"/>
      <c r="I5" s="1"/>
      <c r="J5" s="3" t="s">
        <v>24</v>
      </c>
      <c r="K5" s="1"/>
      <c r="L5" s="1"/>
      <c r="M5" s="1"/>
      <c r="N5" s="1"/>
    </row>
    <row r="6" spans="1:14">
      <c r="A6" s="1">
        <v>204</v>
      </c>
      <c r="B6" s="1">
        <v>300</v>
      </c>
      <c r="C6" s="1">
        <v>204</v>
      </c>
      <c r="D6" s="1">
        <v>300</v>
      </c>
      <c r="E6" s="1">
        <f>SUM(A6:D62)</f>
        <v>2102594</v>
      </c>
      <c r="F6" s="1">
        <v>1.2</v>
      </c>
      <c r="G6" s="1">
        <v>2523112.7999999998</v>
      </c>
      <c r="H6" s="1"/>
      <c r="I6" s="1"/>
      <c r="J6" s="1"/>
      <c r="K6" s="1"/>
      <c r="L6" s="1"/>
      <c r="M6" s="1"/>
      <c r="N6" s="1"/>
    </row>
    <row r="7" spans="1:14">
      <c r="A7" s="1">
        <v>300</v>
      </c>
      <c r="B7" s="1">
        <v>301</v>
      </c>
      <c r="C7" s="1">
        <v>300</v>
      </c>
      <c r="D7" s="1">
        <v>301</v>
      </c>
      <c r="E7" s="1">
        <f>SUM(A7:D72)</f>
        <v>2101586</v>
      </c>
      <c r="F7" s="1">
        <v>1.2</v>
      </c>
      <c r="G7" s="1">
        <v>2521903.1999999997</v>
      </c>
      <c r="H7" s="1"/>
      <c r="I7" s="1"/>
      <c r="J7" s="1" t="s">
        <v>19</v>
      </c>
      <c r="K7" s="1"/>
      <c r="L7" s="1"/>
      <c r="M7" s="1"/>
      <c r="N7" s="1" t="s">
        <v>35</v>
      </c>
    </row>
    <row r="8" spans="1:14">
      <c r="A8" s="1">
        <v>301</v>
      </c>
      <c r="B8" s="1">
        <v>203</v>
      </c>
      <c r="C8" s="1">
        <v>301</v>
      </c>
      <c r="D8" s="1">
        <v>203</v>
      </c>
      <c r="E8" s="1">
        <f>SUM(A8:D82)</f>
        <v>2100384</v>
      </c>
      <c r="F8" s="1">
        <v>1.2</v>
      </c>
      <c r="G8" s="1">
        <v>2520460.7999999998</v>
      </c>
      <c r="H8" s="1"/>
      <c r="I8" s="1"/>
      <c r="J8" s="1"/>
      <c r="K8" s="1"/>
      <c r="L8" s="1"/>
      <c r="M8" s="1"/>
      <c r="N8" s="1"/>
    </row>
    <row r="9" spans="1:14">
      <c r="A9" s="1">
        <v>302</v>
      </c>
      <c r="B9" s="1">
        <v>204</v>
      </c>
      <c r="C9" s="1">
        <v>302</v>
      </c>
      <c r="D9" s="1">
        <v>204</v>
      </c>
      <c r="E9" s="1">
        <f>SUM(A9:D92)</f>
        <v>2099376</v>
      </c>
      <c r="F9" s="1">
        <v>1.2</v>
      </c>
      <c r="G9" s="1">
        <v>2519251.1999999997</v>
      </c>
      <c r="H9" s="1"/>
      <c r="I9" s="1"/>
      <c r="J9" s="1"/>
      <c r="K9" s="1"/>
      <c r="L9" s="1"/>
      <c r="M9" s="1"/>
      <c r="N9" s="1"/>
    </row>
    <row r="10" spans="1:14">
      <c r="A10" s="1">
        <v>303</v>
      </c>
      <c r="B10" s="1">
        <v>300</v>
      </c>
      <c r="C10" s="1">
        <v>204</v>
      </c>
      <c r="D10" s="1">
        <v>300</v>
      </c>
      <c r="E10" s="1">
        <f>SUM(A10:D102)</f>
        <v>2098364</v>
      </c>
      <c r="F10" s="1">
        <v>1.2</v>
      </c>
      <c r="G10" s="1">
        <v>2518036.7999999998</v>
      </c>
      <c r="H10" s="1"/>
      <c r="I10" s="1"/>
      <c r="J10" s="1" t="s">
        <v>41</v>
      </c>
      <c r="K10" s="1"/>
      <c r="L10" s="1"/>
      <c r="M10" s="1"/>
      <c r="N10" s="1"/>
    </row>
    <row r="11" spans="1:14">
      <c r="A11" s="1"/>
      <c r="B11" s="1"/>
      <c r="C11" s="1"/>
      <c r="D11" s="1"/>
      <c r="E11" s="1">
        <f>SUM(E2:E10)</f>
        <v>18921042</v>
      </c>
      <c r="F11" s="1"/>
      <c r="G11" s="1">
        <f>SUM(G2:G10)</f>
        <v>22705250.399999999</v>
      </c>
      <c r="H11" s="1"/>
      <c r="I11" s="1"/>
      <c r="J11" s="1"/>
      <c r="K11" s="1"/>
      <c r="L11" s="1"/>
      <c r="M11" s="1"/>
      <c r="N11" s="1"/>
    </row>
    <row r="12" spans="1:14">
      <c r="A12" s="1"/>
      <c r="B12" s="1"/>
      <c r="C12" s="1" t="s">
        <v>7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>
      <c r="A13" s="1" t="s">
        <v>27</v>
      </c>
      <c r="B13" s="1"/>
      <c r="C13" s="1" t="s">
        <v>6</v>
      </c>
      <c r="D13" s="1"/>
      <c r="E13" s="1"/>
      <c r="F13" s="1"/>
      <c r="G13" s="1"/>
      <c r="H13" s="1"/>
      <c r="I13" s="1"/>
      <c r="J13" s="1" t="s">
        <v>22</v>
      </c>
      <c r="K13" s="1"/>
      <c r="L13" s="1"/>
      <c r="M13" s="1"/>
      <c r="N13" s="1"/>
    </row>
    <row r="14" spans="1:14">
      <c r="A14" s="1">
        <v>6</v>
      </c>
      <c r="B14" s="1"/>
      <c r="C14" s="1" t="s">
        <v>8</v>
      </c>
      <c r="D14" s="1"/>
      <c r="E14" s="1"/>
      <c r="F14" s="1"/>
      <c r="G14" s="1"/>
      <c r="H14" s="1"/>
      <c r="I14" s="1"/>
      <c r="J14" s="4" t="s">
        <v>14</v>
      </c>
      <c r="K14" s="1"/>
      <c r="L14" s="1"/>
      <c r="M14" s="1"/>
      <c r="N14" s="1"/>
    </row>
    <row r="15" spans="1:14">
      <c r="A15" s="1">
        <v>6</v>
      </c>
      <c r="B15" s="1"/>
      <c r="C15" s="1" t="s">
        <v>9</v>
      </c>
      <c r="D15" s="1"/>
      <c r="E15" s="1"/>
      <c r="F15" s="1"/>
      <c r="G15" s="1"/>
      <c r="H15" s="1"/>
      <c r="I15" s="1"/>
      <c r="J15" s="1" t="s">
        <v>23</v>
      </c>
      <c r="K15" s="1"/>
      <c r="L15" s="1"/>
      <c r="M15" s="1"/>
      <c r="N15" s="1"/>
    </row>
    <row r="16" spans="1:14">
      <c r="A16" s="1">
        <f>FIND(".",A13,1)</f>
        <v>6</v>
      </c>
      <c r="B16" s="1"/>
      <c r="C16" s="1" t="s">
        <v>13</v>
      </c>
      <c r="D16" s="1"/>
      <c r="E16" s="1"/>
      <c r="F16" s="1"/>
      <c r="G16" s="1"/>
      <c r="H16" s="1"/>
      <c r="I16" s="1"/>
      <c r="J16" s="1" t="s">
        <v>20</v>
      </c>
      <c r="K16" s="1"/>
      <c r="L16" s="1"/>
      <c r="M16" s="1"/>
      <c r="N16" s="1"/>
    </row>
    <row r="17" spans="1:14">
      <c r="A17" s="1">
        <v>6</v>
      </c>
      <c r="B17" s="1"/>
      <c r="C17" s="1" t="s">
        <v>10</v>
      </c>
      <c r="D17" s="1"/>
      <c r="E17" s="1"/>
      <c r="F17" s="1"/>
      <c r="G17" s="1"/>
      <c r="H17" s="1"/>
      <c r="I17" s="1"/>
      <c r="J17" s="1" t="s">
        <v>21</v>
      </c>
      <c r="K17" s="1"/>
      <c r="L17" s="1"/>
      <c r="M17" s="1"/>
      <c r="N17" s="1"/>
    </row>
    <row r="18" spans="1:14">
      <c r="A18" s="1">
        <v>6</v>
      </c>
      <c r="B18" s="1"/>
      <c r="C18" s="1" t="s">
        <v>11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>
      <c r="A19" s="1">
        <v>6</v>
      </c>
      <c r="B19" s="1"/>
      <c r="C19" s="1" t="s">
        <v>12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>
      <c r="A20">
        <v>1048576</v>
      </c>
    </row>
    <row r="21" spans="1:14">
      <c r="A21">
        <v>1048576</v>
      </c>
    </row>
    <row r="22" spans="1:14">
      <c r="A22">
        <v>22</v>
      </c>
    </row>
    <row r="23" spans="1:14">
      <c r="A23">
        <v>23</v>
      </c>
    </row>
    <row r="24" spans="1:14">
      <c r="A24">
        <v>24</v>
      </c>
    </row>
  </sheetData>
  <phoneticPr fontId="3" type="noConversion"/>
  <pageMargins left="0.32" right="0.32" top="0.6" bottom="0.38" header="0.2" footer="0.2"/>
  <pageSetup paperSize="9" orientation="portrait" r:id="rId1"/>
  <headerFooter>
    <oddHeader>&amp;C&amp;A</oddHeader>
    <oddFooter>&amp;R&amp;P/&amp;N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B16"/>
  <sheetViews>
    <sheetView showGridLines="0" workbookViewId="0">
      <pane ySplit="1" topLeftCell="A2" activePane="bottomLeft" state="frozen"/>
      <selection pane="bottomLeft" activeCell="A14" sqref="A14"/>
    </sheetView>
  </sheetViews>
  <sheetFormatPr defaultRowHeight="14.4"/>
  <cols>
    <col min="1" max="1" width="95.33203125" customWidth="1"/>
  </cols>
  <sheetData>
    <row r="1" spans="1:2">
      <c r="A1" s="8" t="s">
        <v>48</v>
      </c>
    </row>
    <row r="2" spans="1:2">
      <c r="A2" s="1"/>
      <c r="B2" t="s">
        <v>49</v>
      </c>
    </row>
    <row r="3" spans="1:2" ht="15.6">
      <c r="A3" s="9" t="s">
        <v>47</v>
      </c>
    </row>
    <row r="4" spans="1:2" ht="15.6">
      <c r="A4" s="9" t="s">
        <v>25</v>
      </c>
    </row>
    <row r="5" spans="1:2" ht="15.6">
      <c r="A5" s="9" t="s">
        <v>26</v>
      </c>
    </row>
    <row r="6" spans="1:2">
      <c r="A6" s="1"/>
    </row>
    <row r="7" spans="1:2">
      <c r="A7" s="4" t="s">
        <v>155</v>
      </c>
    </row>
    <row r="8" spans="1:2">
      <c r="A8" s="1" t="s">
        <v>28</v>
      </c>
    </row>
    <row r="9" spans="1:2" ht="28.8">
      <c r="A9" s="10" t="s">
        <v>29</v>
      </c>
    </row>
    <row r="10" spans="1:2">
      <c r="A10" s="1" t="s">
        <v>30</v>
      </c>
    </row>
    <row r="11" spans="1:2">
      <c r="A11" s="1" t="s">
        <v>31</v>
      </c>
    </row>
    <row r="12" spans="1:2">
      <c r="A12" s="1" t="s">
        <v>32</v>
      </c>
    </row>
    <row r="13" spans="1:2">
      <c r="A13" s="1"/>
    </row>
    <row r="14" spans="1:2">
      <c r="A14" s="1"/>
    </row>
    <row r="15" spans="1:2">
      <c r="A15" s="1"/>
    </row>
    <row r="16" spans="1:2">
      <c r="A16" s="1"/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E11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9" sqref="I9"/>
    </sheetView>
  </sheetViews>
  <sheetFormatPr defaultRowHeight="14.4"/>
  <sheetData>
    <row r="1" spans="1:5">
      <c r="A1" s="2">
        <f t="array" aca="1" ref="A1:A10" ca="1">A1:A10*B1:B10</f>
        <v>0</v>
      </c>
      <c r="B1" s="2" t="s">
        <v>36</v>
      </c>
      <c r="C1" s="2" t="s">
        <v>37</v>
      </c>
      <c r="D1" s="2" t="s">
        <v>38</v>
      </c>
      <c r="E1" s="2" t="s">
        <v>39</v>
      </c>
    </row>
    <row r="2" spans="1:5">
      <c r="A2" s="1">
        <f ca="1"/>
        <v>0</v>
      </c>
      <c r="B2" s="1">
        <v>80</v>
      </c>
      <c r="C2" s="1">
        <v>90</v>
      </c>
      <c r="D2" s="1">
        <v>70</v>
      </c>
      <c r="E2" s="1">
        <f t="array" ref="E2">SUM(B2:D2*{0.3,0.4,0.3})</f>
        <v>81</v>
      </c>
    </row>
    <row r="3" spans="1:5">
      <c r="A3" s="1">
        <f ca="1"/>
        <v>0</v>
      </c>
      <c r="B3" s="1">
        <v>75</v>
      </c>
      <c r="C3" s="1">
        <v>85</v>
      </c>
      <c r="D3" s="1">
        <v>65</v>
      </c>
      <c r="E3" s="1">
        <f t="array" ref="E3">SUM(B3:D3*{0.3,0.4,0.3})</f>
        <v>76</v>
      </c>
    </row>
    <row r="4" spans="1:5">
      <c r="A4" s="1">
        <f ca="1"/>
        <v>0</v>
      </c>
      <c r="B4" s="1">
        <v>70</v>
      </c>
      <c r="C4" s="1">
        <v>80</v>
      </c>
      <c r="D4" s="1">
        <v>60</v>
      </c>
      <c r="E4" s="1">
        <f t="array" ref="E4">SUM(B4:D4*{0.3,0.4,0.3})</f>
        <v>71</v>
      </c>
    </row>
    <row r="5" spans="1:5">
      <c r="A5" s="1">
        <f ca="1"/>
        <v>0</v>
      </c>
      <c r="B5" s="1">
        <v>65</v>
      </c>
      <c r="C5" s="1">
        <v>75</v>
      </c>
      <c r="D5" s="1">
        <v>55</v>
      </c>
      <c r="E5" s="1">
        <f t="array" ref="E5">SUM(B5:D5*{0.3,0.4,0.3})</f>
        <v>66</v>
      </c>
    </row>
    <row r="6" spans="1:5">
      <c r="A6" s="1">
        <f ca="1"/>
        <v>0</v>
      </c>
      <c r="B6" s="1"/>
      <c r="C6" s="1"/>
      <c r="D6" s="1"/>
      <c r="E6" s="1"/>
    </row>
    <row r="7" spans="1:5">
      <c r="A7" s="1">
        <f ca="1"/>
        <v>0</v>
      </c>
      <c r="B7" s="1"/>
      <c r="C7" s="1"/>
      <c r="D7" s="1"/>
      <c r="E7" s="1"/>
    </row>
    <row r="8" spans="1:5">
      <c r="A8" s="1">
        <f ca="1"/>
        <v>0</v>
      </c>
      <c r="B8" s="1"/>
      <c r="C8" s="1"/>
      <c r="D8" s="1"/>
      <c r="E8" s="1"/>
    </row>
    <row r="9" spans="1:5">
      <c r="A9">
        <f ca="1"/>
        <v>0</v>
      </c>
    </row>
    <row r="10" spans="1:5">
      <c r="A10">
        <f ca="1"/>
        <v>0</v>
      </c>
    </row>
    <row r="11" spans="1:5">
      <c r="A11">
        <f ca="1">SUM(A1:A10)</f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E45"/>
  <sheetViews>
    <sheetView showGridLines="0" workbookViewId="0">
      <pane ySplit="1" topLeftCell="A2" activePane="bottomLeft" state="frozen"/>
      <selection pane="bottomLeft" activeCell="E15" sqref="E15"/>
    </sheetView>
  </sheetViews>
  <sheetFormatPr defaultRowHeight="16.2" customHeight="1"/>
  <cols>
    <col min="1" max="1" width="5.77734375" style="5" bestFit="1" customWidth="1"/>
    <col min="2" max="2" width="21.44140625" style="21" bestFit="1" customWidth="1"/>
    <col min="3" max="3" width="13.88671875" bestFit="1" customWidth="1"/>
    <col min="4" max="4" width="17.21875" bestFit="1" customWidth="1"/>
    <col min="5" max="5" width="27.109375" style="25" bestFit="1" customWidth="1"/>
  </cols>
  <sheetData>
    <row r="1" spans="1:5" ht="16.2" customHeight="1">
      <c r="A1" s="6">
        <f t="array" aca="1" ref="A1:A10" ca="1">A1:A10*B1:B10</f>
        <v>0</v>
      </c>
      <c r="B1" s="15" t="s">
        <v>63</v>
      </c>
      <c r="C1" s="2" t="s">
        <v>63</v>
      </c>
      <c r="D1" s="2" t="s">
        <v>50</v>
      </c>
      <c r="E1" s="22" t="s">
        <v>51</v>
      </c>
    </row>
    <row r="2" spans="1:5" ht="16.2" customHeight="1">
      <c r="A2" s="13">
        <f ca="1"/>
        <v>0</v>
      </c>
      <c r="B2" s="16" t="s">
        <v>52</v>
      </c>
      <c r="C2" s="12" t="s">
        <v>75</v>
      </c>
      <c r="D2" s="12"/>
      <c r="E2" s="23"/>
    </row>
    <row r="3" spans="1:5" ht="16.2" customHeight="1">
      <c r="A3" s="7">
        <f ca="1"/>
        <v>0</v>
      </c>
      <c r="B3" s="17" t="s">
        <v>121</v>
      </c>
      <c r="C3" s="1" t="s">
        <v>122</v>
      </c>
      <c r="D3" s="1"/>
      <c r="E3" s="24"/>
    </row>
    <row r="4" spans="1:5" ht="16.2" customHeight="1">
      <c r="A4" s="7">
        <f ca="1"/>
        <v>0</v>
      </c>
      <c r="B4" s="17" t="s">
        <v>123</v>
      </c>
      <c r="C4" s="1" t="s">
        <v>124</v>
      </c>
      <c r="D4" s="1"/>
      <c r="E4" s="24" t="s">
        <v>125</v>
      </c>
    </row>
    <row r="5" spans="1:5" ht="16.2" customHeight="1">
      <c r="A5" s="7">
        <f ca="1"/>
        <v>0</v>
      </c>
      <c r="B5" s="17" t="s">
        <v>117</v>
      </c>
      <c r="C5" s="1" t="s">
        <v>119</v>
      </c>
      <c r="D5" s="1"/>
      <c r="E5" s="24"/>
    </row>
    <row r="6" spans="1:5" ht="16.2" customHeight="1">
      <c r="A6" s="7">
        <f ca="1"/>
        <v>0</v>
      </c>
      <c r="B6" s="17" t="s">
        <v>126</v>
      </c>
      <c r="C6" s="1" t="s">
        <v>128</v>
      </c>
      <c r="D6" s="1"/>
      <c r="E6" s="24"/>
    </row>
    <row r="7" spans="1:5" ht="16.2" customHeight="1">
      <c r="A7" s="7">
        <f ca="1"/>
        <v>0</v>
      </c>
      <c r="B7" s="18" t="s">
        <v>127</v>
      </c>
      <c r="C7" s="1" t="s">
        <v>129</v>
      </c>
      <c r="D7" s="1"/>
      <c r="E7" s="24"/>
    </row>
    <row r="8" spans="1:5" ht="16.2" customHeight="1">
      <c r="A8" s="7">
        <f ca="1"/>
        <v>0</v>
      </c>
      <c r="B8" s="17" t="s">
        <v>142</v>
      </c>
      <c r="C8" s="1" t="s">
        <v>130</v>
      </c>
      <c r="D8" s="1"/>
      <c r="E8" s="24" t="s">
        <v>145</v>
      </c>
    </row>
    <row r="9" spans="1:5" ht="16.2" customHeight="1">
      <c r="A9" s="7">
        <f ca="1"/>
        <v>0</v>
      </c>
      <c r="B9" s="17" t="s">
        <v>112</v>
      </c>
      <c r="C9" s="1" t="s">
        <v>139</v>
      </c>
      <c r="D9" s="1"/>
      <c r="E9" s="24" t="s">
        <v>140</v>
      </c>
    </row>
    <row r="10" spans="1:5" ht="16.2" customHeight="1">
      <c r="A10" s="14">
        <f ca="1"/>
        <v>0</v>
      </c>
      <c r="B10" s="19" t="s">
        <v>54</v>
      </c>
      <c r="C10" s="1" t="s">
        <v>76</v>
      </c>
      <c r="D10" s="1" t="s">
        <v>97</v>
      </c>
      <c r="E10" s="24" t="s">
        <v>144</v>
      </c>
    </row>
    <row r="11" spans="1:5" ht="16.2" customHeight="1">
      <c r="A11" s="11">
        <f ca="1">SUM(A1:A10)</f>
        <v>0</v>
      </c>
      <c r="B11" s="20" t="s">
        <v>53</v>
      </c>
      <c r="C11" s="12" t="s">
        <v>77</v>
      </c>
      <c r="D11" s="12" t="s">
        <v>98</v>
      </c>
      <c r="E11" s="23"/>
    </row>
    <row r="12" spans="1:5" ht="16.2" customHeight="1">
      <c r="A12" s="11">
        <v>2</v>
      </c>
      <c r="B12" s="20" t="s">
        <v>56</v>
      </c>
      <c r="C12" s="12" t="s">
        <v>78</v>
      </c>
      <c r="D12" s="12"/>
      <c r="E12" s="23"/>
    </row>
    <row r="13" spans="1:5" ht="16.2" customHeight="1">
      <c r="A13" s="11">
        <v>2</v>
      </c>
      <c r="B13" s="20" t="s">
        <v>57</v>
      </c>
      <c r="C13" s="12" t="s">
        <v>79</v>
      </c>
      <c r="D13" s="12" t="s">
        <v>143</v>
      </c>
      <c r="E13" s="23"/>
    </row>
    <row r="14" spans="1:5" ht="16.2" customHeight="1">
      <c r="A14" s="11">
        <v>2</v>
      </c>
      <c r="B14" s="20" t="s">
        <v>117</v>
      </c>
      <c r="C14" s="12" t="s">
        <v>131</v>
      </c>
      <c r="D14" s="12"/>
      <c r="E14" s="23"/>
    </row>
    <row r="15" spans="1:5" ht="16.2" customHeight="1">
      <c r="A15" s="13">
        <v>2</v>
      </c>
      <c r="B15" s="16" t="s">
        <v>55</v>
      </c>
      <c r="C15" s="12" t="s">
        <v>80</v>
      </c>
      <c r="D15" s="12" t="s">
        <v>137</v>
      </c>
      <c r="E15" s="23"/>
    </row>
    <row r="16" spans="1:5" ht="16.2" customHeight="1">
      <c r="A16" s="7">
        <v>3</v>
      </c>
      <c r="B16" s="17" t="s">
        <v>118</v>
      </c>
      <c r="C16" s="1" t="s">
        <v>120</v>
      </c>
      <c r="D16" s="1"/>
      <c r="E16" s="24"/>
    </row>
    <row r="17" spans="1:5" ht="16.2" customHeight="1">
      <c r="A17" s="7">
        <v>3</v>
      </c>
      <c r="B17" s="17" t="s">
        <v>134</v>
      </c>
      <c r="C17" s="1" t="s">
        <v>135</v>
      </c>
      <c r="D17" s="1"/>
      <c r="E17" s="24"/>
    </row>
    <row r="18" spans="1:5" ht="16.2" customHeight="1">
      <c r="A18" s="7">
        <v>3</v>
      </c>
      <c r="B18" s="17" t="s">
        <v>58</v>
      </c>
      <c r="C18" s="1" t="s">
        <v>81</v>
      </c>
      <c r="D18" s="1"/>
      <c r="E18" s="24"/>
    </row>
    <row r="19" spans="1:5" ht="16.2" customHeight="1">
      <c r="A19" s="7">
        <v>3</v>
      </c>
      <c r="B19" s="17" t="s">
        <v>59</v>
      </c>
      <c r="C19" s="1" t="s">
        <v>82</v>
      </c>
      <c r="D19" s="1"/>
      <c r="E19" s="24"/>
    </row>
    <row r="20" spans="1:5" ht="16.2" customHeight="1">
      <c r="A20" s="7">
        <v>3</v>
      </c>
      <c r="B20" s="17" t="s">
        <v>60</v>
      </c>
      <c r="C20" s="1" t="s">
        <v>83</v>
      </c>
      <c r="D20" s="1"/>
      <c r="E20" s="24"/>
    </row>
    <row r="21" spans="1:5" ht="16.2" customHeight="1">
      <c r="A21" s="7">
        <v>3</v>
      </c>
      <c r="B21" s="17" t="s">
        <v>61</v>
      </c>
      <c r="C21" s="1" t="s">
        <v>84</v>
      </c>
      <c r="D21" s="1"/>
      <c r="E21" s="24"/>
    </row>
    <row r="22" spans="1:5" ht="16.2" customHeight="1">
      <c r="A22" s="7">
        <v>3</v>
      </c>
      <c r="B22" s="17" t="s">
        <v>62</v>
      </c>
      <c r="C22" s="1" t="s">
        <v>85</v>
      </c>
      <c r="D22" s="1"/>
      <c r="E22" s="24"/>
    </row>
    <row r="23" spans="1:5" ht="16.2" customHeight="1">
      <c r="A23" s="7">
        <v>3</v>
      </c>
      <c r="B23" s="17" t="s">
        <v>64</v>
      </c>
      <c r="C23" s="1" t="s">
        <v>86</v>
      </c>
      <c r="D23" s="1"/>
      <c r="E23" s="24" t="s">
        <v>65</v>
      </c>
    </row>
    <row r="24" spans="1:5" ht="16.2" customHeight="1">
      <c r="A24" s="7">
        <v>3</v>
      </c>
      <c r="B24" s="17" t="s">
        <v>99</v>
      </c>
      <c r="C24" s="1" t="s">
        <v>100</v>
      </c>
      <c r="D24" s="1"/>
      <c r="E24" s="24"/>
    </row>
    <row r="25" spans="1:5" ht="16.2" customHeight="1">
      <c r="A25" s="7">
        <v>3</v>
      </c>
      <c r="B25" s="17" t="s">
        <v>101</v>
      </c>
      <c r="C25" s="1" t="s">
        <v>102</v>
      </c>
      <c r="D25" s="1"/>
      <c r="E25" s="24"/>
    </row>
    <row r="26" spans="1:5" ht="16.2" customHeight="1">
      <c r="A26" s="7">
        <v>3</v>
      </c>
      <c r="B26" s="17" t="s">
        <v>132</v>
      </c>
      <c r="C26" s="1" t="s">
        <v>141</v>
      </c>
      <c r="D26" s="1"/>
      <c r="E26" s="24"/>
    </row>
    <row r="27" spans="1:5" ht="16.2" customHeight="1">
      <c r="A27" s="7">
        <v>3</v>
      </c>
      <c r="B27" s="17" t="s">
        <v>103</v>
      </c>
      <c r="C27" s="1" t="s">
        <v>104</v>
      </c>
      <c r="D27" s="1"/>
      <c r="E27" s="24"/>
    </row>
    <row r="28" spans="1:5" ht="16.2" customHeight="1">
      <c r="A28" s="7">
        <v>3</v>
      </c>
      <c r="B28" s="17" t="s">
        <v>105</v>
      </c>
      <c r="C28" s="1" t="s">
        <v>106</v>
      </c>
      <c r="D28" s="1"/>
      <c r="E28" s="24"/>
    </row>
    <row r="29" spans="1:5" ht="16.2" customHeight="1">
      <c r="A29" s="7">
        <v>3</v>
      </c>
      <c r="B29" s="17" t="s">
        <v>107</v>
      </c>
      <c r="C29" s="1" t="s">
        <v>108</v>
      </c>
      <c r="D29" s="1"/>
      <c r="E29" s="24"/>
    </row>
    <row r="30" spans="1:5" ht="16.2" customHeight="1">
      <c r="A30" s="7">
        <v>3</v>
      </c>
      <c r="B30" s="17" t="s">
        <v>109</v>
      </c>
      <c r="C30" s="1" t="s">
        <v>110</v>
      </c>
      <c r="D30" s="1"/>
      <c r="E30" s="24"/>
    </row>
    <row r="31" spans="1:5" ht="16.2" customHeight="1">
      <c r="A31" s="7">
        <v>3</v>
      </c>
      <c r="B31" s="17" t="s">
        <v>111</v>
      </c>
      <c r="C31" s="1" t="s">
        <v>114</v>
      </c>
      <c r="D31" s="1"/>
      <c r="E31" s="24"/>
    </row>
    <row r="32" spans="1:5" ht="16.2" customHeight="1">
      <c r="A32" s="7">
        <v>3</v>
      </c>
      <c r="B32" s="17" t="s">
        <v>112</v>
      </c>
      <c r="C32" s="1" t="s">
        <v>113</v>
      </c>
      <c r="D32" s="1"/>
      <c r="E32" s="24"/>
    </row>
    <row r="33" spans="1:5" ht="16.2" customHeight="1">
      <c r="A33" s="14">
        <v>3</v>
      </c>
      <c r="B33" s="19" t="s">
        <v>66</v>
      </c>
      <c r="C33" s="1" t="s">
        <v>87</v>
      </c>
      <c r="D33" s="1" t="s">
        <v>96</v>
      </c>
      <c r="E33" s="24"/>
    </row>
    <row r="34" spans="1:5" ht="16.2" customHeight="1">
      <c r="A34" s="11">
        <v>4</v>
      </c>
      <c r="B34" s="20" t="s">
        <v>67</v>
      </c>
      <c r="C34" s="12" t="s">
        <v>88</v>
      </c>
      <c r="D34" s="12"/>
      <c r="E34" s="23"/>
    </row>
    <row r="35" spans="1:5" ht="16.2" customHeight="1">
      <c r="A35" s="11">
        <v>4</v>
      </c>
      <c r="B35" s="20" t="s">
        <v>68</v>
      </c>
      <c r="C35" s="12" t="s">
        <v>89</v>
      </c>
      <c r="D35" s="12"/>
      <c r="E35" s="23"/>
    </row>
    <row r="36" spans="1:5" ht="16.2" customHeight="1">
      <c r="A36" s="11">
        <v>4</v>
      </c>
      <c r="B36" s="20" t="s">
        <v>69</v>
      </c>
      <c r="C36" s="12" t="s">
        <v>90</v>
      </c>
      <c r="D36" s="12"/>
      <c r="E36" s="23"/>
    </row>
    <row r="37" spans="1:5" ht="16.2" customHeight="1">
      <c r="A37" s="11">
        <v>4</v>
      </c>
      <c r="B37" s="20" t="s">
        <v>70</v>
      </c>
      <c r="C37" s="12" t="s">
        <v>91</v>
      </c>
      <c r="D37" s="12"/>
      <c r="E37" s="23"/>
    </row>
    <row r="38" spans="1:5" ht="16.2" customHeight="1">
      <c r="A38" s="11">
        <v>4</v>
      </c>
      <c r="B38" s="20" t="s">
        <v>71</v>
      </c>
      <c r="C38" s="12" t="s">
        <v>92</v>
      </c>
      <c r="D38" s="12"/>
      <c r="E38" s="23"/>
    </row>
    <row r="39" spans="1:5" ht="16.2" customHeight="1">
      <c r="A39" s="11">
        <v>4</v>
      </c>
      <c r="B39" s="20" t="s">
        <v>72</v>
      </c>
      <c r="C39" s="12" t="s">
        <v>93</v>
      </c>
      <c r="D39" s="12"/>
      <c r="E39" s="23"/>
    </row>
    <row r="40" spans="1:5" ht="16.2" customHeight="1">
      <c r="A40" s="11">
        <v>4</v>
      </c>
      <c r="B40" s="20" t="s">
        <v>73</v>
      </c>
      <c r="C40" s="12" t="s">
        <v>94</v>
      </c>
      <c r="D40" s="12"/>
      <c r="E40" s="23"/>
    </row>
    <row r="41" spans="1:5" ht="16.2" customHeight="1">
      <c r="A41" s="11">
        <v>4</v>
      </c>
      <c r="B41" s="20" t="s">
        <v>74</v>
      </c>
      <c r="C41" s="12" t="s">
        <v>95</v>
      </c>
      <c r="D41" s="12"/>
      <c r="E41" s="23"/>
    </row>
    <row r="42" spans="1:5" ht="16.2" customHeight="1">
      <c r="A42" s="11">
        <v>4</v>
      </c>
      <c r="B42" s="20" t="s">
        <v>115</v>
      </c>
      <c r="C42" s="12" t="s">
        <v>116</v>
      </c>
      <c r="D42" s="12"/>
      <c r="E42" s="23"/>
    </row>
    <row r="43" spans="1:5" ht="16.2" customHeight="1">
      <c r="A43" s="11">
        <v>4</v>
      </c>
      <c r="B43" s="20" t="s">
        <v>133</v>
      </c>
      <c r="C43" s="12" t="s">
        <v>138</v>
      </c>
      <c r="D43" s="12"/>
      <c r="E43" s="23"/>
    </row>
    <row r="44" spans="1:5" ht="16.2" customHeight="1">
      <c r="A44" s="11">
        <v>4</v>
      </c>
      <c r="B44" s="20" t="s">
        <v>117</v>
      </c>
      <c r="C44" s="12" t="s">
        <v>136</v>
      </c>
      <c r="D44" s="12"/>
      <c r="E44" s="23"/>
    </row>
    <row r="45" spans="1:5" ht="16.2" customHeight="1">
      <c r="A45" s="11">
        <v>4</v>
      </c>
      <c r="B45" s="20" t="s">
        <v>118</v>
      </c>
      <c r="C45" s="12" t="s">
        <v>120</v>
      </c>
      <c r="D45" s="12"/>
      <c r="E45" s="23"/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K23"/>
  <sheetViews>
    <sheetView workbookViewId="0">
      <selection activeCell="I16" sqref="I16"/>
    </sheetView>
  </sheetViews>
  <sheetFormatPr defaultRowHeight="14.4"/>
  <cols>
    <col min="1" max="1" width="8.88671875" style="37"/>
  </cols>
  <sheetData>
    <row r="1" spans="1:11" ht="15" thickTop="1">
      <c r="A1" s="36"/>
      <c r="B1" s="34"/>
      <c r="C1" s="28"/>
      <c r="D1" s="28"/>
      <c r="E1" s="28"/>
      <c r="F1" s="28"/>
      <c r="G1" s="28"/>
      <c r="H1" s="28"/>
      <c r="I1" s="28"/>
      <c r="J1" s="29"/>
    </row>
    <row r="2" spans="1:11">
      <c r="A2" s="37" t="s">
        <v>146</v>
      </c>
      <c r="B2" s="27" t="str">
        <f>LEFT(PROPER(A2),1)&amp;LEFT(A2,LEN(A2)-1)</f>
        <v>Aabc de</v>
      </c>
      <c r="C2" s="1" t="e">
        <f ca="1">formulatext(B2)</f>
        <v>#NAME?</v>
      </c>
      <c r="D2" s="1"/>
      <c r="E2" s="1"/>
      <c r="F2" s="1"/>
      <c r="G2" s="1"/>
      <c r="H2" s="1"/>
      <c r="I2" s="1"/>
      <c r="J2" s="30"/>
    </row>
    <row r="3" spans="1:11">
      <c r="A3" s="37" t="s">
        <v>146</v>
      </c>
      <c r="B3" s="27" t="str">
        <f>LEFT(PROPER(A3),1)&amp;LEFT(A3,LEN(A3)-1)</f>
        <v>Aabc de</v>
      </c>
      <c r="C3" s="1"/>
      <c r="D3" s="1"/>
      <c r="E3" s="1"/>
      <c r="F3" s="1"/>
      <c r="G3" s="1"/>
      <c r="H3" s="1"/>
      <c r="I3" s="1"/>
      <c r="J3" s="30"/>
    </row>
    <row r="4" spans="1:11">
      <c r="B4" s="27"/>
      <c r="C4" s="1"/>
      <c r="D4" s="1"/>
      <c r="E4" s="1"/>
      <c r="F4" s="1"/>
      <c r="G4" s="1"/>
      <c r="H4" s="1"/>
      <c r="I4" s="1"/>
      <c r="J4" s="30"/>
    </row>
    <row r="5" spans="1:11">
      <c r="B5" s="27"/>
      <c r="C5" s="1"/>
      <c r="D5" s="1"/>
      <c r="E5" s="1"/>
      <c r="F5" s="1"/>
      <c r="G5" s="1"/>
      <c r="H5" s="1"/>
      <c r="I5" s="1"/>
      <c r="J5" s="30"/>
    </row>
    <row r="6" spans="1:11">
      <c r="A6" s="37" t="s">
        <v>147</v>
      </c>
      <c r="B6" s="40" t="b">
        <f>A6=""</f>
        <v>0</v>
      </c>
      <c r="C6" s="41"/>
      <c r="D6" s="1"/>
      <c r="E6" s="1"/>
      <c r="F6" s="1"/>
      <c r="G6" s="1"/>
      <c r="H6" s="1"/>
      <c r="I6" s="1"/>
      <c r="J6" s="30"/>
    </row>
    <row r="7" spans="1:11">
      <c r="A7" s="37" t="s">
        <v>147</v>
      </c>
      <c r="B7" s="40" t="b">
        <f>A7=0</f>
        <v>0</v>
      </c>
      <c r="C7" s="41"/>
      <c r="D7" s="1"/>
      <c r="E7" s="1"/>
      <c r="F7" s="1"/>
      <c r="G7" s="1"/>
      <c r="H7" s="1"/>
      <c r="I7" s="1"/>
      <c r="J7" s="30"/>
    </row>
    <row r="8" spans="1:11">
      <c r="A8" s="37" t="s">
        <v>147</v>
      </c>
      <c r="B8" s="40" t="b">
        <f>A8=0=""</f>
        <v>0</v>
      </c>
      <c r="C8" s="41"/>
      <c r="D8" s="1" t="s">
        <v>154</v>
      </c>
      <c r="E8" s="1"/>
      <c r="F8" s="1"/>
      <c r="G8" s="1"/>
      <c r="H8" s="1"/>
      <c r="I8" s="1"/>
      <c r="J8" s="30"/>
    </row>
    <row r="9" spans="1:11">
      <c r="A9" s="37">
        <v>1</v>
      </c>
      <c r="B9" s="40" t="b">
        <f>ISNUMBER(A9)</f>
        <v>1</v>
      </c>
      <c r="C9" s="41" t="b">
        <f>ISTEXT(A9)</f>
        <v>0</v>
      </c>
      <c r="D9" s="1">
        <f>TYPE(A9)</f>
        <v>1</v>
      </c>
      <c r="E9" s="1" t="s">
        <v>149</v>
      </c>
      <c r="F9" s="1">
        <f>A9+9</f>
        <v>10</v>
      </c>
      <c r="G9" s="1">
        <f>A9+9</f>
        <v>10</v>
      </c>
      <c r="H9" s="1"/>
      <c r="I9" s="1"/>
      <c r="J9" s="30"/>
    </row>
    <row r="10" spans="1:11">
      <c r="A10" s="38" t="s">
        <v>148</v>
      </c>
      <c r="B10" s="40" t="b">
        <f>ISNUMBER(A10)</f>
        <v>0</v>
      </c>
      <c r="C10" s="41" t="b">
        <f>ISTEXT(A10)</f>
        <v>1</v>
      </c>
      <c r="D10" s="1">
        <f>TYPE(A10)</f>
        <v>2</v>
      </c>
      <c r="E10" s="39" t="s">
        <v>150</v>
      </c>
      <c r="F10" s="1">
        <f>A10+9</f>
        <v>10</v>
      </c>
      <c r="G10" s="1">
        <f>1*A10+9</f>
        <v>10</v>
      </c>
      <c r="H10" s="1"/>
      <c r="I10" s="1"/>
      <c r="J10" s="30"/>
    </row>
    <row r="11" spans="1:11">
      <c r="B11" s="27"/>
      <c r="C11" s="1"/>
      <c r="D11" s="1">
        <v>4</v>
      </c>
      <c r="E11" s="1" t="s">
        <v>151</v>
      </c>
      <c r="F11" s="1"/>
      <c r="G11" s="1"/>
      <c r="H11" s="1"/>
      <c r="I11" s="1"/>
      <c r="J11" s="30"/>
    </row>
    <row r="12" spans="1:11">
      <c r="B12" s="27"/>
      <c r="C12" s="1"/>
      <c r="D12" s="1">
        <v>16</v>
      </c>
      <c r="E12" s="1" t="s">
        <v>152</v>
      </c>
      <c r="F12" s="1"/>
      <c r="G12" s="1"/>
      <c r="H12" s="1"/>
      <c r="I12" s="1"/>
      <c r="J12" s="30"/>
    </row>
    <row r="13" spans="1:11">
      <c r="B13" s="27"/>
      <c r="C13" s="1"/>
      <c r="D13" s="1">
        <v>64</v>
      </c>
      <c r="E13" s="1" t="s">
        <v>153</v>
      </c>
      <c r="F13" s="1"/>
      <c r="G13" s="1"/>
      <c r="H13" s="1"/>
      <c r="I13" s="1"/>
      <c r="J13" s="30"/>
    </row>
    <row r="14" spans="1:11" ht="15" thickBot="1">
      <c r="A14" s="37">
        <v>1</v>
      </c>
      <c r="B14" s="35" t="str">
        <f>ROMAN(A14)</f>
        <v>I</v>
      </c>
      <c r="C14" s="31"/>
      <c r="D14" s="31"/>
      <c r="E14" s="31"/>
      <c r="F14" s="31"/>
      <c r="G14" s="31"/>
      <c r="H14" s="31"/>
      <c r="I14" s="31"/>
      <c r="J14" s="32"/>
    </row>
    <row r="15" spans="1:11" ht="15.6" thickTop="1" thickBot="1">
      <c r="A15" s="37">
        <v>2</v>
      </c>
      <c r="B15" t="str">
        <f t="shared" ref="B15:B23" si="0">ROMAN(A15)</f>
        <v>II</v>
      </c>
    </row>
    <row r="16" spans="1:11" ht="15.6" thickTop="1" thickBot="1">
      <c r="A16" s="37">
        <v>3</v>
      </c>
      <c r="B16" t="str">
        <f t="shared" si="0"/>
        <v>III</v>
      </c>
      <c r="K16" s="33"/>
    </row>
    <row r="17" spans="1:9" ht="15" thickTop="1">
      <c r="A17" s="37">
        <v>4</v>
      </c>
      <c r="B17" t="str">
        <f t="shared" si="0"/>
        <v>IV</v>
      </c>
    </row>
    <row r="18" spans="1:9">
      <c r="A18" s="37">
        <v>5</v>
      </c>
      <c r="B18" t="str">
        <f t="shared" si="0"/>
        <v>V</v>
      </c>
      <c r="I18" s="26"/>
    </row>
    <row r="19" spans="1:9">
      <c r="A19" s="37">
        <v>6</v>
      </c>
      <c r="B19" t="str">
        <f t="shared" si="0"/>
        <v>VI</v>
      </c>
    </row>
    <row r="20" spans="1:9">
      <c r="A20" s="37">
        <v>7</v>
      </c>
      <c r="B20" t="str">
        <f t="shared" si="0"/>
        <v>VII</v>
      </c>
    </row>
    <row r="21" spans="1:9">
      <c r="A21" s="37">
        <v>8</v>
      </c>
      <c r="B21" t="str">
        <f t="shared" si="0"/>
        <v>VIII</v>
      </c>
    </row>
    <row r="22" spans="1:9">
      <c r="A22" s="37">
        <v>9</v>
      </c>
      <c r="B22" t="str">
        <f t="shared" si="0"/>
        <v>IX</v>
      </c>
    </row>
    <row r="23" spans="1:9">
      <c r="A23" s="37">
        <v>10</v>
      </c>
      <c r="B23" t="str">
        <f t="shared" si="0"/>
        <v>X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B1:B2"/>
  <sheetViews>
    <sheetView workbookViewId="0">
      <selection activeCell="B2" sqref="B2"/>
    </sheetView>
  </sheetViews>
  <sheetFormatPr defaultRowHeight="14.4"/>
  <sheetData>
    <row r="1" spans="2:2">
      <c r="B1" t="s">
        <v>156</v>
      </c>
    </row>
    <row r="2" spans="2:2">
      <c r="B2">
        <v>44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1"/>
  <dimension ref="A1:C2"/>
  <sheetViews>
    <sheetView tabSelected="1" workbookViewId="0">
      <selection activeCell="J15" sqref="J15"/>
    </sheetView>
  </sheetViews>
  <sheetFormatPr defaultRowHeight="14.4"/>
  <cols>
    <col min="1" max="1" width="19.33203125" bestFit="1" customWidth="1"/>
    <col min="2" max="2" width="6.5546875" bestFit="1" customWidth="1"/>
    <col min="3" max="3" width="13.88671875" bestFit="1" customWidth="1"/>
  </cols>
  <sheetData>
    <row r="1" spans="1:3">
      <c r="A1" s="42" t="s">
        <v>158</v>
      </c>
      <c r="B1" s="42" t="str">
        <f>LEFT(A1,2*LEN(A1)-LENB(A1))</f>
        <v>plus</v>
      </c>
      <c r="C1" s="42" t="str">
        <f>RIGHT(A1,LENB(A1)-LEN(A1))</f>
        <v>　加号；正号</v>
      </c>
    </row>
    <row r="2" spans="1:3">
      <c r="A2" s="42" t="s">
        <v>157</v>
      </c>
      <c r="B2" s="42" t="str">
        <f>LEFT(A2,2*LEN(A2)-LENB(A2))</f>
        <v>minus</v>
      </c>
      <c r="C2" s="42" t="str">
        <f>RIGHT(A2,LENB(A2)-LEN(A2))</f>
        <v>　减号；负号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使用公式和函数</vt:lpstr>
      <vt:lpstr>VBA相关</vt:lpstr>
      <vt:lpstr>Sheet2</vt:lpstr>
      <vt:lpstr>VBA对象</vt:lpstr>
      <vt:lpstr>公式</vt:lpstr>
      <vt:lpstr>Sheet1</vt:lpstr>
      <vt:lpstr>提取中英文</vt:lpstr>
    </vt:vector>
  </TitlesOfParts>
  <Company>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cp:lastPrinted>2019-02-26T23:39:19Z</cp:lastPrinted>
  <dcterms:created xsi:type="dcterms:W3CDTF">2018-01-20T14:40:16Z</dcterms:created>
  <dcterms:modified xsi:type="dcterms:W3CDTF">2019-09-24T00:49:32Z</dcterms:modified>
</cp:coreProperties>
</file>