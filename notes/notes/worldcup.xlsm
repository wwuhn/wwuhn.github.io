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96" yWindow="72" windowWidth="15288" windowHeight="6168" activeTab="7"/>
  </bookViews>
  <sheets>
    <sheet name="team" sheetId="9" r:id="rId1"/>
    <sheet name="schedule" sheetId="2" r:id="rId2"/>
    <sheet name="淘汰赛" sheetId="4" r:id="rId3"/>
    <sheet name="伪球迷" sheetId="3" r:id="rId4"/>
    <sheet name="小组" sheetId="5" r:id="rId5"/>
    <sheet name="淘汰赛 (2)" sheetId="10" r:id="rId6"/>
    <sheet name="teamcc" sheetId="1" r:id="rId7"/>
    <sheet name="Sheet1" sheetId="11" r:id="rId8"/>
  </sheets>
  <calcPr calcId="124519" refMode="R1C1"/>
</workbook>
</file>

<file path=xl/calcChain.xml><?xml version="1.0" encoding="utf-8"?>
<calcChain xmlns="http://schemas.openxmlformats.org/spreadsheetml/2006/main">
  <c r="H2" i="9"/>
  <c r="H3"/>
  <c r="C19"/>
  <c r="R17"/>
  <c r="Q17"/>
  <c r="H17"/>
  <c r="G17"/>
  <c r="R16"/>
  <c r="Q16"/>
  <c r="H16"/>
  <c r="G16"/>
  <c r="R15"/>
  <c r="Q15"/>
  <c r="H15"/>
  <c r="G15"/>
  <c r="R14"/>
  <c r="Q14"/>
  <c r="H14"/>
  <c r="G14"/>
  <c r="R13"/>
  <c r="Q13"/>
  <c r="H13"/>
  <c r="G13"/>
  <c r="R12"/>
  <c r="Q12"/>
  <c r="H12"/>
  <c r="G12"/>
  <c r="R11"/>
  <c r="Q11"/>
  <c r="H11"/>
  <c r="G11"/>
  <c r="R10"/>
  <c r="Q10"/>
  <c r="H10"/>
  <c r="G10"/>
  <c r="R9"/>
  <c r="Q9"/>
  <c r="H9"/>
  <c r="G9"/>
  <c r="R8"/>
  <c r="Q8"/>
  <c r="H8"/>
  <c r="G8"/>
  <c r="R7"/>
  <c r="Q7"/>
  <c r="H7"/>
  <c r="G7"/>
  <c r="R6"/>
  <c r="Q6"/>
  <c r="H6"/>
  <c r="G6"/>
  <c r="R5"/>
  <c r="Q5"/>
  <c r="H5"/>
  <c r="G5"/>
  <c r="R4"/>
  <c r="Q4"/>
  <c r="H4"/>
  <c r="G4"/>
  <c r="R3"/>
  <c r="Q3"/>
  <c r="G3"/>
  <c r="R2"/>
  <c r="Q2"/>
  <c r="G2"/>
  <c r="D1" i="1"/>
  <c r="O1"/>
</calcChain>
</file>

<file path=xl/sharedStrings.xml><?xml version="1.0" encoding="utf-8"?>
<sst xmlns="http://schemas.openxmlformats.org/spreadsheetml/2006/main" count="659" uniqueCount="468">
  <si>
    <t>日本</t>
  </si>
  <si>
    <t>尼日利亚</t>
  </si>
  <si>
    <t>哥伦比亚</t>
  </si>
  <si>
    <t>克罗地亚</t>
  </si>
  <si>
    <t>塞内加尔</t>
  </si>
  <si>
    <t>冰岛</t>
  </si>
  <si>
    <t>H组</t>
  </si>
  <si>
    <t>波兰</t>
  </si>
  <si>
    <t>阿根廷</t>
  </si>
  <si>
    <t>D组</t>
  </si>
  <si>
    <t>英格兰</t>
  </si>
  <si>
    <t>丹麦</t>
  </si>
  <si>
    <t>突尼斯</t>
  </si>
  <si>
    <t>秘鲁</t>
  </si>
  <si>
    <t>巴拿马</t>
  </si>
  <si>
    <t>澳大利亚</t>
  </si>
  <si>
    <t>G组</t>
  </si>
  <si>
    <t>比利时</t>
  </si>
  <si>
    <t>法国</t>
  </si>
  <si>
    <t>C组</t>
  </si>
  <si>
    <t>韩国</t>
  </si>
  <si>
    <t>瑞典</t>
  </si>
  <si>
    <t>墨西哥</t>
  </si>
  <si>
    <t>F组</t>
  </si>
  <si>
    <t>德国</t>
  </si>
  <si>
    <t>B组</t>
  </si>
  <si>
    <t>塞尔维亚</t>
  </si>
  <si>
    <t>哥斯达黎加</t>
  </si>
  <si>
    <t>瑞士</t>
  </si>
  <si>
    <t>E组</t>
  </si>
  <si>
    <t>A组</t>
  </si>
  <si>
    <t>决赛61胜者-62胜者</t>
  </si>
  <si>
    <t>三四名决赛61负者-62负者</t>
  </si>
  <si>
    <t>半决赛59胜者-60胜者</t>
  </si>
  <si>
    <t>半决赛57胜者-58胜者</t>
  </si>
  <si>
    <t>1/4决赛55胜者-56胜者</t>
  </si>
  <si>
    <t>1/4决赛51胜者-52胜者</t>
  </si>
  <si>
    <t>1/4决赛53胜者-54胜者</t>
  </si>
  <si>
    <t>1/4决赛49胜者-50胜者</t>
  </si>
  <si>
    <t>1/8决赛H1-G2</t>
  </si>
  <si>
    <t>1/8决赛F1-E2</t>
  </si>
  <si>
    <t>1/8决赛G1-H2</t>
  </si>
  <si>
    <t>1/8决赛E1-F2</t>
  </si>
  <si>
    <t>1/8决赛D1-C2</t>
  </si>
  <si>
    <t>1/8决赛B1-A2</t>
  </si>
  <si>
    <t>1/8决赛A1-B2</t>
  </si>
  <si>
    <t>1/8决赛C1-D2</t>
  </si>
  <si>
    <t>英格兰-比利时</t>
  </si>
  <si>
    <t>巴拿马-突尼斯</t>
  </si>
  <si>
    <t>塞内加尔-哥伦比亚</t>
  </si>
  <si>
    <t>日本-波兰</t>
  </si>
  <si>
    <t>瑞士-哥斯达黎加</t>
  </si>
  <si>
    <t>塞尔维亚-巴西</t>
  </si>
  <si>
    <t>韩国-德国</t>
  </si>
  <si>
    <t>墨西哥-瑞典</t>
  </si>
  <si>
    <t>冰岛-克罗地亚</t>
  </si>
  <si>
    <t>尼日利亚-阿根廷</t>
  </si>
  <si>
    <t>澳大利亚-秘鲁</t>
  </si>
  <si>
    <t>丹麦-法国</t>
  </si>
  <si>
    <t>西班牙-摩洛哥</t>
  </si>
  <si>
    <t>伊朗-葡萄牙</t>
  </si>
  <si>
    <t>沙特-埃及</t>
  </si>
  <si>
    <t>乌拉圭-俄罗斯</t>
  </si>
  <si>
    <t>波兰-哥伦比亚</t>
  </si>
  <si>
    <t>日本-塞内加尔</t>
  </si>
  <si>
    <t>英格兰-巴拿马</t>
  </si>
  <si>
    <t>德国-瑞典</t>
  </si>
  <si>
    <t>韩国-墨西哥</t>
  </si>
  <si>
    <t>比利时-突尼斯</t>
  </si>
  <si>
    <t>塞尔维亚-瑞士</t>
  </si>
  <si>
    <t>尼日利亚-冰岛</t>
  </si>
  <si>
    <t>巴西-哥斯达黎加</t>
  </si>
  <si>
    <t>阿根廷-克罗地亚</t>
  </si>
  <si>
    <t>法国-秘鲁</t>
  </si>
  <si>
    <t>丹麦-澳大利亚</t>
  </si>
  <si>
    <t>伊朗-西班牙</t>
  </si>
  <si>
    <t>乌拉圭-沙特</t>
  </si>
  <si>
    <t>葡萄牙-摩洛哥</t>
  </si>
  <si>
    <t>俄罗斯-埃及</t>
  </si>
  <si>
    <t>波兰-塞内加尔</t>
  </si>
  <si>
    <t>哥伦比亚-日本</t>
  </si>
  <si>
    <t>突尼斯-英格兰</t>
  </si>
  <si>
    <t>比利时-巴拿马</t>
  </si>
  <si>
    <t>瑞典-韩国</t>
  </si>
  <si>
    <t>巴西-瑞士</t>
  </si>
  <si>
    <t>德国-墨西哥</t>
  </si>
  <si>
    <t>哥斯达黎加-塞尔维亚</t>
  </si>
  <si>
    <t>克罗地亚-尼日利亚</t>
  </si>
  <si>
    <t>秘鲁-丹麦</t>
  </si>
  <si>
    <t>阿根廷-冰岛</t>
  </si>
  <si>
    <t>法国-澳大利亚</t>
  </si>
  <si>
    <t>葡萄牙-西班牙</t>
  </si>
  <si>
    <t>摩洛哥-伊朗</t>
  </si>
  <si>
    <t>埃及-乌拉圭</t>
  </si>
  <si>
    <t>俄罗斯-沙特</t>
  </si>
  <si>
    <t>对阵双方</t>
  </si>
  <si>
    <t>比赛时间</t>
  </si>
  <si>
    <t>日期</t>
  </si>
  <si>
    <t>场次</t>
  </si>
  <si>
    <t>沙特</t>
  </si>
  <si>
    <t>埃及</t>
  </si>
  <si>
    <t>乌拉圭</t>
  </si>
  <si>
    <t>葡萄牙</t>
  </si>
  <si>
    <t>西班牙</t>
  </si>
  <si>
    <t>摩洛哥</t>
  </si>
  <si>
    <t>伊朗</t>
  </si>
  <si>
    <t>Time</t>
    <phoneticPr fontId="2" type="noConversion"/>
  </si>
  <si>
    <t>Versus</t>
    <phoneticPr fontId="2" type="noConversion"/>
  </si>
  <si>
    <t>Date</t>
    <phoneticPr fontId="2" type="noConversion"/>
  </si>
  <si>
    <t>Score</t>
    <phoneticPr fontId="2" type="noConversion"/>
  </si>
  <si>
    <t>Score</t>
    <phoneticPr fontId="2" type="noConversion"/>
  </si>
  <si>
    <t>牢牢记住，世界杯一般情况都没有中国队，除非哪一天奇迹发生......</t>
  </si>
  <si>
    <t>我们的凌晨2点，只是别人的晚上9点，也就是说，别人家的夜生活才刚刚开始呢！</t>
  </si>
  <si>
    <t>这种问题你最好还是放弃了解，若真想了解，给你个直观的——比如你和你男朋友一队，你闺蜜是对方球队守门员，当你传球给你男朋友，你男朋友比对方任何人都靠近你闺蜜，此时，你男朋友越位！但是如果是你的闺蜜主动传给男朋友，那你男朋友不越位。</t>
  </si>
  <si>
    <t>比如你把球传给你男朋友，你闺蜜是对方门将，男朋友带球进攻时身边没人防守，只用面对闺蜜的防守，这种情况就是单刀。</t>
  </si>
  <si>
    <t>你把球踢进了自家大门，就叫做乌龙球。</t>
  </si>
  <si>
    <t>梅开二度是2球，大四喜是进4球。</t>
  </si>
  <si>
    <t>从1990年世界杯开始，每届世界杯球王贝利都会做出预测，但被他看好的球队无一例外地都被提前淘汰掉了，因此获封“乌鸦嘴”。“乌贼刘”因为世界杯一炮而红，大伙可以自行百度。</t>
  </si>
  <si>
    <t>到了淘汰赛，若90分钟内打平，要进行30分钟的加时赛，上下半场各15分钟，若还分不出胜负，则进行点球大战。</t>
  </si>
  <si>
    <t>越位</t>
  </si>
  <si>
    <t>单刀</t>
  </si>
  <si>
    <t>乌龙球</t>
  </si>
  <si>
    <t>帽子戏法指一个人单场比赛进了3个球</t>
  </si>
  <si>
    <t>世界范围内，预测世界杯最糟糕的是贝利，中国范围内是“乌贼刘”。</t>
  </si>
  <si>
    <t>梅西和C罗虽然是现在世界上最强的球员，但阿根廷和葡萄牙并不是最大热门。</t>
  </si>
  <si>
    <t>夺得世界杯次数最多的球队是巴西队，拿过5次冠军，此外意大利和德国拿到了4次。</t>
  </si>
  <si>
    <t>巴西</t>
  </si>
  <si>
    <t>目前，最被看好的球队还是德国，其次是巴西、西班牙和法国。</t>
    <phoneticPr fontId="2" type="noConversion"/>
  </si>
  <si>
    <t>英国包括英格兰、威尔士、苏格兰和北爱尔兰，只是英格兰实力最强，自然是世界杯常客。</t>
    <phoneticPr fontId="2" type="noConversion"/>
  </si>
  <si>
    <t>历史上一共有8支球队拿过世界杯：西班牙、英格兰、德国、法国、意大利、巴西、阿根廷和乌拉圭。</t>
    <phoneticPr fontId="2" type="noConversion"/>
  </si>
  <si>
    <t>常识</t>
    <phoneticPr fontId="2" type="noConversion"/>
  </si>
  <si>
    <t>为什么是64场比赛</t>
    <phoneticPr fontId="2" type="noConversion"/>
  </si>
  <si>
    <t>基本规则或足球术语</t>
    <phoneticPr fontId="2" type="noConversion"/>
  </si>
  <si>
    <t>世界杯要先踢小组赛，每组前两名出线,A、B、C、D、E、F、G、H，共八个小组，每组4支队，每支球队可踢3场比赛，小组赛共有48场（4*3/2*8)</t>
    <phoneticPr fontId="2" type="noConversion"/>
  </si>
  <si>
    <t>然后16支球队进行淘汰赛,每场比赛淘汰1去队，最后剩下冠军队，共有15场比赛（16-1，或8+4+2+1）</t>
    <phoneticPr fontId="2" type="noConversion"/>
  </si>
  <si>
    <t>世界杯半决赛出局的两队，还要争夺第三名。</t>
    <phoneticPr fontId="2" type="noConversion"/>
  </si>
  <si>
    <t>其它</t>
    <phoneticPr fontId="2" type="noConversion"/>
  </si>
  <si>
    <t>1/8决赛（16进8）：A1-B2、B1-A2、C1-D2、D1-C2、E1-F2、F1-E2、G1-H2、H1-G2（A+B，C+D，E+F，G+H内出线者死磕，小组第一磕小组第二；）</t>
    <phoneticPr fontId="2" type="noConversion"/>
  </si>
  <si>
    <t>赛场中间那个穿的衣服和两队球员都不一样还经常吹哨子的人是主裁判，此外还有两个拿旗子的边裁。</t>
  </si>
  <si>
    <t>要弄清楚俱乐部和国家队的区别，一名球员代表国家队出战是为了国家荣誉，而代表俱乐部出战则属于上班，养家糊口。效力于同一家俱乐部的队友，在世界杯的赛场上可能是以敌立的姿态进行对决。</t>
    <phoneticPr fontId="2" type="noConversion"/>
  </si>
  <si>
    <t>组别</t>
  </si>
  <si>
    <t>第一档</t>
  </si>
  <si>
    <t>第二档</t>
  </si>
  <si>
    <t>第三档</t>
  </si>
  <si>
    <t>第四档</t>
  </si>
  <si>
    <t>俄罗斯</t>
  </si>
  <si>
    <t>沙特阿拉伯</t>
  </si>
  <si>
    <t>中国队只参加过一次世界杯，那是在2002年第17届韩日世界杯，可惜三战皆败，小组赛就回家。</t>
    <phoneticPr fontId="2" type="noConversion"/>
  </si>
  <si>
    <t>世界杯冠军的奖杯叫大力神杯。谁得了冠军，可把金杯保存4年，到下一届杯赛前交还给国际足联，以便颁发给新的世界冠军。大力神杯的底座下面有能容纳镌刻17个冠军队名字的铭牌——可以持续使用到2038年（1974第十届开始使用）；</t>
    <phoneticPr fontId="2" type="noConversion"/>
  </si>
  <si>
    <t>世界杯赛程分为预选赛阶段和决赛阶段两个阶段世界杯预选赛阶段分为六大赛区进行，分别是欧洲、南美洲、亚洲、非洲、北美洲和大洋洲赛区；</t>
    <phoneticPr fontId="2" type="noConversion"/>
  </si>
  <si>
    <t>获得世界杯冠军最多的人：球王贝利，3次（1958、1962、1970）</t>
    <phoneticPr fontId="2" type="noConversion"/>
  </si>
  <si>
    <t>进球最多的球员：克洛泽（德国），16球（2002,2006,2010,2014）。16个进球分别用7个头球9个脚下攻入其中右脚6球左脚3球</t>
    <phoneticPr fontId="2" type="noConversion"/>
  </si>
  <si>
    <t>所谓阵型442、433（后场、中场、前场）、4231（后卫、后腰、中场、前锋）等等，都没有把守门员包括在内。</t>
    <phoneticPr fontId="2" type="noConversion"/>
  </si>
  <si>
    <t>2018俄罗斯第21届世界杯</t>
    <phoneticPr fontId="2" type="noConversion"/>
  </si>
  <si>
    <t>第1届是1930年乌拉圭世界杯，第22届是2022年卡塔尔世界杯，第4年一次；</t>
    <phoneticPr fontId="2" type="noConversion"/>
  </si>
  <si>
    <t>本届世界杯没有中国队，也没有意大利队、荷兰队、美国队；</t>
    <phoneticPr fontId="2" type="noConversion"/>
  </si>
  <si>
    <t>梅西是阿根廷的，不是西班牙；C罗是葡萄牙的，也不是西班牙的；内马尔是巴西的，不是法国的；</t>
    <phoneticPr fontId="2" type="noConversion"/>
  </si>
  <si>
    <t>有些比赛的比赛时间是凌晨2点，球员不是凌晨2点踢比赛，因为有时差；</t>
    <phoneticPr fontId="2" type="noConversion"/>
  </si>
  <si>
    <t>世界杯一共32队参加，每队23人（2026年开始，世界杯要扩军48支球队）；</t>
    <phoneticPr fontId="2" type="noConversion"/>
  </si>
  <si>
    <t>足球场上一共有22个球员，每队场上只能换3人；</t>
    <phoneticPr fontId="2" type="noConversion"/>
  </si>
  <si>
    <t>足球比赛常规时间是90分钟，上下半场各45分钟；</t>
    <phoneticPr fontId="2" type="noConversion"/>
  </si>
  <si>
    <t>德国队是卫冕冠军；</t>
    <phoneticPr fontId="2" type="noConversion"/>
  </si>
  <si>
    <t>决赛：A+B+C+D，E+F+G+H内胜出的两支球队死磕；</t>
    <phoneticPr fontId="2" type="noConversion"/>
  </si>
  <si>
    <t>1/4决赛（8进4）：A+B，C+D，E+F，G+H内胜出的两支球队死磕；</t>
    <phoneticPr fontId="2" type="noConversion"/>
  </si>
  <si>
    <t>第1届是1930年乌拉圭世界杯，第22届是2022年卡塔尔世界杯；</t>
    <phoneticPr fontId="2" type="noConversion"/>
  </si>
  <si>
    <t>世界杯进球最多的球队：德国队224球；</t>
    <phoneticPr fontId="2" type="noConversion"/>
  </si>
  <si>
    <t>英格兰不是英国队</t>
    <phoneticPr fontId="2" type="noConversion"/>
  </si>
  <si>
    <t>澳大利亚虽然是大洋洲球队，但却是从亚洲出线；</t>
    <phoneticPr fontId="2" type="noConversion"/>
  </si>
  <si>
    <t>A1</t>
    <phoneticPr fontId="2" type="noConversion"/>
  </si>
  <si>
    <t>B2</t>
    <phoneticPr fontId="2" type="noConversion"/>
  </si>
  <si>
    <t>C1</t>
    <phoneticPr fontId="2" type="noConversion"/>
  </si>
  <si>
    <t>D2</t>
    <phoneticPr fontId="2" type="noConversion"/>
  </si>
  <si>
    <t>E1</t>
    <phoneticPr fontId="2" type="noConversion"/>
  </si>
  <si>
    <t>F2</t>
    <phoneticPr fontId="2" type="noConversion"/>
  </si>
  <si>
    <t>G1</t>
    <phoneticPr fontId="2" type="noConversion"/>
  </si>
  <si>
    <t>H2</t>
    <phoneticPr fontId="2" type="noConversion"/>
  </si>
  <si>
    <t>B1</t>
    <phoneticPr fontId="2" type="noConversion"/>
  </si>
  <si>
    <t>A2</t>
    <phoneticPr fontId="2" type="noConversion"/>
  </si>
  <si>
    <t>D1</t>
    <phoneticPr fontId="2" type="noConversion"/>
  </si>
  <si>
    <t>C2</t>
    <phoneticPr fontId="2" type="noConversion"/>
  </si>
  <si>
    <t>F1</t>
    <phoneticPr fontId="2" type="noConversion"/>
  </si>
  <si>
    <t>E2</t>
    <phoneticPr fontId="2" type="noConversion"/>
  </si>
  <si>
    <t>H1</t>
    <phoneticPr fontId="2" type="noConversion"/>
  </si>
  <si>
    <t>G2</t>
    <phoneticPr fontId="2" type="noConversion"/>
  </si>
  <si>
    <t>1/4</t>
    <phoneticPr fontId="2" type="noConversion"/>
  </si>
  <si>
    <t>1/8</t>
    <phoneticPr fontId="2" type="noConversion"/>
  </si>
  <si>
    <t>5</t>
    <phoneticPr fontId="2" type="noConversion"/>
  </si>
  <si>
    <t>1</t>
    <phoneticPr fontId="2" type="noConversion"/>
  </si>
  <si>
    <t>score</t>
    <phoneticPr fontId="2" type="noConversion"/>
  </si>
  <si>
    <t>Score</t>
    <phoneticPr fontId="2" type="noConversion"/>
  </si>
  <si>
    <t>0</t>
    <phoneticPr fontId="2" type="noConversion"/>
  </si>
  <si>
    <t>3</t>
    <phoneticPr fontId="2" type="noConversion"/>
  </si>
  <si>
    <t>2</t>
    <phoneticPr fontId="2" type="noConversion"/>
  </si>
  <si>
    <t>1</t>
    <phoneticPr fontId="2" type="noConversion"/>
  </si>
  <si>
    <t>1</t>
    <phoneticPr fontId="2" type="noConversion"/>
  </si>
  <si>
    <t>2</t>
    <phoneticPr fontId="2" type="noConversion"/>
  </si>
  <si>
    <t>0</t>
    <phoneticPr fontId="2" type="noConversion"/>
  </si>
  <si>
    <t>0</t>
    <phoneticPr fontId="2" type="noConversion"/>
  </si>
  <si>
    <t>1</t>
    <phoneticPr fontId="2" type="noConversion"/>
  </si>
  <si>
    <t>0</t>
    <phoneticPr fontId="2" type="noConversion"/>
  </si>
  <si>
    <t>1</t>
    <phoneticPr fontId="2" type="noConversion"/>
  </si>
  <si>
    <t>1</t>
    <phoneticPr fontId="2" type="noConversion"/>
  </si>
  <si>
    <t>0</t>
    <phoneticPr fontId="2" type="noConversion"/>
  </si>
  <si>
    <t>3</t>
    <phoneticPr fontId="2" type="noConversion"/>
  </si>
  <si>
    <t>2</t>
    <phoneticPr fontId="2" type="noConversion"/>
  </si>
  <si>
    <t>1</t>
    <phoneticPr fontId="2" type="noConversion"/>
  </si>
  <si>
    <t>2</t>
    <phoneticPr fontId="2" type="noConversion"/>
  </si>
  <si>
    <t>1</t>
    <phoneticPr fontId="2" type="noConversion"/>
  </si>
  <si>
    <t>3</t>
    <phoneticPr fontId="2" type="noConversion"/>
  </si>
  <si>
    <t>1</t>
    <phoneticPr fontId="2" type="noConversion"/>
  </si>
  <si>
    <t>0</t>
    <phoneticPr fontId="2" type="noConversion"/>
  </si>
  <si>
    <t>1</t>
    <phoneticPr fontId="2" type="noConversion"/>
  </si>
  <si>
    <t>1</t>
    <phoneticPr fontId="2" type="noConversion"/>
  </si>
  <si>
    <t>0</t>
    <phoneticPr fontId="2" type="noConversion"/>
  </si>
  <si>
    <t>3</t>
    <phoneticPr fontId="2" type="noConversion"/>
  </si>
  <si>
    <t>2</t>
    <phoneticPr fontId="2" type="noConversion"/>
  </si>
  <si>
    <t>0</t>
    <phoneticPr fontId="2" type="noConversion"/>
  </si>
  <si>
    <t>2</t>
    <phoneticPr fontId="2" type="noConversion"/>
  </si>
  <si>
    <t>1</t>
    <phoneticPr fontId="2" type="noConversion"/>
  </si>
  <si>
    <t>巴西</t>
    <phoneticPr fontId="2" type="noConversion"/>
  </si>
  <si>
    <t>2</t>
    <phoneticPr fontId="2" type="noConversion"/>
  </si>
  <si>
    <t>1</t>
    <phoneticPr fontId="2" type="noConversion"/>
  </si>
  <si>
    <t>5</t>
    <phoneticPr fontId="2" type="noConversion"/>
  </si>
  <si>
    <t>3+3</t>
    <phoneticPr fontId="2" type="noConversion"/>
  </si>
  <si>
    <t>0+0</t>
    <phoneticPr fontId="2" type="noConversion"/>
  </si>
  <si>
    <t>2</t>
    <phoneticPr fontId="2" type="noConversion"/>
  </si>
  <si>
    <t>2</t>
    <phoneticPr fontId="2" type="noConversion"/>
  </si>
  <si>
    <t>3+1</t>
    <phoneticPr fontId="2" type="noConversion"/>
  </si>
  <si>
    <t>0+0</t>
    <phoneticPr fontId="2" type="noConversion"/>
  </si>
  <si>
    <t>0+3</t>
    <phoneticPr fontId="2" type="noConversion"/>
  </si>
  <si>
    <t>6</t>
    <phoneticPr fontId="2" type="noConversion"/>
  </si>
  <si>
    <t>1</t>
    <phoneticPr fontId="2" type="noConversion"/>
  </si>
  <si>
    <t>3+3</t>
    <phoneticPr fontId="2" type="noConversion"/>
  </si>
  <si>
    <t>0</t>
    <phoneticPr fontId="2" type="noConversion"/>
  </si>
  <si>
    <t>3</t>
    <phoneticPr fontId="2" type="noConversion"/>
  </si>
  <si>
    <t>1</t>
    <phoneticPr fontId="2" type="noConversion"/>
  </si>
  <si>
    <t>2</t>
    <phoneticPr fontId="2" type="noConversion"/>
  </si>
  <si>
    <t>2</t>
    <phoneticPr fontId="2" type="noConversion"/>
  </si>
  <si>
    <t>1+3+1</t>
    <phoneticPr fontId="2" type="noConversion"/>
  </si>
  <si>
    <t>3+0+1</t>
    <phoneticPr fontId="2" type="noConversion"/>
  </si>
  <si>
    <t>0+0+1</t>
    <phoneticPr fontId="2" type="noConversion"/>
  </si>
  <si>
    <t>3</t>
    <phoneticPr fontId="2" type="noConversion"/>
  </si>
  <si>
    <t>0</t>
    <phoneticPr fontId="2" type="noConversion"/>
  </si>
  <si>
    <t>3+3+0</t>
    <phoneticPr fontId="2" type="noConversion"/>
  </si>
  <si>
    <t>0+0+3</t>
    <phoneticPr fontId="2" type="noConversion"/>
  </si>
  <si>
    <t>0+0+0</t>
    <phoneticPr fontId="2" type="noConversion"/>
  </si>
  <si>
    <t>3+3+3</t>
    <phoneticPr fontId="2" type="noConversion"/>
  </si>
  <si>
    <t>俄罗斯</t>
    <phoneticPr fontId="2" type="noConversion"/>
  </si>
  <si>
    <t>1+3+1</t>
    <phoneticPr fontId="2" type="noConversion"/>
  </si>
  <si>
    <t>乌拉圭</t>
    <phoneticPr fontId="2" type="noConversion"/>
  </si>
  <si>
    <t>葡萄牙</t>
    <phoneticPr fontId="2" type="noConversion"/>
  </si>
  <si>
    <t>西班牙</t>
    <phoneticPr fontId="2" type="noConversion"/>
  </si>
  <si>
    <t>1</t>
    <phoneticPr fontId="2" type="noConversion"/>
  </si>
  <si>
    <t>2</t>
    <phoneticPr fontId="2" type="noConversion"/>
  </si>
  <si>
    <t>1+0+0</t>
    <phoneticPr fontId="2" type="noConversion"/>
  </si>
  <si>
    <t>1+0+3</t>
    <phoneticPr fontId="2" type="noConversion"/>
  </si>
  <si>
    <t>0</t>
    <phoneticPr fontId="2" type="noConversion"/>
  </si>
  <si>
    <t>0+1+0</t>
    <phoneticPr fontId="2" type="noConversion"/>
  </si>
  <si>
    <t>法国</t>
    <phoneticPr fontId="2" type="noConversion"/>
  </si>
  <si>
    <t>丹麦</t>
    <phoneticPr fontId="2" type="noConversion"/>
  </si>
  <si>
    <t>阿根廷</t>
    <phoneticPr fontId="2" type="noConversion"/>
  </si>
  <si>
    <t>克罗地亚</t>
    <phoneticPr fontId="2" type="noConversion"/>
  </si>
  <si>
    <t>0</t>
    <phoneticPr fontId="2" type="noConversion"/>
  </si>
  <si>
    <t>2</t>
    <phoneticPr fontId="2" type="noConversion"/>
  </si>
  <si>
    <t>3+0+0</t>
    <phoneticPr fontId="2" type="noConversion"/>
  </si>
  <si>
    <t>1+3+3</t>
    <phoneticPr fontId="2" type="noConversion"/>
  </si>
  <si>
    <t>巴西</t>
    <phoneticPr fontId="2" type="noConversion"/>
  </si>
  <si>
    <t>瑞士</t>
    <phoneticPr fontId="2" type="noConversion"/>
  </si>
  <si>
    <t>3</t>
    <phoneticPr fontId="2" type="noConversion"/>
  </si>
  <si>
    <t>0+3+0</t>
    <phoneticPr fontId="2" type="noConversion"/>
  </si>
  <si>
    <t>3+0+3</t>
    <phoneticPr fontId="2" type="noConversion"/>
  </si>
  <si>
    <t>瑞典</t>
    <phoneticPr fontId="2" type="noConversion"/>
  </si>
  <si>
    <t>墨西哥</t>
    <phoneticPr fontId="2" type="noConversion"/>
  </si>
  <si>
    <t>3+3+1</t>
    <phoneticPr fontId="2" type="noConversion"/>
  </si>
  <si>
    <t>3+1+1</t>
    <phoneticPr fontId="2" type="noConversion"/>
  </si>
  <si>
    <t>净胜球</t>
    <phoneticPr fontId="2" type="noConversion"/>
  </si>
  <si>
    <t>积分</t>
  </si>
  <si>
    <t>VS</t>
    <phoneticPr fontId="2" type="noConversion"/>
  </si>
  <si>
    <t>三四名决赛：</t>
    <phoneticPr fontId="2" type="noConversion"/>
  </si>
  <si>
    <t>0</t>
    <phoneticPr fontId="2" type="noConversion"/>
  </si>
  <si>
    <t>1</t>
    <phoneticPr fontId="2" type="noConversion"/>
  </si>
  <si>
    <t>2</t>
    <phoneticPr fontId="2" type="noConversion"/>
  </si>
  <si>
    <t>比利时</t>
    <phoneticPr fontId="2" type="noConversion"/>
  </si>
  <si>
    <t>哥伦比亚</t>
    <phoneticPr fontId="2" type="noConversion"/>
  </si>
  <si>
    <t>日本</t>
    <phoneticPr fontId="2" type="noConversion"/>
  </si>
  <si>
    <t>http://2018.sina.com.cn/schedule/elimination.shtml</t>
    <phoneticPr fontId="2" type="noConversion"/>
  </si>
  <si>
    <t>法国</t>
    <phoneticPr fontId="2" type="noConversion"/>
  </si>
  <si>
    <t>克罗地亚</t>
    <phoneticPr fontId="2" type="noConversion"/>
  </si>
  <si>
    <t>法国</t>
    <phoneticPr fontId="2" type="noConversion"/>
  </si>
  <si>
    <t>克罗地亚</t>
    <phoneticPr fontId="2" type="noConversion"/>
  </si>
  <si>
    <t>比利时</t>
    <phoneticPr fontId="2" type="noConversion"/>
  </si>
  <si>
    <t>英格兰</t>
    <phoneticPr fontId="2" type="noConversion"/>
  </si>
  <si>
    <t>新华社北京2月3日电2019己亥年中央广播电视总台春节联欢晚会节目单</t>
  </si>
  <si>
    <t>　　总导演：刘真</t>
  </si>
  <si>
    <t>　　主持人：康辉、任鲁豫、朱迅、尼格买提、李思思</t>
  </si>
  <si>
    <t>　　　　　　张宇、尹颂（江西井冈山分会场）</t>
  </si>
  <si>
    <t>　　　　　　张泽群、杨帆（吉林长春一汽分会场）</t>
  </si>
  <si>
    <t>　　　　　　杨帆、庞玮（广东深圳分会场）</t>
  </si>
  <si>
    <t>　　开场舞蹈《春海》</t>
  </si>
  <si>
    <t>　　领舞：王倩、宋玉龙、李响、敖定雯</t>
  </si>
  <si>
    <t>　　　　　李荣志、林清景等</t>
  </si>
  <si>
    <t>　　表演：山东艺术学院舞蹈学院</t>
  </si>
  <si>
    <t>　　　　　山东师范大学音乐学院</t>
  </si>
  <si>
    <t>　　　　　南宁市艺术剧院有限责任公司</t>
  </si>
  <si>
    <t>　　　　　吉林市歌舞团等</t>
  </si>
  <si>
    <t>　　【三地分会场拜年】</t>
  </si>
  <si>
    <t>　　舞蹈《百狮报喜贺新春》</t>
  </si>
  <si>
    <t>　　领舞：刘迦</t>
  </si>
  <si>
    <t>　　表演：佛山市南海区比麟堂</t>
  </si>
  <si>
    <t>　　　　　中南民族大学音乐舞蹈学院</t>
  </si>
  <si>
    <t>　　　　　四川大学艺术学院</t>
  </si>
  <si>
    <t>　　　　　西华大学音乐与舞蹈学院</t>
  </si>
  <si>
    <t>　　　　　中国电信武汉艺术团</t>
  </si>
  <si>
    <t>　　　　　中国邮政艺术团等</t>
  </si>
  <si>
    <t>　　相声《妙言趣语》</t>
  </si>
  <si>
    <t>　　表演：岳云鹏、孙越</t>
  </si>
  <si>
    <t>　　歌舞《中国喜事》</t>
  </si>
  <si>
    <t>　　演唱：凤凰传奇、钟汉良（中国香港）</t>
  </si>
  <si>
    <t>　　　　　迪丽热巴、张艺兴、周冬雨</t>
  </si>
  <si>
    <t>　　创意表演《青春跃起来》</t>
  </si>
  <si>
    <t>　　表演：李易峰、朱一龙</t>
  </si>
  <si>
    <t>　　　　　扣篮酷王团队（斯洛文尼亚）</t>
  </si>
  <si>
    <t>　　　　　重力领主花式扣篮团队（匈牙利）</t>
  </si>
  <si>
    <t>　　　　　中国JS花式篮球蹦床扣篮表演队</t>
  </si>
  <si>
    <t>　　　　　延安STC舞蹈工作室</t>
  </si>
  <si>
    <t>　　　　　（《2018我要上春晚》晋级选手）</t>
  </si>
  <si>
    <t>　　　　　华东师范大学全明星健美操啦啦操队</t>
  </si>
  <si>
    <t>　　　　　浙江稠州蕞红啦啦队</t>
  </si>
  <si>
    <t>　　　　　（以上为《2018我要上春晚》选送）</t>
  </si>
  <si>
    <t>　　【融媒体互动（一）】</t>
  </si>
  <si>
    <t>　　小品《站台》</t>
  </si>
  <si>
    <t>　　表演：尚大庆、李文启、黄晓娟、佟大为</t>
  </si>
  <si>
    <t>　　　　　杨紫、王自健、孙茜、李闯</t>
  </si>
  <si>
    <t>　　歌舞《妈，我回来啦》</t>
  </si>
  <si>
    <t>　　演唱：容祖儿（中国香港）</t>
  </si>
  <si>
    <t>　　　　　林志炫（中国台湾）</t>
  </si>
  <si>
    <t>　　　　　沙宝亮、涵子（海外华人）</t>
  </si>
  <si>
    <t>　　【分会场：江西井冈山】</t>
  </si>
  <si>
    <t>　　（1）歌舞《请茶歌》</t>
  </si>
  <si>
    <t>　　演唱：刘涛、黄晓明</t>
  </si>
  <si>
    <t>　　（2）歌舞《映山红》</t>
  </si>
  <si>
    <t>　　演唱：吉克隽逸</t>
  </si>
  <si>
    <t>　　（3）朗诵《可爱的中国》</t>
  </si>
  <si>
    <t>　　表演：刘劲、刘佩琦、李光洁</t>
  </si>
  <si>
    <t>　　（4）歌舞《新的天地》</t>
  </si>
  <si>
    <t>　　演唱：郁可唯、平安、喻越越</t>
  </si>
  <si>
    <t>　　戏曲《锦绣梨园》</t>
  </si>
  <si>
    <t>　　表演：闫巍、袁慧琴、金不换、谈元</t>
  </si>
  <si>
    <t>　　　　　赵媛媛、陈雪萍、曾小敏、孟广禄</t>
  </si>
  <si>
    <t>　　　　　王珮瑜、胡文阁及少儿群体等</t>
  </si>
  <si>
    <t>　　　　　浙江婺剧艺术研究院</t>
  </si>
  <si>
    <t>　　【融媒体互动（二）】</t>
  </si>
  <si>
    <t>　　小品《办公室的故事》</t>
  </si>
  <si>
    <t>　　表演：闫妮、周一围、吴海龙、张维威</t>
  </si>
  <si>
    <t>　　　　　沈月、李栋、李佳旭</t>
  </si>
  <si>
    <t>　　歌舞《时间的远方》</t>
  </si>
  <si>
    <t>　　演唱：孙楠、张杰</t>
  </si>
  <si>
    <t>　　表演：中南民族大学音乐舞蹈学院</t>
  </si>
  <si>
    <t>　　武术《少林魂》</t>
  </si>
  <si>
    <t>　　表演：河南少林塔沟武校</t>
  </si>
  <si>
    <t>　　小品《“儿子”来了》</t>
  </si>
  <si>
    <t>　　表演：葛优、蔡明、潘长江、乔杉</t>
  </si>
  <si>
    <t>　　　　　翟天临、郭晓小</t>
  </si>
  <si>
    <t>　　歌舞《我们都是追梦人》</t>
  </si>
  <si>
    <t>　　演唱：秦岚、江疏影、景甜、王俊凯</t>
  </si>
  <si>
    <t>　　　　　王源、易烊千玺（加油男孩）</t>
  </si>
  <si>
    <t>　　　　　吴磊</t>
  </si>
  <si>
    <t>　　魔术《魔壶》</t>
  </si>
  <si>
    <t>　　表演：刘谦（中国台湾）</t>
  </si>
  <si>
    <t>　　小品《占位子》</t>
  </si>
  <si>
    <t>　　表演：沈腾、马丽、艾伦、常远</t>
  </si>
  <si>
    <t>　　　　　魏翔</t>
  </si>
  <si>
    <t>　　【公益广告《美丽中国幸福年》】</t>
  </si>
  <si>
    <t>　　歌舞《找朋友》</t>
  </si>
  <si>
    <t>　　表演：空军蓝天幼儿艺术团</t>
  </si>
  <si>
    <t>　　　　　东莞市长安镇中心幼儿园</t>
  </si>
  <si>
    <t>　　　　　贵州师范大学音乐学院等</t>
  </si>
  <si>
    <t>　　歌舞《今夜无眠》</t>
  </si>
  <si>
    <t>　　演唱：费玉清（中国台湾）</t>
  </si>
  <si>
    <t>　　　　　陈慧琳（中国香港）</t>
  </si>
  <si>
    <t>　　【融媒体互动（三）】</t>
  </si>
  <si>
    <t>　　小品《演戏给你看》</t>
  </si>
  <si>
    <t>　　表演：孙涛、林永健、句号</t>
  </si>
  <si>
    <t>　　【分会场：吉林长春一汽】</t>
  </si>
  <si>
    <t>　　（1）歌舞《雪花赋》</t>
  </si>
  <si>
    <t>　　演唱：杨宗纬（中国台湾）</t>
  </si>
  <si>
    <t>　　　　　杨颖（中国香港）</t>
  </si>
  <si>
    <t>　　（2）歌舞《时代号子》</t>
  </si>
  <si>
    <t>　　演唱：刘烨、白宇</t>
  </si>
  <si>
    <t>　　舞蹈《敦煌飞天》</t>
  </si>
  <si>
    <t>　　领舞：鲁娜、邱芸庭、王济禹等</t>
  </si>
  <si>
    <t>　　表演：中央芭蕾舞团</t>
  </si>
  <si>
    <t>　　　　　北京舞蹈学院芭蕾舞系</t>
  </si>
  <si>
    <t>　　【公益广告《过年》】</t>
  </si>
  <si>
    <t>　　歌舞《我和我的祖国》</t>
  </si>
  <si>
    <t>　　演唱：郭淑珍、李光羲、胡松华、刘秉义</t>
  </si>
  <si>
    <t>　　　　　于淑珍、杨洪基、德德玛、关牧村</t>
  </si>
  <si>
    <t>　　　　　张英席、金婷婷、霍勇、周晓琳</t>
  </si>
  <si>
    <t>　　　　　钟丽燕、夏利奥（中国澳门）</t>
  </si>
  <si>
    <t>　　小品《啼笑皆非》</t>
  </si>
  <si>
    <t>　　表演：贾玲、张小斐、许君聪</t>
  </si>
  <si>
    <t>　　【融媒体互动（四）】</t>
  </si>
  <si>
    <t>　　歌舞《我奋斗　我幸福》</t>
  </si>
  <si>
    <t>　　演唱：成龙（中国香港）</t>
  </si>
  <si>
    <t>　　　　　陈伟霆（中国香港）、邓伦</t>
  </si>
  <si>
    <t>　　表演：捌拍未来艺术中心</t>
  </si>
  <si>
    <t>　　歌舞《幸福中国一起走》</t>
  </si>
  <si>
    <t>　　表演：张也、吕继宏</t>
  </si>
  <si>
    <t>　　【特别设计】</t>
  </si>
  <si>
    <t>　　（一）全国道德模范、时代楷模拜年</t>
  </si>
  <si>
    <t>　　（二）“英雄航班”川航3U8633机组</t>
  </si>
  <si>
    <t>　　歌舞《点赞新时代》</t>
  </si>
  <si>
    <t>　　演唱：乌兰图雅</t>
  </si>
  <si>
    <t>　　　　　师鹏、沙溢、胡可</t>
  </si>
  <si>
    <t>　　　　　云朵、云飞</t>
  </si>
  <si>
    <t>　　领舞：张权威、王广成</t>
  </si>
  <si>
    <t>　　表演：陕西省艺术馆民间社团</t>
  </si>
  <si>
    <t>　　　　　延安市安塞区民间艺术培训中心</t>
  </si>
  <si>
    <t>　　　　　哈尔滨市阿城区文化馆群众舞蹈团</t>
  </si>
  <si>
    <t>　　　　　海口市群众艺术馆群星舞蹈团</t>
  </si>
  <si>
    <t>　　　　　海口市琼山中学舞蹈团</t>
  </si>
  <si>
    <t>　　　　　四川省广安市前锋区宕渠舞蹈队</t>
  </si>
  <si>
    <t>　　　　　北京市东城区第二文化馆</t>
  </si>
  <si>
    <t>　　　　　北京市延庆区文化馆舞蹈团</t>
  </si>
  <si>
    <t>　　　　　山东省招远市实验幼儿园金娃艺术团</t>
  </si>
  <si>
    <t>　　【分会场：广东深圳】</t>
  </si>
  <si>
    <t>　　（1）歌舞《青春畅想》</t>
  </si>
  <si>
    <t>　　演唱：韩雪、关晓彤、王嘉、魏大勋</t>
  </si>
  <si>
    <t>　　　　　台风少年团</t>
  </si>
  <si>
    <t>　　（2）歌舞《朋友》</t>
  </si>
  <si>
    <t>　　演唱：周华健（中国香港）</t>
  </si>
  <si>
    <t>　　　　　任贤齐（中国香港）</t>
  </si>
  <si>
    <t>　　钢琴演奏：郎朗（中国香港）</t>
  </si>
  <si>
    <t>　　歌舞《和祖国在一起》</t>
  </si>
  <si>
    <t>　　演唱：雷佳、韩磊</t>
  </si>
  <si>
    <t>　　【零点钟声】</t>
  </si>
  <si>
    <t>　　歌舞《同心共筑中国梦》</t>
  </si>
  <si>
    <t>　　演唱：曹芙嘉、弦子、阿云嘎、聚来提</t>
  </si>
  <si>
    <t>　　　　　昂萨（《星光大道》2018年度总冠军）</t>
  </si>
  <si>
    <t>　　领舞：冯敬雅、热希丹、索朗群旦</t>
  </si>
  <si>
    <t>　　　　　赛博渊、黄海芸、梅郎</t>
  </si>
  <si>
    <t>　　　　　李俊霖、太永春、朱建民</t>
  </si>
  <si>
    <t>　　杂技《争奇斗技》</t>
  </si>
  <si>
    <t>　　表演：河南省杂技集团、济南杂技团</t>
  </si>
  <si>
    <t>　　　　　广西杂技团、大连战士红星艺术团</t>
  </si>
  <si>
    <t>　　　　　宜宾市杂技团</t>
  </si>
  <si>
    <t>　　　　　以下为《2018我要上春晚》晋级选手</t>
  </si>
  <si>
    <t>　　　　　沧州杂技团高红星、</t>
  </si>
  <si>
    <t>　　　　　纪咏勋（中国台湾）</t>
  </si>
  <si>
    <t>　　特别设计《绽放》</t>
  </si>
  <si>
    <t>　　表演：林志玲（中国台湾）</t>
  </si>
  <si>
    <t>　　　　　武汉汉秀艺术团</t>
  </si>
  <si>
    <t>　　　　　湖北省体育局花样游泳队</t>
  </si>
  <si>
    <t>　　　　　湖南省体育局花样游泳队</t>
  </si>
  <si>
    <t>　　　　　辽宁芭蕾舞团</t>
  </si>
  <si>
    <t>　　小品《爱的代驾》</t>
  </si>
  <si>
    <t>　　表演：郭冬临、邵峰</t>
  </si>
  <si>
    <t>　　歌曲《夜空中最亮的星》</t>
  </si>
  <si>
    <t>　　演唱：于毅、扎西平措、傲日其愣</t>
  </si>
  <si>
    <t>　　　　　均为《2018我要上春晚》晋级选手</t>
  </si>
  <si>
    <t>　　【公益广告《新春新声》】</t>
  </si>
  <si>
    <t>　　舞蹈《英姿》</t>
  </si>
  <si>
    <t>　　领舞：李祎然、王家鑫、胡图兰</t>
  </si>
  <si>
    <t>　　表演：成都市文化艺术学校</t>
  </si>
  <si>
    <t>　　　　　四川省歌舞剧院有限责任公司</t>
  </si>
  <si>
    <t>　　　　　四川省艺术职业学院</t>
  </si>
  <si>
    <t>　　结尾歌舞《难忘今宵》</t>
  </si>
  <si>
    <t>　　演唱：李谷一、刘和刚、王莉、汤非（完）</t>
  </si>
</sst>
</file>

<file path=xl/styles.xml><?xml version="1.0" encoding="utf-8"?>
<styleSheet xmlns="http://schemas.openxmlformats.org/spreadsheetml/2006/main">
  <numFmts count="4">
    <numFmt numFmtId="176" formatCode="m&quot;月&quot;d&quot;日&quot;;@"/>
    <numFmt numFmtId="177" formatCode="[$-409]h:mm\ AM/PM;@"/>
    <numFmt numFmtId="178" formatCode="m/d;@"/>
    <numFmt numFmtId="179" formatCode="h:mm;@"/>
  </numFmts>
  <fonts count="24">
    <font>
      <sz val="11"/>
      <color theme="1"/>
      <name val="宋体"/>
      <family val="2"/>
      <charset val="134"/>
      <scheme val="minor"/>
    </font>
    <font>
      <sz val="11"/>
      <name val="宋体"/>
      <family val="3"/>
      <charset val="134"/>
      <scheme val="minor"/>
    </font>
    <font>
      <sz val="9"/>
      <name val="宋体"/>
      <family val="2"/>
      <charset val="134"/>
      <scheme val="minor"/>
    </font>
    <font>
      <sz val="9"/>
      <color rgb="FF000000"/>
      <name val="宋体"/>
      <family val="3"/>
      <charset val="134"/>
      <scheme val="minor"/>
    </font>
    <font>
      <b/>
      <sz val="9"/>
      <color rgb="FFFF0000"/>
      <name val="宋体"/>
      <family val="3"/>
      <charset val="134"/>
      <scheme val="minor"/>
    </font>
    <font>
      <b/>
      <sz val="11"/>
      <color theme="0"/>
      <name val="宋体"/>
      <family val="3"/>
      <charset val="134"/>
      <scheme val="minor"/>
    </font>
    <font>
      <sz val="11"/>
      <color rgb="FF000000"/>
      <name val="宋体"/>
      <family val="3"/>
      <charset val="134"/>
      <scheme val="minor"/>
    </font>
    <font>
      <sz val="8"/>
      <color rgb="FF333333"/>
      <name val="Arial"/>
      <family val="2"/>
    </font>
    <font>
      <b/>
      <sz val="14"/>
      <color rgb="FF333333"/>
      <name val="Arial"/>
      <family val="2"/>
    </font>
    <font>
      <sz val="14"/>
      <color theme="1"/>
      <name val="宋体"/>
      <family val="2"/>
      <charset val="134"/>
      <scheme val="minor"/>
    </font>
    <font>
      <sz val="14"/>
      <color rgb="FF333333"/>
      <name val="Arial"/>
      <family val="2"/>
    </font>
    <font>
      <sz val="14"/>
      <color rgb="FF000000"/>
      <name val="宋体"/>
      <family val="3"/>
      <charset val="134"/>
      <scheme val="minor"/>
    </font>
    <font>
      <sz val="14"/>
      <color theme="1"/>
      <name val="宋体"/>
      <family val="3"/>
      <charset val="134"/>
      <scheme val="minor"/>
    </font>
    <font>
      <sz val="11"/>
      <color rgb="FFFF0000"/>
      <name val="宋体"/>
      <family val="3"/>
      <charset val="134"/>
      <scheme val="minor"/>
    </font>
    <font>
      <sz val="11"/>
      <color theme="3" tint="0.39997558519241921"/>
      <name val="宋体"/>
      <family val="3"/>
      <charset val="134"/>
      <scheme val="minor"/>
    </font>
    <font>
      <sz val="10"/>
      <color theme="1"/>
      <name val="宋体"/>
      <family val="3"/>
      <charset val="134"/>
      <scheme val="minor"/>
    </font>
    <font>
      <sz val="10"/>
      <color theme="3" tint="0.39997558519241921"/>
      <name val="宋体"/>
      <family val="3"/>
      <charset val="134"/>
      <scheme val="minor"/>
    </font>
    <font>
      <sz val="10"/>
      <color rgb="FFFF0000"/>
      <name val="宋体"/>
      <family val="3"/>
      <charset val="134"/>
      <scheme val="minor"/>
    </font>
    <font>
      <sz val="10"/>
      <color rgb="FFC00000"/>
      <name val="宋体"/>
      <family val="3"/>
      <charset val="134"/>
      <scheme val="minor"/>
    </font>
    <font>
      <sz val="10"/>
      <color rgb="FF00B050"/>
      <name val="宋体"/>
      <family val="3"/>
      <charset val="134"/>
      <scheme val="minor"/>
    </font>
    <font>
      <u/>
      <sz val="11"/>
      <color theme="10"/>
      <name val="宋体"/>
      <family val="3"/>
      <charset val="134"/>
    </font>
    <font>
      <sz val="14"/>
      <color rgb="FFFF0000"/>
      <name val="宋体"/>
      <family val="3"/>
      <charset val="134"/>
      <scheme val="minor"/>
    </font>
    <font>
      <sz val="14"/>
      <color rgb="FF00B050"/>
      <name val="宋体"/>
      <family val="3"/>
      <charset val="134"/>
      <scheme val="minor"/>
    </font>
    <font>
      <sz val="11"/>
      <color rgb="FF404040"/>
      <name val="Arial"/>
      <family val="2"/>
    </font>
  </fonts>
  <fills count="6">
    <fill>
      <patternFill patternType="none"/>
    </fill>
    <fill>
      <patternFill patternType="gray125"/>
    </fill>
    <fill>
      <patternFill patternType="solid">
        <fgColor rgb="FFFDFEFF"/>
        <bgColor indexed="64"/>
      </patternFill>
    </fill>
    <fill>
      <patternFill patternType="solid">
        <fgColor theme="3" tint="0.39991454817346722"/>
        <bgColor indexed="64"/>
      </patternFill>
    </fill>
    <fill>
      <patternFill patternType="solid">
        <fgColor rgb="FFFFFFFF"/>
        <bgColor indexed="64"/>
      </patternFill>
    </fill>
    <fill>
      <patternFill patternType="solid">
        <fgColor rgb="FFF8F8F8"/>
        <bgColor indexed="64"/>
      </patternFill>
    </fill>
  </fills>
  <borders count="53">
    <border>
      <left/>
      <right/>
      <top/>
      <bottom/>
      <diagonal/>
    </border>
    <border>
      <left style="hair">
        <color auto="1"/>
      </left>
      <right style="medium">
        <color auto="1"/>
      </right>
      <top style="hair">
        <color auto="1"/>
      </top>
      <bottom style="medium">
        <color auto="1"/>
      </bottom>
      <diagonal/>
    </border>
    <border>
      <left style="medium">
        <color auto="1"/>
      </left>
      <right style="hair">
        <color auto="1"/>
      </right>
      <top style="hair">
        <color auto="1"/>
      </top>
      <bottom style="medium">
        <color auto="1"/>
      </bottom>
      <diagonal/>
    </border>
    <border>
      <left style="medium">
        <color auto="1"/>
      </left>
      <right style="hair">
        <color auto="1"/>
      </right>
      <top/>
      <bottom style="medium">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hair">
        <color auto="1"/>
      </bottom>
      <diagonal/>
    </border>
    <border>
      <left style="medium">
        <color auto="1"/>
      </left>
      <right style="hair">
        <color auto="1"/>
      </right>
      <top/>
      <bottom/>
      <diagonal/>
    </border>
    <border>
      <left style="hair">
        <color auto="1"/>
      </left>
      <right style="medium">
        <color auto="1"/>
      </right>
      <top style="thin">
        <color auto="1"/>
      </top>
      <bottom style="hair">
        <color auto="1"/>
      </bottom>
      <diagonal/>
    </border>
    <border>
      <left style="medium">
        <color auto="1"/>
      </left>
      <right style="hair">
        <color auto="1"/>
      </right>
      <top style="thin">
        <color auto="1"/>
      </top>
      <bottom style="hair">
        <color auto="1"/>
      </bottom>
      <diagonal/>
    </border>
    <border>
      <left style="medium">
        <color auto="1"/>
      </left>
      <right style="hair">
        <color auto="1"/>
      </right>
      <top style="thin">
        <color auto="1"/>
      </top>
      <bottom/>
      <diagonal/>
    </border>
    <border>
      <left style="hair">
        <color auto="1"/>
      </left>
      <right style="medium">
        <color auto="1"/>
      </right>
      <top style="hair">
        <color auto="1"/>
      </top>
      <bottom style="thin">
        <color auto="1"/>
      </bottom>
      <diagonal/>
    </border>
    <border>
      <left style="medium">
        <color auto="1"/>
      </left>
      <right style="hair">
        <color auto="1"/>
      </right>
      <top style="hair">
        <color auto="1"/>
      </top>
      <bottom style="thin">
        <color auto="1"/>
      </bottom>
      <diagonal/>
    </border>
    <border>
      <left style="medium">
        <color auto="1"/>
      </left>
      <right style="hair">
        <color auto="1"/>
      </right>
      <top/>
      <bottom style="thin">
        <color auto="1"/>
      </bottom>
      <diagonal/>
    </border>
    <border>
      <left style="hair">
        <color auto="1"/>
      </left>
      <right style="medium">
        <color auto="1"/>
      </right>
      <top style="medium">
        <color auto="1"/>
      </top>
      <bottom style="hair">
        <color auto="1"/>
      </bottom>
      <diagonal/>
    </border>
    <border>
      <left style="medium">
        <color auto="1"/>
      </left>
      <right style="hair">
        <color auto="1"/>
      </right>
      <top style="medium">
        <color auto="1"/>
      </top>
      <bottom style="hair">
        <color auto="1"/>
      </bottom>
      <diagonal/>
    </border>
    <border>
      <left style="medium">
        <color auto="1"/>
      </left>
      <right style="hair">
        <color auto="1"/>
      </right>
      <top style="medium">
        <color auto="1"/>
      </top>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bottom style="hair">
        <color indexed="64"/>
      </bottom>
      <diagonal/>
    </border>
    <border>
      <left/>
      <right style="hair">
        <color auto="1"/>
      </right>
      <top style="hair">
        <color auto="1"/>
      </top>
      <bottom style="hair">
        <color auto="1"/>
      </bottom>
      <diagonal/>
    </border>
    <border>
      <left/>
      <right style="hair">
        <color auto="1"/>
      </right>
      <top style="hair">
        <color auto="1"/>
      </top>
      <bottom/>
      <diagonal/>
    </border>
    <border>
      <left/>
      <right style="hair">
        <color auto="1"/>
      </right>
      <top/>
      <bottom/>
      <diagonal/>
    </border>
    <border>
      <left/>
      <right style="hair">
        <color auto="1"/>
      </right>
      <top/>
      <bottom style="hair">
        <color auto="1"/>
      </bottom>
      <diagonal/>
    </border>
    <border>
      <left style="hair">
        <color auto="1"/>
      </left>
      <right/>
      <top style="hair">
        <color auto="1"/>
      </top>
      <bottom style="hair">
        <color auto="1"/>
      </bottom>
      <diagonal/>
    </border>
    <border>
      <left style="hair">
        <color auto="1"/>
      </left>
      <right/>
      <top style="hair">
        <color auto="1"/>
      </top>
      <bottom/>
      <diagonal/>
    </border>
    <border>
      <left style="hair">
        <color auto="1"/>
      </left>
      <right/>
      <top/>
      <bottom/>
      <diagonal/>
    </border>
    <border>
      <left style="hair">
        <color auto="1"/>
      </left>
      <right/>
      <top/>
      <bottom style="hair">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
      <left/>
      <right/>
      <top style="medium">
        <color auto="1"/>
      </top>
      <bottom/>
      <diagonal/>
    </border>
    <border>
      <left style="medium">
        <color auto="1"/>
      </left>
      <right style="hair">
        <color auto="1"/>
      </right>
      <top/>
      <bottom style="hair">
        <color auto="1"/>
      </bottom>
      <diagonal/>
    </border>
    <border>
      <left/>
      <right/>
      <top/>
      <bottom style="medium">
        <color auto="1"/>
      </bottom>
      <diagonal/>
    </border>
    <border>
      <left style="hair">
        <color auto="1"/>
      </left>
      <right style="hair">
        <color auto="1"/>
      </right>
      <top style="medium">
        <color auto="1"/>
      </top>
      <bottom style="hair">
        <color auto="1"/>
      </bottom>
      <diagonal/>
    </border>
    <border>
      <left style="hair">
        <color auto="1"/>
      </left>
      <right style="hair">
        <color auto="1"/>
      </right>
      <top style="hair">
        <color auto="1"/>
      </top>
      <bottom style="medium">
        <color auto="1"/>
      </bottom>
      <diagonal/>
    </border>
    <border>
      <left style="medium">
        <color auto="1"/>
      </left>
      <right style="hair">
        <color auto="1"/>
      </right>
      <top style="hair">
        <color auto="1"/>
      </top>
      <bottom/>
      <diagonal/>
    </border>
    <border>
      <left style="hair">
        <color auto="1"/>
      </left>
      <right style="hair">
        <color auto="1"/>
      </right>
      <top style="medium">
        <color auto="1"/>
      </top>
      <bottom/>
      <diagonal/>
    </border>
    <border>
      <left/>
      <right/>
      <top style="medium">
        <color auto="1"/>
      </top>
      <bottom style="hair">
        <color auto="1"/>
      </bottom>
      <diagonal/>
    </border>
    <border>
      <left/>
      <right/>
      <top style="hair">
        <color auto="1"/>
      </top>
      <bottom style="hair">
        <color auto="1"/>
      </bottom>
      <diagonal/>
    </border>
    <border>
      <left/>
      <right/>
      <top style="hair">
        <color auto="1"/>
      </top>
      <bottom style="medium">
        <color auto="1"/>
      </bottom>
      <diagonal/>
    </border>
    <border>
      <left style="hair">
        <color auto="1"/>
      </left>
      <right/>
      <top style="hair">
        <color auto="1"/>
      </top>
      <bottom style="medium">
        <color auto="1"/>
      </bottom>
      <diagonal/>
    </border>
    <border>
      <left style="hair">
        <color auto="1"/>
      </left>
      <right/>
      <top style="medium">
        <color auto="1"/>
      </top>
      <bottom style="hair">
        <color auto="1"/>
      </bottom>
      <diagonal/>
    </border>
    <border>
      <left style="hair">
        <color auto="1"/>
      </left>
      <right style="hair">
        <color auto="1"/>
      </right>
      <top/>
      <bottom/>
      <diagonal/>
    </border>
    <border>
      <left style="hair">
        <color auto="1"/>
      </left>
      <right style="hair">
        <color auto="1"/>
      </right>
      <top/>
      <bottom style="medium">
        <color auto="1"/>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indexed="64"/>
      </top>
      <bottom style="hair">
        <color indexed="64"/>
      </bottom>
      <diagonal/>
    </border>
    <border>
      <left style="thin">
        <color auto="1"/>
      </left>
      <right style="medium">
        <color auto="1"/>
      </right>
      <top style="hair">
        <color auto="1"/>
      </top>
      <bottom style="hair">
        <color auto="1"/>
      </bottom>
      <diagonal/>
    </border>
    <border>
      <left style="thin">
        <color auto="1"/>
      </left>
      <right style="thin">
        <color auto="1"/>
      </right>
      <top style="hair">
        <color auto="1"/>
      </top>
      <bottom style="medium">
        <color auto="1"/>
      </bottom>
      <diagonal/>
    </border>
    <border>
      <left style="thin">
        <color auto="1"/>
      </left>
      <right style="medium">
        <color auto="1"/>
      </right>
      <top style="hair">
        <color auto="1"/>
      </top>
      <bottom style="medium">
        <color auto="1"/>
      </bottom>
      <diagonal/>
    </border>
  </borders>
  <cellStyleXfs count="2">
    <xf numFmtId="0" fontId="0" fillId="0" borderId="0">
      <alignment vertical="center"/>
    </xf>
    <xf numFmtId="0" fontId="20" fillId="0" borderId="0" applyNumberFormat="0" applyFill="0" applyBorder="0" applyAlignment="0" applyProtection="0">
      <alignment vertical="top"/>
      <protection locked="0"/>
    </xf>
  </cellStyleXfs>
  <cellXfs count="153">
    <xf numFmtId="0" fontId="0" fillId="0" borderId="0" xfId="0">
      <alignment vertical="center"/>
    </xf>
    <xf numFmtId="0" fontId="1" fillId="0" borderId="0" xfId="0" applyFont="1" applyFill="1" applyBorder="1" applyAlignment="1">
      <alignment horizontal="left" vertical="center"/>
    </xf>
    <xf numFmtId="0" fontId="1" fillId="0" borderId="2" xfId="0" applyFont="1" applyFill="1" applyBorder="1" applyAlignment="1">
      <alignment horizontal="left" vertical="center"/>
    </xf>
    <xf numFmtId="0" fontId="1" fillId="0" borderId="5" xfId="0" applyFont="1" applyFill="1" applyBorder="1" applyAlignment="1">
      <alignment horizontal="left" vertical="center"/>
    </xf>
    <xf numFmtId="0" fontId="1" fillId="0" borderId="4" xfId="0" applyFont="1" applyFill="1" applyBorder="1" applyAlignment="1">
      <alignment horizontal="center" vertical="center"/>
    </xf>
    <xf numFmtId="0" fontId="1" fillId="0" borderId="8" xfId="0" applyFont="1" applyFill="1" applyBorder="1" applyAlignment="1">
      <alignment horizontal="left" vertical="center"/>
    </xf>
    <xf numFmtId="0" fontId="0" fillId="0" borderId="0" xfId="0" applyAlignment="1">
      <alignment vertical="center"/>
    </xf>
    <xf numFmtId="0" fontId="3" fillId="2" borderId="16" xfId="0" applyFont="1" applyFill="1" applyBorder="1" applyAlignment="1">
      <alignment vertical="top"/>
    </xf>
    <xf numFmtId="20" fontId="3" fillId="2" borderId="16" xfId="0" applyNumberFormat="1" applyFont="1" applyFill="1" applyBorder="1" applyAlignment="1">
      <alignment vertical="top"/>
    </xf>
    <xf numFmtId="58" fontId="4" fillId="2" borderId="16" xfId="0" applyNumberFormat="1" applyFont="1" applyFill="1" applyBorder="1" applyAlignment="1">
      <alignment vertical="top"/>
    </xf>
    <xf numFmtId="58" fontId="3" fillId="2" borderId="16" xfId="0" applyNumberFormat="1" applyFont="1" applyFill="1" applyBorder="1" applyAlignment="1">
      <alignment vertical="top"/>
    </xf>
    <xf numFmtId="0" fontId="5" fillId="3" borderId="16" xfId="0" applyFont="1" applyFill="1" applyBorder="1" applyAlignment="1">
      <alignment vertical="top"/>
    </xf>
    <xf numFmtId="0" fontId="5" fillId="3" borderId="16" xfId="0" applyFont="1" applyFill="1" applyBorder="1" applyAlignment="1">
      <alignment horizontal="right" vertical="top"/>
    </xf>
    <xf numFmtId="49" fontId="0" fillId="0" borderId="0" xfId="0" applyNumberFormat="1" applyAlignment="1">
      <alignment vertical="center"/>
    </xf>
    <xf numFmtId="49" fontId="5" fillId="3" borderId="16" xfId="0" applyNumberFormat="1" applyFont="1" applyFill="1" applyBorder="1" applyAlignment="1">
      <alignment vertical="center"/>
    </xf>
    <xf numFmtId="49" fontId="0" fillId="0" borderId="16" xfId="0" applyNumberFormat="1" applyBorder="1" applyAlignment="1">
      <alignment vertical="center"/>
    </xf>
    <xf numFmtId="176" fontId="1" fillId="0" borderId="0" xfId="0" applyNumberFormat="1" applyFont="1" applyFill="1" applyBorder="1" applyAlignment="1">
      <alignment horizontal="left" vertical="center"/>
    </xf>
    <xf numFmtId="14" fontId="1" fillId="0" borderId="0" xfId="0" applyNumberFormat="1" applyFont="1" applyFill="1" applyBorder="1" applyAlignment="1">
      <alignment horizontal="left" vertical="center"/>
    </xf>
    <xf numFmtId="0" fontId="0" fillId="0" borderId="0" xfId="0" applyAlignment="1">
      <alignment vertical="top" wrapText="1"/>
    </xf>
    <xf numFmtId="0" fontId="0" fillId="0" borderId="0" xfId="0" applyAlignment="1">
      <alignment vertical="center" wrapText="1"/>
    </xf>
    <xf numFmtId="0" fontId="7" fillId="0" borderId="0" xfId="0" applyFont="1">
      <alignment vertical="center"/>
    </xf>
    <xf numFmtId="0" fontId="9" fillId="0" borderId="0" xfId="0" applyFont="1" applyAlignment="1">
      <alignment vertical="center"/>
    </xf>
    <xf numFmtId="0" fontId="5" fillId="3" borderId="16" xfId="0" applyFont="1" applyFill="1" applyBorder="1" applyAlignment="1">
      <alignment horizontal="left" vertical="center"/>
    </xf>
    <xf numFmtId="0" fontId="8" fillId="5" borderId="16" xfId="0" applyFont="1" applyFill="1" applyBorder="1" applyAlignment="1">
      <alignment horizontal="left" vertical="center"/>
    </xf>
    <xf numFmtId="0" fontId="10" fillId="4" borderId="16" xfId="0" applyFont="1" applyFill="1" applyBorder="1" applyAlignment="1">
      <alignment horizontal="center" vertical="center"/>
    </xf>
    <xf numFmtId="0" fontId="1" fillId="0" borderId="0" xfId="0" applyFont="1" applyFill="1" applyBorder="1" applyAlignment="1">
      <alignment horizontal="right" vertical="center"/>
    </xf>
    <xf numFmtId="0" fontId="13" fillId="0" borderId="13" xfId="0" applyFont="1" applyFill="1" applyBorder="1" applyAlignment="1">
      <alignment horizontal="center" vertical="center"/>
    </xf>
    <xf numFmtId="0" fontId="13" fillId="0" borderId="0" xfId="0" applyFont="1" applyFill="1" applyBorder="1" applyAlignment="1">
      <alignment horizontal="left" vertical="center"/>
    </xf>
    <xf numFmtId="0" fontId="13" fillId="0" borderId="4" xfId="0" applyFont="1" applyFill="1" applyBorder="1" applyAlignment="1">
      <alignment horizontal="center" vertical="center"/>
    </xf>
    <xf numFmtId="0" fontId="13" fillId="0" borderId="0" xfId="0" applyFont="1" applyFill="1" applyBorder="1" applyAlignment="1">
      <alignment horizontal="right" vertical="center"/>
    </xf>
    <xf numFmtId="0" fontId="13" fillId="0" borderId="14" xfId="0" applyFont="1" applyFill="1" applyBorder="1" applyAlignment="1">
      <alignment horizontal="left" vertical="center"/>
    </xf>
    <xf numFmtId="0" fontId="13" fillId="0" borderId="5" xfId="0" applyFont="1" applyFill="1" applyBorder="1" applyAlignment="1">
      <alignment horizontal="left" vertical="center"/>
    </xf>
    <xf numFmtId="0" fontId="1" fillId="0" borderId="1" xfId="0" applyFont="1" applyFill="1" applyBorder="1" applyAlignment="1">
      <alignment horizontal="center" vertical="center"/>
    </xf>
    <xf numFmtId="0" fontId="13" fillId="0" borderId="2" xfId="0" applyFont="1" applyFill="1" applyBorder="1" applyAlignment="1">
      <alignment horizontal="left" vertical="center"/>
    </xf>
    <xf numFmtId="0" fontId="14" fillId="0" borderId="4" xfId="0" applyFont="1" applyFill="1" applyBorder="1" applyAlignment="1">
      <alignment horizontal="center" vertical="center"/>
    </xf>
    <xf numFmtId="0" fontId="14" fillId="0" borderId="0" xfId="0" applyFont="1" applyFill="1" applyBorder="1" applyAlignment="1">
      <alignment horizontal="left" vertical="center"/>
    </xf>
    <xf numFmtId="0" fontId="1" fillId="0" borderId="4" xfId="0" applyFont="1" applyFill="1" applyBorder="1" applyAlignment="1">
      <alignment horizontal="center" vertical="center"/>
    </xf>
    <xf numFmtId="0" fontId="1" fillId="0" borderId="11" xfId="0" applyFont="1" applyFill="1" applyBorder="1" applyAlignment="1">
      <alignment horizontal="left" vertical="center"/>
    </xf>
    <xf numFmtId="0" fontId="14" fillId="0" borderId="0" xfId="0" applyFont="1" applyFill="1" applyBorder="1" applyAlignment="1">
      <alignment horizontal="right" vertical="center"/>
    </xf>
    <xf numFmtId="0" fontId="14" fillId="0" borderId="5" xfId="0" applyFont="1" applyFill="1" applyBorder="1" applyAlignment="1">
      <alignment horizontal="left" vertical="center"/>
    </xf>
    <xf numFmtId="0" fontId="14" fillId="0" borderId="11" xfId="0" applyFont="1" applyFill="1" applyBorder="1" applyAlignment="1">
      <alignment horizontal="left" vertical="center"/>
    </xf>
    <xf numFmtId="0" fontId="1" fillId="0" borderId="1" xfId="0" applyFont="1" applyFill="1" applyBorder="1" applyAlignment="1">
      <alignment horizontal="center" vertical="center"/>
    </xf>
    <xf numFmtId="0" fontId="14" fillId="0" borderId="13" xfId="0" applyFont="1" applyFill="1" applyBorder="1" applyAlignment="1">
      <alignment horizontal="center" vertical="center"/>
    </xf>
    <xf numFmtId="0" fontId="14" fillId="0" borderId="7" xfId="0" applyFont="1" applyFill="1" applyBorder="1" applyAlignment="1">
      <alignment horizontal="center" vertical="center"/>
    </xf>
    <xf numFmtId="0" fontId="12" fillId="0" borderId="0" xfId="0" applyFont="1" applyAlignment="1">
      <alignment horizontal="center" vertical="center" shrinkToFit="1"/>
    </xf>
    <xf numFmtId="0" fontId="11" fillId="2" borderId="16" xfId="0" applyFont="1" applyFill="1" applyBorder="1" applyAlignment="1">
      <alignment horizontal="center" vertical="top" shrinkToFit="1"/>
    </xf>
    <xf numFmtId="0" fontId="12" fillId="0" borderId="17" xfId="0" applyFont="1" applyBorder="1" applyAlignment="1">
      <alignment horizontal="center" vertical="center" shrinkToFit="1"/>
    </xf>
    <xf numFmtId="0" fontId="12" fillId="0" borderId="24" xfId="0" applyFont="1" applyBorder="1" applyAlignment="1">
      <alignment horizontal="center" vertical="center" shrinkToFit="1"/>
    </xf>
    <xf numFmtId="0" fontId="12" fillId="0" borderId="16" xfId="0" applyFont="1" applyBorder="1" applyAlignment="1">
      <alignment horizontal="center" vertical="center" shrinkToFit="1"/>
    </xf>
    <xf numFmtId="49" fontId="11" fillId="2" borderId="16" xfId="0" applyNumberFormat="1" applyFont="1" applyFill="1" applyBorder="1" applyAlignment="1">
      <alignment horizontal="center" vertical="top" shrinkToFit="1"/>
    </xf>
    <xf numFmtId="0" fontId="12" fillId="0" borderId="20" xfId="0" applyFont="1" applyBorder="1" applyAlignment="1">
      <alignment horizontal="center" vertical="center" shrinkToFit="1"/>
    </xf>
    <xf numFmtId="0" fontId="12" fillId="0" borderId="25" xfId="0" applyFont="1" applyBorder="1" applyAlignment="1">
      <alignment horizontal="center" vertical="center" shrinkToFit="1"/>
    </xf>
    <xf numFmtId="0" fontId="12" fillId="0" borderId="0" xfId="0" applyFont="1" applyBorder="1" applyAlignment="1">
      <alignment horizontal="center" vertical="center" shrinkToFit="1"/>
    </xf>
    <xf numFmtId="0" fontId="12" fillId="0" borderId="18" xfId="0" applyFont="1" applyBorder="1" applyAlignment="1">
      <alignment horizontal="center" vertical="center" shrinkToFit="1"/>
    </xf>
    <xf numFmtId="0" fontId="12" fillId="0" borderId="21" xfId="0" applyFont="1" applyBorder="1" applyAlignment="1">
      <alignment horizontal="center" vertical="center" shrinkToFit="1"/>
    </xf>
    <xf numFmtId="0" fontId="12" fillId="0" borderId="26" xfId="0" applyFont="1" applyBorder="1" applyAlignment="1">
      <alignment horizontal="center" vertical="center" shrinkToFit="1"/>
    </xf>
    <xf numFmtId="0" fontId="12" fillId="0" borderId="22" xfId="0" applyFont="1" applyBorder="1" applyAlignment="1">
      <alignment horizontal="center" vertical="center" shrinkToFit="1"/>
    </xf>
    <xf numFmtId="0" fontId="11" fillId="2" borderId="19" xfId="0" applyFont="1" applyFill="1" applyBorder="1" applyAlignment="1">
      <alignment horizontal="center" vertical="top" shrinkToFit="1"/>
    </xf>
    <xf numFmtId="0" fontId="11" fillId="2" borderId="23" xfId="0" applyFont="1" applyFill="1" applyBorder="1" applyAlignment="1">
      <alignment horizontal="center" vertical="top" shrinkToFit="1"/>
    </xf>
    <xf numFmtId="0" fontId="14" fillId="0" borderId="27" xfId="0" applyFont="1" applyFill="1" applyBorder="1" applyAlignment="1">
      <alignment horizontal="left" vertical="center"/>
    </xf>
    <xf numFmtId="0" fontId="13" fillId="0" borderId="28" xfId="0" applyFont="1" applyFill="1" applyBorder="1" applyAlignment="1">
      <alignment horizontal="left" vertical="center"/>
    </xf>
    <xf numFmtId="0" fontId="1" fillId="0" borderId="28" xfId="0" applyFont="1" applyFill="1" applyBorder="1" applyAlignment="1">
      <alignment horizontal="left" vertical="center"/>
    </xf>
    <xf numFmtId="0" fontId="1" fillId="0" borderId="29" xfId="0" applyFont="1" applyFill="1" applyBorder="1" applyAlignment="1">
      <alignment horizontal="left" vertical="center"/>
    </xf>
    <xf numFmtId="0" fontId="13" fillId="0" borderId="31" xfId="0" applyFont="1" applyFill="1" applyBorder="1" applyAlignment="1">
      <alignment horizontal="right" vertical="center"/>
    </xf>
    <xf numFmtId="0" fontId="14" fillId="0" borderId="31" xfId="0" applyFont="1" applyFill="1" applyBorder="1" applyAlignment="1">
      <alignment horizontal="right" vertical="center"/>
    </xf>
    <xf numFmtId="0" fontId="1" fillId="0" borderId="32" xfId="0" applyFont="1" applyFill="1" applyBorder="1" applyAlignment="1">
      <alignment horizontal="right" vertical="center"/>
    </xf>
    <xf numFmtId="0" fontId="1" fillId="0" borderId="30" xfId="0" applyFont="1" applyFill="1" applyBorder="1" applyAlignment="1">
      <alignment horizontal="right" vertical="center"/>
    </xf>
    <xf numFmtId="0" fontId="1" fillId="0" borderId="31" xfId="0" applyFont="1" applyFill="1" applyBorder="1" applyAlignment="1">
      <alignment horizontal="right" vertical="center"/>
    </xf>
    <xf numFmtId="0" fontId="13" fillId="0" borderId="32" xfId="0" applyFont="1" applyFill="1" applyBorder="1" applyAlignment="1">
      <alignment horizontal="right" vertical="center"/>
    </xf>
    <xf numFmtId="0" fontId="1" fillId="0" borderId="15" xfId="0" applyFont="1" applyFill="1" applyBorder="1" applyAlignment="1">
      <alignment horizontal="left" vertical="center"/>
    </xf>
    <xf numFmtId="0" fontId="1" fillId="0" borderId="6" xfId="0" applyFont="1" applyFill="1" applyBorder="1" applyAlignment="1">
      <alignment horizontal="left" vertical="center"/>
    </xf>
    <xf numFmtId="0" fontId="1" fillId="0" borderId="3" xfId="0" applyFont="1" applyFill="1" applyBorder="1" applyAlignment="1">
      <alignment horizontal="left" vertical="center"/>
    </xf>
    <xf numFmtId="0" fontId="14" fillId="0" borderId="15" xfId="0" applyFont="1" applyFill="1" applyBorder="1" applyAlignment="1">
      <alignment horizontal="left" vertical="center"/>
    </xf>
    <xf numFmtId="0" fontId="1" fillId="0" borderId="33" xfId="0" applyFont="1" applyFill="1" applyBorder="1" applyAlignment="1">
      <alignment horizontal="left" vertical="center"/>
    </xf>
    <xf numFmtId="0" fontId="14" fillId="0" borderId="33" xfId="0" applyFont="1" applyFill="1" applyBorder="1" applyAlignment="1">
      <alignment horizontal="left" vertical="center"/>
    </xf>
    <xf numFmtId="0" fontId="1" fillId="0" borderId="16" xfId="0" applyFont="1" applyFill="1" applyBorder="1" applyAlignment="1">
      <alignment horizontal="left" vertical="center"/>
    </xf>
    <xf numFmtId="0" fontId="1" fillId="0" borderId="36" xfId="0" applyFont="1" applyFill="1" applyBorder="1" applyAlignment="1">
      <alignment horizontal="left" vertical="center"/>
    </xf>
    <xf numFmtId="0" fontId="1" fillId="0" borderId="37" xfId="0" applyFont="1" applyFill="1" applyBorder="1" applyAlignment="1">
      <alignment horizontal="left" vertical="center"/>
    </xf>
    <xf numFmtId="0" fontId="1" fillId="0" borderId="38" xfId="0" applyFont="1" applyFill="1" applyBorder="1" applyAlignment="1">
      <alignment horizontal="left" vertical="center"/>
    </xf>
    <xf numFmtId="0" fontId="1" fillId="0" borderId="34" xfId="0" applyFont="1" applyFill="1" applyBorder="1" applyAlignment="1">
      <alignment horizontal="left" vertical="center"/>
    </xf>
    <xf numFmtId="0" fontId="1" fillId="0" borderId="14" xfId="0" applyFont="1" applyFill="1" applyBorder="1" applyAlignment="1">
      <alignment horizontal="left" vertical="center"/>
    </xf>
    <xf numFmtId="0" fontId="14" fillId="0" borderId="2" xfId="0" applyFont="1" applyFill="1" applyBorder="1" applyAlignment="1">
      <alignment horizontal="left" vertical="center"/>
    </xf>
    <xf numFmtId="0" fontId="1" fillId="0" borderId="0" xfId="0" applyFont="1" applyFill="1" applyBorder="1" applyAlignment="1">
      <alignment horizontal="left" vertical="center" shrinkToFit="1"/>
    </xf>
    <xf numFmtId="0" fontId="1" fillId="0" borderId="35" xfId="0" applyFont="1" applyFill="1" applyBorder="1" applyAlignment="1">
      <alignment horizontal="left" vertical="center" shrinkToFit="1"/>
    </xf>
    <xf numFmtId="0" fontId="14" fillId="0" borderId="35" xfId="0" applyFont="1" applyFill="1" applyBorder="1" applyAlignment="1">
      <alignment horizontal="center" vertical="center" shrinkToFit="1"/>
    </xf>
    <xf numFmtId="0" fontId="14" fillId="0" borderId="35" xfId="0" applyFont="1" applyFill="1" applyBorder="1" applyAlignment="1">
      <alignment horizontal="left" vertical="center" shrinkToFit="1"/>
    </xf>
    <xf numFmtId="0" fontId="13" fillId="0" borderId="35" xfId="0" applyFont="1" applyFill="1" applyBorder="1" applyAlignment="1">
      <alignment horizontal="left" vertical="center" shrinkToFit="1"/>
    </xf>
    <xf numFmtId="0" fontId="14" fillId="0" borderId="40" xfId="0" applyFont="1" applyFill="1" applyBorder="1" applyAlignment="1">
      <alignment horizontal="center" vertical="center"/>
    </xf>
    <xf numFmtId="0" fontId="1" fillId="0" borderId="41" xfId="0" applyFont="1" applyFill="1" applyBorder="1" applyAlignment="1">
      <alignment horizontal="center" vertical="center"/>
    </xf>
    <xf numFmtId="0" fontId="13" fillId="0" borderId="42" xfId="0" applyFont="1" applyFill="1" applyBorder="1" applyAlignment="1">
      <alignment horizontal="center" vertical="center"/>
    </xf>
    <xf numFmtId="0" fontId="14" fillId="0" borderId="26" xfId="0" applyFont="1" applyFill="1" applyBorder="1" applyAlignment="1">
      <alignment horizontal="center" vertical="center"/>
    </xf>
    <xf numFmtId="0" fontId="13" fillId="0" borderId="23" xfId="0" applyFont="1" applyFill="1" applyBorder="1" applyAlignment="1">
      <alignment horizontal="center" vertical="center"/>
    </xf>
    <xf numFmtId="0" fontId="1" fillId="0" borderId="23" xfId="0" applyFont="1" applyFill="1" applyBorder="1" applyAlignment="1">
      <alignment horizontal="center" vertical="center"/>
    </xf>
    <xf numFmtId="0" fontId="1" fillId="0" borderId="43" xfId="0" applyFont="1" applyFill="1" applyBorder="1" applyAlignment="1">
      <alignment horizontal="center" vertical="center"/>
    </xf>
    <xf numFmtId="0" fontId="13" fillId="0" borderId="36" xfId="0" applyFont="1" applyFill="1" applyBorder="1" applyAlignment="1">
      <alignment horizontal="center" vertical="center"/>
    </xf>
    <xf numFmtId="0" fontId="1" fillId="0" borderId="16" xfId="0" applyFont="1" applyFill="1" applyBorder="1" applyAlignment="1">
      <alignment horizontal="center" vertical="center"/>
    </xf>
    <xf numFmtId="0" fontId="14" fillId="0" borderId="37" xfId="0" applyFont="1" applyFill="1" applyBorder="1" applyAlignment="1">
      <alignment horizontal="center" vertical="center"/>
    </xf>
    <xf numFmtId="177" fontId="1" fillId="0" borderId="0" xfId="0" applyNumberFormat="1" applyFont="1" applyFill="1" applyBorder="1" applyAlignment="1">
      <alignment horizontal="left" vertical="center"/>
    </xf>
    <xf numFmtId="14" fontId="1" fillId="0" borderId="16" xfId="0" applyNumberFormat="1" applyFont="1" applyFill="1" applyBorder="1" applyAlignment="1">
      <alignment horizontal="left" vertical="center"/>
    </xf>
    <xf numFmtId="177" fontId="1" fillId="0" borderId="16" xfId="0" applyNumberFormat="1" applyFont="1" applyFill="1" applyBorder="1" applyAlignment="1">
      <alignment horizontal="left" vertical="center"/>
    </xf>
    <xf numFmtId="0" fontId="1" fillId="0" borderId="44" xfId="0" applyFont="1" applyFill="1" applyBorder="1" applyAlignment="1">
      <alignment horizontal="left" vertical="center"/>
    </xf>
    <xf numFmtId="0" fontId="1" fillId="0" borderId="23" xfId="0" applyFont="1" applyFill="1" applyBorder="1" applyAlignment="1">
      <alignment horizontal="left" vertical="center"/>
    </xf>
    <xf numFmtId="0" fontId="1" fillId="0" borderId="43" xfId="0" applyFont="1" applyFill="1" applyBorder="1" applyAlignment="1">
      <alignment horizontal="left" vertical="center"/>
    </xf>
    <xf numFmtId="0" fontId="1" fillId="0" borderId="47" xfId="0" applyFont="1" applyFill="1" applyBorder="1" applyAlignment="1">
      <alignment horizontal="center" vertical="center"/>
    </xf>
    <xf numFmtId="0" fontId="1" fillId="0" borderId="48" xfId="0" applyFont="1" applyFill="1" applyBorder="1" applyAlignment="1">
      <alignment horizontal="center" vertical="center"/>
    </xf>
    <xf numFmtId="0" fontId="1" fillId="0" borderId="49" xfId="0" applyFont="1" applyFill="1" applyBorder="1" applyAlignment="1">
      <alignment horizontal="center" vertical="center"/>
    </xf>
    <xf numFmtId="0" fontId="1" fillId="0" borderId="50" xfId="0" applyFont="1" applyFill="1" applyBorder="1" applyAlignment="1">
      <alignment horizontal="center" vertical="center"/>
    </xf>
    <xf numFmtId="0" fontId="1" fillId="0" borderId="51" xfId="0" applyFont="1" applyFill="1" applyBorder="1" applyAlignment="1">
      <alignment horizontal="center" vertical="center"/>
    </xf>
    <xf numFmtId="0" fontId="1" fillId="0" borderId="52" xfId="0" applyFont="1" applyFill="1" applyBorder="1" applyAlignment="1">
      <alignment horizontal="center" vertical="center"/>
    </xf>
    <xf numFmtId="14" fontId="11" fillId="2" borderId="0" xfId="0" applyNumberFormat="1" applyFont="1" applyFill="1" applyBorder="1" applyAlignment="1">
      <alignment horizontal="center" vertical="top" shrinkToFit="1"/>
    </xf>
    <xf numFmtId="14" fontId="12" fillId="0" borderId="0" xfId="0" applyNumberFormat="1" applyFont="1" applyBorder="1" applyAlignment="1">
      <alignment horizontal="center" vertical="center" shrinkToFit="1"/>
    </xf>
    <xf numFmtId="178" fontId="15" fillId="0" borderId="0" xfId="0" applyNumberFormat="1" applyFont="1" applyAlignment="1">
      <alignment horizontal="center" vertical="center" shrinkToFit="1"/>
    </xf>
    <xf numFmtId="20" fontId="15" fillId="0" borderId="0" xfId="0" applyNumberFormat="1" applyFont="1" applyAlignment="1">
      <alignment horizontal="center" vertical="center" shrinkToFit="1"/>
    </xf>
    <xf numFmtId="178" fontId="15" fillId="0" borderId="0" xfId="0" applyNumberFormat="1" applyFont="1" applyBorder="1" applyAlignment="1">
      <alignment horizontal="center" vertical="center" shrinkToFit="1"/>
    </xf>
    <xf numFmtId="179" fontId="15" fillId="0" borderId="0" xfId="0" applyNumberFormat="1" applyFont="1" applyAlignment="1">
      <alignment horizontal="center" vertical="center" shrinkToFit="1"/>
    </xf>
    <xf numFmtId="0" fontId="15" fillId="0" borderId="0" xfId="0" applyFont="1" applyAlignment="1">
      <alignment horizontal="left" vertical="center"/>
    </xf>
    <xf numFmtId="178" fontId="16" fillId="0" borderId="0" xfId="0" applyNumberFormat="1" applyFont="1" applyAlignment="1">
      <alignment horizontal="center" vertical="center" shrinkToFit="1"/>
    </xf>
    <xf numFmtId="20" fontId="16" fillId="0" borderId="0" xfId="0" applyNumberFormat="1" applyFont="1" applyAlignment="1">
      <alignment horizontal="center" vertical="center" shrinkToFit="1"/>
    </xf>
    <xf numFmtId="178" fontId="16" fillId="0" borderId="0" xfId="0" applyNumberFormat="1" applyFont="1" applyBorder="1" applyAlignment="1">
      <alignment horizontal="center" vertical="center" shrinkToFit="1"/>
    </xf>
    <xf numFmtId="179" fontId="16" fillId="0" borderId="0" xfId="0" applyNumberFormat="1" applyFont="1" applyAlignment="1">
      <alignment horizontal="center" vertical="center" shrinkToFit="1"/>
    </xf>
    <xf numFmtId="178" fontId="17" fillId="0" borderId="0" xfId="0" applyNumberFormat="1" applyFont="1" applyBorder="1" applyAlignment="1">
      <alignment horizontal="center" vertical="center" shrinkToFit="1"/>
    </xf>
    <xf numFmtId="179" fontId="17" fillId="0" borderId="0" xfId="0" applyNumberFormat="1" applyFont="1" applyAlignment="1">
      <alignment horizontal="center" vertical="center" shrinkToFit="1"/>
    </xf>
    <xf numFmtId="178" fontId="18" fillId="0" borderId="0" xfId="0" applyNumberFormat="1" applyFont="1" applyBorder="1" applyAlignment="1">
      <alignment horizontal="center" vertical="center" shrinkToFit="1"/>
    </xf>
    <xf numFmtId="179" fontId="18" fillId="0" borderId="0" xfId="0" applyNumberFormat="1" applyFont="1" applyAlignment="1">
      <alignment horizontal="center" vertical="center" shrinkToFit="1"/>
    </xf>
    <xf numFmtId="178" fontId="19" fillId="0" borderId="0" xfId="0" applyNumberFormat="1" applyFont="1" applyBorder="1" applyAlignment="1">
      <alignment horizontal="center" vertical="center" shrinkToFit="1"/>
    </xf>
    <xf numFmtId="179" fontId="19" fillId="0" borderId="0" xfId="0" applyNumberFormat="1" applyFont="1" applyAlignment="1">
      <alignment horizontal="center" vertical="center" shrinkToFit="1"/>
    </xf>
    <xf numFmtId="178" fontId="19" fillId="0" borderId="0" xfId="0" applyNumberFormat="1" applyFont="1" applyAlignment="1">
      <alignment horizontal="center" vertical="center" shrinkToFit="1"/>
    </xf>
    <xf numFmtId="179" fontId="19" fillId="0" borderId="21" xfId="0" applyNumberFormat="1" applyFont="1" applyBorder="1" applyAlignment="1">
      <alignment horizontal="center" vertical="center" shrinkToFit="1"/>
    </xf>
    <xf numFmtId="0" fontId="20" fillId="0" borderId="0" xfId="1" applyAlignment="1" applyProtection="1">
      <alignment horizontal="center" vertical="center" shrinkToFit="1"/>
    </xf>
    <xf numFmtId="0" fontId="11" fillId="2" borderId="16" xfId="0" applyFont="1" applyFill="1" applyBorder="1" applyAlignment="1">
      <alignment horizontal="center" vertical="center" shrinkToFit="1"/>
    </xf>
    <xf numFmtId="49" fontId="11" fillId="2" borderId="16" xfId="0" applyNumberFormat="1" applyFont="1" applyFill="1" applyBorder="1" applyAlignment="1">
      <alignment horizontal="center" vertical="center" shrinkToFit="1"/>
    </xf>
    <xf numFmtId="0" fontId="21" fillId="0" borderId="0" xfId="0" applyFont="1" applyAlignment="1">
      <alignment horizontal="center" vertical="center" shrinkToFit="1"/>
    </xf>
    <xf numFmtId="49" fontId="21" fillId="2" borderId="16" xfId="0" applyNumberFormat="1" applyFont="1" applyFill="1" applyBorder="1" applyAlignment="1">
      <alignment horizontal="center" vertical="center" shrinkToFit="1"/>
    </xf>
    <xf numFmtId="0" fontId="21" fillId="2" borderId="19" xfId="0" applyFont="1" applyFill="1" applyBorder="1" applyAlignment="1">
      <alignment horizontal="center" vertical="center" shrinkToFit="1"/>
    </xf>
    <xf numFmtId="0" fontId="21" fillId="2" borderId="23" xfId="0" applyFont="1" applyFill="1" applyBorder="1" applyAlignment="1">
      <alignment horizontal="center" vertical="center" shrinkToFit="1"/>
    </xf>
    <xf numFmtId="49" fontId="22" fillId="2" borderId="16" xfId="0" applyNumberFormat="1" applyFont="1" applyFill="1" applyBorder="1" applyAlignment="1">
      <alignment horizontal="center" vertical="center" shrinkToFit="1"/>
    </xf>
    <xf numFmtId="0" fontId="22" fillId="0" borderId="0" xfId="0" applyFont="1" applyAlignment="1">
      <alignment horizontal="center" vertical="center" shrinkToFit="1"/>
    </xf>
    <xf numFmtId="0" fontId="1" fillId="0" borderId="6" xfId="0" applyFont="1" applyFill="1" applyBorder="1" applyAlignment="1">
      <alignment horizontal="center" vertical="center"/>
    </xf>
    <xf numFmtId="0" fontId="0" fillId="0" borderId="6" xfId="0" applyBorder="1">
      <alignment vertical="center"/>
    </xf>
    <xf numFmtId="0" fontId="0" fillId="0" borderId="3" xfId="0" applyBorder="1">
      <alignment vertical="center"/>
    </xf>
    <xf numFmtId="0" fontId="1" fillId="0" borderId="39" xfId="0" applyFont="1" applyFill="1" applyBorder="1" applyAlignment="1">
      <alignment horizontal="center" vertical="center"/>
    </xf>
    <xf numFmtId="0" fontId="0" fillId="0" borderId="45" xfId="0" applyBorder="1">
      <alignment vertical="center"/>
    </xf>
    <xf numFmtId="0" fontId="0" fillId="0" borderId="46" xfId="0" applyBorder="1">
      <alignment vertical="center"/>
    </xf>
    <xf numFmtId="0" fontId="1" fillId="0" borderId="15" xfId="0" applyFont="1" applyFill="1" applyBorder="1" applyAlignment="1">
      <alignment horizontal="center" vertical="center"/>
    </xf>
    <xf numFmtId="0" fontId="1" fillId="0" borderId="13" xfId="0" applyFont="1" applyFill="1" applyBorder="1" applyAlignment="1">
      <alignment horizontal="center" vertical="center"/>
    </xf>
    <xf numFmtId="0" fontId="1" fillId="0" borderId="4" xfId="0" applyFont="1" applyFill="1" applyBorder="1" applyAlignment="1">
      <alignment horizontal="center" vertical="center"/>
    </xf>
    <xf numFmtId="0" fontId="1" fillId="0" borderId="10" xfId="0" applyFont="1" applyFill="1" applyBorder="1" applyAlignment="1">
      <alignment horizontal="center" vertical="center"/>
    </xf>
    <xf numFmtId="0" fontId="1" fillId="0" borderId="7" xfId="0" applyFont="1" applyFill="1" applyBorder="1" applyAlignment="1">
      <alignment horizontal="center" vertical="center"/>
    </xf>
    <xf numFmtId="0" fontId="1" fillId="0" borderId="1" xfId="0" applyFont="1" applyFill="1" applyBorder="1" applyAlignment="1">
      <alignment horizontal="center" vertical="center"/>
    </xf>
    <xf numFmtId="0" fontId="1" fillId="0" borderId="12" xfId="0" applyFont="1" applyFill="1" applyBorder="1" applyAlignment="1">
      <alignment horizontal="center" vertical="center"/>
    </xf>
    <xf numFmtId="0" fontId="1" fillId="0" borderId="9" xfId="0" applyFont="1" applyFill="1" applyBorder="1" applyAlignment="1">
      <alignment horizontal="center" vertical="center"/>
    </xf>
    <xf numFmtId="0" fontId="1" fillId="0" borderId="3" xfId="0" applyFont="1" applyFill="1" applyBorder="1" applyAlignment="1">
      <alignment horizontal="center" vertical="center"/>
    </xf>
    <xf numFmtId="0" fontId="23" fillId="0" borderId="0" xfId="0" applyFont="1" applyAlignment="1">
      <alignment vertical="center"/>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hyperlink" Target="http://2018.sina.com.cn/schedule/elimination.shtml" TargetMode="Externa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57"/>
  <dimension ref="B1:AB31"/>
  <sheetViews>
    <sheetView showGridLines="0" workbookViewId="0">
      <selection activeCell="J20" sqref="J20"/>
    </sheetView>
  </sheetViews>
  <sheetFormatPr defaultRowHeight="14.4"/>
  <cols>
    <col min="1" max="1" width="1.109375" style="1" customWidth="1"/>
    <col min="2" max="2" width="4.5546875" style="1" bestFit="1" customWidth="1"/>
    <col min="3" max="3" width="11.21875" style="1" customWidth="1"/>
    <col min="4" max="6" width="3.5546875" style="1" bestFit="1" customWidth="1"/>
    <col min="7" max="7" width="5" style="1" customWidth="1"/>
    <col min="8" max="8" width="4.33203125" style="1" customWidth="1"/>
    <col min="9" max="9" width="2.6640625" style="1" customWidth="1"/>
    <col min="10" max="10" width="2.5546875" style="1" customWidth="1"/>
    <col min="11" max="11" width="1.88671875" style="1" customWidth="1"/>
    <col min="12" max="12" width="13.88671875" style="1" customWidth="1"/>
    <col min="13" max="13" width="8.21875" style="1" customWidth="1"/>
    <col min="14" max="16" width="3.5546875" style="1" bestFit="1" customWidth="1"/>
    <col min="17" max="17" width="5" style="1" customWidth="1"/>
    <col min="18" max="18" width="4.33203125" style="1" customWidth="1"/>
    <col min="19" max="22" width="1.21875" style="1" customWidth="1"/>
    <col min="23" max="23" width="1.109375" style="1" customWidth="1"/>
    <col min="24" max="24" width="9.88671875" style="17" customWidth="1"/>
    <col min="25" max="25" width="9.5546875" style="97" bestFit="1" customWidth="1"/>
    <col min="26" max="26" width="16.6640625" style="1" customWidth="1"/>
    <col min="27" max="28" width="2.5546875" style="1" bestFit="1" customWidth="1"/>
    <col min="29" max="16384" width="8.88671875" style="1"/>
  </cols>
  <sheetData>
    <row r="1" spans="2:28" s="82" customFormat="1" ht="15" thickBot="1">
      <c r="B1" s="83"/>
      <c r="C1" s="84"/>
      <c r="D1" s="85">
        <v>1</v>
      </c>
      <c r="E1" s="85">
        <v>2</v>
      </c>
      <c r="F1" s="85">
        <v>3</v>
      </c>
      <c r="G1" s="85" t="s">
        <v>275</v>
      </c>
      <c r="H1" s="85" t="s">
        <v>276</v>
      </c>
      <c r="I1" s="85"/>
      <c r="J1" s="85"/>
      <c r="K1" s="85"/>
      <c r="L1" s="86"/>
      <c r="M1" s="83"/>
      <c r="N1" s="85">
        <v>1</v>
      </c>
      <c r="O1" s="85">
        <v>2</v>
      </c>
      <c r="P1" s="85">
        <v>3</v>
      </c>
      <c r="Q1" s="85" t="s">
        <v>275</v>
      </c>
      <c r="R1" s="85" t="s">
        <v>276</v>
      </c>
      <c r="X1" s="11" t="s">
        <v>108</v>
      </c>
      <c r="Y1" s="11" t="s">
        <v>106</v>
      </c>
      <c r="Z1" s="11" t="s">
        <v>277</v>
      </c>
      <c r="AA1" s="11"/>
      <c r="AB1" s="11"/>
    </row>
    <row r="2" spans="2:28">
      <c r="B2" s="143" t="s">
        <v>30</v>
      </c>
      <c r="C2" s="87" t="s">
        <v>247</v>
      </c>
      <c r="D2" s="76">
        <v>4</v>
      </c>
      <c r="E2" s="76">
        <v>2</v>
      </c>
      <c r="F2" s="100">
        <v>-3</v>
      </c>
      <c r="G2" s="103">
        <f>SUM(D2:F2)</f>
        <v>3</v>
      </c>
      <c r="H2" s="104">
        <f t="shared" ref="H2:H17" si="0">IF(D2="",0,IF(D2&gt;0,3,IF(D2&lt;0,0,1)))+IF(E2="",0,IF(E2&gt;0,3,IF(E2&lt;0,0,1)))+IF(F2="",0,IF(F2&gt;0,3,IF(F2&lt;0,0,1)))</f>
        <v>6</v>
      </c>
      <c r="I2" s="73"/>
      <c r="J2" s="73"/>
      <c r="K2" s="74"/>
      <c r="L2" s="30" t="s">
        <v>219</v>
      </c>
      <c r="M2" s="140" t="s">
        <v>29</v>
      </c>
      <c r="N2" s="76">
        <v>0</v>
      </c>
      <c r="O2" s="76">
        <v>2</v>
      </c>
      <c r="P2" s="76">
        <v>2</v>
      </c>
      <c r="Q2" s="103">
        <f>SUM(N2:P2)</f>
        <v>4</v>
      </c>
      <c r="R2" s="104">
        <f t="shared" ref="R2:R17" si="1">IF(N2="",0,IF(N2&gt;0,3,IF(N2&lt;0,0,1)))+IF(O2="",0,IF(O2&gt;0,3,IF(O2&lt;0,0,1)))+IF(P2="",0,IF(P2&gt;0,3,IF(P2&lt;0,0,1)))</f>
        <v>7</v>
      </c>
      <c r="X2" s="98">
        <v>43295</v>
      </c>
      <c r="Y2" s="99">
        <v>0.91666666666666663</v>
      </c>
      <c r="Z2" s="75" t="s">
        <v>32</v>
      </c>
      <c r="AA2" s="75"/>
      <c r="AB2" s="75"/>
    </row>
    <row r="3" spans="2:28">
      <c r="B3" s="138"/>
      <c r="C3" s="88" t="s">
        <v>99</v>
      </c>
      <c r="D3" s="75">
        <v>-4</v>
      </c>
      <c r="E3" s="75">
        <v>-1</v>
      </c>
      <c r="F3" s="101">
        <v>1</v>
      </c>
      <c r="G3" s="105">
        <f t="shared" ref="G3:G17" si="2">SUM(D3:F3)</f>
        <v>-4</v>
      </c>
      <c r="H3" s="106">
        <f>IF(D3="",0,IF(D3&gt;0,3,IF(D3&lt;0,0,1)))+IF(E3="",0,IF(E3&gt;0,3,IF(E3&lt;0,0,1)))+IF(F3="",0,IF(F3&gt;0,3,IF(F3&lt;0,0,1)))</f>
        <v>3</v>
      </c>
      <c r="K3" s="35"/>
      <c r="L3" s="39" t="s">
        <v>28</v>
      </c>
      <c r="M3" s="141"/>
      <c r="N3" s="75">
        <v>0</v>
      </c>
      <c r="O3" s="75">
        <v>1</v>
      </c>
      <c r="P3" s="75">
        <v>0</v>
      </c>
      <c r="Q3" s="105">
        <f t="shared" ref="Q3:Q17" si="3">SUM(N3:P3)</f>
        <v>1</v>
      </c>
      <c r="R3" s="106">
        <f t="shared" si="1"/>
        <v>5</v>
      </c>
      <c r="X3" s="98"/>
      <c r="Y3" s="99"/>
      <c r="Z3" s="75"/>
      <c r="AA3" s="75"/>
      <c r="AB3" s="75"/>
    </row>
    <row r="4" spans="2:28">
      <c r="B4" s="138"/>
      <c r="C4" s="88" t="s">
        <v>100</v>
      </c>
      <c r="D4" s="75">
        <v>-1</v>
      </c>
      <c r="E4" s="75">
        <v>-2</v>
      </c>
      <c r="F4" s="101">
        <v>-1</v>
      </c>
      <c r="G4" s="105">
        <f t="shared" si="2"/>
        <v>-4</v>
      </c>
      <c r="H4" s="106">
        <f t="shared" si="0"/>
        <v>0</v>
      </c>
      <c r="K4" s="35"/>
      <c r="L4" s="3" t="s">
        <v>27</v>
      </c>
      <c r="M4" s="141"/>
      <c r="N4" s="75">
        <v>-1</v>
      </c>
      <c r="O4" s="75">
        <v>-2</v>
      </c>
      <c r="P4" s="75">
        <v>0</v>
      </c>
      <c r="Q4" s="105">
        <f t="shared" si="3"/>
        <v>-3</v>
      </c>
      <c r="R4" s="106">
        <f t="shared" si="1"/>
        <v>1</v>
      </c>
      <c r="X4" s="98"/>
      <c r="Y4" s="99"/>
      <c r="Z4" s="75"/>
      <c r="AA4" s="75"/>
      <c r="AB4" s="75"/>
    </row>
    <row r="5" spans="2:28" ht="15" thickBot="1">
      <c r="B5" s="139"/>
      <c r="C5" s="89" t="s">
        <v>101</v>
      </c>
      <c r="D5" s="77">
        <v>1</v>
      </c>
      <c r="E5" s="77">
        <v>1</v>
      </c>
      <c r="F5" s="102">
        <v>3</v>
      </c>
      <c r="G5" s="107">
        <f t="shared" si="2"/>
        <v>5</v>
      </c>
      <c r="H5" s="108">
        <f t="shared" si="0"/>
        <v>9</v>
      </c>
      <c r="K5" s="35"/>
      <c r="L5" s="78" t="s">
        <v>26</v>
      </c>
      <c r="M5" s="142"/>
      <c r="N5" s="77">
        <v>1</v>
      </c>
      <c r="O5" s="77">
        <v>-1</v>
      </c>
      <c r="P5" s="77">
        <v>-2</v>
      </c>
      <c r="Q5" s="107">
        <f t="shared" si="3"/>
        <v>-2</v>
      </c>
      <c r="R5" s="108">
        <f t="shared" si="1"/>
        <v>3</v>
      </c>
      <c r="X5" s="98"/>
      <c r="Y5" s="99"/>
      <c r="Z5" s="75"/>
      <c r="AA5" s="75"/>
      <c r="AB5" s="75"/>
    </row>
    <row r="6" spans="2:28">
      <c r="B6" s="143" t="s">
        <v>25</v>
      </c>
      <c r="C6" s="90" t="s">
        <v>102</v>
      </c>
      <c r="D6" s="76">
        <v>0</v>
      </c>
      <c r="E6" s="76">
        <v>1</v>
      </c>
      <c r="F6" s="100">
        <v>0</v>
      </c>
      <c r="G6" s="103">
        <f t="shared" si="2"/>
        <v>1</v>
      </c>
      <c r="H6" s="104">
        <f t="shared" si="0"/>
        <v>5</v>
      </c>
      <c r="K6" s="35"/>
      <c r="L6" s="80" t="s">
        <v>24</v>
      </c>
      <c r="M6" s="140" t="s">
        <v>23</v>
      </c>
      <c r="N6" s="76">
        <v>-1</v>
      </c>
      <c r="O6" s="76">
        <v>1</v>
      </c>
      <c r="P6" s="76">
        <v>-2</v>
      </c>
      <c r="Q6" s="103">
        <f t="shared" si="3"/>
        <v>-2</v>
      </c>
      <c r="R6" s="104">
        <f t="shared" si="1"/>
        <v>3</v>
      </c>
      <c r="X6" s="98"/>
      <c r="Y6" s="99"/>
      <c r="Z6" s="75"/>
      <c r="AA6" s="75"/>
      <c r="AB6" s="75"/>
    </row>
    <row r="7" spans="2:28">
      <c r="B7" s="138"/>
      <c r="C7" s="91" t="s">
        <v>103</v>
      </c>
      <c r="D7" s="75">
        <v>0</v>
      </c>
      <c r="E7" s="75">
        <v>1</v>
      </c>
      <c r="F7" s="101">
        <v>0</v>
      </c>
      <c r="G7" s="105">
        <f t="shared" si="2"/>
        <v>1</v>
      </c>
      <c r="H7" s="106">
        <f t="shared" si="0"/>
        <v>5</v>
      </c>
      <c r="K7" s="35"/>
      <c r="L7" s="39" t="s">
        <v>272</v>
      </c>
      <c r="M7" s="141"/>
      <c r="N7" s="75">
        <v>1</v>
      </c>
      <c r="O7" s="75">
        <v>1</v>
      </c>
      <c r="P7" s="75">
        <v>-3</v>
      </c>
      <c r="Q7" s="105">
        <f t="shared" si="3"/>
        <v>-1</v>
      </c>
      <c r="R7" s="106">
        <f t="shared" si="1"/>
        <v>6</v>
      </c>
      <c r="X7" s="98"/>
      <c r="Y7" s="99"/>
      <c r="Z7" s="75"/>
      <c r="AA7" s="75"/>
      <c r="AB7" s="75"/>
    </row>
    <row r="8" spans="2:28">
      <c r="B8" s="138"/>
      <c r="C8" s="92" t="s">
        <v>104</v>
      </c>
      <c r="D8" s="75">
        <v>-1</v>
      </c>
      <c r="E8" s="75">
        <v>-1</v>
      </c>
      <c r="F8" s="101">
        <v>0</v>
      </c>
      <c r="G8" s="105">
        <f t="shared" si="2"/>
        <v>-2</v>
      </c>
      <c r="H8" s="106">
        <f t="shared" si="0"/>
        <v>1</v>
      </c>
      <c r="K8" s="35"/>
      <c r="L8" s="31" t="s">
        <v>271</v>
      </c>
      <c r="M8" s="141"/>
      <c r="N8" s="75">
        <v>1</v>
      </c>
      <c r="O8" s="75">
        <v>-1</v>
      </c>
      <c r="P8" s="75">
        <v>3</v>
      </c>
      <c r="Q8" s="105">
        <f t="shared" si="3"/>
        <v>3</v>
      </c>
      <c r="R8" s="106">
        <f t="shared" si="1"/>
        <v>6</v>
      </c>
      <c r="X8" s="98"/>
      <c r="Y8" s="99"/>
      <c r="Z8" s="75"/>
      <c r="AA8" s="75"/>
      <c r="AB8" s="75"/>
    </row>
    <row r="9" spans="2:28" ht="15" thickBot="1">
      <c r="B9" s="139"/>
      <c r="C9" s="93" t="s">
        <v>105</v>
      </c>
      <c r="D9" s="77">
        <v>1</v>
      </c>
      <c r="E9" s="77">
        <v>-1</v>
      </c>
      <c r="F9" s="102">
        <v>0</v>
      </c>
      <c r="G9" s="107">
        <f t="shared" si="2"/>
        <v>0</v>
      </c>
      <c r="H9" s="108">
        <f t="shared" si="0"/>
        <v>4</v>
      </c>
      <c r="K9" s="35"/>
      <c r="L9" s="2" t="s">
        <v>20</v>
      </c>
      <c r="M9" s="142"/>
      <c r="N9" s="77">
        <v>-1</v>
      </c>
      <c r="O9" s="77">
        <v>-1</v>
      </c>
      <c r="P9" s="77">
        <v>2</v>
      </c>
      <c r="Q9" s="107">
        <f t="shared" si="3"/>
        <v>0</v>
      </c>
      <c r="R9" s="108">
        <f t="shared" si="1"/>
        <v>3</v>
      </c>
      <c r="X9" s="98"/>
      <c r="Y9" s="99"/>
      <c r="Z9" s="75"/>
      <c r="AA9" s="75"/>
      <c r="AB9" s="75"/>
    </row>
    <row r="10" spans="2:28">
      <c r="B10" s="143" t="s">
        <v>19</v>
      </c>
      <c r="C10" s="94" t="s">
        <v>18</v>
      </c>
      <c r="D10" s="76">
        <v>1</v>
      </c>
      <c r="E10" s="76">
        <v>1</v>
      </c>
      <c r="F10" s="100">
        <v>0</v>
      </c>
      <c r="G10" s="103">
        <f t="shared" si="2"/>
        <v>2</v>
      </c>
      <c r="H10" s="104">
        <f t="shared" si="0"/>
        <v>7</v>
      </c>
      <c r="K10" s="35"/>
      <c r="L10" s="30" t="s">
        <v>17</v>
      </c>
      <c r="M10" s="140" t="s">
        <v>16</v>
      </c>
      <c r="N10" s="76">
        <v>3</v>
      </c>
      <c r="O10" s="76">
        <v>3</v>
      </c>
      <c r="P10" s="76">
        <v>1</v>
      </c>
      <c r="Q10" s="103">
        <f t="shared" si="3"/>
        <v>7</v>
      </c>
      <c r="R10" s="104">
        <f t="shared" si="1"/>
        <v>9</v>
      </c>
      <c r="X10" s="98"/>
      <c r="Y10" s="99"/>
      <c r="Z10" s="75"/>
      <c r="AA10" s="75"/>
      <c r="AB10" s="75"/>
    </row>
    <row r="11" spans="2:28">
      <c r="B11" s="138"/>
      <c r="C11" s="95" t="s">
        <v>15</v>
      </c>
      <c r="D11" s="75">
        <v>-1</v>
      </c>
      <c r="E11" s="75">
        <v>0</v>
      </c>
      <c r="F11" s="101">
        <v>-2</v>
      </c>
      <c r="G11" s="105">
        <f t="shared" si="2"/>
        <v>-3</v>
      </c>
      <c r="H11" s="106">
        <f t="shared" si="0"/>
        <v>1</v>
      </c>
      <c r="K11" s="35"/>
      <c r="L11" s="3" t="s">
        <v>14</v>
      </c>
      <c r="M11" s="141"/>
      <c r="N11" s="75">
        <v>-3</v>
      </c>
      <c r="O11" s="75">
        <v>-5</v>
      </c>
      <c r="P11" s="75">
        <v>-1</v>
      </c>
      <c r="Q11" s="105">
        <f t="shared" si="3"/>
        <v>-9</v>
      </c>
      <c r="R11" s="106">
        <f t="shared" si="1"/>
        <v>0</v>
      </c>
      <c r="X11" s="98"/>
      <c r="Y11" s="99"/>
      <c r="Z11" s="75"/>
      <c r="AA11" s="75"/>
      <c r="AB11" s="75"/>
    </row>
    <row r="12" spans="2:28">
      <c r="B12" s="138"/>
      <c r="C12" s="95" t="s">
        <v>13</v>
      </c>
      <c r="D12" s="75">
        <v>-1</v>
      </c>
      <c r="E12" s="75">
        <v>-1</v>
      </c>
      <c r="F12" s="101">
        <v>2</v>
      </c>
      <c r="G12" s="105">
        <f t="shared" si="2"/>
        <v>0</v>
      </c>
      <c r="H12" s="106">
        <f t="shared" si="0"/>
        <v>3</v>
      </c>
      <c r="K12" s="35"/>
      <c r="L12" s="3" t="s">
        <v>12</v>
      </c>
      <c r="M12" s="141"/>
      <c r="N12" s="75">
        <v>-1</v>
      </c>
      <c r="O12" s="75">
        <v>-3</v>
      </c>
      <c r="P12" s="75">
        <v>1</v>
      </c>
      <c r="Q12" s="105">
        <f t="shared" si="3"/>
        <v>-3</v>
      </c>
      <c r="R12" s="106">
        <f t="shared" si="1"/>
        <v>3</v>
      </c>
      <c r="X12" s="98"/>
      <c r="Y12" s="99"/>
      <c r="Z12" s="75"/>
      <c r="AA12" s="75"/>
      <c r="AB12" s="75"/>
    </row>
    <row r="13" spans="2:28" ht="15" thickBot="1">
      <c r="B13" s="139"/>
      <c r="C13" s="96" t="s">
        <v>11</v>
      </c>
      <c r="D13" s="77">
        <v>1</v>
      </c>
      <c r="E13" s="77">
        <v>0</v>
      </c>
      <c r="F13" s="102">
        <v>0</v>
      </c>
      <c r="G13" s="107">
        <f t="shared" si="2"/>
        <v>1</v>
      </c>
      <c r="H13" s="108">
        <f t="shared" si="0"/>
        <v>5</v>
      </c>
      <c r="K13" s="35"/>
      <c r="L13" s="81" t="s">
        <v>10</v>
      </c>
      <c r="M13" s="142"/>
      <c r="N13" s="77">
        <v>1</v>
      </c>
      <c r="O13" s="77">
        <v>5</v>
      </c>
      <c r="P13" s="77">
        <v>-1</v>
      </c>
      <c r="Q13" s="107">
        <f t="shared" si="3"/>
        <v>5</v>
      </c>
      <c r="R13" s="108">
        <f t="shared" si="1"/>
        <v>6</v>
      </c>
      <c r="X13" s="98"/>
      <c r="Y13" s="99"/>
      <c r="Z13" s="75"/>
      <c r="AA13" s="75"/>
      <c r="AB13" s="75"/>
    </row>
    <row r="14" spans="2:28">
      <c r="B14" s="137" t="s">
        <v>9</v>
      </c>
      <c r="C14" s="90" t="s">
        <v>8</v>
      </c>
      <c r="D14" s="76">
        <v>0</v>
      </c>
      <c r="E14" s="76">
        <v>-3</v>
      </c>
      <c r="F14" s="100">
        <v>1</v>
      </c>
      <c r="G14" s="103">
        <f t="shared" si="2"/>
        <v>-2</v>
      </c>
      <c r="H14" s="104">
        <f t="shared" si="0"/>
        <v>4</v>
      </c>
      <c r="K14" s="35"/>
      <c r="L14" s="79" t="s">
        <v>7</v>
      </c>
      <c r="M14" s="140" t="s">
        <v>6</v>
      </c>
      <c r="N14" s="76">
        <v>-1</v>
      </c>
      <c r="O14" s="76">
        <v>-3</v>
      </c>
      <c r="P14" s="76">
        <v>1</v>
      </c>
      <c r="Q14" s="103">
        <f t="shared" si="3"/>
        <v>-3</v>
      </c>
      <c r="R14" s="104">
        <f t="shared" si="1"/>
        <v>3</v>
      </c>
      <c r="X14" s="98"/>
      <c r="Y14" s="99"/>
      <c r="Z14" s="75"/>
      <c r="AA14" s="75"/>
      <c r="AB14" s="75"/>
    </row>
    <row r="15" spans="2:28">
      <c r="B15" s="138"/>
      <c r="C15" s="92" t="s">
        <v>5</v>
      </c>
      <c r="D15" s="75">
        <v>0</v>
      </c>
      <c r="E15" s="75">
        <v>-2</v>
      </c>
      <c r="F15" s="101">
        <v>-1</v>
      </c>
      <c r="G15" s="105">
        <f t="shared" si="2"/>
        <v>-3</v>
      </c>
      <c r="H15" s="106">
        <f t="shared" si="0"/>
        <v>1</v>
      </c>
      <c r="K15" s="35"/>
      <c r="L15" s="3" t="s">
        <v>4</v>
      </c>
      <c r="M15" s="141"/>
      <c r="N15" s="75">
        <v>1</v>
      </c>
      <c r="O15" s="75">
        <v>0</v>
      </c>
      <c r="P15" s="75">
        <v>-1</v>
      </c>
      <c r="Q15" s="105">
        <f t="shared" si="3"/>
        <v>0</v>
      </c>
      <c r="R15" s="106">
        <f t="shared" si="1"/>
        <v>4</v>
      </c>
      <c r="X15" s="98"/>
      <c r="Y15" s="99"/>
      <c r="Z15" s="75"/>
      <c r="AA15" s="75"/>
      <c r="AB15" s="75"/>
    </row>
    <row r="16" spans="2:28">
      <c r="B16" s="138"/>
      <c r="C16" s="91" t="s">
        <v>3</v>
      </c>
      <c r="D16" s="75">
        <v>2</v>
      </c>
      <c r="E16" s="75">
        <v>3</v>
      </c>
      <c r="F16" s="101">
        <v>1</v>
      </c>
      <c r="G16" s="105">
        <f t="shared" si="2"/>
        <v>6</v>
      </c>
      <c r="H16" s="106">
        <f t="shared" si="0"/>
        <v>9</v>
      </c>
      <c r="K16" s="35"/>
      <c r="L16" s="31" t="s">
        <v>2</v>
      </c>
      <c r="M16" s="141"/>
      <c r="N16" s="75">
        <v>-1</v>
      </c>
      <c r="O16" s="75">
        <v>3</v>
      </c>
      <c r="P16" s="75">
        <v>1</v>
      </c>
      <c r="Q16" s="105">
        <f t="shared" si="3"/>
        <v>3</v>
      </c>
      <c r="R16" s="106">
        <f t="shared" si="1"/>
        <v>6</v>
      </c>
      <c r="X16" s="98"/>
      <c r="Y16" s="99"/>
      <c r="Z16" s="75"/>
      <c r="AA16" s="75"/>
      <c r="AB16" s="75"/>
    </row>
    <row r="17" spans="2:18" ht="15" thickBot="1">
      <c r="B17" s="139"/>
      <c r="C17" s="93" t="s">
        <v>1</v>
      </c>
      <c r="D17" s="77">
        <v>-2</v>
      </c>
      <c r="E17" s="77">
        <v>2</v>
      </c>
      <c r="F17" s="102">
        <v>-1</v>
      </c>
      <c r="G17" s="107">
        <f t="shared" si="2"/>
        <v>-1</v>
      </c>
      <c r="H17" s="108">
        <f t="shared" si="0"/>
        <v>3</v>
      </c>
      <c r="K17" s="35"/>
      <c r="L17" s="81" t="s">
        <v>0</v>
      </c>
      <c r="M17" s="142"/>
      <c r="N17" s="77">
        <v>1</v>
      </c>
      <c r="O17" s="77">
        <v>0</v>
      </c>
      <c r="P17" s="77">
        <v>-1</v>
      </c>
      <c r="Q17" s="107">
        <f t="shared" si="3"/>
        <v>0</v>
      </c>
      <c r="R17" s="108">
        <f t="shared" si="1"/>
        <v>4</v>
      </c>
    </row>
    <row r="19" spans="2:18">
      <c r="C19" s="17">
        <f ca="1">DATE(YEAR(NOW()),MONTH(NOW()),DAY(NOW())+E19)</f>
        <v>43515</v>
      </c>
      <c r="E19" s="1">
        <v>15</v>
      </c>
      <c r="K19" s="17"/>
    </row>
    <row r="20" spans="2:18">
      <c r="K20" s="17"/>
    </row>
    <row r="21" spans="2:18">
      <c r="K21" s="17"/>
    </row>
    <row r="22" spans="2:18">
      <c r="K22" s="17"/>
    </row>
    <row r="23" spans="2:18">
      <c r="K23" s="17"/>
    </row>
    <row r="24" spans="2:18">
      <c r="K24" s="17"/>
    </row>
    <row r="25" spans="2:18">
      <c r="K25" s="17"/>
    </row>
    <row r="26" spans="2:18">
      <c r="K26" s="17"/>
    </row>
    <row r="27" spans="2:18">
      <c r="K27" s="17"/>
    </row>
    <row r="28" spans="2:18">
      <c r="K28" s="17"/>
    </row>
    <row r="29" spans="2:18">
      <c r="K29" s="17"/>
    </row>
    <row r="30" spans="2:18">
      <c r="K30" s="17"/>
    </row>
    <row r="31" spans="2:18">
      <c r="K31" s="17"/>
    </row>
  </sheetData>
  <mergeCells count="8">
    <mergeCell ref="B14:B17"/>
    <mergeCell ref="M14:M17"/>
    <mergeCell ref="B2:B5"/>
    <mergeCell ref="M2:M5"/>
    <mergeCell ref="B6:B9"/>
    <mergeCell ref="M6:M9"/>
    <mergeCell ref="B10:B13"/>
    <mergeCell ref="M10:M13"/>
  </mergeCells>
  <phoneticPr fontId="2" type="noConversion"/>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53"/>
  <dimension ref="A1:F65"/>
  <sheetViews>
    <sheetView showGridLines="0" workbookViewId="0">
      <pane xSplit="1" ySplit="1" topLeftCell="B42" activePane="bottomRight" state="frozen"/>
      <selection pane="topRight" activeCell="B1" sqref="B1"/>
      <selection pane="bottomLeft" activeCell="A2" sqref="A2"/>
      <selection pane="bottomRight" activeCell="F47" sqref="F47"/>
    </sheetView>
  </sheetViews>
  <sheetFormatPr defaultRowHeight="14.4"/>
  <cols>
    <col min="1" max="1" width="5.77734375" style="6" bestFit="1" customWidth="1"/>
    <col min="2" max="2" width="8.109375" style="6" bestFit="1" customWidth="1"/>
    <col min="3" max="3" width="10" style="6" bestFit="1" customWidth="1"/>
    <col min="4" max="4" width="21.88671875" style="6" bestFit="1" customWidth="1"/>
    <col min="5" max="6" width="10.5546875" style="13" bestFit="1" customWidth="1"/>
    <col min="7" max="16384" width="8.88671875" style="6"/>
  </cols>
  <sheetData>
    <row r="1" spans="1:6">
      <c r="A1" s="11" t="s">
        <v>98</v>
      </c>
      <c r="B1" s="11" t="s">
        <v>97</v>
      </c>
      <c r="C1" s="11" t="s">
        <v>96</v>
      </c>
      <c r="D1" s="11" t="s">
        <v>95</v>
      </c>
      <c r="E1" s="14" t="s">
        <v>109</v>
      </c>
      <c r="F1" s="14" t="s">
        <v>188</v>
      </c>
    </row>
    <row r="2" spans="1:6">
      <c r="A2" s="7">
        <v>1</v>
      </c>
      <c r="B2" s="10">
        <v>43265</v>
      </c>
      <c r="C2" s="8">
        <v>0.95833333333333337</v>
      </c>
      <c r="D2" s="7" t="s">
        <v>94</v>
      </c>
      <c r="E2" s="15" t="s">
        <v>186</v>
      </c>
      <c r="F2" s="15">
        <v>1</v>
      </c>
    </row>
    <row r="3" spans="1:6">
      <c r="A3" s="7">
        <v>2</v>
      </c>
      <c r="B3" s="10">
        <v>43266</v>
      </c>
      <c r="C3" s="8">
        <v>0.83333333333333337</v>
      </c>
      <c r="D3" s="7" t="s">
        <v>93</v>
      </c>
      <c r="E3" s="15" t="s">
        <v>196</v>
      </c>
      <c r="F3" s="15" t="s">
        <v>207</v>
      </c>
    </row>
    <row r="4" spans="1:6">
      <c r="A4" s="7">
        <v>3</v>
      </c>
      <c r="B4" s="10">
        <v>43266</v>
      </c>
      <c r="C4" s="8">
        <v>0.95833333333333337</v>
      </c>
      <c r="D4" s="7" t="s">
        <v>92</v>
      </c>
      <c r="E4" s="15" t="s">
        <v>190</v>
      </c>
      <c r="F4" s="15" t="s">
        <v>187</v>
      </c>
    </row>
    <row r="5" spans="1:6">
      <c r="A5" s="7">
        <v>4</v>
      </c>
      <c r="B5" s="10">
        <v>43267</v>
      </c>
      <c r="C5" s="8">
        <v>8.3333333333333329E-2</v>
      </c>
      <c r="D5" s="7" t="s">
        <v>91</v>
      </c>
      <c r="E5" s="15" t="s">
        <v>191</v>
      </c>
      <c r="F5" s="15" t="s">
        <v>191</v>
      </c>
    </row>
    <row r="6" spans="1:6">
      <c r="A6" s="7">
        <v>5</v>
      </c>
      <c r="B6" s="10">
        <v>43267</v>
      </c>
      <c r="C6" s="8">
        <v>0.75</v>
      </c>
      <c r="D6" s="7" t="s">
        <v>90</v>
      </c>
      <c r="E6" s="15" t="s">
        <v>192</v>
      </c>
      <c r="F6" s="15" t="s">
        <v>193</v>
      </c>
    </row>
    <row r="7" spans="1:6">
      <c r="A7" s="7">
        <v>6</v>
      </c>
      <c r="B7" s="10">
        <v>43267</v>
      </c>
      <c r="C7" s="8">
        <v>0.875</v>
      </c>
      <c r="D7" s="7" t="s">
        <v>89</v>
      </c>
      <c r="E7" s="15" t="s">
        <v>194</v>
      </c>
      <c r="F7" s="15" t="s">
        <v>194</v>
      </c>
    </row>
    <row r="8" spans="1:6">
      <c r="A8" s="7">
        <v>7</v>
      </c>
      <c r="B8" s="10">
        <v>43268</v>
      </c>
      <c r="C8" s="8">
        <v>0</v>
      </c>
      <c r="D8" s="7" t="s">
        <v>88</v>
      </c>
      <c r="E8" s="15" t="s">
        <v>196</v>
      </c>
      <c r="F8" s="15" t="s">
        <v>194</v>
      </c>
    </row>
    <row r="9" spans="1:6">
      <c r="A9" s="7">
        <v>8</v>
      </c>
      <c r="B9" s="10">
        <v>43268</v>
      </c>
      <c r="C9" s="8">
        <v>8.3333333333333329E-2</v>
      </c>
      <c r="D9" s="7" t="s">
        <v>87</v>
      </c>
      <c r="E9" s="15" t="s">
        <v>195</v>
      </c>
      <c r="F9" s="15" t="s">
        <v>196</v>
      </c>
    </row>
    <row r="10" spans="1:6">
      <c r="A10" s="7">
        <v>9</v>
      </c>
      <c r="B10" s="10">
        <v>43268</v>
      </c>
      <c r="C10" s="8">
        <v>0.875</v>
      </c>
      <c r="D10" s="7" t="s">
        <v>86</v>
      </c>
      <c r="E10" s="15" t="s">
        <v>197</v>
      </c>
      <c r="F10" s="15" t="s">
        <v>198</v>
      </c>
    </row>
    <row r="11" spans="1:6">
      <c r="A11" s="7">
        <v>10</v>
      </c>
      <c r="B11" s="10">
        <v>43268</v>
      </c>
      <c r="C11" s="8">
        <v>0.95833333333333337</v>
      </c>
      <c r="D11" s="7" t="s">
        <v>85</v>
      </c>
      <c r="E11" s="15" t="s">
        <v>199</v>
      </c>
      <c r="F11" s="15" t="s">
        <v>200</v>
      </c>
    </row>
    <row r="12" spans="1:6">
      <c r="A12" s="7">
        <v>11</v>
      </c>
      <c r="B12" s="10">
        <v>43269</v>
      </c>
      <c r="C12" s="8">
        <v>8.3333333333333329E-2</v>
      </c>
      <c r="D12" s="7" t="s">
        <v>84</v>
      </c>
      <c r="E12" s="15" t="s">
        <v>200</v>
      </c>
      <c r="F12" s="15" t="s">
        <v>200</v>
      </c>
    </row>
    <row r="13" spans="1:6">
      <c r="A13" s="7">
        <v>12</v>
      </c>
      <c r="B13" s="10">
        <v>43269</v>
      </c>
      <c r="C13" s="8">
        <v>0.83333333333333337</v>
      </c>
      <c r="D13" s="7" t="s">
        <v>83</v>
      </c>
      <c r="E13" s="15" t="s">
        <v>201</v>
      </c>
      <c r="F13" s="15" t="s">
        <v>202</v>
      </c>
    </row>
    <row r="14" spans="1:6">
      <c r="A14" s="7">
        <v>13</v>
      </c>
      <c r="B14" s="10">
        <v>43269</v>
      </c>
      <c r="C14" s="8">
        <v>0.95833333333333337</v>
      </c>
      <c r="D14" s="7" t="s">
        <v>82</v>
      </c>
      <c r="E14" s="15" t="s">
        <v>203</v>
      </c>
      <c r="F14" s="15" t="s">
        <v>202</v>
      </c>
    </row>
    <row r="15" spans="1:6">
      <c r="A15" s="7">
        <v>14</v>
      </c>
      <c r="B15" s="10">
        <v>43270</v>
      </c>
      <c r="C15" s="8">
        <v>8.3333333333333329E-2</v>
      </c>
      <c r="D15" s="7" t="s">
        <v>81</v>
      </c>
      <c r="E15" s="15" t="s">
        <v>201</v>
      </c>
      <c r="F15" s="15" t="s">
        <v>204</v>
      </c>
    </row>
    <row r="16" spans="1:6">
      <c r="A16" s="7">
        <v>15</v>
      </c>
      <c r="B16" s="10">
        <v>43270</v>
      </c>
      <c r="C16" s="8">
        <v>0.83333333333333337</v>
      </c>
      <c r="D16" s="7" t="s">
        <v>80</v>
      </c>
      <c r="E16" s="15" t="s">
        <v>205</v>
      </c>
      <c r="F16" s="15" t="s">
        <v>206</v>
      </c>
    </row>
    <row r="17" spans="1:6">
      <c r="A17" s="7">
        <v>16</v>
      </c>
      <c r="B17" s="10">
        <v>43270</v>
      </c>
      <c r="C17" s="8">
        <v>0.95833333333333337</v>
      </c>
      <c r="D17" s="7" t="s">
        <v>79</v>
      </c>
      <c r="E17" s="15" t="s">
        <v>207</v>
      </c>
      <c r="F17" s="15" t="s">
        <v>206</v>
      </c>
    </row>
    <row r="18" spans="1:6">
      <c r="A18" s="7">
        <v>17</v>
      </c>
      <c r="B18" s="10">
        <v>43271</v>
      </c>
      <c r="C18" s="8">
        <v>8.3333333333333329E-2</v>
      </c>
      <c r="D18" s="7" t="s">
        <v>78</v>
      </c>
      <c r="E18" s="15" t="s">
        <v>208</v>
      </c>
      <c r="F18" s="15" t="s">
        <v>207</v>
      </c>
    </row>
    <row r="19" spans="1:6">
      <c r="A19" s="7">
        <v>18</v>
      </c>
      <c r="B19" s="10">
        <v>43271</v>
      </c>
      <c r="C19" s="8">
        <v>0.83333333333333337</v>
      </c>
      <c r="D19" s="7" t="s">
        <v>77</v>
      </c>
      <c r="E19" s="15" t="s">
        <v>209</v>
      </c>
      <c r="F19" s="15" t="s">
        <v>210</v>
      </c>
    </row>
    <row r="20" spans="1:6">
      <c r="A20" s="7">
        <v>19</v>
      </c>
      <c r="B20" s="10">
        <v>43271</v>
      </c>
      <c r="C20" s="8">
        <v>0.95833333333333337</v>
      </c>
      <c r="D20" s="7" t="s">
        <v>76</v>
      </c>
      <c r="E20" s="15" t="s">
        <v>209</v>
      </c>
      <c r="F20" s="15" t="s">
        <v>210</v>
      </c>
    </row>
    <row r="21" spans="1:6">
      <c r="A21" s="7">
        <v>20</v>
      </c>
      <c r="B21" s="10">
        <v>43272</v>
      </c>
      <c r="C21" s="8">
        <v>8.3333333333333329E-2</v>
      </c>
      <c r="D21" s="7" t="s">
        <v>75</v>
      </c>
      <c r="E21" s="15" t="s">
        <v>210</v>
      </c>
      <c r="F21" s="15" t="s">
        <v>209</v>
      </c>
    </row>
    <row r="22" spans="1:6">
      <c r="A22" s="7">
        <v>21</v>
      </c>
      <c r="B22" s="10">
        <v>43272</v>
      </c>
      <c r="C22" s="8">
        <v>0.875</v>
      </c>
      <c r="D22" s="7" t="s">
        <v>74</v>
      </c>
      <c r="E22" s="15" t="s">
        <v>211</v>
      </c>
      <c r="F22" s="15" t="s">
        <v>211</v>
      </c>
    </row>
    <row r="23" spans="1:6">
      <c r="A23" s="7">
        <v>22</v>
      </c>
      <c r="B23" s="10">
        <v>43273</v>
      </c>
      <c r="C23" s="8">
        <v>4.1666666666666664E-2</v>
      </c>
      <c r="D23" s="7" t="s">
        <v>73</v>
      </c>
      <c r="E23" s="15" t="s">
        <v>212</v>
      </c>
      <c r="F23" s="15" t="s">
        <v>213</v>
      </c>
    </row>
    <row r="24" spans="1:6">
      <c r="A24" s="7">
        <v>23</v>
      </c>
      <c r="B24" s="10">
        <v>43273</v>
      </c>
      <c r="C24" s="8">
        <v>8.3333333333333329E-2</v>
      </c>
      <c r="D24" s="7" t="s">
        <v>72</v>
      </c>
      <c r="E24" s="15" t="s">
        <v>213</v>
      </c>
      <c r="F24" s="15" t="s">
        <v>214</v>
      </c>
    </row>
    <row r="25" spans="1:6">
      <c r="A25" s="7">
        <v>24</v>
      </c>
      <c r="B25" s="10">
        <v>43273</v>
      </c>
      <c r="C25" s="8">
        <v>0.83333333333333337</v>
      </c>
      <c r="D25" s="7" t="s">
        <v>71</v>
      </c>
      <c r="E25" s="15" t="s">
        <v>217</v>
      </c>
      <c r="F25" s="15" t="s">
        <v>216</v>
      </c>
    </row>
    <row r="26" spans="1:6">
      <c r="A26" s="7">
        <v>25</v>
      </c>
      <c r="B26" s="10">
        <v>43273</v>
      </c>
      <c r="C26" s="8">
        <v>0.95833333333333337</v>
      </c>
      <c r="D26" s="7" t="s">
        <v>70</v>
      </c>
      <c r="E26" s="15" t="s">
        <v>215</v>
      </c>
      <c r="F26" s="15" t="s">
        <v>216</v>
      </c>
    </row>
    <row r="27" spans="1:6">
      <c r="A27" s="7">
        <v>26</v>
      </c>
      <c r="B27" s="10">
        <v>43274</v>
      </c>
      <c r="C27" s="8">
        <v>4.1666666666666664E-2</v>
      </c>
      <c r="D27" s="7" t="s">
        <v>69</v>
      </c>
      <c r="E27" s="15" t="s">
        <v>218</v>
      </c>
      <c r="F27" s="15" t="s">
        <v>215</v>
      </c>
    </row>
    <row r="28" spans="1:6">
      <c r="A28" s="7">
        <v>27</v>
      </c>
      <c r="B28" s="10">
        <v>43274</v>
      </c>
      <c r="C28" s="8">
        <v>0.83333333333333337</v>
      </c>
      <c r="D28" s="7" t="s">
        <v>68</v>
      </c>
      <c r="E28" s="15" t="s">
        <v>222</v>
      </c>
      <c r="F28" s="15" t="s">
        <v>220</v>
      </c>
    </row>
    <row r="29" spans="1:6">
      <c r="A29" s="7">
        <v>28</v>
      </c>
      <c r="B29" s="10">
        <v>43275</v>
      </c>
      <c r="C29" s="8">
        <v>0</v>
      </c>
      <c r="D29" s="7" t="s">
        <v>67</v>
      </c>
      <c r="E29" s="15" t="s">
        <v>221</v>
      </c>
      <c r="F29" s="15" t="s">
        <v>220</v>
      </c>
    </row>
    <row r="30" spans="1:6">
      <c r="A30" s="7">
        <v>29</v>
      </c>
      <c r="B30" s="10">
        <v>43275</v>
      </c>
      <c r="C30" s="8">
        <v>8.3333333333333329E-2</v>
      </c>
      <c r="D30" s="7" t="s">
        <v>66</v>
      </c>
      <c r="E30" s="15" t="s">
        <v>220</v>
      </c>
      <c r="F30" s="15" t="s">
        <v>221</v>
      </c>
    </row>
    <row r="31" spans="1:6">
      <c r="A31" s="7">
        <v>30</v>
      </c>
      <c r="B31" s="10">
        <v>43275</v>
      </c>
      <c r="C31" s="8">
        <v>0.83333333333333337</v>
      </c>
      <c r="D31" s="7" t="s">
        <v>65</v>
      </c>
      <c r="E31" s="15" t="s">
        <v>230</v>
      </c>
      <c r="F31" s="15" t="s">
        <v>231</v>
      </c>
    </row>
    <row r="32" spans="1:6">
      <c r="A32" s="7">
        <v>31</v>
      </c>
      <c r="B32" s="10">
        <v>43275</v>
      </c>
      <c r="C32" s="8">
        <v>0.95833333333333337</v>
      </c>
      <c r="D32" s="7" t="s">
        <v>64</v>
      </c>
      <c r="E32" s="15" t="s">
        <v>225</v>
      </c>
      <c r="F32" s="15" t="s">
        <v>226</v>
      </c>
    </row>
    <row r="33" spans="1:6">
      <c r="A33" s="7">
        <v>32</v>
      </c>
      <c r="B33" s="10">
        <v>43276</v>
      </c>
      <c r="C33" s="8">
        <v>8.3333333333333329E-2</v>
      </c>
      <c r="D33" s="7" t="s">
        <v>63</v>
      </c>
      <c r="E33" s="15" t="s">
        <v>233</v>
      </c>
      <c r="F33" s="15" t="s">
        <v>234</v>
      </c>
    </row>
    <row r="34" spans="1:6">
      <c r="A34" s="7">
        <v>33</v>
      </c>
      <c r="B34" s="10">
        <v>43276</v>
      </c>
      <c r="C34" s="8">
        <v>0.91666666666666663</v>
      </c>
      <c r="D34" s="7" t="s">
        <v>62</v>
      </c>
      <c r="E34" s="15" t="s">
        <v>241</v>
      </c>
      <c r="F34" s="15" t="s">
        <v>242</v>
      </c>
    </row>
    <row r="35" spans="1:6">
      <c r="A35" s="7">
        <v>34</v>
      </c>
      <c r="B35" s="10">
        <v>43276</v>
      </c>
      <c r="C35" s="8">
        <v>0.91666666666666663</v>
      </c>
      <c r="D35" s="7" t="s">
        <v>61</v>
      </c>
      <c r="E35" s="15" t="s">
        <v>237</v>
      </c>
      <c r="F35" s="15" t="s">
        <v>235</v>
      </c>
    </row>
    <row r="36" spans="1:6">
      <c r="A36" s="7">
        <v>35</v>
      </c>
      <c r="B36" s="10">
        <v>43277</v>
      </c>
      <c r="C36" s="8">
        <v>8.3333333333333329E-2</v>
      </c>
      <c r="D36" s="7" t="s">
        <v>60</v>
      </c>
      <c r="E36" s="15" t="s">
        <v>235</v>
      </c>
      <c r="F36" s="15" t="s">
        <v>235</v>
      </c>
    </row>
    <row r="37" spans="1:6">
      <c r="A37" s="7">
        <v>36</v>
      </c>
      <c r="B37" s="10">
        <v>43277</v>
      </c>
      <c r="C37" s="8">
        <v>8.3333333333333329E-2</v>
      </c>
      <c r="D37" s="7" t="s">
        <v>59</v>
      </c>
      <c r="E37" s="15" t="s">
        <v>236</v>
      </c>
      <c r="F37" s="15" t="s">
        <v>237</v>
      </c>
    </row>
    <row r="38" spans="1:6">
      <c r="A38" s="7">
        <v>37</v>
      </c>
      <c r="B38" s="10">
        <v>43277</v>
      </c>
      <c r="C38" s="8">
        <v>0.91666666666666663</v>
      </c>
      <c r="D38" s="7" t="s">
        <v>58</v>
      </c>
      <c r="E38" s="15" t="s">
        <v>256</v>
      </c>
      <c r="F38" s="15" t="s">
        <v>256</v>
      </c>
    </row>
    <row r="39" spans="1:6">
      <c r="A39" s="7">
        <v>38</v>
      </c>
      <c r="B39" s="10">
        <v>43277</v>
      </c>
      <c r="C39" s="8">
        <v>0.91666666666666663</v>
      </c>
      <c r="D39" s="7" t="s">
        <v>57</v>
      </c>
      <c r="E39" s="15" t="s">
        <v>256</v>
      </c>
      <c r="F39" s="15" t="s">
        <v>253</v>
      </c>
    </row>
    <row r="40" spans="1:6">
      <c r="A40" s="7">
        <v>39</v>
      </c>
      <c r="B40" s="10">
        <v>43278</v>
      </c>
      <c r="C40" s="8">
        <v>8.3333333333333329E-2</v>
      </c>
      <c r="D40" s="7" t="s">
        <v>56</v>
      </c>
      <c r="E40" s="15" t="s">
        <v>252</v>
      </c>
      <c r="F40" s="15" t="s">
        <v>253</v>
      </c>
    </row>
    <row r="41" spans="1:6">
      <c r="A41" s="7">
        <v>40</v>
      </c>
      <c r="B41" s="10">
        <v>43278</v>
      </c>
      <c r="C41" s="8">
        <v>8.3333333333333329E-2</v>
      </c>
      <c r="D41" s="7" t="s">
        <v>55</v>
      </c>
      <c r="E41" s="15" t="s">
        <v>252</v>
      </c>
      <c r="F41" s="15" t="s">
        <v>253</v>
      </c>
    </row>
    <row r="42" spans="1:6">
      <c r="A42" s="7">
        <v>41</v>
      </c>
      <c r="B42" s="10">
        <v>43278</v>
      </c>
      <c r="C42" s="8">
        <v>0.91666666666666663</v>
      </c>
      <c r="D42" s="7" t="s">
        <v>54</v>
      </c>
      <c r="E42" s="15" t="s">
        <v>262</v>
      </c>
      <c r="F42" s="15" t="s">
        <v>268</v>
      </c>
    </row>
    <row r="43" spans="1:6">
      <c r="A43" s="7">
        <v>42</v>
      </c>
      <c r="B43" s="10">
        <v>43278</v>
      </c>
      <c r="C43" s="8">
        <v>0.91666666666666663</v>
      </c>
      <c r="D43" s="7" t="s">
        <v>53</v>
      </c>
      <c r="E43" s="15" t="s">
        <v>263</v>
      </c>
      <c r="F43" s="15" t="s">
        <v>262</v>
      </c>
    </row>
    <row r="44" spans="1:6">
      <c r="A44" s="7">
        <v>43</v>
      </c>
      <c r="B44" s="10">
        <v>43279</v>
      </c>
      <c r="C44" s="8">
        <v>8.3333333333333329E-2</v>
      </c>
      <c r="D44" s="7" t="s">
        <v>52</v>
      </c>
      <c r="E44" s="15" t="s">
        <v>262</v>
      </c>
      <c r="F44" s="15" t="s">
        <v>263</v>
      </c>
    </row>
    <row r="45" spans="1:6">
      <c r="A45" s="7">
        <v>44</v>
      </c>
      <c r="B45" s="10">
        <v>43279</v>
      </c>
      <c r="C45" s="8">
        <v>8.3333333333333329E-2</v>
      </c>
      <c r="D45" s="7" t="s">
        <v>51</v>
      </c>
      <c r="E45" s="15" t="s">
        <v>263</v>
      </c>
      <c r="F45" s="15" t="s">
        <v>263</v>
      </c>
    </row>
    <row r="46" spans="1:6">
      <c r="A46" s="7">
        <v>45</v>
      </c>
      <c r="B46" s="10">
        <v>43279</v>
      </c>
      <c r="C46" s="8">
        <v>0.91666666666666663</v>
      </c>
      <c r="D46" s="7" t="s">
        <v>50</v>
      </c>
      <c r="E46" s="15" t="s">
        <v>279</v>
      </c>
      <c r="F46" s="15" t="s">
        <v>280</v>
      </c>
    </row>
    <row r="47" spans="1:6">
      <c r="A47" s="7">
        <v>46</v>
      </c>
      <c r="B47" s="10">
        <v>43279</v>
      </c>
      <c r="C47" s="8">
        <v>0.91666666666666663</v>
      </c>
      <c r="D47" s="7" t="s">
        <v>49</v>
      </c>
      <c r="E47" s="15" t="s">
        <v>279</v>
      </c>
      <c r="F47" s="15" t="s">
        <v>280</v>
      </c>
    </row>
    <row r="48" spans="1:6">
      <c r="A48" s="7">
        <v>47</v>
      </c>
      <c r="B48" s="10">
        <v>43280</v>
      </c>
      <c r="C48" s="8">
        <v>8.3333333333333329E-2</v>
      </c>
      <c r="D48" s="7" t="s">
        <v>48</v>
      </c>
      <c r="E48" s="15" t="s">
        <v>280</v>
      </c>
      <c r="F48" s="15" t="s">
        <v>281</v>
      </c>
    </row>
    <row r="49" spans="1:6">
      <c r="A49" s="7">
        <v>48</v>
      </c>
      <c r="B49" s="10">
        <v>43280</v>
      </c>
      <c r="C49" s="8">
        <v>8.3333333333333329E-2</v>
      </c>
      <c r="D49" s="7" t="s">
        <v>47</v>
      </c>
      <c r="E49" s="15" t="s">
        <v>279</v>
      </c>
      <c r="F49" s="15" t="s">
        <v>280</v>
      </c>
    </row>
    <row r="50" spans="1:6">
      <c r="A50" s="7">
        <v>49</v>
      </c>
      <c r="B50" s="10">
        <v>43281</v>
      </c>
      <c r="C50" s="8">
        <v>0.91666666666666663</v>
      </c>
      <c r="D50" s="7" t="s">
        <v>46</v>
      </c>
      <c r="E50" s="15"/>
      <c r="F50" s="15"/>
    </row>
    <row r="51" spans="1:6">
      <c r="A51" s="7">
        <v>50</v>
      </c>
      <c r="B51" s="10">
        <v>43282</v>
      </c>
      <c r="C51" s="8">
        <v>8.3333333333333329E-2</v>
      </c>
      <c r="D51" s="7" t="s">
        <v>45</v>
      </c>
      <c r="E51" s="15"/>
      <c r="F51" s="15"/>
    </row>
    <row r="52" spans="1:6">
      <c r="A52" s="7">
        <v>51</v>
      </c>
      <c r="B52" s="10">
        <v>43282</v>
      </c>
      <c r="C52" s="8">
        <v>0.91666666666666663</v>
      </c>
      <c r="D52" s="7" t="s">
        <v>44</v>
      </c>
      <c r="E52" s="15"/>
      <c r="F52" s="15"/>
    </row>
    <row r="53" spans="1:6">
      <c r="A53" s="7">
        <v>52</v>
      </c>
      <c r="B53" s="10">
        <v>43283</v>
      </c>
      <c r="C53" s="8">
        <v>8.3333333333333329E-2</v>
      </c>
      <c r="D53" s="7" t="s">
        <v>43</v>
      </c>
      <c r="E53" s="15"/>
      <c r="F53" s="15"/>
    </row>
    <row r="54" spans="1:6">
      <c r="A54" s="7">
        <v>53</v>
      </c>
      <c r="B54" s="10">
        <v>43283</v>
      </c>
      <c r="C54" s="8">
        <v>0.91666666666666663</v>
      </c>
      <c r="D54" s="7" t="s">
        <v>42</v>
      </c>
      <c r="E54" s="15"/>
      <c r="F54" s="15"/>
    </row>
    <row r="55" spans="1:6">
      <c r="A55" s="7">
        <v>54</v>
      </c>
      <c r="B55" s="10">
        <v>43284</v>
      </c>
      <c r="C55" s="8">
        <v>8.3333333333333329E-2</v>
      </c>
      <c r="D55" s="7" t="s">
        <v>41</v>
      </c>
      <c r="E55" s="15"/>
      <c r="F55" s="15"/>
    </row>
    <row r="56" spans="1:6">
      <c r="A56" s="7">
        <v>55</v>
      </c>
      <c r="B56" s="10">
        <v>43284</v>
      </c>
      <c r="C56" s="8">
        <v>0.91666666666666663</v>
      </c>
      <c r="D56" s="7" t="s">
        <v>40</v>
      </c>
      <c r="E56" s="15"/>
      <c r="F56" s="15"/>
    </row>
    <row r="57" spans="1:6">
      <c r="A57" s="7">
        <v>56</v>
      </c>
      <c r="B57" s="10">
        <v>43285</v>
      </c>
      <c r="C57" s="8">
        <v>8.3333333333333329E-2</v>
      </c>
      <c r="D57" s="7" t="s">
        <v>39</v>
      </c>
      <c r="E57" s="15"/>
      <c r="F57" s="15"/>
    </row>
    <row r="58" spans="1:6">
      <c r="A58" s="7">
        <v>57</v>
      </c>
      <c r="B58" s="10">
        <v>43287</v>
      </c>
      <c r="C58" s="8">
        <v>0.91666666666666663</v>
      </c>
      <c r="D58" s="7" t="s">
        <v>38</v>
      </c>
      <c r="E58" s="15"/>
      <c r="F58" s="15"/>
    </row>
    <row r="59" spans="1:6">
      <c r="A59" s="7">
        <v>58</v>
      </c>
      <c r="B59" s="10">
        <v>43288</v>
      </c>
      <c r="C59" s="8">
        <v>8.3333333333333329E-2</v>
      </c>
      <c r="D59" s="7" t="s">
        <v>37</v>
      </c>
      <c r="E59" s="15"/>
      <c r="F59" s="15"/>
    </row>
    <row r="60" spans="1:6">
      <c r="A60" s="7">
        <v>59</v>
      </c>
      <c r="B60" s="10">
        <v>43288</v>
      </c>
      <c r="C60" s="8">
        <v>0.91666666666666663</v>
      </c>
      <c r="D60" s="7" t="s">
        <v>36</v>
      </c>
      <c r="E60" s="15"/>
      <c r="F60" s="15"/>
    </row>
    <row r="61" spans="1:6">
      <c r="A61" s="7">
        <v>60</v>
      </c>
      <c r="B61" s="10">
        <v>43289</v>
      </c>
      <c r="C61" s="8">
        <v>8.3333333333333329E-2</v>
      </c>
      <c r="D61" s="7" t="s">
        <v>35</v>
      </c>
      <c r="E61" s="15"/>
      <c r="F61" s="15"/>
    </row>
    <row r="62" spans="1:6">
      <c r="A62" s="7">
        <v>61</v>
      </c>
      <c r="B62" s="10">
        <v>43292</v>
      </c>
      <c r="C62" s="8">
        <v>8.3333333333333329E-2</v>
      </c>
      <c r="D62" s="7" t="s">
        <v>34</v>
      </c>
      <c r="E62" s="15"/>
      <c r="F62" s="15"/>
    </row>
    <row r="63" spans="1:6">
      <c r="A63" s="7">
        <v>62</v>
      </c>
      <c r="B63" s="10">
        <v>43293</v>
      </c>
      <c r="C63" s="8">
        <v>8.3333333333333329E-2</v>
      </c>
      <c r="D63" s="7" t="s">
        <v>33</v>
      </c>
      <c r="E63" s="15"/>
      <c r="F63" s="15"/>
    </row>
    <row r="64" spans="1:6">
      <c r="A64" s="7">
        <v>63</v>
      </c>
      <c r="B64" s="10">
        <v>43295</v>
      </c>
      <c r="C64" s="8">
        <v>0.91666666666666663</v>
      </c>
      <c r="D64" s="7" t="s">
        <v>32</v>
      </c>
      <c r="E64" s="15"/>
      <c r="F64" s="15"/>
    </row>
    <row r="65" spans="1:6">
      <c r="A65" s="7">
        <v>64</v>
      </c>
      <c r="B65" s="9">
        <v>43296</v>
      </c>
      <c r="C65" s="8">
        <v>0.95833333333333337</v>
      </c>
      <c r="D65" s="7" t="s">
        <v>31</v>
      </c>
      <c r="E65" s="15"/>
      <c r="F65" s="15"/>
    </row>
  </sheetData>
  <phoneticPr fontId="2" type="noConversion"/>
  <pageMargins left="0.32" right="0.32" top="0.6" bottom="0.38" header="0.3" footer="0.3"/>
  <pageSetup paperSize="9" orientation="portrait" verticalDpi="0" r:id="rId1"/>
  <headerFooter>
    <oddHeader>&amp;C&amp;A</oddHeader>
    <oddFooter>&amp;R&amp;P/&amp;N</oddFooter>
  </headerFooter>
</worksheet>
</file>

<file path=xl/worksheets/sheet3.xml><?xml version="1.0" encoding="utf-8"?>
<worksheet xmlns="http://schemas.openxmlformats.org/spreadsheetml/2006/main" xmlns:r="http://schemas.openxmlformats.org/officeDocument/2006/relationships">
  <sheetPr codeName="Sheet1"/>
  <dimension ref="A2:Q19"/>
  <sheetViews>
    <sheetView showGridLines="0" workbookViewId="0">
      <selection activeCell="P20" sqref="P20"/>
    </sheetView>
  </sheetViews>
  <sheetFormatPr defaultColWidth="6.33203125" defaultRowHeight="17.399999999999999"/>
  <cols>
    <col min="1" max="1" width="7.21875" style="44" customWidth="1"/>
    <col min="2" max="16" width="6.33203125" style="44"/>
    <col min="17" max="17" width="7.21875" style="44" customWidth="1"/>
    <col min="18" max="16384" width="6.33203125" style="44"/>
  </cols>
  <sheetData>
    <row r="2" spans="1:17">
      <c r="A2" s="44" t="s">
        <v>249</v>
      </c>
      <c r="B2" s="129" t="s">
        <v>168</v>
      </c>
      <c r="C2" s="46">
        <v>2</v>
      </c>
      <c r="O2" s="47"/>
      <c r="P2" s="48" t="s">
        <v>176</v>
      </c>
      <c r="Q2" s="44" t="s">
        <v>251</v>
      </c>
    </row>
    <row r="3" spans="1:17">
      <c r="B3" s="116">
        <v>43282</v>
      </c>
      <c r="C3" s="117">
        <v>8.3333333333333329E-2</v>
      </c>
      <c r="D3" s="130" t="s">
        <v>249</v>
      </c>
      <c r="E3" s="50"/>
      <c r="H3" s="120">
        <v>43296</v>
      </c>
      <c r="I3" s="121">
        <v>0.95833333333333337</v>
      </c>
      <c r="M3" s="47"/>
      <c r="N3" s="130" t="s">
        <v>247</v>
      </c>
      <c r="O3" s="51"/>
      <c r="P3" s="118">
        <v>43282</v>
      </c>
      <c r="Q3" s="119">
        <v>0.91666666666666663</v>
      </c>
    </row>
    <row r="4" spans="1:17">
      <c r="A4" s="44" t="s">
        <v>250</v>
      </c>
      <c r="B4" s="129" t="s">
        <v>169</v>
      </c>
      <c r="C4" s="53">
        <v>1</v>
      </c>
      <c r="E4" s="54"/>
      <c r="M4" s="51"/>
      <c r="O4" s="55"/>
      <c r="P4" s="48" t="s">
        <v>177</v>
      </c>
      <c r="Q4" s="44" t="s">
        <v>247</v>
      </c>
    </row>
    <row r="5" spans="1:17">
      <c r="D5" s="126">
        <v>43287</v>
      </c>
      <c r="E5" s="127">
        <v>0.91666666666666663</v>
      </c>
      <c r="F5" s="132" t="s">
        <v>288</v>
      </c>
      <c r="G5" s="50"/>
      <c r="K5" s="47"/>
      <c r="L5" s="132" t="s">
        <v>261</v>
      </c>
      <c r="M5" s="51"/>
      <c r="N5" s="124">
        <v>43289</v>
      </c>
      <c r="O5" s="125">
        <v>8.3333333333333329E-2</v>
      </c>
    </row>
    <row r="6" spans="1:17">
      <c r="A6" s="131" t="s">
        <v>258</v>
      </c>
      <c r="B6" s="48" t="s">
        <v>170</v>
      </c>
      <c r="C6" s="46">
        <v>4</v>
      </c>
      <c r="E6" s="54"/>
      <c r="F6" s="52"/>
      <c r="G6" s="54"/>
      <c r="K6" s="51"/>
      <c r="M6" s="51"/>
      <c r="O6" s="47"/>
      <c r="P6" s="48" t="s">
        <v>178</v>
      </c>
      <c r="Q6" s="131" t="s">
        <v>289</v>
      </c>
    </row>
    <row r="7" spans="1:17">
      <c r="B7" s="116">
        <v>43281</v>
      </c>
      <c r="C7" s="117">
        <v>0.91666666666666663</v>
      </c>
      <c r="D7" s="132" t="s">
        <v>288</v>
      </c>
      <c r="E7" s="56"/>
      <c r="F7" s="52"/>
      <c r="G7" s="54"/>
      <c r="K7" s="51"/>
      <c r="M7" s="55"/>
      <c r="N7" s="132" t="s">
        <v>289</v>
      </c>
      <c r="O7" s="51"/>
      <c r="P7" s="118">
        <v>43283</v>
      </c>
      <c r="Q7" s="119">
        <v>8.3333333333333329E-2</v>
      </c>
    </row>
    <row r="8" spans="1:17">
      <c r="A8" s="44" t="s">
        <v>260</v>
      </c>
      <c r="B8" s="48" t="s">
        <v>171</v>
      </c>
      <c r="C8" s="53">
        <v>3</v>
      </c>
      <c r="F8" s="52"/>
      <c r="G8" s="54"/>
      <c r="K8" s="51"/>
      <c r="O8" s="55"/>
      <c r="P8" s="48" t="s">
        <v>179</v>
      </c>
      <c r="Q8" s="44" t="s">
        <v>259</v>
      </c>
    </row>
    <row r="9" spans="1:17">
      <c r="E9" s="122">
        <v>43292</v>
      </c>
      <c r="F9" s="123">
        <v>8.3333333333333329E-2</v>
      </c>
      <c r="G9" s="54"/>
      <c r="H9" s="133" t="s">
        <v>286</v>
      </c>
      <c r="J9" s="134" t="s">
        <v>287</v>
      </c>
      <c r="K9" s="51"/>
      <c r="L9" s="122">
        <v>43293</v>
      </c>
      <c r="M9" s="123">
        <v>8.3333333333333329E-2</v>
      </c>
    </row>
    <row r="10" spans="1:17">
      <c r="A10" s="44" t="s">
        <v>219</v>
      </c>
      <c r="B10" s="48" t="s">
        <v>172</v>
      </c>
      <c r="C10" s="46"/>
      <c r="F10" s="52"/>
      <c r="G10" s="54"/>
      <c r="K10" s="51"/>
      <c r="O10" s="47"/>
      <c r="P10" s="48" t="s">
        <v>180</v>
      </c>
      <c r="Q10" s="44" t="s">
        <v>271</v>
      </c>
    </row>
    <row r="11" spans="1:17">
      <c r="B11" s="116">
        <v>43283</v>
      </c>
      <c r="C11" s="117">
        <v>0.91666666666666663</v>
      </c>
      <c r="D11" s="130" t="s">
        <v>219</v>
      </c>
      <c r="E11" s="50"/>
      <c r="F11" s="52"/>
      <c r="G11" s="54"/>
      <c r="K11" s="51"/>
      <c r="M11" s="47"/>
      <c r="N11" s="130" t="s">
        <v>271</v>
      </c>
      <c r="O11" s="51"/>
      <c r="P11" s="118">
        <v>43284</v>
      </c>
      <c r="Q11" s="119">
        <v>0.91666666666666663</v>
      </c>
    </row>
    <row r="12" spans="1:17">
      <c r="A12" s="44" t="s">
        <v>272</v>
      </c>
      <c r="B12" s="48" t="s">
        <v>173</v>
      </c>
      <c r="C12" s="53"/>
      <c r="E12" s="54"/>
      <c r="F12" s="52"/>
      <c r="G12" s="54"/>
      <c r="K12" s="51"/>
      <c r="M12" s="51"/>
      <c r="O12" s="55"/>
      <c r="P12" s="48" t="s">
        <v>181</v>
      </c>
      <c r="Q12" s="44" t="s">
        <v>267</v>
      </c>
    </row>
    <row r="13" spans="1:17">
      <c r="D13" s="126">
        <v>43288</v>
      </c>
      <c r="E13" s="127">
        <v>8.3333333333333329E-2</v>
      </c>
      <c r="F13" s="135" t="s">
        <v>282</v>
      </c>
      <c r="G13" s="56"/>
      <c r="K13" s="55"/>
      <c r="L13" s="135" t="s">
        <v>291</v>
      </c>
      <c r="M13" s="51"/>
      <c r="N13" s="124">
        <v>43288</v>
      </c>
      <c r="O13" s="125">
        <v>0.91666666666666663</v>
      </c>
    </row>
    <row r="14" spans="1:17">
      <c r="A14" s="136" t="s">
        <v>290</v>
      </c>
      <c r="B14" s="48" t="s">
        <v>174</v>
      </c>
      <c r="C14" s="46"/>
      <c r="E14" s="54"/>
      <c r="M14" s="51"/>
      <c r="O14" s="47"/>
      <c r="P14" s="48" t="s">
        <v>182</v>
      </c>
      <c r="Q14" s="44" t="s">
        <v>283</v>
      </c>
    </row>
    <row r="15" spans="1:17">
      <c r="B15" s="116">
        <v>43284</v>
      </c>
      <c r="C15" s="117">
        <v>8.3333333333333329E-2</v>
      </c>
      <c r="D15" s="135" t="s">
        <v>282</v>
      </c>
      <c r="E15" s="56"/>
      <c r="H15" s="115" t="s">
        <v>278</v>
      </c>
      <c r="M15" s="55"/>
      <c r="N15" s="135" t="s">
        <v>291</v>
      </c>
      <c r="O15" s="51"/>
      <c r="P15" s="118">
        <v>43285</v>
      </c>
      <c r="Q15" s="119">
        <v>8.3333333333333329E-2</v>
      </c>
    </row>
    <row r="16" spans="1:17">
      <c r="A16" s="44" t="s">
        <v>284</v>
      </c>
      <c r="B16" s="48" t="s">
        <v>175</v>
      </c>
      <c r="C16" s="53"/>
      <c r="H16" s="113">
        <v>43295</v>
      </c>
      <c r="I16" s="114">
        <v>0.91666666666666663</v>
      </c>
      <c r="O16" s="55"/>
      <c r="P16" s="48" t="s">
        <v>183</v>
      </c>
      <c r="Q16" s="136" t="s">
        <v>291</v>
      </c>
    </row>
    <row r="19" spans="1:1">
      <c r="A19" s="128" t="s">
        <v>285</v>
      </c>
    </row>
  </sheetData>
  <sortState ref="B3:B10">
    <sortCondition ref="B3"/>
  </sortState>
  <phoneticPr fontId="2" type="noConversion"/>
  <hyperlinks>
    <hyperlink ref="A19" r:id="rId1"/>
  </hyperlinks>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2"/>
  <dimension ref="A1:B49"/>
  <sheetViews>
    <sheetView workbookViewId="0">
      <selection activeCell="B36" sqref="B36"/>
    </sheetView>
  </sheetViews>
  <sheetFormatPr defaultRowHeight="14.4"/>
  <cols>
    <col min="1" max="1" width="9.5546875" style="6" customWidth="1"/>
    <col min="2" max="2" width="116.109375" style="19" customWidth="1"/>
    <col min="3" max="16384" width="8.88671875" style="19"/>
  </cols>
  <sheetData>
    <row r="1" spans="1:2">
      <c r="A1" s="6" t="s">
        <v>153</v>
      </c>
    </row>
    <row r="2" spans="1:2">
      <c r="A2" s="6">
        <v>1</v>
      </c>
      <c r="B2" s="19" t="s">
        <v>154</v>
      </c>
    </row>
    <row r="3" spans="1:2">
      <c r="A3" s="6">
        <v>2</v>
      </c>
      <c r="B3" s="19" t="s">
        <v>155</v>
      </c>
    </row>
    <row r="4" spans="1:2">
      <c r="B4" s="19" t="s">
        <v>111</v>
      </c>
    </row>
    <row r="5" spans="1:2">
      <c r="B5" s="19" t="s">
        <v>147</v>
      </c>
    </row>
    <row r="6" spans="1:2">
      <c r="A6" s="6">
        <v>3</v>
      </c>
      <c r="B6" s="19" t="s">
        <v>156</v>
      </c>
    </row>
    <row r="7" spans="1:2" ht="28.8">
      <c r="B7" s="19" t="s">
        <v>139</v>
      </c>
    </row>
    <row r="8" spans="1:2">
      <c r="A8" s="6">
        <v>4</v>
      </c>
      <c r="B8" s="19" t="s">
        <v>157</v>
      </c>
    </row>
    <row r="9" spans="1:2">
      <c r="B9" s="19" t="s">
        <v>112</v>
      </c>
    </row>
    <row r="10" spans="1:2">
      <c r="A10" s="6">
        <v>5</v>
      </c>
      <c r="B10" s="19" t="s">
        <v>161</v>
      </c>
    </row>
    <row r="11" spans="1:2">
      <c r="A11" s="6">
        <v>6</v>
      </c>
      <c r="B11" s="19" t="s">
        <v>124</v>
      </c>
    </row>
    <row r="12" spans="1:2">
      <c r="B12" s="19" t="s">
        <v>127</v>
      </c>
    </row>
    <row r="13" spans="1:2">
      <c r="A13" s="6" t="s">
        <v>130</v>
      </c>
    </row>
    <row r="14" spans="1:2">
      <c r="A14" s="6">
        <v>1</v>
      </c>
      <c r="B14" s="19" t="s">
        <v>158</v>
      </c>
    </row>
    <row r="15" spans="1:2">
      <c r="A15" s="6">
        <v>2</v>
      </c>
      <c r="B15" s="19" t="s">
        <v>159</v>
      </c>
    </row>
    <row r="16" spans="1:2">
      <c r="A16" s="6">
        <v>3</v>
      </c>
      <c r="B16" s="19" t="s">
        <v>152</v>
      </c>
    </row>
    <row r="17" spans="1:2">
      <c r="A17" s="6">
        <v>4</v>
      </c>
      <c r="B17" s="20" t="s">
        <v>138</v>
      </c>
    </row>
    <row r="18" spans="1:2">
      <c r="A18" s="6">
        <v>5</v>
      </c>
      <c r="B18" s="19" t="s">
        <v>160</v>
      </c>
    </row>
    <row r="19" spans="1:2">
      <c r="A19" s="6">
        <v>6</v>
      </c>
      <c r="B19" s="19" t="s">
        <v>118</v>
      </c>
    </row>
    <row r="20" spans="1:2">
      <c r="A20" s="6">
        <v>7</v>
      </c>
      <c r="B20" s="19" t="s">
        <v>125</v>
      </c>
    </row>
    <row r="21" spans="1:2">
      <c r="A21" s="6">
        <v>8</v>
      </c>
      <c r="B21" s="18" t="s">
        <v>129</v>
      </c>
    </row>
    <row r="22" spans="1:2" ht="28.8">
      <c r="A22" s="6">
        <v>9</v>
      </c>
      <c r="B22" s="19" t="s">
        <v>148</v>
      </c>
    </row>
    <row r="23" spans="1:2" ht="28.8">
      <c r="A23" s="6">
        <v>10</v>
      </c>
      <c r="B23" s="19" t="s">
        <v>149</v>
      </c>
    </row>
    <row r="24" spans="1:2">
      <c r="A24" s="6" t="s">
        <v>131</v>
      </c>
    </row>
    <row r="25" spans="1:2" ht="28.8">
      <c r="A25" s="6">
        <v>1</v>
      </c>
      <c r="B25" s="19" t="s">
        <v>133</v>
      </c>
    </row>
    <row r="26" spans="1:2">
      <c r="A26" s="6">
        <v>2</v>
      </c>
      <c r="B26" s="19" t="s">
        <v>134</v>
      </c>
    </row>
    <row r="27" spans="1:2" ht="28.8">
      <c r="B27" s="19" t="s">
        <v>137</v>
      </c>
    </row>
    <row r="28" spans="1:2">
      <c r="B28" s="19" t="s">
        <v>163</v>
      </c>
    </row>
    <row r="29" spans="1:2">
      <c r="B29" s="19" t="s">
        <v>162</v>
      </c>
    </row>
    <row r="30" spans="1:2">
      <c r="A30" s="6">
        <v>3</v>
      </c>
      <c r="B30" s="19" t="s">
        <v>135</v>
      </c>
    </row>
    <row r="31" spans="1:2">
      <c r="A31" s="6" t="s">
        <v>132</v>
      </c>
    </row>
    <row r="32" spans="1:2">
      <c r="A32" s="6">
        <v>1</v>
      </c>
      <c r="B32" s="19" t="s">
        <v>119</v>
      </c>
    </row>
    <row r="33" spans="1:2" ht="28.8">
      <c r="B33" s="19" t="s">
        <v>113</v>
      </c>
    </row>
    <row r="34" spans="1:2">
      <c r="A34" s="6">
        <v>2</v>
      </c>
      <c r="B34" s="19" t="s">
        <v>120</v>
      </c>
    </row>
    <row r="35" spans="1:2">
      <c r="B35" s="19" t="s">
        <v>114</v>
      </c>
    </row>
    <row r="36" spans="1:2">
      <c r="A36" s="6">
        <v>3</v>
      </c>
      <c r="B36" s="19" t="s">
        <v>121</v>
      </c>
    </row>
    <row r="37" spans="1:2">
      <c r="B37" s="19" t="s">
        <v>115</v>
      </c>
    </row>
    <row r="38" spans="1:2">
      <c r="A38" s="6">
        <v>29</v>
      </c>
      <c r="B38" s="19" t="s">
        <v>122</v>
      </c>
    </row>
    <row r="39" spans="1:2">
      <c r="B39" s="19" t="s">
        <v>116</v>
      </c>
    </row>
    <row r="40" spans="1:2">
      <c r="A40" s="6" t="s">
        <v>136</v>
      </c>
    </row>
    <row r="41" spans="1:2">
      <c r="A41" s="6">
        <v>1</v>
      </c>
      <c r="B41" s="19" t="s">
        <v>123</v>
      </c>
    </row>
    <row r="42" spans="1:2" ht="28.8">
      <c r="B42" s="19" t="s">
        <v>117</v>
      </c>
    </row>
    <row r="43" spans="1:2">
      <c r="A43" s="6">
        <v>2</v>
      </c>
      <c r="B43" s="19" t="s">
        <v>167</v>
      </c>
    </row>
    <row r="44" spans="1:2">
      <c r="A44" s="6">
        <v>3</v>
      </c>
      <c r="B44" s="19" t="s">
        <v>166</v>
      </c>
    </row>
    <row r="45" spans="1:2">
      <c r="B45" s="19" t="s">
        <v>128</v>
      </c>
    </row>
    <row r="46" spans="1:2">
      <c r="A46" s="6">
        <v>4</v>
      </c>
      <c r="B46" s="18" t="s">
        <v>150</v>
      </c>
    </row>
    <row r="47" spans="1:2">
      <c r="A47" s="6">
        <v>5</v>
      </c>
      <c r="B47" s="18" t="s">
        <v>165</v>
      </c>
    </row>
    <row r="48" spans="1:2">
      <c r="A48" s="6">
        <v>6</v>
      </c>
      <c r="B48" s="19" t="s">
        <v>151</v>
      </c>
    </row>
    <row r="49" spans="2:2">
      <c r="B49" s="19" t="s">
        <v>164</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3"/>
  <dimension ref="A1:E9"/>
  <sheetViews>
    <sheetView showGridLines="0" workbookViewId="0">
      <pane xSplit="1" ySplit="1" topLeftCell="B2" activePane="bottomRight" state="frozen"/>
      <selection pane="topRight" activeCell="B1" sqref="B1"/>
      <selection pane="bottomLeft" activeCell="A2" sqref="A2"/>
      <selection pane="bottomRight" activeCell="I9" sqref="I9"/>
    </sheetView>
  </sheetViews>
  <sheetFormatPr defaultRowHeight="17.399999999999999"/>
  <cols>
    <col min="1" max="1" width="7.109375" style="21" bestFit="1" customWidth="1"/>
    <col min="2" max="2" width="9.77734375" style="21" bestFit="1" customWidth="1"/>
    <col min="3" max="4" width="15" style="21" bestFit="1" customWidth="1"/>
    <col min="5" max="5" width="12.109375" style="21" bestFit="1" customWidth="1"/>
    <col min="6" max="16384" width="8.88671875" style="21"/>
  </cols>
  <sheetData>
    <row r="1" spans="1:5">
      <c r="A1" s="22" t="s">
        <v>140</v>
      </c>
      <c r="B1" s="22" t="s">
        <v>141</v>
      </c>
      <c r="C1" s="22" t="s">
        <v>142</v>
      </c>
      <c r="D1" s="22" t="s">
        <v>143</v>
      </c>
      <c r="E1" s="22" t="s">
        <v>144</v>
      </c>
    </row>
    <row r="2" spans="1:5">
      <c r="A2" s="23" t="s">
        <v>30</v>
      </c>
      <c r="B2" s="24" t="s">
        <v>145</v>
      </c>
      <c r="C2" s="24" t="s">
        <v>146</v>
      </c>
      <c r="D2" s="24" t="s">
        <v>100</v>
      </c>
      <c r="E2" s="24" t="s">
        <v>101</v>
      </c>
    </row>
    <row r="3" spans="1:5">
      <c r="A3" s="23" t="s">
        <v>25</v>
      </c>
      <c r="B3" s="24" t="s">
        <v>102</v>
      </c>
      <c r="C3" s="24" t="s">
        <v>103</v>
      </c>
      <c r="D3" s="24" t="s">
        <v>104</v>
      </c>
      <c r="E3" s="24" t="s">
        <v>105</v>
      </c>
    </row>
    <row r="4" spans="1:5">
      <c r="A4" s="23" t="s">
        <v>19</v>
      </c>
      <c r="B4" s="24" t="s">
        <v>18</v>
      </c>
      <c r="C4" s="24" t="s">
        <v>15</v>
      </c>
      <c r="D4" s="24" t="s">
        <v>13</v>
      </c>
      <c r="E4" s="24" t="s">
        <v>11</v>
      </c>
    </row>
    <row r="5" spans="1:5">
      <c r="A5" s="23" t="s">
        <v>9</v>
      </c>
      <c r="B5" s="24" t="s">
        <v>8</v>
      </c>
      <c r="C5" s="24" t="s">
        <v>5</v>
      </c>
      <c r="D5" s="24" t="s">
        <v>3</v>
      </c>
      <c r="E5" s="24" t="s">
        <v>1</v>
      </c>
    </row>
    <row r="6" spans="1:5">
      <c r="A6" s="23" t="s">
        <v>29</v>
      </c>
      <c r="B6" s="24" t="s">
        <v>126</v>
      </c>
      <c r="C6" s="24" t="s">
        <v>28</v>
      </c>
      <c r="D6" s="24" t="s">
        <v>27</v>
      </c>
      <c r="E6" s="24" t="s">
        <v>26</v>
      </c>
    </row>
    <row r="7" spans="1:5">
      <c r="A7" s="23" t="s">
        <v>23</v>
      </c>
      <c r="B7" s="24" t="s">
        <v>24</v>
      </c>
      <c r="C7" s="24" t="s">
        <v>22</v>
      </c>
      <c r="D7" s="24" t="s">
        <v>21</v>
      </c>
      <c r="E7" s="24" t="s">
        <v>20</v>
      </c>
    </row>
    <row r="8" spans="1:5">
      <c r="A8" s="23" t="s">
        <v>16</v>
      </c>
      <c r="B8" s="24" t="s">
        <v>17</v>
      </c>
      <c r="C8" s="24" t="s">
        <v>14</v>
      </c>
      <c r="D8" s="24" t="s">
        <v>12</v>
      </c>
      <c r="E8" s="24" t="s">
        <v>10</v>
      </c>
    </row>
    <row r="9" spans="1:5">
      <c r="A9" s="23" t="s">
        <v>6</v>
      </c>
      <c r="B9" s="24" t="s">
        <v>7</v>
      </c>
      <c r="C9" s="24" t="s">
        <v>4</v>
      </c>
      <c r="D9" s="24" t="s">
        <v>2</v>
      </c>
      <c r="E9" s="24" t="s">
        <v>0</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4"/>
  <dimension ref="A2:Q22"/>
  <sheetViews>
    <sheetView showGridLines="0" workbookViewId="0">
      <selection activeCell="C19" sqref="C19"/>
    </sheetView>
  </sheetViews>
  <sheetFormatPr defaultColWidth="6.33203125" defaultRowHeight="17.399999999999999"/>
  <cols>
    <col min="1" max="1" width="7.21875" style="44" customWidth="1"/>
    <col min="2" max="16" width="6.33203125" style="44"/>
    <col min="17" max="17" width="7.21875" style="44" customWidth="1"/>
    <col min="18" max="16384" width="6.33203125" style="44"/>
  </cols>
  <sheetData>
    <row r="2" spans="1:17">
      <c r="A2" s="44" t="s">
        <v>249</v>
      </c>
      <c r="B2" s="45" t="s">
        <v>168</v>
      </c>
      <c r="C2" s="46"/>
      <c r="O2" s="47"/>
      <c r="P2" s="48" t="s">
        <v>176</v>
      </c>
      <c r="Q2" s="44" t="s">
        <v>251</v>
      </c>
    </row>
    <row r="3" spans="1:17">
      <c r="B3" s="109">
        <v>43282</v>
      </c>
      <c r="D3" s="49" t="s">
        <v>185</v>
      </c>
      <c r="E3" s="50"/>
      <c r="M3" s="47"/>
      <c r="N3" s="49" t="s">
        <v>185</v>
      </c>
      <c r="O3" s="51"/>
      <c r="P3" s="110">
        <v>43282</v>
      </c>
    </row>
    <row r="4" spans="1:17">
      <c r="A4" s="44" t="s">
        <v>250</v>
      </c>
      <c r="B4" s="45" t="s">
        <v>169</v>
      </c>
      <c r="C4" s="53"/>
      <c r="E4" s="54"/>
      <c r="M4" s="51"/>
      <c r="O4" s="55"/>
      <c r="P4" s="48" t="s">
        <v>177</v>
      </c>
      <c r="Q4" s="44" t="s">
        <v>247</v>
      </c>
    </row>
    <row r="5" spans="1:17">
      <c r="E5" s="54"/>
      <c r="F5" s="49" t="s">
        <v>184</v>
      </c>
      <c r="G5" s="50"/>
      <c r="K5" s="47"/>
      <c r="L5" s="49" t="s">
        <v>184</v>
      </c>
      <c r="M5" s="51"/>
    </row>
    <row r="6" spans="1:17">
      <c r="A6" s="44" t="s">
        <v>258</v>
      </c>
      <c r="B6" s="48" t="s">
        <v>170</v>
      </c>
      <c r="C6" s="46"/>
      <c r="E6" s="54"/>
      <c r="F6" s="52"/>
      <c r="G6" s="54"/>
      <c r="K6" s="51"/>
      <c r="M6" s="51"/>
      <c r="O6" s="47"/>
      <c r="P6" s="48" t="s">
        <v>178</v>
      </c>
      <c r="Q6" s="44" t="s">
        <v>261</v>
      </c>
    </row>
    <row r="7" spans="1:17">
      <c r="B7" s="111">
        <v>43281</v>
      </c>
      <c r="C7" s="112">
        <v>0.91666666666666663</v>
      </c>
      <c r="D7" s="49" t="s">
        <v>185</v>
      </c>
      <c r="E7" s="56"/>
      <c r="F7" s="52"/>
      <c r="G7" s="54"/>
      <c r="K7" s="51"/>
      <c r="M7" s="55"/>
      <c r="N7" s="49" t="s">
        <v>185</v>
      </c>
      <c r="O7" s="51"/>
    </row>
    <row r="8" spans="1:17">
      <c r="A8" s="44" t="s">
        <v>260</v>
      </c>
      <c r="B8" s="48" t="s">
        <v>171</v>
      </c>
      <c r="C8" s="53"/>
      <c r="F8" s="52"/>
      <c r="G8" s="54"/>
      <c r="K8" s="51"/>
      <c r="O8" s="55"/>
      <c r="P8" s="48" t="s">
        <v>179</v>
      </c>
      <c r="Q8" s="44" t="s">
        <v>259</v>
      </c>
    </row>
    <row r="9" spans="1:17">
      <c r="F9" s="52"/>
      <c r="G9" s="54"/>
      <c r="H9" s="57"/>
      <c r="J9" s="58"/>
      <c r="K9" s="51"/>
    </row>
    <row r="10" spans="1:17">
      <c r="A10" s="44" t="s">
        <v>266</v>
      </c>
      <c r="B10" s="48" t="s">
        <v>172</v>
      </c>
      <c r="C10" s="46"/>
      <c r="F10" s="52"/>
      <c r="G10" s="54"/>
      <c r="K10" s="51"/>
      <c r="O10" s="47"/>
      <c r="P10" s="48" t="s">
        <v>180</v>
      </c>
      <c r="Q10" s="44" t="s">
        <v>271</v>
      </c>
    </row>
    <row r="11" spans="1:17">
      <c r="D11" s="49" t="s">
        <v>185</v>
      </c>
      <c r="E11" s="50"/>
      <c r="F11" s="52"/>
      <c r="G11" s="54"/>
      <c r="K11" s="51"/>
      <c r="M11" s="47"/>
      <c r="N11" s="49" t="s">
        <v>185</v>
      </c>
      <c r="O11" s="51"/>
    </row>
    <row r="12" spans="1:17">
      <c r="A12" s="44" t="s">
        <v>272</v>
      </c>
      <c r="B12" s="48" t="s">
        <v>173</v>
      </c>
      <c r="C12" s="53"/>
      <c r="E12" s="54"/>
      <c r="F12" s="52"/>
      <c r="G12" s="54"/>
      <c r="K12" s="51"/>
      <c r="M12" s="51"/>
      <c r="O12" s="55"/>
      <c r="P12" s="48" t="s">
        <v>181</v>
      </c>
      <c r="Q12" s="44" t="s">
        <v>267</v>
      </c>
    </row>
    <row r="13" spans="1:17">
      <c r="E13" s="54"/>
      <c r="F13" s="49" t="s">
        <v>184</v>
      </c>
      <c r="G13" s="56"/>
      <c r="K13" s="55"/>
      <c r="L13" s="49" t="s">
        <v>184</v>
      </c>
      <c r="M13" s="51"/>
    </row>
    <row r="14" spans="1:17">
      <c r="B14" s="48" t="s">
        <v>174</v>
      </c>
      <c r="C14" s="46"/>
      <c r="E14" s="54"/>
      <c r="M14" s="51"/>
      <c r="O14" s="47"/>
      <c r="P14" s="48" t="s">
        <v>182</v>
      </c>
    </row>
    <row r="15" spans="1:17">
      <c r="D15" s="49" t="s">
        <v>185</v>
      </c>
      <c r="E15" s="56"/>
      <c r="G15" s="10">
        <v>43281</v>
      </c>
      <c r="H15" s="8">
        <v>0.91666666666666663</v>
      </c>
      <c r="I15" s="7" t="s">
        <v>46</v>
      </c>
      <c r="M15" s="55"/>
      <c r="N15" s="49" t="s">
        <v>185</v>
      </c>
      <c r="O15" s="51"/>
    </row>
    <row r="16" spans="1:17">
      <c r="B16" s="48" t="s">
        <v>175</v>
      </c>
      <c r="C16" s="53"/>
      <c r="G16" s="10">
        <v>43282</v>
      </c>
      <c r="H16" s="8">
        <v>8.3333333333333329E-2</v>
      </c>
      <c r="I16" s="7" t="s">
        <v>45</v>
      </c>
      <c r="O16" s="55"/>
      <c r="P16" s="48" t="s">
        <v>183</v>
      </c>
    </row>
    <row r="17" spans="7:9">
      <c r="G17" s="10">
        <v>43282</v>
      </c>
      <c r="H17" s="8">
        <v>0.91666666666666663</v>
      </c>
      <c r="I17" s="7" t="s">
        <v>44</v>
      </c>
    </row>
    <row r="18" spans="7:9">
      <c r="G18" s="10">
        <v>43283</v>
      </c>
      <c r="H18" s="8">
        <v>8.3333333333333329E-2</v>
      </c>
      <c r="I18" s="7" t="s">
        <v>43</v>
      </c>
    </row>
    <row r="19" spans="7:9">
      <c r="G19" s="10">
        <v>43283</v>
      </c>
      <c r="H19" s="8">
        <v>0.91666666666666663</v>
      </c>
      <c r="I19" s="7" t="s">
        <v>42</v>
      </c>
    </row>
    <row r="20" spans="7:9">
      <c r="G20" s="10">
        <v>43284</v>
      </c>
      <c r="H20" s="8">
        <v>8.3333333333333329E-2</v>
      </c>
      <c r="I20" s="7" t="s">
        <v>41</v>
      </c>
    </row>
    <row r="21" spans="7:9">
      <c r="G21" s="10">
        <v>43284</v>
      </c>
      <c r="H21" s="8">
        <v>0.91666666666666663</v>
      </c>
      <c r="I21" s="7" t="s">
        <v>40</v>
      </c>
    </row>
    <row r="22" spans="7:9">
      <c r="G22" s="10">
        <v>43285</v>
      </c>
      <c r="H22" s="8">
        <v>8.3333333333333329E-2</v>
      </c>
      <c r="I22" s="7" t="s">
        <v>39</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52"/>
  <dimension ref="B1:O17"/>
  <sheetViews>
    <sheetView showGridLines="0" workbookViewId="0">
      <selection activeCell="G24" sqref="G24"/>
    </sheetView>
  </sheetViews>
  <sheetFormatPr defaultRowHeight="14.4"/>
  <cols>
    <col min="1" max="1" width="1.109375" style="1" customWidth="1"/>
    <col min="2" max="2" width="4.5546875" style="1" bestFit="1" customWidth="1"/>
    <col min="3" max="3" width="11.21875" style="1" customWidth="1"/>
    <col min="4" max="4" width="8.77734375" style="1" customWidth="1"/>
    <col min="5" max="5" width="9.5546875" style="1" bestFit="1" customWidth="1"/>
    <col min="6" max="6" width="6.6640625" style="25" customWidth="1"/>
    <col min="7" max="7" width="12" style="1" customWidth="1"/>
    <col min="8" max="8" width="4.5546875" style="1" bestFit="1" customWidth="1"/>
    <col min="9" max="9" width="5.5546875" style="1" customWidth="1"/>
    <col min="10" max="10" width="8.109375" style="6" bestFit="1" customWidth="1"/>
    <col min="11" max="11" width="8.21875" style="6" bestFit="1" customWidth="1"/>
    <col min="12" max="12" width="13.6640625" style="6" customWidth="1"/>
    <col min="13" max="14" width="7.109375" style="13" bestFit="1" customWidth="1"/>
    <col min="15" max="15" width="13.5546875" style="1" customWidth="1"/>
    <col min="16" max="16384" width="8.88671875" style="1"/>
  </cols>
  <sheetData>
    <row r="1" spans="2:15" ht="18.600000000000001" customHeight="1" thickBot="1">
      <c r="D1" s="16">
        <f ca="1">DATE(YEAR(NOW()),MONTH(NOW()),DAY(NOW())+E1)</f>
        <v>43500</v>
      </c>
      <c r="E1" s="1">
        <v>0</v>
      </c>
      <c r="J1" s="12" t="s">
        <v>108</v>
      </c>
      <c r="K1" s="12" t="s">
        <v>106</v>
      </c>
      <c r="L1" s="11" t="s">
        <v>107</v>
      </c>
      <c r="M1" s="14" t="s">
        <v>110</v>
      </c>
      <c r="N1" s="14" t="s">
        <v>189</v>
      </c>
      <c r="O1" s="16">
        <f ca="1">DATE(YEAR(NOW()),MONTH(NOW()),DAY(NOW())+P1)</f>
        <v>43500</v>
      </c>
    </row>
    <row r="2" spans="2:15">
      <c r="B2" s="143" t="s">
        <v>30</v>
      </c>
      <c r="C2" s="42" t="s">
        <v>247</v>
      </c>
      <c r="D2" s="35" t="s">
        <v>243</v>
      </c>
      <c r="E2" s="1">
        <v>6</v>
      </c>
      <c r="F2" s="29" t="s">
        <v>265</v>
      </c>
      <c r="G2" s="30" t="s">
        <v>219</v>
      </c>
      <c r="H2" s="144" t="s">
        <v>29</v>
      </c>
      <c r="I2" s="1">
        <v>7</v>
      </c>
      <c r="J2" s="10"/>
      <c r="K2" s="8"/>
      <c r="L2" s="8"/>
      <c r="M2" s="15"/>
      <c r="N2" s="15"/>
    </row>
    <row r="3" spans="2:15">
      <c r="B3" s="137"/>
      <c r="C3" s="4" t="s">
        <v>99</v>
      </c>
      <c r="D3" s="1" t="s">
        <v>244</v>
      </c>
      <c r="E3" s="1">
        <v>3</v>
      </c>
      <c r="F3" s="38" t="s">
        <v>238</v>
      </c>
      <c r="G3" s="39" t="s">
        <v>28</v>
      </c>
      <c r="H3" s="145"/>
      <c r="I3" s="35">
        <v>5</v>
      </c>
      <c r="J3" s="10"/>
      <c r="K3" s="8"/>
      <c r="L3" s="8"/>
      <c r="M3" s="15"/>
      <c r="N3" s="15"/>
      <c r="O3" s="17"/>
    </row>
    <row r="4" spans="2:15">
      <c r="B4" s="137"/>
      <c r="C4" s="4" t="s">
        <v>100</v>
      </c>
      <c r="D4" s="1" t="s">
        <v>245</v>
      </c>
      <c r="E4" s="1">
        <v>0</v>
      </c>
      <c r="F4" s="25" t="s">
        <v>240</v>
      </c>
      <c r="G4" s="3" t="s">
        <v>27</v>
      </c>
      <c r="H4" s="145"/>
      <c r="I4" s="1">
        <v>1</v>
      </c>
      <c r="J4" s="10"/>
      <c r="K4" s="8"/>
      <c r="L4" s="8"/>
      <c r="M4" s="15"/>
      <c r="N4" s="15"/>
    </row>
    <row r="5" spans="2:15" ht="15" thickBot="1">
      <c r="B5" s="149"/>
      <c r="C5" s="28" t="s">
        <v>101</v>
      </c>
      <c r="D5" s="27" t="s">
        <v>246</v>
      </c>
      <c r="E5" s="1">
        <v>9</v>
      </c>
      <c r="F5" s="25" t="s">
        <v>264</v>
      </c>
      <c r="G5" s="37" t="s">
        <v>26</v>
      </c>
      <c r="H5" s="146"/>
      <c r="I5" s="1">
        <v>3</v>
      </c>
      <c r="J5" s="10"/>
      <c r="K5" s="8"/>
      <c r="L5" s="8"/>
      <c r="M5" s="15"/>
      <c r="N5" s="15"/>
    </row>
    <row r="6" spans="2:15">
      <c r="B6" s="150" t="s">
        <v>25</v>
      </c>
      <c r="C6" s="43" t="s">
        <v>102</v>
      </c>
      <c r="D6" s="59" t="s">
        <v>248</v>
      </c>
      <c r="E6" s="1">
        <v>5</v>
      </c>
      <c r="F6" s="66" t="s">
        <v>269</v>
      </c>
      <c r="G6" s="5" t="s">
        <v>24</v>
      </c>
      <c r="H6" s="147" t="s">
        <v>23</v>
      </c>
      <c r="I6" s="69">
        <v>3</v>
      </c>
      <c r="J6" s="10"/>
      <c r="K6" s="8"/>
      <c r="L6" s="8"/>
      <c r="M6" s="15"/>
      <c r="N6" s="15"/>
    </row>
    <row r="7" spans="2:15">
      <c r="B7" s="137"/>
      <c r="C7" s="28" t="s">
        <v>103</v>
      </c>
      <c r="D7" s="60" t="s">
        <v>238</v>
      </c>
      <c r="E7" s="1">
        <v>5</v>
      </c>
      <c r="F7" s="64" t="s">
        <v>243</v>
      </c>
      <c r="G7" s="39" t="s">
        <v>272</v>
      </c>
      <c r="H7" s="145"/>
      <c r="I7" s="70">
        <v>6</v>
      </c>
      <c r="J7" s="10"/>
      <c r="K7" s="8"/>
      <c r="L7" s="8"/>
      <c r="M7" s="15"/>
      <c r="N7" s="15"/>
    </row>
    <row r="8" spans="2:15">
      <c r="B8" s="137"/>
      <c r="C8" s="4" t="s">
        <v>104</v>
      </c>
      <c r="D8" s="61" t="s">
        <v>240</v>
      </c>
      <c r="E8" s="1">
        <v>1</v>
      </c>
      <c r="F8" s="63" t="s">
        <v>270</v>
      </c>
      <c r="G8" s="31" t="s">
        <v>271</v>
      </c>
      <c r="H8" s="145"/>
      <c r="I8" s="70">
        <v>6</v>
      </c>
      <c r="J8" s="10"/>
      <c r="K8" s="8"/>
      <c r="L8" s="8"/>
      <c r="M8" s="15"/>
      <c r="N8" s="15"/>
    </row>
    <row r="9" spans="2:15" ht="15" thickBot="1">
      <c r="B9" s="151"/>
      <c r="C9" s="32" t="s">
        <v>105</v>
      </c>
      <c r="D9" s="62" t="s">
        <v>239</v>
      </c>
      <c r="E9" s="1">
        <v>4</v>
      </c>
      <c r="F9" s="65" t="s">
        <v>244</v>
      </c>
      <c r="G9" s="2" t="s">
        <v>20</v>
      </c>
      <c r="H9" s="148"/>
      <c r="I9" s="71">
        <v>3</v>
      </c>
      <c r="J9" s="10"/>
      <c r="K9" s="8"/>
      <c r="L9" s="8"/>
      <c r="M9" s="15"/>
      <c r="N9" s="15"/>
    </row>
    <row r="10" spans="2:15">
      <c r="B10" s="143" t="s">
        <v>19</v>
      </c>
      <c r="C10" s="26" t="s">
        <v>18</v>
      </c>
      <c r="D10" s="27" t="s">
        <v>273</v>
      </c>
      <c r="E10" s="1">
        <v>7</v>
      </c>
      <c r="F10" s="29" t="s">
        <v>223</v>
      </c>
      <c r="G10" s="30" t="s">
        <v>17</v>
      </c>
      <c r="H10" s="144" t="s">
        <v>16</v>
      </c>
      <c r="I10" s="1">
        <v>6</v>
      </c>
      <c r="J10" s="10"/>
      <c r="K10" s="8"/>
      <c r="L10" s="8"/>
      <c r="M10" s="15"/>
      <c r="N10" s="15"/>
    </row>
    <row r="11" spans="2:15">
      <c r="B11" s="137"/>
      <c r="C11" s="4" t="s">
        <v>15</v>
      </c>
      <c r="D11" s="1" t="s">
        <v>257</v>
      </c>
      <c r="E11" s="1">
        <v>1</v>
      </c>
      <c r="F11" s="25" t="s">
        <v>228</v>
      </c>
      <c r="G11" s="3" t="s">
        <v>14</v>
      </c>
      <c r="H11" s="145"/>
      <c r="I11" s="1">
        <v>0</v>
      </c>
      <c r="J11" s="10"/>
      <c r="K11" s="8"/>
      <c r="L11" s="8"/>
      <c r="M11" s="15"/>
      <c r="N11" s="15"/>
    </row>
    <row r="12" spans="2:15">
      <c r="B12" s="137"/>
      <c r="C12" s="4" t="s">
        <v>13</v>
      </c>
      <c r="D12" s="1" t="s">
        <v>244</v>
      </c>
      <c r="E12" s="1">
        <v>3</v>
      </c>
      <c r="F12" s="25" t="s">
        <v>224</v>
      </c>
      <c r="G12" s="3" t="s">
        <v>12</v>
      </c>
      <c r="H12" s="145"/>
      <c r="I12" s="1">
        <v>0</v>
      </c>
      <c r="J12" s="10"/>
      <c r="K12" s="8"/>
      <c r="L12" s="8"/>
      <c r="M12" s="15"/>
      <c r="N12" s="15"/>
    </row>
    <row r="13" spans="2:15" ht="15" thickBot="1">
      <c r="B13" s="149"/>
      <c r="C13" s="34" t="s">
        <v>11</v>
      </c>
      <c r="D13" s="35" t="s">
        <v>274</v>
      </c>
      <c r="E13" s="1">
        <v>5</v>
      </c>
      <c r="F13" s="38" t="s">
        <v>232</v>
      </c>
      <c r="G13" s="40" t="s">
        <v>10</v>
      </c>
      <c r="H13" s="146"/>
      <c r="I13" s="1">
        <v>6</v>
      </c>
      <c r="J13" s="10"/>
      <c r="K13" s="8"/>
      <c r="L13" s="8"/>
      <c r="M13" s="15"/>
      <c r="N13" s="15"/>
    </row>
    <row r="14" spans="2:15">
      <c r="B14" s="150" t="s">
        <v>9</v>
      </c>
      <c r="C14" s="43" t="s">
        <v>8</v>
      </c>
      <c r="D14" s="59" t="s">
        <v>255</v>
      </c>
      <c r="E14" s="35">
        <v>4</v>
      </c>
      <c r="F14" s="66" t="s">
        <v>228</v>
      </c>
      <c r="G14" s="5" t="s">
        <v>7</v>
      </c>
      <c r="H14" s="147" t="s">
        <v>6</v>
      </c>
      <c r="I14" s="72">
        <v>0</v>
      </c>
      <c r="J14" s="10"/>
      <c r="K14" s="8"/>
      <c r="L14" s="8"/>
      <c r="M14" s="15"/>
      <c r="N14" s="15"/>
    </row>
    <row r="15" spans="2:15">
      <c r="B15" s="137"/>
      <c r="C15" s="36" t="s">
        <v>5</v>
      </c>
      <c r="D15" s="61" t="s">
        <v>254</v>
      </c>
      <c r="E15" s="1">
        <v>1</v>
      </c>
      <c r="F15" s="63" t="s">
        <v>227</v>
      </c>
      <c r="G15" s="31" t="s">
        <v>4</v>
      </c>
      <c r="H15" s="145"/>
      <c r="I15" s="70">
        <v>4</v>
      </c>
      <c r="J15" s="10"/>
      <c r="K15" s="8"/>
      <c r="L15" s="8"/>
      <c r="M15" s="15"/>
      <c r="N15" s="15"/>
    </row>
    <row r="16" spans="2:15">
      <c r="B16" s="137"/>
      <c r="C16" s="28" t="s">
        <v>3</v>
      </c>
      <c r="D16" s="60" t="s">
        <v>246</v>
      </c>
      <c r="E16" s="1">
        <v>9</v>
      </c>
      <c r="F16" s="67" t="s">
        <v>229</v>
      </c>
      <c r="G16" s="3" t="s">
        <v>2</v>
      </c>
      <c r="H16" s="145"/>
      <c r="I16" s="70">
        <v>3</v>
      </c>
      <c r="J16" s="10"/>
      <c r="K16" s="8"/>
      <c r="L16" s="8"/>
      <c r="M16" s="15"/>
      <c r="N16" s="15"/>
    </row>
    <row r="17" spans="2:14" ht="15" thickBot="1">
      <c r="B17" s="151"/>
      <c r="C17" s="41" t="s">
        <v>1</v>
      </c>
      <c r="D17" s="62" t="s">
        <v>269</v>
      </c>
      <c r="E17" s="1">
        <v>3</v>
      </c>
      <c r="F17" s="68" t="s">
        <v>227</v>
      </c>
      <c r="G17" s="33" t="s">
        <v>0</v>
      </c>
      <c r="H17" s="148"/>
      <c r="I17" s="71">
        <v>4</v>
      </c>
      <c r="J17" s="10"/>
      <c r="K17" s="8"/>
      <c r="L17" s="8"/>
      <c r="M17" s="15"/>
      <c r="N17" s="15"/>
    </row>
  </sheetData>
  <mergeCells count="8">
    <mergeCell ref="H2:H5"/>
    <mergeCell ref="H6:H9"/>
    <mergeCell ref="H10:H13"/>
    <mergeCell ref="H14:H17"/>
    <mergeCell ref="B2:B5"/>
    <mergeCell ref="B6:B9"/>
    <mergeCell ref="B10:B13"/>
    <mergeCell ref="B14:B17"/>
  </mergeCells>
  <phoneticPr fontId="2" type="noConversion"/>
  <pageMargins left="0.7" right="0.7" top="0.75" bottom="0.75" header="0.3" footer="0.3"/>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dimension ref="A1:A179"/>
  <sheetViews>
    <sheetView tabSelected="1" topLeftCell="A37" workbookViewId="0">
      <selection activeCell="A27" sqref="A27"/>
    </sheetView>
  </sheetViews>
  <sheetFormatPr defaultRowHeight="14.4"/>
  <cols>
    <col min="1" max="1" width="59.5546875" customWidth="1"/>
  </cols>
  <sheetData>
    <row r="1" spans="1:1">
      <c r="A1" s="152" t="s">
        <v>292</v>
      </c>
    </row>
    <row r="2" spans="1:1">
      <c r="A2" s="152" t="s">
        <v>293</v>
      </c>
    </row>
    <row r="3" spans="1:1">
      <c r="A3" s="152" t="s">
        <v>294</v>
      </c>
    </row>
    <row r="4" spans="1:1">
      <c r="A4" s="152" t="s">
        <v>295</v>
      </c>
    </row>
    <row r="5" spans="1:1">
      <c r="A5" s="152" t="s">
        <v>296</v>
      </c>
    </row>
    <row r="6" spans="1:1">
      <c r="A6" s="152" t="s">
        <v>297</v>
      </c>
    </row>
    <row r="7" spans="1:1">
      <c r="A7" s="152" t="s">
        <v>298</v>
      </c>
    </row>
    <row r="8" spans="1:1">
      <c r="A8" s="152" t="s">
        <v>299</v>
      </c>
    </row>
    <row r="9" spans="1:1">
      <c r="A9" s="152" t="s">
        <v>300</v>
      </c>
    </row>
    <row r="10" spans="1:1">
      <c r="A10" s="152" t="s">
        <v>301</v>
      </c>
    </row>
    <row r="11" spans="1:1">
      <c r="A11" s="152" t="s">
        <v>302</v>
      </c>
    </row>
    <row r="12" spans="1:1">
      <c r="A12" s="152" t="s">
        <v>303</v>
      </c>
    </row>
    <row r="13" spans="1:1">
      <c r="A13" s="152" t="s">
        <v>304</v>
      </c>
    </row>
    <row r="14" spans="1:1">
      <c r="A14" s="152" t="s">
        <v>305</v>
      </c>
    </row>
    <row r="15" spans="1:1">
      <c r="A15" s="152" t="s">
        <v>306</v>
      </c>
    </row>
    <row r="16" spans="1:1">
      <c r="A16" s="152" t="s">
        <v>307</v>
      </c>
    </row>
    <row r="17" spans="1:1">
      <c r="A17" s="152" t="s">
        <v>308</v>
      </c>
    </row>
    <row r="18" spans="1:1">
      <c r="A18" s="152" t="s">
        <v>309</v>
      </c>
    </row>
    <row r="19" spans="1:1">
      <c r="A19" s="152" t="s">
        <v>310</v>
      </c>
    </row>
    <row r="20" spans="1:1">
      <c r="A20" s="152" t="s">
        <v>311</v>
      </c>
    </row>
    <row r="21" spans="1:1">
      <c r="A21" s="152" t="s">
        <v>312</v>
      </c>
    </row>
    <row r="22" spans="1:1">
      <c r="A22" s="152" t="s">
        <v>313</v>
      </c>
    </row>
    <row r="23" spans="1:1">
      <c r="A23" s="152" t="s">
        <v>314</v>
      </c>
    </row>
    <row r="24" spans="1:1">
      <c r="A24" s="152" t="s">
        <v>315</v>
      </c>
    </row>
    <row r="25" spans="1:1">
      <c r="A25" s="152" t="s">
        <v>316</v>
      </c>
    </row>
    <row r="26" spans="1:1">
      <c r="A26" s="152" t="s">
        <v>317</v>
      </c>
    </row>
    <row r="27" spans="1:1">
      <c r="A27" s="152" t="s">
        <v>318</v>
      </c>
    </row>
    <row r="28" spans="1:1">
      <c r="A28" s="152" t="s">
        <v>319</v>
      </c>
    </row>
    <row r="29" spans="1:1">
      <c r="A29" s="152" t="s">
        <v>320</v>
      </c>
    </row>
    <row r="30" spans="1:1">
      <c r="A30" s="152" t="s">
        <v>321</v>
      </c>
    </row>
    <row r="31" spans="1:1">
      <c r="A31" s="152" t="s">
        <v>322</v>
      </c>
    </row>
    <row r="32" spans="1:1">
      <c r="A32" s="152" t="s">
        <v>323</v>
      </c>
    </row>
    <row r="33" spans="1:1">
      <c r="A33" s="152" t="s">
        <v>324</v>
      </c>
    </row>
    <row r="34" spans="1:1">
      <c r="A34" s="152" t="s">
        <v>325</v>
      </c>
    </row>
    <row r="35" spans="1:1">
      <c r="A35" s="152" t="s">
        <v>326</v>
      </c>
    </row>
    <row r="36" spans="1:1">
      <c r="A36" s="152" t="s">
        <v>327</v>
      </c>
    </row>
    <row r="37" spans="1:1">
      <c r="A37" s="152" t="s">
        <v>328</v>
      </c>
    </row>
    <row r="38" spans="1:1">
      <c r="A38" s="152" t="s">
        <v>329</v>
      </c>
    </row>
    <row r="39" spans="1:1">
      <c r="A39" s="152" t="s">
        <v>330</v>
      </c>
    </row>
    <row r="40" spans="1:1">
      <c r="A40" s="152" t="s">
        <v>331</v>
      </c>
    </row>
    <row r="41" spans="1:1">
      <c r="A41" s="152" t="s">
        <v>332</v>
      </c>
    </row>
    <row r="42" spans="1:1">
      <c r="A42" s="152" t="s">
        <v>333</v>
      </c>
    </row>
    <row r="43" spans="1:1">
      <c r="A43" s="152" t="s">
        <v>334</v>
      </c>
    </row>
    <row r="44" spans="1:1">
      <c r="A44" s="152" t="s">
        <v>335</v>
      </c>
    </row>
    <row r="45" spans="1:1">
      <c r="A45" s="152" t="s">
        <v>336</v>
      </c>
    </row>
    <row r="46" spans="1:1">
      <c r="A46" s="152" t="s">
        <v>337</v>
      </c>
    </row>
    <row r="47" spans="1:1">
      <c r="A47" s="152" t="s">
        <v>338</v>
      </c>
    </row>
    <row r="48" spans="1:1">
      <c r="A48" s="152" t="s">
        <v>339</v>
      </c>
    </row>
    <row r="49" spans="1:1">
      <c r="A49" s="152" t="s">
        <v>340</v>
      </c>
    </row>
    <row r="50" spans="1:1">
      <c r="A50" s="152" t="s">
        <v>341</v>
      </c>
    </row>
    <row r="51" spans="1:1">
      <c r="A51" s="152" t="s">
        <v>342</v>
      </c>
    </row>
    <row r="52" spans="1:1">
      <c r="A52" s="152" t="s">
        <v>343</v>
      </c>
    </row>
    <row r="53" spans="1:1">
      <c r="A53" s="152" t="s">
        <v>344</v>
      </c>
    </row>
    <row r="54" spans="1:1">
      <c r="A54" s="152" t="s">
        <v>345</v>
      </c>
    </row>
    <row r="55" spans="1:1">
      <c r="A55" s="152" t="s">
        <v>346</v>
      </c>
    </row>
    <row r="56" spans="1:1">
      <c r="A56" s="152" t="s">
        <v>347</v>
      </c>
    </row>
    <row r="57" spans="1:1">
      <c r="A57" s="152" t="s">
        <v>348</v>
      </c>
    </row>
    <row r="58" spans="1:1">
      <c r="A58" s="152" t="s">
        <v>349</v>
      </c>
    </row>
    <row r="59" spans="1:1">
      <c r="A59" s="152" t="s">
        <v>350</v>
      </c>
    </row>
    <row r="60" spans="1:1">
      <c r="A60" s="152" t="s">
        <v>351</v>
      </c>
    </row>
    <row r="61" spans="1:1">
      <c r="A61" s="152" t="s">
        <v>352</v>
      </c>
    </row>
    <row r="62" spans="1:1">
      <c r="A62" s="152" t="s">
        <v>353</v>
      </c>
    </row>
    <row r="63" spans="1:1">
      <c r="A63" s="152" t="s">
        <v>354</v>
      </c>
    </row>
    <row r="64" spans="1:1">
      <c r="A64" s="152" t="s">
        <v>355</v>
      </c>
    </row>
    <row r="65" spans="1:1">
      <c r="A65" s="152" t="s">
        <v>356</v>
      </c>
    </row>
    <row r="66" spans="1:1">
      <c r="A66" s="152" t="s">
        <v>357</v>
      </c>
    </row>
    <row r="67" spans="1:1">
      <c r="A67" s="152" t="s">
        <v>358</v>
      </c>
    </row>
    <row r="68" spans="1:1">
      <c r="A68" s="152" t="s">
        <v>359</v>
      </c>
    </row>
    <row r="69" spans="1:1">
      <c r="A69" s="152" t="s">
        <v>360</v>
      </c>
    </row>
    <row r="70" spans="1:1">
      <c r="A70" s="152" t="s">
        <v>361</v>
      </c>
    </row>
    <row r="71" spans="1:1">
      <c r="A71" s="152" t="s">
        <v>362</v>
      </c>
    </row>
    <row r="72" spans="1:1">
      <c r="A72" s="152" t="s">
        <v>363</v>
      </c>
    </row>
    <row r="73" spans="1:1">
      <c r="A73" s="152" t="s">
        <v>364</v>
      </c>
    </row>
    <row r="74" spans="1:1">
      <c r="A74" s="152" t="s">
        <v>365</v>
      </c>
    </row>
    <row r="75" spans="1:1">
      <c r="A75" s="152" t="s">
        <v>366</v>
      </c>
    </row>
    <row r="76" spans="1:1">
      <c r="A76" s="152" t="s">
        <v>367</v>
      </c>
    </row>
    <row r="77" spans="1:1">
      <c r="A77" s="152" t="s">
        <v>368</v>
      </c>
    </row>
    <row r="78" spans="1:1">
      <c r="A78" s="152" t="s">
        <v>369</v>
      </c>
    </row>
    <row r="79" spans="1:1">
      <c r="A79" s="152" t="s">
        <v>370</v>
      </c>
    </row>
    <row r="80" spans="1:1">
      <c r="A80" s="152" t="s">
        <v>371</v>
      </c>
    </row>
    <row r="81" spans="1:1">
      <c r="A81" s="152" t="s">
        <v>372</v>
      </c>
    </row>
    <row r="82" spans="1:1">
      <c r="A82" s="152" t="s">
        <v>373</v>
      </c>
    </row>
    <row r="83" spans="1:1">
      <c r="A83" s="152" t="s">
        <v>374</v>
      </c>
    </row>
    <row r="84" spans="1:1">
      <c r="A84" s="152" t="s">
        <v>375</v>
      </c>
    </row>
    <row r="85" spans="1:1">
      <c r="A85" s="152" t="s">
        <v>325</v>
      </c>
    </row>
    <row r="86" spans="1:1">
      <c r="A86" s="152" t="s">
        <v>376</v>
      </c>
    </row>
    <row r="87" spans="1:1">
      <c r="A87" s="152" t="s">
        <v>377</v>
      </c>
    </row>
    <row r="88" spans="1:1">
      <c r="A88" s="152" t="s">
        <v>378</v>
      </c>
    </row>
    <row r="89" spans="1:1">
      <c r="A89" s="152" t="s">
        <v>379</v>
      </c>
    </row>
    <row r="90" spans="1:1">
      <c r="A90" s="152" t="s">
        <v>380</v>
      </c>
    </row>
    <row r="91" spans="1:1">
      <c r="A91" s="152" t="s">
        <v>381</v>
      </c>
    </row>
    <row r="92" spans="1:1">
      <c r="A92" s="152" t="s">
        <v>382</v>
      </c>
    </row>
    <row r="93" spans="1:1">
      <c r="A93" s="152" t="s">
        <v>383</v>
      </c>
    </row>
    <row r="94" spans="1:1">
      <c r="A94" s="152" t="s">
        <v>384</v>
      </c>
    </row>
    <row r="95" spans="1:1">
      <c r="A95" s="152" t="s">
        <v>385</v>
      </c>
    </row>
    <row r="96" spans="1:1">
      <c r="A96" s="152" t="s">
        <v>386</v>
      </c>
    </row>
    <row r="97" spans="1:1">
      <c r="A97" s="152" t="s">
        <v>387</v>
      </c>
    </row>
    <row r="98" spans="1:1">
      <c r="A98" s="152" t="s">
        <v>388</v>
      </c>
    </row>
    <row r="99" spans="1:1">
      <c r="A99" s="152" t="s">
        <v>389</v>
      </c>
    </row>
    <row r="100" spans="1:1">
      <c r="A100" s="152" t="s">
        <v>390</v>
      </c>
    </row>
    <row r="101" spans="1:1">
      <c r="A101" s="152" t="s">
        <v>391</v>
      </c>
    </row>
    <row r="102" spans="1:1">
      <c r="A102" s="152" t="s">
        <v>392</v>
      </c>
    </row>
    <row r="103" spans="1:1">
      <c r="A103" s="152" t="s">
        <v>393</v>
      </c>
    </row>
    <row r="104" spans="1:1">
      <c r="A104" s="152" t="s">
        <v>394</v>
      </c>
    </row>
    <row r="105" spans="1:1">
      <c r="A105" s="152" t="s">
        <v>395</v>
      </c>
    </row>
    <row r="106" spans="1:1">
      <c r="A106" s="152" t="s">
        <v>396</v>
      </c>
    </row>
    <row r="107" spans="1:1">
      <c r="A107" s="152" t="s">
        <v>397</v>
      </c>
    </row>
    <row r="108" spans="1:1">
      <c r="A108" s="152" t="s">
        <v>398</v>
      </c>
    </row>
    <row r="109" spans="1:1">
      <c r="A109" s="152" t="s">
        <v>399</v>
      </c>
    </row>
    <row r="110" spans="1:1">
      <c r="A110" s="152" t="s">
        <v>400</v>
      </c>
    </row>
    <row r="111" spans="1:1">
      <c r="A111" s="152" t="s">
        <v>401</v>
      </c>
    </row>
    <row r="112" spans="1:1">
      <c r="A112" s="152" t="s">
        <v>402</v>
      </c>
    </row>
    <row r="113" spans="1:1">
      <c r="A113" s="152" t="s">
        <v>403</v>
      </c>
    </row>
    <row r="114" spans="1:1">
      <c r="A114" s="152" t="s">
        <v>404</v>
      </c>
    </row>
    <row r="115" spans="1:1">
      <c r="A115" s="152" t="s">
        <v>405</v>
      </c>
    </row>
    <row r="116" spans="1:1">
      <c r="A116" s="152" t="s">
        <v>406</v>
      </c>
    </row>
    <row r="117" spans="1:1">
      <c r="A117" s="152" t="s">
        <v>407</v>
      </c>
    </row>
    <row r="118" spans="1:1">
      <c r="A118" s="152" t="s">
        <v>408</v>
      </c>
    </row>
    <row r="119" spans="1:1">
      <c r="A119" s="152" t="s">
        <v>409</v>
      </c>
    </row>
    <row r="120" spans="1:1">
      <c r="A120" s="152" t="s">
        <v>410</v>
      </c>
    </row>
    <row r="121" spans="1:1">
      <c r="A121" s="152" t="s">
        <v>411</v>
      </c>
    </row>
    <row r="122" spans="1:1">
      <c r="A122" s="152" t="s">
        <v>412</v>
      </c>
    </row>
    <row r="123" spans="1:1">
      <c r="A123" s="152" t="s">
        <v>325</v>
      </c>
    </row>
    <row r="124" spans="1:1">
      <c r="A124" s="152" t="s">
        <v>413</v>
      </c>
    </row>
    <row r="125" spans="1:1">
      <c r="A125" s="152" t="s">
        <v>414</v>
      </c>
    </row>
    <row r="126" spans="1:1">
      <c r="A126" s="152" t="s">
        <v>415</v>
      </c>
    </row>
    <row r="127" spans="1:1">
      <c r="A127" s="152" t="s">
        <v>416</v>
      </c>
    </row>
    <row r="128" spans="1:1">
      <c r="A128" s="152" t="s">
        <v>417</v>
      </c>
    </row>
    <row r="129" spans="1:1">
      <c r="A129" s="152" t="s">
        <v>418</v>
      </c>
    </row>
    <row r="130" spans="1:1">
      <c r="A130" s="152" t="s">
        <v>419</v>
      </c>
    </row>
    <row r="131" spans="1:1">
      <c r="A131" s="152" t="s">
        <v>420</v>
      </c>
    </row>
    <row r="132" spans="1:1">
      <c r="A132" s="152" t="s">
        <v>421</v>
      </c>
    </row>
    <row r="133" spans="1:1">
      <c r="A133" s="152" t="s">
        <v>422</v>
      </c>
    </row>
    <row r="134" spans="1:1">
      <c r="A134" s="152" t="s">
        <v>423</v>
      </c>
    </row>
    <row r="135" spans="1:1">
      <c r="A135" s="152" t="s">
        <v>424</v>
      </c>
    </row>
    <row r="136" spans="1:1">
      <c r="A136" s="152" t="s">
        <v>425</v>
      </c>
    </row>
    <row r="137" spans="1:1">
      <c r="A137" s="152" t="s">
        <v>426</v>
      </c>
    </row>
    <row r="138" spans="1:1">
      <c r="A138" s="152" t="s">
        <v>427</v>
      </c>
    </row>
    <row r="139" spans="1:1">
      <c r="A139" s="152" t="s">
        <v>428</v>
      </c>
    </row>
    <row r="140" spans="1:1">
      <c r="A140" s="152" t="s">
        <v>429</v>
      </c>
    </row>
    <row r="141" spans="1:1">
      <c r="A141" s="152" t="s">
        <v>430</v>
      </c>
    </row>
    <row r="142" spans="1:1">
      <c r="A142" s="152" t="s">
        <v>431</v>
      </c>
    </row>
    <row r="143" spans="1:1">
      <c r="A143" s="152" t="s">
        <v>432</v>
      </c>
    </row>
    <row r="144" spans="1:1">
      <c r="A144" s="152" t="s">
        <v>433</v>
      </c>
    </row>
    <row r="145" spans="1:1">
      <c r="A145" s="152" t="s">
        <v>434</v>
      </c>
    </row>
    <row r="146" spans="1:1">
      <c r="A146" s="152" t="s">
        <v>435</v>
      </c>
    </row>
    <row r="147" spans="1:1">
      <c r="A147" s="152" t="s">
        <v>305</v>
      </c>
    </row>
    <row r="148" spans="1:1">
      <c r="A148" s="152" t="s">
        <v>436</v>
      </c>
    </row>
    <row r="149" spans="1:1">
      <c r="A149" s="152" t="s">
        <v>437</v>
      </c>
    </row>
    <row r="150" spans="1:1">
      <c r="A150" s="152" t="s">
        <v>438</v>
      </c>
    </row>
    <row r="151" spans="1:1">
      <c r="A151" s="152" t="s">
        <v>439</v>
      </c>
    </row>
    <row r="152" spans="1:1">
      <c r="A152" s="152" t="s">
        <v>440</v>
      </c>
    </row>
    <row r="153" spans="1:1">
      <c r="A153" s="152" t="s">
        <v>441</v>
      </c>
    </row>
    <row r="154" spans="1:1">
      <c r="A154" s="152" t="s">
        <v>442</v>
      </c>
    </row>
    <row r="155" spans="1:1">
      <c r="A155" s="152" t="s">
        <v>443</v>
      </c>
    </row>
    <row r="156" spans="1:1">
      <c r="A156" s="152" t="s">
        <v>444</v>
      </c>
    </row>
    <row r="157" spans="1:1">
      <c r="A157" s="152" t="s">
        <v>445</v>
      </c>
    </row>
    <row r="158" spans="1:1">
      <c r="A158" s="152" t="s">
        <v>446</v>
      </c>
    </row>
    <row r="159" spans="1:1">
      <c r="A159" s="152" t="s">
        <v>447</v>
      </c>
    </row>
    <row r="160" spans="1:1">
      <c r="A160" s="152" t="s">
        <v>448</v>
      </c>
    </row>
    <row r="161" spans="1:1">
      <c r="A161" s="152" t="s">
        <v>449</v>
      </c>
    </row>
    <row r="162" spans="1:1">
      <c r="A162" s="152" t="s">
        <v>450</v>
      </c>
    </row>
    <row r="163" spans="1:1">
      <c r="A163" s="152" t="s">
        <v>451</v>
      </c>
    </row>
    <row r="164" spans="1:1">
      <c r="A164" s="152" t="s">
        <v>452</v>
      </c>
    </row>
    <row r="165" spans="1:1">
      <c r="A165" s="152" t="s">
        <v>453</v>
      </c>
    </row>
    <row r="166" spans="1:1">
      <c r="A166" s="152" t="s">
        <v>454</v>
      </c>
    </row>
    <row r="167" spans="1:1">
      <c r="A167" s="152" t="s">
        <v>455</v>
      </c>
    </row>
    <row r="168" spans="1:1">
      <c r="A168" s="152" t="s">
        <v>456</v>
      </c>
    </row>
    <row r="169" spans="1:1">
      <c r="A169" s="152" t="s">
        <v>457</v>
      </c>
    </row>
    <row r="170" spans="1:1">
      <c r="A170" s="152" t="s">
        <v>458</v>
      </c>
    </row>
    <row r="171" spans="1:1">
      <c r="A171" s="152" t="s">
        <v>459</v>
      </c>
    </row>
    <row r="172" spans="1:1">
      <c r="A172" s="152" t="s">
        <v>460</v>
      </c>
    </row>
    <row r="173" spans="1:1">
      <c r="A173" s="152" t="s">
        <v>461</v>
      </c>
    </row>
    <row r="174" spans="1:1">
      <c r="A174" s="152" t="s">
        <v>462</v>
      </c>
    </row>
    <row r="175" spans="1:1">
      <c r="A175" s="152" t="s">
        <v>463</v>
      </c>
    </row>
    <row r="176" spans="1:1">
      <c r="A176" s="152" t="s">
        <v>464</v>
      </c>
    </row>
    <row r="177" spans="1:1">
      <c r="A177" s="152" t="s">
        <v>465</v>
      </c>
    </row>
    <row r="178" spans="1:1">
      <c r="A178" s="152" t="s">
        <v>466</v>
      </c>
    </row>
    <row r="179" spans="1:1">
      <c r="A179" s="152" t="s">
        <v>467</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team</vt:lpstr>
      <vt:lpstr>schedule</vt:lpstr>
      <vt:lpstr>淘汰赛</vt:lpstr>
      <vt:lpstr>伪球迷</vt:lpstr>
      <vt:lpstr>小组</vt:lpstr>
      <vt:lpstr>淘汰赛 (2)</vt:lpstr>
      <vt:lpstr>teamcc</vt:lpstr>
      <vt:lpstr>Sheet1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2018-06-14T14:19:10Z</dcterms:created>
  <dcterms:modified xsi:type="dcterms:W3CDTF">2019-02-04T09:56:47Z</dcterms:modified>
</cp:coreProperties>
</file>